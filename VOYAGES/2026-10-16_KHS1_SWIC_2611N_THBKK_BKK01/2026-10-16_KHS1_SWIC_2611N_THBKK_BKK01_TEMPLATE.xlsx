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144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BEAU2356214</t>
        </is>
      </c>
      <c r="B2" s="161" t="inlineStr">
        <is>
          <t>2026-10-16</t>
        </is>
      </c>
      <c r="C2" s="96" t="inlineStr">
        <is>
          <t>SWIC</t>
        </is>
      </c>
      <c r="D2" s="96" t="inlineStr">
        <is>
          <t>2611N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THBKK</t>
        </is>
      </c>
      <c r="H2" s="96" t="inlineStr">
        <is>
          <t>THBKK</t>
        </is>
      </c>
      <c r="I2" s="96" t="inlineStr">
        <is>
          <t>KRPUS</t>
        </is>
      </c>
      <c r="J2" s="96" t="inlineStr">
        <is>
          <t>JPSEN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BKK01</t>
        </is>
      </c>
      <c r="O2" s="96" t="inlineStr">
        <is>
          <t>BKK</t>
        </is>
      </c>
      <c r="P2" s="96" t="inlineStr">
        <is>
          <t>TH</t>
        </is>
      </c>
      <c r="Q2" s="96" t="inlineStr">
        <is>
          <t>HASLS22260801865</t>
        </is>
      </c>
      <c r="R2" s="96" t="inlineStr">
        <is>
          <t>Y</t>
        </is>
      </c>
      <c r="S2" s="96" t="inlineStr">
        <is>
          <t>N</t>
        </is>
      </c>
      <c r="T2" s="96" t="inlineStr">
        <is>
          <t>KHS</t>
        </is>
      </c>
      <c r="U2" s="97" t="n"/>
      <c r="V2" s="96" t="inlineStr">
        <is>
          <t>TSN16L05</t>
        </is>
      </c>
      <c r="W2" s="96" t="inlineStr">
        <is>
          <t>STARFISH CO.,LTD</t>
        </is>
      </c>
      <c r="X2" s="96" t="inlineStr">
        <is>
          <t>VFD</t>
        </is>
      </c>
      <c r="Y2" s="96" t="inlineStr">
        <is>
          <t>TO ORDER OF NISSUI CORPORATION.</t>
        </is>
      </c>
      <c r="Z2" s="96" t="inlineStr">
        <is>
          <t>NISSUI CORPORATION.</t>
        </is>
      </c>
      <c r="AA2" s="97" t="n">
        <v>20056</v>
      </c>
      <c r="AB2" s="96" t="inlineStr">
        <is>
          <t>BKK01</t>
        </is>
      </c>
      <c r="AC2" s="96" t="inlineStr">
        <is>
          <t>SEN01</t>
        </is>
      </c>
    </row>
    <row r="3" ht="12" customHeight="1">
      <c r="A3" s="96" t="inlineStr">
        <is>
          <t>BEAU2478233</t>
        </is>
      </c>
      <c r="B3" s="161" t="inlineStr">
        <is>
          <t>2026-10-16</t>
        </is>
      </c>
      <c r="C3" s="96" t="inlineStr">
        <is>
          <t>SWIC</t>
        </is>
      </c>
      <c r="D3" s="96" t="inlineStr">
        <is>
          <t>2611N</t>
        </is>
      </c>
      <c r="E3" s="96" t="inlineStr">
        <is>
          <t>22GP</t>
        </is>
      </c>
      <c r="F3" s="96" t="inlineStr">
        <is>
          <t>SD</t>
        </is>
      </c>
      <c r="G3" s="96" t="inlineStr">
        <is>
          <t>THBKK</t>
        </is>
      </c>
      <c r="H3" s="96" t="inlineStr">
        <is>
          <t>THBKK</t>
        </is>
      </c>
      <c r="I3" s="96" t="inlineStr">
        <is>
          <t>KRPUS</t>
        </is>
      </c>
      <c r="J3" s="96" t="inlineStr">
        <is>
          <t>JPKSM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BKK01</t>
        </is>
      </c>
      <c r="O3" s="96" t="inlineStr">
        <is>
          <t>BKK</t>
        </is>
      </c>
      <c r="P3" s="96" t="inlineStr">
        <is>
          <t>TH</t>
        </is>
      </c>
      <c r="Q3" s="96" t="inlineStr">
        <is>
          <t>HASLS22260801161</t>
        </is>
      </c>
      <c r="R3" s="96" t="inlineStr">
        <is>
          <t>Y</t>
        </is>
      </c>
      <c r="S3" s="96" t="inlineStr">
        <is>
          <t>N</t>
        </is>
      </c>
      <c r="T3" s="96" t="inlineStr">
        <is>
          <t>KHS</t>
        </is>
      </c>
      <c r="U3" s="97" t="n"/>
      <c r="V3" s="96" t="inlineStr">
        <is>
          <t>SHA16L07</t>
        </is>
      </c>
      <c r="W3" s="96" t="inlineStr">
        <is>
          <t>FISHMEAL MARKETING DEVELOPMENT</t>
        </is>
      </c>
      <c r="X3" s="96" t="inlineStr">
        <is>
          <t>VFD</t>
        </is>
      </c>
      <c r="Y3" s="96" t="inlineStr">
        <is>
          <t>SANSHO CO., LTD.</t>
        </is>
      </c>
      <c r="Z3" s="96" t="inlineStr">
        <is>
          <t>SANSHO CO., LTD.</t>
        </is>
      </c>
      <c r="AA3" s="97" t="n">
        <v>20040</v>
      </c>
      <c r="AB3" s="96" t="inlineStr">
        <is>
          <t>BKK01</t>
        </is>
      </c>
      <c r="AC3" s="96" t="inlineStr">
        <is>
          <t>KSM01</t>
        </is>
      </c>
    </row>
    <row r="4" ht="12" customHeight="1">
      <c r="A4" s="96" t="inlineStr">
        <is>
          <t>FCIU7282708</t>
        </is>
      </c>
      <c r="B4" s="161" t="inlineStr">
        <is>
          <t>2026-10-16</t>
        </is>
      </c>
      <c r="C4" s="96" t="inlineStr">
        <is>
          <t>SWIC</t>
        </is>
      </c>
      <c r="D4" s="96" t="inlineStr">
        <is>
          <t>2611N</t>
        </is>
      </c>
      <c r="E4" s="96" t="inlineStr">
        <is>
          <t>45GP</t>
        </is>
      </c>
      <c r="F4" s="96" t="inlineStr">
        <is>
          <t>SD</t>
        </is>
      </c>
      <c r="G4" s="96" t="inlineStr">
        <is>
          <t>THBKK</t>
        </is>
      </c>
      <c r="H4" s="96" t="inlineStr">
        <is>
          <t>THBKK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L/T</t>
        </is>
      </c>
      <c r="M4" s="96" t="inlineStr">
        <is>
          <t>VFL</t>
        </is>
      </c>
      <c r="N4" s="96" t="inlineStr">
        <is>
          <t>BKK01</t>
        </is>
      </c>
      <c r="O4" s="96" t="inlineStr">
        <is>
          <t>BKK</t>
        </is>
      </c>
      <c r="P4" s="96" t="inlineStr">
        <is>
          <t>TH</t>
        </is>
      </c>
      <c r="Q4" s="96" t="inlineStr">
        <is>
          <t>HASLS22260902182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KHS</t>
        </is>
      </c>
      <c r="U4" s="97" t="n"/>
      <c r="V4" s="96" t="inlineStr">
        <is>
          <t>SHA17L10</t>
        </is>
      </c>
      <c r="W4" s="96" t="inlineStr">
        <is>
          <t>BIRLA CARBON (THAILAND) PUBLIC</t>
        </is>
      </c>
      <c r="X4" s="96" t="inlineStr">
        <is>
          <t>VFD</t>
        </is>
      </c>
      <c r="Y4" s="96" t="inlineStr">
        <is>
          <t>CART TIRE CO., LTD</t>
        </is>
      </c>
      <c r="Z4" s="96" t="inlineStr">
        <is>
          <t>NTL GROUP CO.,LTD</t>
        </is>
      </c>
      <c r="AA4" s="97" t="n">
        <v>22308</v>
      </c>
      <c r="AB4" s="96" t="inlineStr">
        <is>
          <t>BKK01</t>
        </is>
      </c>
      <c r="AC4" s="96" t="inlineStr">
        <is>
          <t>SGN03</t>
        </is>
      </c>
    </row>
    <row r="5" ht="12" customHeight="1">
      <c r="A5" s="96" t="inlineStr">
        <is>
          <t>HALU2031228</t>
        </is>
      </c>
      <c r="B5" s="161" t="inlineStr">
        <is>
          <t>2026-10-16</t>
        </is>
      </c>
      <c r="C5" s="96" t="inlineStr">
        <is>
          <t>SWIC</t>
        </is>
      </c>
      <c r="D5" s="96" t="inlineStr">
        <is>
          <t>2611N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THBKK</t>
        </is>
      </c>
      <c r="H5" s="96" t="inlineStr">
        <is>
          <t>THBKK</t>
        </is>
      </c>
      <c r="I5" s="96" t="inlineStr">
        <is>
          <t>KRPUS</t>
        </is>
      </c>
      <c r="J5" s="96" t="inlineStr">
        <is>
          <t>RUVVO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BKK01</t>
        </is>
      </c>
      <c r="O5" s="96" t="inlineStr">
        <is>
          <t>BKK</t>
        </is>
      </c>
      <c r="P5" s="96" t="inlineStr">
        <is>
          <t>TH</t>
        </is>
      </c>
      <c r="Q5" s="96" t="inlineStr">
        <is>
          <t>HASLS22260901933</t>
        </is>
      </c>
      <c r="R5" s="96" t="inlineStr">
        <is>
          <t>Y</t>
        </is>
      </c>
      <c r="S5" s="96" t="inlineStr">
        <is>
          <t>N</t>
        </is>
      </c>
      <c r="T5" s="96" t="inlineStr">
        <is>
          <t>KHS</t>
        </is>
      </c>
      <c r="U5" s="97" t="n"/>
      <c r="V5" s="96" t="inlineStr">
        <is>
          <t>TXG14011</t>
        </is>
      </c>
      <c r="W5" s="96" t="inlineStr">
        <is>
          <t>THAI AGRI FOODS PUBLIC COMPANY</t>
        </is>
      </c>
      <c r="X5" s="96" t="inlineStr">
        <is>
          <t>VFD</t>
        </is>
      </c>
      <c r="Y5" s="96" t="inlineStr">
        <is>
          <t>EXIM PACIFIC LLC. RUSSIA,</t>
        </is>
      </c>
      <c r="Z5" s="96" t="inlineStr">
        <is>
          <t>EXIM PACIFIC LLC. RUSSIA,</t>
        </is>
      </c>
      <c r="AA5" s="97" t="n">
        <v>19814.5</v>
      </c>
      <c r="AB5" s="96" t="inlineStr">
        <is>
          <t>BKK01</t>
        </is>
      </c>
      <c r="AC5" s="96" t="inlineStr">
        <is>
          <t>VVO01</t>
        </is>
      </c>
    </row>
    <row r="6" ht="12" customHeight="1">
      <c r="A6" s="96" t="inlineStr">
        <is>
          <t>BEAU2862260</t>
        </is>
      </c>
      <c r="B6" s="161" t="inlineStr">
        <is>
          <t>2026-10-16</t>
        </is>
      </c>
      <c r="C6" s="96" t="inlineStr">
        <is>
          <t>SWIC</t>
        </is>
      </c>
      <c r="D6" s="96" t="inlineStr">
        <is>
          <t>2611N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THBKK</t>
        </is>
      </c>
      <c r="H6" s="96" t="inlineStr">
        <is>
          <t>THBKK</t>
        </is>
      </c>
      <c r="I6" s="96" t="inlineStr">
        <is>
          <t>KRPUS</t>
        </is>
      </c>
      <c r="J6" s="96" t="inlineStr">
        <is>
          <t>JPSEN</t>
        </is>
      </c>
      <c r="K6" s="96" t="inlineStr">
        <is>
          <t>F</t>
        </is>
      </c>
      <c r="L6" s="96" t="inlineStr">
        <is>
          <t>L/T</t>
        </is>
      </c>
      <c r="M6" s="96" t="inlineStr">
        <is>
          <t>VFL</t>
        </is>
      </c>
      <c r="N6" s="96" t="inlineStr">
        <is>
          <t>BKK01</t>
        </is>
      </c>
      <c r="O6" s="96" t="inlineStr">
        <is>
          <t>BKK</t>
        </is>
      </c>
      <c r="P6" s="96" t="inlineStr">
        <is>
          <t>TH</t>
        </is>
      </c>
      <c r="Q6" s="96" t="inlineStr">
        <is>
          <t>HASLS22260801865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KHS</t>
        </is>
      </c>
      <c r="U6" s="97" t="n"/>
      <c r="V6" s="96" t="inlineStr">
        <is>
          <t>TSN16L10</t>
        </is>
      </c>
      <c r="W6" s="96" t="inlineStr">
        <is>
          <t>STARFISH CO.,LTD</t>
        </is>
      </c>
      <c r="X6" s="96" t="inlineStr">
        <is>
          <t>VFD</t>
        </is>
      </c>
      <c r="Y6" s="96" t="inlineStr">
        <is>
          <t>TO ORDER OF NISSUI CORPORATION.</t>
        </is>
      </c>
      <c r="Z6" s="96" t="inlineStr">
        <is>
          <t>NISSUI CORPORATION.</t>
        </is>
      </c>
      <c r="AA6" s="97" t="n">
        <v>20056</v>
      </c>
      <c r="AB6" s="96" t="inlineStr">
        <is>
          <t>BKK01</t>
        </is>
      </c>
      <c r="AC6" s="96" t="inlineStr">
        <is>
          <t>SEN01</t>
        </is>
      </c>
    </row>
    <row r="7" ht="12" customHeight="1">
      <c r="A7" s="96" t="inlineStr">
        <is>
          <t>BEAU2860246</t>
        </is>
      </c>
      <c r="B7" s="161" t="inlineStr">
        <is>
          <t>2026-10-16</t>
        </is>
      </c>
      <c r="C7" s="96" t="inlineStr">
        <is>
          <t>SWIC</t>
        </is>
      </c>
      <c r="D7" s="96" t="inlineStr">
        <is>
          <t>2611N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THBKK</t>
        </is>
      </c>
      <c r="H7" s="96" t="inlineStr">
        <is>
          <t>THBKK</t>
        </is>
      </c>
      <c r="I7" s="96" t="inlineStr">
        <is>
          <t>KRPUS</t>
        </is>
      </c>
      <c r="J7" s="96" t="inlineStr">
        <is>
          <t>JPKSM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BKK01</t>
        </is>
      </c>
      <c r="O7" s="96" t="inlineStr">
        <is>
          <t>BKK</t>
        </is>
      </c>
      <c r="P7" s="96" t="inlineStr">
        <is>
          <t>TH</t>
        </is>
      </c>
      <c r="Q7" s="96" t="inlineStr">
        <is>
          <t>HASLS22260801161</t>
        </is>
      </c>
      <c r="R7" s="96" t="inlineStr">
        <is>
          <t>Y</t>
        </is>
      </c>
      <c r="S7" s="96" t="inlineStr">
        <is>
          <t>N</t>
        </is>
      </c>
      <c r="T7" s="96" t="inlineStr">
        <is>
          <t>KHS</t>
        </is>
      </c>
      <c r="U7" s="97" t="n"/>
      <c r="V7" s="96" t="inlineStr">
        <is>
          <t>TSN16L10</t>
        </is>
      </c>
      <c r="W7" s="96" t="inlineStr">
        <is>
          <t>FISHMEAL MARKETING DEVELOPMENT</t>
        </is>
      </c>
      <c r="X7" s="96" t="inlineStr">
        <is>
          <t>VFD</t>
        </is>
      </c>
      <c r="Y7" s="96" t="inlineStr">
        <is>
          <t>SANSHO CO., LTD.</t>
        </is>
      </c>
      <c r="Z7" s="96" t="inlineStr">
        <is>
          <t>SANSHO CO., LTD.</t>
        </is>
      </c>
      <c r="AA7" s="97" t="n">
        <v>20040</v>
      </c>
      <c r="AB7" s="96" t="inlineStr">
        <is>
          <t>BKK01</t>
        </is>
      </c>
      <c r="AC7" s="96" t="inlineStr">
        <is>
          <t>KSM01</t>
        </is>
      </c>
    </row>
    <row r="8" ht="12" customHeight="1">
      <c r="A8" s="96" t="inlineStr">
        <is>
          <t>HALU2085332</t>
        </is>
      </c>
      <c r="B8" s="161" t="inlineStr">
        <is>
          <t>2026-10-16</t>
        </is>
      </c>
      <c r="C8" s="96" t="inlineStr">
        <is>
          <t>SWIC</t>
        </is>
      </c>
      <c r="D8" s="96" t="inlineStr">
        <is>
          <t>2611N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THBKK</t>
        </is>
      </c>
      <c r="H8" s="96" t="inlineStr">
        <is>
          <t>THBKK</t>
        </is>
      </c>
      <c r="I8" s="96" t="inlineStr">
        <is>
          <t>KRPUS</t>
        </is>
      </c>
      <c r="J8" s="96" t="inlineStr">
        <is>
          <t>JPKSM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BKK01</t>
        </is>
      </c>
      <c r="O8" s="96" t="inlineStr">
        <is>
          <t>BKK</t>
        </is>
      </c>
      <c r="P8" s="96" t="inlineStr">
        <is>
          <t>TH</t>
        </is>
      </c>
      <c r="Q8" s="96" t="inlineStr">
        <is>
          <t>HASLS22260801161</t>
        </is>
      </c>
      <c r="R8" s="96" t="inlineStr">
        <is>
          <t>Y</t>
        </is>
      </c>
      <c r="S8" s="96" t="inlineStr">
        <is>
          <t>N</t>
        </is>
      </c>
      <c r="T8" s="96" t="inlineStr">
        <is>
          <t>KHS</t>
        </is>
      </c>
      <c r="U8" s="97" t="n"/>
      <c r="V8" s="96" t="inlineStr">
        <is>
          <t>TXG15011</t>
        </is>
      </c>
      <c r="W8" s="96" t="inlineStr">
        <is>
          <t>FISHMEAL MARKETING DEVELOPMENT</t>
        </is>
      </c>
      <c r="X8" s="96" t="inlineStr">
        <is>
          <t>VFD</t>
        </is>
      </c>
      <c r="Y8" s="96" t="inlineStr">
        <is>
          <t>SANSHO CO., LTD.</t>
        </is>
      </c>
      <c r="Z8" s="96" t="inlineStr">
        <is>
          <t>SANSHO CO., LTD.</t>
        </is>
      </c>
      <c r="AA8" s="97" t="n">
        <v>20040</v>
      </c>
      <c r="AB8" s="96" t="inlineStr">
        <is>
          <t>BKK01</t>
        </is>
      </c>
      <c r="AC8" s="96" t="inlineStr">
        <is>
          <t>KSM01</t>
        </is>
      </c>
    </row>
    <row r="9" ht="12" customHeight="1">
      <c r="A9" s="96" t="inlineStr">
        <is>
          <t>SEGU4886149</t>
        </is>
      </c>
      <c r="B9" s="161" t="inlineStr">
        <is>
          <t>2026-10-16</t>
        </is>
      </c>
      <c r="C9" s="96" t="inlineStr">
        <is>
          <t>SWIC</t>
        </is>
      </c>
      <c r="D9" s="96" t="inlineStr">
        <is>
          <t>2611N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THBKK</t>
        </is>
      </c>
      <c r="H9" s="96" t="inlineStr">
        <is>
          <t>THBKK</t>
        </is>
      </c>
      <c r="I9" s="96" t="inlineStr">
        <is>
          <t>VNSGN</t>
        </is>
      </c>
      <c r="J9" s="96" t="inlineStr">
        <is>
          <t>VNSGN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BKK01</t>
        </is>
      </c>
      <c r="O9" s="96" t="inlineStr">
        <is>
          <t>BKK</t>
        </is>
      </c>
      <c r="P9" s="96" t="inlineStr">
        <is>
          <t>TH</t>
        </is>
      </c>
      <c r="Q9" s="96" t="inlineStr">
        <is>
          <t>HASLS22261000742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KHS</t>
        </is>
      </c>
      <c r="U9" s="97" t="n"/>
      <c r="V9" s="96" t="inlineStr">
        <is>
          <t>K0120023</t>
        </is>
      </c>
      <c r="W9" s="96" t="inlineStr">
        <is>
          <t>AIR FIRST ONE LOGISTICS CO.,LTD.</t>
        </is>
      </c>
      <c r="X9" s="96" t="inlineStr">
        <is>
          <t>VFD</t>
        </is>
      </c>
      <c r="Y9" s="96" t="inlineStr">
        <is>
          <t>HN GLOBAL LOGISTICS CO.,LTD.</t>
        </is>
      </c>
      <c r="Z9" s="96" t="inlineStr">
        <is>
          <t>HN GLOBAL LOGISTICS CO.,LTD.</t>
        </is>
      </c>
      <c r="AA9" s="97" t="n">
        <v>5723.1</v>
      </c>
      <c r="AB9" s="96" t="inlineStr">
        <is>
          <t>BKK01</t>
        </is>
      </c>
      <c r="AC9" s="96" t="inlineStr">
        <is>
          <t>SGN03</t>
        </is>
      </c>
    </row>
    <row r="10" ht="12" customHeight="1">
      <c r="A10" s="96" t="inlineStr">
        <is>
          <t>SKHU6438699</t>
        </is>
      </c>
      <c r="B10" s="161" t="inlineStr">
        <is>
          <t>2026-10-16</t>
        </is>
      </c>
      <c r="C10" s="96" t="inlineStr">
        <is>
          <t>SWIC</t>
        </is>
      </c>
      <c r="D10" s="96" t="inlineStr">
        <is>
          <t>2611N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THBKK</t>
        </is>
      </c>
      <c r="H10" s="96" t="inlineStr">
        <is>
          <t>THBKK</t>
        </is>
      </c>
      <c r="I10" s="96" t="inlineStr">
        <is>
          <t>KRPUS</t>
        </is>
      </c>
      <c r="J10" s="96" t="inlineStr">
        <is>
          <t>JPIMI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BKK01</t>
        </is>
      </c>
      <c r="O10" s="96" t="inlineStr">
        <is>
          <t>BKK</t>
        </is>
      </c>
      <c r="P10" s="96" t="inlineStr">
        <is>
          <t>TH</t>
        </is>
      </c>
      <c r="Q10" s="96" t="inlineStr">
        <is>
          <t>HASLS22260901303</t>
        </is>
      </c>
      <c r="R10" s="96" t="inlineStr">
        <is>
          <t>Y</t>
        </is>
      </c>
      <c r="S10" s="96" t="inlineStr">
        <is>
          <t>N</t>
        </is>
      </c>
      <c r="T10" s="96" t="inlineStr">
        <is>
          <t>KHS</t>
        </is>
      </c>
      <c r="U10" s="97" t="n"/>
      <c r="V10" s="96" t="inlineStr">
        <is>
          <t>K0120023</t>
        </is>
      </c>
      <c r="W10" s="96" t="inlineStr">
        <is>
          <t>WOODWORKS THAI CO.,LTD.(1980)</t>
        </is>
      </c>
      <c r="X10" s="96" t="inlineStr">
        <is>
          <t>VFD</t>
        </is>
      </c>
      <c r="Y10" s="96" t="inlineStr">
        <is>
          <t>DAISHO SANGYO CORPORATION</t>
        </is>
      </c>
      <c r="Z10" s="96" t="inlineStr">
        <is>
          <t>DAISHO SANGYO CORPORATION</t>
        </is>
      </c>
      <c r="AA10" s="97" t="n">
        <v>9935</v>
      </c>
      <c r="AB10" s="96" t="inlineStr">
        <is>
          <t>BKK01</t>
        </is>
      </c>
      <c r="AC10" s="96" t="inlineStr">
        <is>
          <t>IMI01</t>
        </is>
      </c>
    </row>
    <row r="11" ht="12" customHeight="1">
      <c r="A11" s="96" t="inlineStr">
        <is>
          <t>SKHU9635238</t>
        </is>
      </c>
      <c r="B11" s="161" t="inlineStr">
        <is>
          <t>2026-10-16</t>
        </is>
      </c>
      <c r="C11" s="96" t="inlineStr">
        <is>
          <t>SWIC</t>
        </is>
      </c>
      <c r="D11" s="96" t="inlineStr">
        <is>
          <t>2611N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THBKK</t>
        </is>
      </c>
      <c r="H11" s="96" t="inlineStr">
        <is>
          <t>THBKK</t>
        </is>
      </c>
      <c r="I11" s="96" t="inlineStr">
        <is>
          <t>VNSGN</t>
        </is>
      </c>
      <c r="J11" s="96" t="inlineStr">
        <is>
          <t>VNSGN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BKK01</t>
        </is>
      </c>
      <c r="O11" s="96" t="inlineStr">
        <is>
          <t>BKK</t>
        </is>
      </c>
      <c r="P11" s="96" t="inlineStr">
        <is>
          <t>TH</t>
        </is>
      </c>
      <c r="Q11" s="96" t="inlineStr">
        <is>
          <t>HASLS22260902223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KHS</t>
        </is>
      </c>
      <c r="U11" s="97" t="n"/>
      <c r="V11" s="96" t="inlineStr">
        <is>
          <t>K0120023</t>
        </is>
      </c>
      <c r="W11" s="96" t="inlineStr">
        <is>
          <t>CAPRICORN LOGISTICS CO.,LTD.</t>
        </is>
      </c>
      <c r="X11" s="96" t="inlineStr">
        <is>
          <t>VFD</t>
        </is>
      </c>
      <c r="Y11" s="96" t="inlineStr">
        <is>
          <t>GIA NGUYEN INT'L LOGISTICS CO., LTD</t>
        </is>
      </c>
      <c r="Z11" s="96" t="inlineStr">
        <is>
          <t>GIA NGUYEN INT'L LOGISTICS CO., LTD</t>
        </is>
      </c>
      <c r="AA11" s="97" t="n">
        <v>5270.53</v>
      </c>
      <c r="AB11" s="96" t="inlineStr">
        <is>
          <t>BKK01</t>
        </is>
      </c>
      <c r="AC11" s="96" t="inlineStr">
        <is>
          <t>SGN03</t>
        </is>
      </c>
    </row>
    <row r="12" ht="12" customHeight="1">
      <c r="A12" s="96" t="inlineStr">
        <is>
          <t>SKHU6429866</t>
        </is>
      </c>
      <c r="B12" s="161" t="inlineStr">
        <is>
          <t>2026-10-16</t>
        </is>
      </c>
      <c r="C12" s="96" t="inlineStr">
        <is>
          <t>SWIC</t>
        </is>
      </c>
      <c r="D12" s="96" t="inlineStr">
        <is>
          <t>2611N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THBKK</t>
        </is>
      </c>
      <c r="H12" s="96" t="inlineStr">
        <is>
          <t>THBKK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BKK01</t>
        </is>
      </c>
      <c r="O12" s="96" t="inlineStr">
        <is>
          <t>BKK</t>
        </is>
      </c>
      <c r="P12" s="96" t="inlineStr">
        <is>
          <t>TH</t>
        </is>
      </c>
      <c r="Q12" s="96" t="inlineStr">
        <is>
          <t>HASLS22260902182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KHS</t>
        </is>
      </c>
      <c r="U12" s="97" t="n"/>
      <c r="V12" s="96" t="inlineStr">
        <is>
          <t>K0120023</t>
        </is>
      </c>
      <c r="W12" s="96" t="inlineStr">
        <is>
          <t>BIRLA CARBON (THAILAND) PUBLIC</t>
        </is>
      </c>
      <c r="X12" s="96" t="inlineStr">
        <is>
          <t>VFD</t>
        </is>
      </c>
      <c r="Y12" s="96" t="inlineStr">
        <is>
          <t>CART TIRE CO., LTD</t>
        </is>
      </c>
      <c r="Z12" s="96" t="inlineStr">
        <is>
          <t>NTL GROUP CO.,LTD</t>
        </is>
      </c>
      <c r="AA12" s="97" t="n">
        <v>22308</v>
      </c>
      <c r="AB12" s="96" t="inlineStr">
        <is>
          <t>BKK01</t>
        </is>
      </c>
      <c r="AC12" s="96" t="inlineStr">
        <is>
          <t>SGN03</t>
        </is>
      </c>
    </row>
    <row r="13" ht="12" customHeight="1">
      <c r="A13" s="96" t="inlineStr">
        <is>
          <t>SKHU6462988</t>
        </is>
      </c>
      <c r="B13" s="161" t="inlineStr">
        <is>
          <t>2026-10-16</t>
        </is>
      </c>
      <c r="C13" s="96" t="inlineStr">
        <is>
          <t>SWIC</t>
        </is>
      </c>
      <c r="D13" s="96" t="inlineStr">
        <is>
          <t>2611N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THBKK</t>
        </is>
      </c>
      <c r="H13" s="96" t="inlineStr">
        <is>
          <t>THBKK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BKK01</t>
        </is>
      </c>
      <c r="O13" s="96" t="inlineStr">
        <is>
          <t>BKK</t>
        </is>
      </c>
      <c r="P13" s="96" t="inlineStr">
        <is>
          <t>TH</t>
        </is>
      </c>
      <c r="Q13" s="96" t="inlineStr">
        <is>
          <t>HASLS22260902182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KHS</t>
        </is>
      </c>
      <c r="U13" s="97" t="n"/>
      <c r="V13" s="96" t="inlineStr">
        <is>
          <t>K0120023</t>
        </is>
      </c>
      <c r="W13" s="96" t="inlineStr">
        <is>
          <t>BIRLA CARBON (THAILAND) PUBLIC</t>
        </is>
      </c>
      <c r="X13" s="96" t="inlineStr">
        <is>
          <t>VFD</t>
        </is>
      </c>
      <c r="Y13" s="96" t="inlineStr">
        <is>
          <t>CART TIRE CO., LTD</t>
        </is>
      </c>
      <c r="Z13" s="96" t="inlineStr">
        <is>
          <t>NTL GROUP CO.,LTD</t>
        </is>
      </c>
      <c r="AA13" s="97" t="n">
        <v>22308</v>
      </c>
      <c r="AB13" s="96" t="inlineStr">
        <is>
          <t>BKK01</t>
        </is>
      </c>
      <c r="AC13" s="96" t="inlineStr">
        <is>
          <t>SGN03</t>
        </is>
      </c>
    </row>
    <row r="14" ht="12" customHeight="1">
      <c r="A14" s="96" t="inlineStr">
        <is>
          <t>SKHU6514844</t>
        </is>
      </c>
      <c r="B14" s="161" t="inlineStr">
        <is>
          <t>2026-10-16</t>
        </is>
      </c>
      <c r="C14" s="96" t="inlineStr">
        <is>
          <t>SWIC</t>
        </is>
      </c>
      <c r="D14" s="96" t="inlineStr">
        <is>
          <t>2611N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THBKK</t>
        </is>
      </c>
      <c r="H14" s="96" t="inlineStr">
        <is>
          <t>THBKK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BKK01</t>
        </is>
      </c>
      <c r="O14" s="96" t="inlineStr">
        <is>
          <t>BKK</t>
        </is>
      </c>
      <c r="P14" s="96" t="inlineStr">
        <is>
          <t>TH</t>
        </is>
      </c>
      <c r="Q14" s="96" t="inlineStr">
        <is>
          <t>HASLS22260902182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KHS</t>
        </is>
      </c>
      <c r="U14" s="97" t="n"/>
      <c r="V14" s="96" t="inlineStr">
        <is>
          <t>K0120023</t>
        </is>
      </c>
      <c r="W14" s="96" t="inlineStr">
        <is>
          <t>BIRLA CARBON (THAILAND) PUBLIC</t>
        </is>
      </c>
      <c r="X14" s="96" t="inlineStr">
        <is>
          <t>VFD</t>
        </is>
      </c>
      <c r="Y14" s="96" t="inlineStr">
        <is>
          <t>CART TIRE CO., LTD</t>
        </is>
      </c>
      <c r="Z14" s="96" t="inlineStr">
        <is>
          <t>NTL GROUP CO.,LTD</t>
        </is>
      </c>
      <c r="AA14" s="97" t="n">
        <v>22308</v>
      </c>
      <c r="AB14" s="96" t="inlineStr">
        <is>
          <t>BKK01</t>
        </is>
      </c>
      <c r="AC14" s="96" t="inlineStr">
        <is>
          <t>SGN03</t>
        </is>
      </c>
    </row>
    <row r="15" ht="12" customHeight="1">
      <c r="A15" s="96" t="inlineStr">
        <is>
          <t>SKHU8918275</t>
        </is>
      </c>
      <c r="B15" s="161" t="inlineStr">
        <is>
          <t>2026-10-16</t>
        </is>
      </c>
      <c r="C15" s="96" t="inlineStr">
        <is>
          <t>SWIC</t>
        </is>
      </c>
      <c r="D15" s="96" t="inlineStr">
        <is>
          <t>2611N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THBKK</t>
        </is>
      </c>
      <c r="H15" s="96" t="inlineStr">
        <is>
          <t>THBKK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BKK01</t>
        </is>
      </c>
      <c r="O15" s="96" t="inlineStr">
        <is>
          <t>BKK</t>
        </is>
      </c>
      <c r="P15" s="96" t="inlineStr">
        <is>
          <t>TH</t>
        </is>
      </c>
      <c r="Q15" s="96" t="inlineStr">
        <is>
          <t>HASLS22260902182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KHS</t>
        </is>
      </c>
      <c r="U15" s="97" t="n"/>
      <c r="V15" s="96" t="inlineStr">
        <is>
          <t>K0120023</t>
        </is>
      </c>
      <c r="W15" s="96" t="inlineStr">
        <is>
          <t>BIRLA CARBON (THAILAND) PUBLIC</t>
        </is>
      </c>
      <c r="X15" s="96" t="inlineStr">
        <is>
          <t>VFD</t>
        </is>
      </c>
      <c r="Y15" s="96" t="inlineStr">
        <is>
          <t>CART TIRE CO., LTD</t>
        </is>
      </c>
      <c r="Z15" s="96" t="inlineStr">
        <is>
          <t>NTL GROUP CO.,LTD</t>
        </is>
      </c>
      <c r="AA15" s="97" t="n">
        <v>22308</v>
      </c>
      <c r="AB15" s="96" t="inlineStr">
        <is>
          <t>BKK01</t>
        </is>
      </c>
      <c r="AC15" s="96" t="inlineStr">
        <is>
          <t>SGN03</t>
        </is>
      </c>
    </row>
    <row r="16" ht="12" customHeight="1">
      <c r="A16" s="96" t="inlineStr">
        <is>
          <t>SKHU9554809</t>
        </is>
      </c>
      <c r="B16" s="161" t="inlineStr">
        <is>
          <t>2026-10-16</t>
        </is>
      </c>
      <c r="C16" s="96" t="inlineStr">
        <is>
          <t>SWIC</t>
        </is>
      </c>
      <c r="D16" s="96" t="inlineStr">
        <is>
          <t>2611N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THBKK</t>
        </is>
      </c>
      <c r="H16" s="96" t="inlineStr">
        <is>
          <t>THBKK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BKK01</t>
        </is>
      </c>
      <c r="O16" s="96" t="inlineStr">
        <is>
          <t>BKK</t>
        </is>
      </c>
      <c r="P16" s="96" t="inlineStr">
        <is>
          <t>TH</t>
        </is>
      </c>
      <c r="Q16" s="96" t="inlineStr">
        <is>
          <t>HASLS22260902182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KHS</t>
        </is>
      </c>
      <c r="U16" s="97" t="n"/>
      <c r="V16" s="96" t="inlineStr">
        <is>
          <t>K0120023</t>
        </is>
      </c>
      <c r="W16" s="96" t="inlineStr">
        <is>
          <t>BIRLA CARBON (THAILAND) PUBLIC</t>
        </is>
      </c>
      <c r="X16" s="96" t="inlineStr">
        <is>
          <t>VFD</t>
        </is>
      </c>
      <c r="Y16" s="96" t="inlineStr">
        <is>
          <t>CART TIRE CO., LTD</t>
        </is>
      </c>
      <c r="Z16" s="96" t="inlineStr">
        <is>
          <t>NTL GROUP CO.,LTD</t>
        </is>
      </c>
      <c r="AA16" s="97" t="n">
        <v>22308</v>
      </c>
      <c r="AB16" s="96" t="inlineStr">
        <is>
          <t>BKK01</t>
        </is>
      </c>
      <c r="AC16" s="96" t="inlineStr">
        <is>
          <t>SGN03</t>
        </is>
      </c>
    </row>
    <row r="17" ht="12" customHeight="1">
      <c r="A17" s="96" t="inlineStr">
        <is>
          <t>SKHU9623216</t>
        </is>
      </c>
      <c r="B17" s="161" t="inlineStr">
        <is>
          <t>2026-10-16</t>
        </is>
      </c>
      <c r="C17" s="96" t="inlineStr">
        <is>
          <t>SWIC</t>
        </is>
      </c>
      <c r="D17" s="96" t="inlineStr">
        <is>
          <t>2611N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THBKK</t>
        </is>
      </c>
      <c r="H17" s="96" t="inlineStr">
        <is>
          <t>THBKK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BKK01</t>
        </is>
      </c>
      <c r="O17" s="96" t="inlineStr">
        <is>
          <t>BKK</t>
        </is>
      </c>
      <c r="P17" s="96" t="inlineStr">
        <is>
          <t>TH</t>
        </is>
      </c>
      <c r="Q17" s="96" t="inlineStr">
        <is>
          <t>HASLS22260902182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KHS</t>
        </is>
      </c>
      <c r="U17" s="97" t="n"/>
      <c r="V17" s="96" t="inlineStr">
        <is>
          <t>K0120023</t>
        </is>
      </c>
      <c r="W17" s="96" t="inlineStr">
        <is>
          <t>BIRLA CARBON (THAILAND) PUBLIC</t>
        </is>
      </c>
      <c r="X17" s="96" t="inlineStr">
        <is>
          <t>VFD</t>
        </is>
      </c>
      <c r="Y17" s="96" t="inlineStr">
        <is>
          <t>CART TIRE CO., LTD</t>
        </is>
      </c>
      <c r="Z17" s="96" t="inlineStr">
        <is>
          <t>NTL GROUP CO.,LTD</t>
        </is>
      </c>
      <c r="AA17" s="97" t="n">
        <v>22308</v>
      </c>
      <c r="AB17" s="96" t="inlineStr">
        <is>
          <t>BKK01</t>
        </is>
      </c>
      <c r="AC17" s="96" t="inlineStr">
        <is>
          <t>SGN03</t>
        </is>
      </c>
    </row>
    <row r="18" ht="12" customHeight="1">
      <c r="A18" s="96" t="inlineStr">
        <is>
          <t>SKHU9501711</t>
        </is>
      </c>
      <c r="B18" s="161" t="inlineStr">
        <is>
          <t>2026-10-16</t>
        </is>
      </c>
      <c r="C18" s="96" t="inlineStr">
        <is>
          <t>SWIC</t>
        </is>
      </c>
      <c r="D18" s="96" t="inlineStr">
        <is>
          <t>2611N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THBKK</t>
        </is>
      </c>
      <c r="H18" s="96" t="inlineStr">
        <is>
          <t>THBKK</t>
        </is>
      </c>
      <c r="I18" s="96" t="inlineStr">
        <is>
          <t>VNSGN</t>
        </is>
      </c>
      <c r="J18" s="96" t="inlineStr">
        <is>
          <t>VNSGN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BKK01</t>
        </is>
      </c>
      <c r="O18" s="96" t="inlineStr">
        <is>
          <t>BKK</t>
        </is>
      </c>
      <c r="P18" s="96" t="inlineStr">
        <is>
          <t>TH</t>
        </is>
      </c>
      <c r="Q18" s="96" t="inlineStr">
        <is>
          <t>HASLS22260901365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KHS</t>
        </is>
      </c>
      <c r="U18" s="97" t="n"/>
      <c r="V18" s="96" t="inlineStr">
        <is>
          <t>K0120023</t>
        </is>
      </c>
      <c r="W18" s="96" t="inlineStr">
        <is>
          <t>LOTUS FREIGHT AND SERVICES CORP.,</t>
        </is>
      </c>
      <c r="X18" s="96" t="inlineStr">
        <is>
          <t>VFD</t>
        </is>
      </c>
      <c r="Y18" s="96" t="inlineStr">
        <is>
          <t>TP GLOBAL LOGISTICS</t>
        </is>
      </c>
      <c r="Z18" s="96" t="inlineStr">
        <is>
          <t>TP GLOBAL LOGISTICS</t>
        </is>
      </c>
      <c r="AA18" s="97" t="n">
        <v>18275</v>
      </c>
      <c r="AB18" s="96" t="inlineStr">
        <is>
          <t>BKK01</t>
        </is>
      </c>
      <c r="AC18" s="96" t="inlineStr">
        <is>
          <t>SGN03</t>
        </is>
      </c>
    </row>
    <row r="19" ht="12" customHeight="1">
      <c r="A19" s="96" t="inlineStr">
        <is>
          <t>SKHU9509008</t>
        </is>
      </c>
      <c r="B19" s="161" t="inlineStr">
        <is>
          <t>2026-10-16</t>
        </is>
      </c>
      <c r="C19" s="96" t="inlineStr">
        <is>
          <t>SWIC</t>
        </is>
      </c>
      <c r="D19" s="96" t="inlineStr">
        <is>
          <t>2611N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THBKK</t>
        </is>
      </c>
      <c r="H19" s="96" t="inlineStr">
        <is>
          <t>THBKK</t>
        </is>
      </c>
      <c r="I19" s="96" t="inlineStr">
        <is>
          <t>VNSGN</t>
        </is>
      </c>
      <c r="J19" s="96" t="inlineStr">
        <is>
          <t>VNSGN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BKK01</t>
        </is>
      </c>
      <c r="O19" s="96" t="inlineStr">
        <is>
          <t>BKK</t>
        </is>
      </c>
      <c r="P19" s="96" t="inlineStr">
        <is>
          <t>TH</t>
        </is>
      </c>
      <c r="Q19" s="96" t="inlineStr">
        <is>
          <t>HASLS22260901365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KHS</t>
        </is>
      </c>
      <c r="U19" s="97" t="n"/>
      <c r="V19" s="96" t="inlineStr">
        <is>
          <t>K0120023</t>
        </is>
      </c>
      <c r="W19" s="96" t="inlineStr">
        <is>
          <t>LOTUS FREIGHT AND SERVICES CORP.,</t>
        </is>
      </c>
      <c r="X19" s="96" t="inlineStr">
        <is>
          <t>VFD</t>
        </is>
      </c>
      <c r="Y19" s="96" t="inlineStr">
        <is>
          <t>TP GLOBAL LOGISTICS</t>
        </is>
      </c>
      <c r="Z19" s="96" t="inlineStr">
        <is>
          <t>TP GLOBAL LOGISTICS</t>
        </is>
      </c>
      <c r="AA19" s="97" t="n">
        <v>17885</v>
      </c>
      <c r="AB19" s="96" t="inlineStr">
        <is>
          <t>BKK01</t>
        </is>
      </c>
      <c r="AC19" s="96" t="inlineStr">
        <is>
          <t>SGN03</t>
        </is>
      </c>
    </row>
    <row r="20" ht="12" customHeight="1">
      <c r="A20" s="96" t="inlineStr">
        <is>
          <t>SKHU9813026</t>
        </is>
      </c>
      <c r="B20" s="161" t="inlineStr">
        <is>
          <t>2026-10-16</t>
        </is>
      </c>
      <c r="C20" s="96" t="inlineStr">
        <is>
          <t>SWIC</t>
        </is>
      </c>
      <c r="D20" s="96" t="inlineStr">
        <is>
          <t>2611N</t>
        </is>
      </c>
      <c r="E20" s="96" t="inlineStr">
        <is>
          <t>45GP</t>
        </is>
      </c>
      <c r="F20" s="96" t="inlineStr">
        <is>
          <t>SD</t>
        </is>
      </c>
      <c r="G20" s="96" t="inlineStr">
        <is>
          <t>THBKK</t>
        </is>
      </c>
      <c r="H20" s="96" t="inlineStr">
        <is>
          <t>THBKK</t>
        </is>
      </c>
      <c r="I20" s="96" t="inlineStr">
        <is>
          <t>VNSGN</t>
        </is>
      </c>
      <c r="J20" s="96" t="inlineStr">
        <is>
          <t>VNSGN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BKK01</t>
        </is>
      </c>
      <c r="O20" s="96" t="inlineStr">
        <is>
          <t>BKK</t>
        </is>
      </c>
      <c r="P20" s="96" t="inlineStr">
        <is>
          <t>TH</t>
        </is>
      </c>
      <c r="Q20" s="96" t="inlineStr">
        <is>
          <t>HASLS22260901365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KHS</t>
        </is>
      </c>
      <c r="U20" s="97" t="n"/>
      <c r="V20" s="96" t="inlineStr">
        <is>
          <t>K0120023</t>
        </is>
      </c>
      <c r="W20" s="96" t="inlineStr">
        <is>
          <t>LOTUS FREIGHT AND SERVICES CORP.,</t>
        </is>
      </c>
      <c r="X20" s="96" t="inlineStr">
        <is>
          <t>VFD</t>
        </is>
      </c>
      <c r="Y20" s="96" t="inlineStr">
        <is>
          <t>TP GLOBAL LOGISTICS</t>
        </is>
      </c>
      <c r="Z20" s="96" t="inlineStr">
        <is>
          <t>TP GLOBAL LOGISTICS</t>
        </is>
      </c>
      <c r="AA20" s="97" t="n">
        <v>18575</v>
      </c>
      <c r="AB20" s="96" t="inlineStr">
        <is>
          <t>BKK01</t>
        </is>
      </c>
      <c r="AC20" s="96" t="inlineStr">
        <is>
          <t>SGN03</t>
        </is>
      </c>
    </row>
    <row r="21" ht="12" customHeight="1">
      <c r="A21" s="96" t="inlineStr">
        <is>
          <t>SKHU9908883</t>
        </is>
      </c>
      <c r="B21" s="161" t="inlineStr">
        <is>
          <t>2026-10-16</t>
        </is>
      </c>
      <c r="C21" s="96" t="inlineStr">
        <is>
          <t>SWIC</t>
        </is>
      </c>
      <c r="D21" s="96" t="inlineStr">
        <is>
          <t>2611N</t>
        </is>
      </c>
      <c r="E21" s="96" t="inlineStr">
        <is>
          <t>45GP</t>
        </is>
      </c>
      <c r="F21" s="96" t="inlineStr">
        <is>
          <t>SD</t>
        </is>
      </c>
      <c r="G21" s="96" t="inlineStr">
        <is>
          <t>THBKK</t>
        </is>
      </c>
      <c r="H21" s="96" t="inlineStr">
        <is>
          <t>THBKK</t>
        </is>
      </c>
      <c r="I21" s="96" t="inlineStr">
        <is>
          <t>VNSGN</t>
        </is>
      </c>
      <c r="J21" s="96" t="inlineStr">
        <is>
          <t>VNSGN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BKK01</t>
        </is>
      </c>
      <c r="O21" s="96" t="inlineStr">
        <is>
          <t>BKK</t>
        </is>
      </c>
      <c r="P21" s="96" t="inlineStr">
        <is>
          <t>TH</t>
        </is>
      </c>
      <c r="Q21" s="96" t="inlineStr">
        <is>
          <t>HASLS22260901365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KHS</t>
        </is>
      </c>
      <c r="U21" s="97" t="n"/>
      <c r="V21" s="96" t="inlineStr">
        <is>
          <t>K0120023</t>
        </is>
      </c>
      <c r="W21" s="96" t="inlineStr">
        <is>
          <t>LOTUS FREIGHT AND SERVICES CORP.,</t>
        </is>
      </c>
      <c r="X21" s="96" t="inlineStr">
        <is>
          <t>VFD</t>
        </is>
      </c>
      <c r="Y21" s="96" t="inlineStr">
        <is>
          <t>TP GLOBAL LOGISTICS</t>
        </is>
      </c>
      <c r="Z21" s="96" t="inlineStr">
        <is>
          <t>TP GLOBAL LOGISTICS</t>
        </is>
      </c>
      <c r="AA21" s="97" t="n">
        <v>17435</v>
      </c>
      <c r="AB21" s="96" t="inlineStr">
        <is>
          <t>BKK01</t>
        </is>
      </c>
      <c r="AC21" s="96" t="inlineStr">
        <is>
          <t>SGN03</t>
        </is>
      </c>
    </row>
    <row r="22" ht="12" customHeight="1">
      <c r="A22" s="96" t="inlineStr">
        <is>
          <t>SKHU9311408</t>
        </is>
      </c>
      <c r="B22" s="161" t="inlineStr">
        <is>
          <t>2026-10-16</t>
        </is>
      </c>
      <c r="C22" s="96" t="inlineStr">
        <is>
          <t>SWIC</t>
        </is>
      </c>
      <c r="D22" s="96" t="inlineStr">
        <is>
          <t>2611N</t>
        </is>
      </c>
      <c r="E22" s="96" t="inlineStr">
        <is>
          <t>45GP</t>
        </is>
      </c>
      <c r="F22" s="96" t="inlineStr">
        <is>
          <t>SD</t>
        </is>
      </c>
      <c r="G22" s="96" t="inlineStr">
        <is>
          <t>THBKK</t>
        </is>
      </c>
      <c r="H22" s="96" t="inlineStr">
        <is>
          <t>THBKK</t>
        </is>
      </c>
      <c r="I22" s="96" t="inlineStr">
        <is>
          <t>VNSGN</t>
        </is>
      </c>
      <c r="J22" s="96" t="inlineStr">
        <is>
          <t>VNSGN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BKK01</t>
        </is>
      </c>
      <c r="O22" s="96" t="inlineStr">
        <is>
          <t>BKK</t>
        </is>
      </c>
      <c r="P22" s="96" t="inlineStr">
        <is>
          <t>TH</t>
        </is>
      </c>
      <c r="Q22" s="96" t="inlineStr">
        <is>
          <t>HASLS22260901365</t>
        </is>
      </c>
      <c r="R22" s="96" t="inlineStr">
        <is>
          <t>N</t>
        </is>
      </c>
      <c r="S22" s="96" t="inlineStr">
        <is>
          <t>N</t>
        </is>
      </c>
      <c r="T22" s="96" t="inlineStr">
        <is>
          <t>KHS</t>
        </is>
      </c>
      <c r="U22" s="97" t="n"/>
      <c r="V22" s="96" t="inlineStr">
        <is>
          <t>K0120023</t>
        </is>
      </c>
      <c r="W22" s="96" t="inlineStr">
        <is>
          <t>LOTUS FREIGHT AND SERVICES CORP.,</t>
        </is>
      </c>
      <c r="X22" s="96" t="inlineStr">
        <is>
          <t>VFD</t>
        </is>
      </c>
      <c r="Y22" s="96" t="inlineStr">
        <is>
          <t>TP GLOBAL LOGISTICS</t>
        </is>
      </c>
      <c r="Z22" s="96" t="inlineStr">
        <is>
          <t>TP GLOBAL LOGISTICS</t>
        </is>
      </c>
      <c r="AA22" s="97" t="n">
        <v>17385</v>
      </c>
      <c r="AB22" s="96" t="inlineStr">
        <is>
          <t>BKK01</t>
        </is>
      </c>
      <c r="AC22" s="96" t="inlineStr">
        <is>
          <t>SGN03</t>
        </is>
      </c>
    </row>
    <row r="23" ht="12" customHeight="1">
      <c r="A23" s="96" t="inlineStr">
        <is>
          <t>SKHU6521817</t>
        </is>
      </c>
      <c r="B23" s="161" t="inlineStr">
        <is>
          <t>2026-10-16</t>
        </is>
      </c>
      <c r="C23" s="96" t="inlineStr">
        <is>
          <t>SWIC</t>
        </is>
      </c>
      <c r="D23" s="96" t="inlineStr">
        <is>
          <t>2611N</t>
        </is>
      </c>
      <c r="E23" s="96" t="inlineStr">
        <is>
          <t>45GP</t>
        </is>
      </c>
      <c r="F23" s="96" t="inlineStr">
        <is>
          <t>SD</t>
        </is>
      </c>
      <c r="G23" s="96" t="inlineStr">
        <is>
          <t>THBKK</t>
        </is>
      </c>
      <c r="H23" s="96" t="inlineStr">
        <is>
          <t>THBKK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BKK01</t>
        </is>
      </c>
      <c r="O23" s="96" t="inlineStr">
        <is>
          <t>BKK</t>
        </is>
      </c>
      <c r="P23" s="96" t="inlineStr">
        <is>
          <t>TH</t>
        </is>
      </c>
      <c r="Q23" s="96" t="inlineStr">
        <is>
          <t>HASLS22260902097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KHS</t>
        </is>
      </c>
      <c r="U23" s="97" t="n"/>
      <c r="V23" s="96" t="inlineStr">
        <is>
          <t>K0120023</t>
        </is>
      </c>
      <c r="W23" s="96" t="inlineStr">
        <is>
          <t>QUANTERM LOGISTICS THAILAND</t>
        </is>
      </c>
      <c r="X23" s="96" t="inlineStr">
        <is>
          <t>VFD</t>
        </is>
      </c>
      <c r="Y23" s="96" t="inlineStr">
        <is>
          <t>QUANTERM LOGISTICS  (VIETNAM)</t>
        </is>
      </c>
      <c r="Z23" s="96" t="inlineStr">
        <is>
          <t>QUANTERM LOGISTICS  (VIETNAM)</t>
        </is>
      </c>
      <c r="AA23" s="97" t="n">
        <v>22759.52</v>
      </c>
      <c r="AB23" s="96" t="inlineStr">
        <is>
          <t>BKK01</t>
        </is>
      </c>
      <c r="AC23" s="96" t="inlineStr">
        <is>
          <t>SGN03</t>
        </is>
      </c>
    </row>
    <row r="24" ht="12" customHeight="1">
      <c r="A24" s="96" t="inlineStr">
        <is>
          <t>SKHU6384041</t>
        </is>
      </c>
      <c r="B24" s="161" t="inlineStr">
        <is>
          <t>2026-10-16</t>
        </is>
      </c>
      <c r="C24" s="96" t="inlineStr">
        <is>
          <t>SWIC</t>
        </is>
      </c>
      <c r="D24" s="96" t="inlineStr">
        <is>
          <t>2611N</t>
        </is>
      </c>
      <c r="E24" s="96" t="inlineStr">
        <is>
          <t>45GP</t>
        </is>
      </c>
      <c r="F24" s="96" t="inlineStr">
        <is>
          <t>SD</t>
        </is>
      </c>
      <c r="G24" s="96" t="inlineStr">
        <is>
          <t>THBKK</t>
        </is>
      </c>
      <c r="H24" s="96" t="inlineStr">
        <is>
          <t>THBKK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BKK01</t>
        </is>
      </c>
      <c r="O24" s="96" t="inlineStr">
        <is>
          <t>BKK</t>
        </is>
      </c>
      <c r="P24" s="96" t="inlineStr">
        <is>
          <t>TH</t>
        </is>
      </c>
      <c r="Q24" s="96" t="inlineStr">
        <is>
          <t>HASLS22261000948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KHS</t>
        </is>
      </c>
      <c r="U24" s="97" t="n"/>
      <c r="V24" s="96" t="inlineStr">
        <is>
          <t>K0120023</t>
        </is>
      </c>
      <c r="W24" s="96" t="inlineStr">
        <is>
          <t>BIRLA CARBON (THAILAND) PUBLIC</t>
        </is>
      </c>
      <c r="X24" s="96" t="inlineStr">
        <is>
          <t>VFD</t>
        </is>
      </c>
      <c r="Y24" s="96" t="inlineStr">
        <is>
          <t>SAILUN (VIETNAM) CO.,LTD</t>
        </is>
      </c>
      <c r="Z24" s="96" t="inlineStr">
        <is>
          <t>SAILUN (VIETNAM) CO.,LTD</t>
        </is>
      </c>
      <c r="AA24" s="97" t="n">
        <v>22308</v>
      </c>
      <c r="AB24" s="96" t="inlineStr">
        <is>
          <t>BKK01</t>
        </is>
      </c>
      <c r="AC24" s="96" t="inlineStr">
        <is>
          <t>SGN03</t>
        </is>
      </c>
    </row>
    <row r="25" ht="12" customHeight="1">
      <c r="A25" s="96" t="inlineStr">
        <is>
          <t>SKHU6333173</t>
        </is>
      </c>
      <c r="B25" s="161" t="inlineStr">
        <is>
          <t>2026-10-16</t>
        </is>
      </c>
      <c r="C25" s="96" t="inlineStr">
        <is>
          <t>SWIC</t>
        </is>
      </c>
      <c r="D25" s="96" t="inlineStr">
        <is>
          <t>2611N</t>
        </is>
      </c>
      <c r="E25" s="96" t="inlineStr">
        <is>
          <t>45GP</t>
        </is>
      </c>
      <c r="F25" s="96" t="inlineStr">
        <is>
          <t>SD</t>
        </is>
      </c>
      <c r="G25" s="96" t="inlineStr">
        <is>
          <t>THBKK</t>
        </is>
      </c>
      <c r="H25" s="96" t="inlineStr">
        <is>
          <t>THBKK</t>
        </is>
      </c>
      <c r="I25" s="96" t="inlineStr">
        <is>
          <t>VNSGN</t>
        </is>
      </c>
      <c r="J25" s="96" t="inlineStr">
        <is>
          <t>VNSGN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BKK01</t>
        </is>
      </c>
      <c r="O25" s="96" t="inlineStr">
        <is>
          <t>BKK</t>
        </is>
      </c>
      <c r="P25" s="96" t="inlineStr">
        <is>
          <t>TH</t>
        </is>
      </c>
      <c r="Q25" s="96" t="inlineStr">
        <is>
          <t>HASLS22260901687</t>
        </is>
      </c>
      <c r="R25" s="96" t="inlineStr">
        <is>
          <t>N</t>
        </is>
      </c>
      <c r="S25" s="96" t="inlineStr">
        <is>
          <t>N</t>
        </is>
      </c>
      <c r="T25" s="96" t="inlineStr">
        <is>
          <t>KHS</t>
        </is>
      </c>
      <c r="U25" s="97" t="n"/>
      <c r="V25" s="96" t="inlineStr">
        <is>
          <t>K0120023</t>
        </is>
      </c>
      <c r="W25" s="96" t="inlineStr">
        <is>
          <t>BIRLA CARBON (THAILAND) PUBLIC</t>
        </is>
      </c>
      <c r="X25" s="96" t="inlineStr">
        <is>
          <t>VFD</t>
        </is>
      </c>
      <c r="Y25" s="96" t="inlineStr">
        <is>
          <t>KUMHO TIRE (VIETNAM) CO.,LTD.</t>
        </is>
      </c>
      <c r="Z25" s="96" t="inlineStr">
        <is>
          <t>KUMHO TIRE (VIETNAM) CO.,LTD.</t>
        </is>
      </c>
      <c r="AA25" s="97" t="n">
        <v>20280</v>
      </c>
      <c r="AB25" s="96" t="inlineStr">
        <is>
          <t>BKK01</t>
        </is>
      </c>
      <c r="AC25" s="96" t="inlineStr">
        <is>
          <t>SGN03</t>
        </is>
      </c>
    </row>
    <row r="26" ht="12" customHeight="1">
      <c r="A26" s="96" t="inlineStr">
        <is>
          <t>SKHU6532025</t>
        </is>
      </c>
      <c r="B26" s="161" t="inlineStr">
        <is>
          <t>2026-10-16</t>
        </is>
      </c>
      <c r="C26" s="96" t="inlineStr">
        <is>
          <t>SWIC</t>
        </is>
      </c>
      <c r="D26" s="96" t="inlineStr">
        <is>
          <t>2611N</t>
        </is>
      </c>
      <c r="E26" s="96" t="inlineStr">
        <is>
          <t>45GP</t>
        </is>
      </c>
      <c r="F26" s="96" t="inlineStr">
        <is>
          <t>SD</t>
        </is>
      </c>
      <c r="G26" s="96" t="inlineStr">
        <is>
          <t>THBKK</t>
        </is>
      </c>
      <c r="H26" s="96" t="inlineStr">
        <is>
          <t>THBKK</t>
        </is>
      </c>
      <c r="I26" s="96" t="inlineStr">
        <is>
          <t>VNSGN</t>
        </is>
      </c>
      <c r="J26" s="96" t="inlineStr">
        <is>
          <t>VNSGN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BKK01</t>
        </is>
      </c>
      <c r="O26" s="96" t="inlineStr">
        <is>
          <t>BKK</t>
        </is>
      </c>
      <c r="P26" s="96" t="inlineStr">
        <is>
          <t>TH</t>
        </is>
      </c>
      <c r="Q26" s="96" t="inlineStr">
        <is>
          <t>HASLS22260901687</t>
        </is>
      </c>
      <c r="R26" s="96" t="inlineStr">
        <is>
          <t>N</t>
        </is>
      </c>
      <c r="S26" s="96" t="inlineStr">
        <is>
          <t>N</t>
        </is>
      </c>
      <c r="T26" s="96" t="inlineStr">
        <is>
          <t>KHS</t>
        </is>
      </c>
      <c r="U26" s="97" t="n"/>
      <c r="V26" s="96" t="inlineStr">
        <is>
          <t>K0120023</t>
        </is>
      </c>
      <c r="W26" s="96" t="inlineStr">
        <is>
          <t>BIRLA CARBON (THAILAND) PUBLIC</t>
        </is>
      </c>
      <c r="X26" s="96" t="inlineStr">
        <is>
          <t>VFD</t>
        </is>
      </c>
      <c r="Y26" s="96" t="inlineStr">
        <is>
          <t>KUMHO TIRE (VIETNAM) CO.,LTD.</t>
        </is>
      </c>
      <c r="Z26" s="96" t="inlineStr">
        <is>
          <t>KUMHO TIRE (VIETNAM) CO.,LTD.</t>
        </is>
      </c>
      <c r="AA26" s="97" t="n">
        <v>20280</v>
      </c>
      <c r="AB26" s="96" t="inlineStr">
        <is>
          <t>BKK01</t>
        </is>
      </c>
      <c r="AC26" s="96" t="inlineStr">
        <is>
          <t>SGN03</t>
        </is>
      </c>
    </row>
    <row r="27" ht="12" customHeight="1">
      <c r="A27" s="96" t="inlineStr">
        <is>
          <t>SKHU6567572</t>
        </is>
      </c>
      <c r="B27" s="161" t="inlineStr">
        <is>
          <t>2026-10-16</t>
        </is>
      </c>
      <c r="C27" s="96" t="inlineStr">
        <is>
          <t>SWIC</t>
        </is>
      </c>
      <c r="D27" s="96" t="inlineStr">
        <is>
          <t>2611N</t>
        </is>
      </c>
      <c r="E27" s="96" t="inlineStr">
        <is>
          <t>45GP</t>
        </is>
      </c>
      <c r="F27" s="96" t="inlineStr">
        <is>
          <t>SD</t>
        </is>
      </c>
      <c r="G27" s="96" t="inlineStr">
        <is>
          <t>THBKK</t>
        </is>
      </c>
      <c r="H27" s="96" t="inlineStr">
        <is>
          <t>THBKK</t>
        </is>
      </c>
      <c r="I27" s="96" t="inlineStr">
        <is>
          <t>KRKAN</t>
        </is>
      </c>
      <c r="J27" s="96" t="inlineStr">
        <is>
          <t>KRKAN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BKK01</t>
        </is>
      </c>
      <c r="O27" s="96" t="inlineStr">
        <is>
          <t>BKK</t>
        </is>
      </c>
      <c r="P27" s="96" t="inlineStr">
        <is>
          <t>TH</t>
        </is>
      </c>
      <c r="Q27" s="96" t="inlineStr">
        <is>
          <t>HASLS22260901611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KHS</t>
        </is>
      </c>
      <c r="U27" s="97" t="n"/>
      <c r="V27" s="96" t="inlineStr">
        <is>
          <t>K0120023</t>
        </is>
      </c>
      <c r="W27" s="96" t="inlineStr">
        <is>
          <t>SAWATPAIBOON AGRICULTURE CO.,LTD.</t>
        </is>
      </c>
      <c r="X27" s="96" t="inlineStr">
        <is>
          <t>VFD</t>
        </is>
      </c>
      <c r="Y27" s="96" t="inlineStr">
        <is>
          <t>TO THE ORDER OF KEB HANA BANK</t>
        </is>
      </c>
      <c r="Z27" s="96" t="inlineStr">
        <is>
          <t>WOORIWA CO.,LTD</t>
        </is>
      </c>
      <c r="AA27" s="97" t="n">
        <v>25000</v>
      </c>
      <c r="AB27" s="96" t="inlineStr">
        <is>
          <t>BKK01</t>
        </is>
      </c>
      <c r="AC27" s="96" t="inlineStr">
        <is>
          <t>KAN06</t>
        </is>
      </c>
    </row>
    <row r="28" ht="12" customHeight="1">
      <c r="A28" s="96" t="inlineStr">
        <is>
          <t>SKHU6448547</t>
        </is>
      </c>
      <c r="B28" s="161" t="inlineStr">
        <is>
          <t>2026-10-16</t>
        </is>
      </c>
      <c r="C28" s="96" t="inlineStr">
        <is>
          <t>SWIC</t>
        </is>
      </c>
      <c r="D28" s="96" t="inlineStr">
        <is>
          <t>2611N</t>
        </is>
      </c>
      <c r="E28" s="96" t="inlineStr">
        <is>
          <t>45GP</t>
        </is>
      </c>
      <c r="F28" s="96" t="inlineStr">
        <is>
          <t>SD</t>
        </is>
      </c>
      <c r="G28" s="96" t="inlineStr">
        <is>
          <t>THBKK</t>
        </is>
      </c>
      <c r="H28" s="96" t="inlineStr">
        <is>
          <t>THBKK</t>
        </is>
      </c>
      <c r="I28" s="96" t="inlineStr">
        <is>
          <t>VNSGN</t>
        </is>
      </c>
      <c r="J28" s="96" t="inlineStr">
        <is>
          <t>VNSGN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BKK01</t>
        </is>
      </c>
      <c r="O28" s="96" t="inlineStr">
        <is>
          <t>BKK</t>
        </is>
      </c>
      <c r="P28" s="96" t="inlineStr">
        <is>
          <t>TH</t>
        </is>
      </c>
      <c r="Q28" s="96" t="inlineStr">
        <is>
          <t>HASLS22260902223</t>
        </is>
      </c>
      <c r="R28" s="96" t="inlineStr">
        <is>
          <t>N</t>
        </is>
      </c>
      <c r="S28" s="96" t="inlineStr">
        <is>
          <t>N</t>
        </is>
      </c>
      <c r="T28" s="96" t="inlineStr">
        <is>
          <t>KHS</t>
        </is>
      </c>
      <c r="U28" s="97" t="n"/>
      <c r="V28" s="96" t="inlineStr">
        <is>
          <t>K0120023</t>
        </is>
      </c>
      <c r="W28" s="96" t="inlineStr">
        <is>
          <t>CAPRICORN LOGISTICS CO.,LTD.</t>
        </is>
      </c>
      <c r="X28" s="96" t="inlineStr">
        <is>
          <t>VFD</t>
        </is>
      </c>
      <c r="Y28" s="96" t="inlineStr">
        <is>
          <t>GIA NGUYEN INT'L LOGISTICS CO., LTD</t>
        </is>
      </c>
      <c r="Z28" s="96" t="inlineStr">
        <is>
          <t>GIA NGUYEN INT'L LOGISTICS CO., LTD</t>
        </is>
      </c>
      <c r="AA28" s="97" t="n">
        <v>5270.53</v>
      </c>
      <c r="AB28" s="96" t="inlineStr">
        <is>
          <t>BKK01</t>
        </is>
      </c>
      <c r="AC28" s="96" t="inlineStr">
        <is>
          <t>SGN03</t>
        </is>
      </c>
    </row>
    <row r="29" ht="12" customHeight="1">
      <c r="A29" s="96" t="inlineStr">
        <is>
          <t>SKHU6548567</t>
        </is>
      </c>
      <c r="B29" s="161" t="inlineStr">
        <is>
          <t>2026-10-16</t>
        </is>
      </c>
      <c r="C29" s="96" t="inlineStr">
        <is>
          <t>SWIC</t>
        </is>
      </c>
      <c r="D29" s="96" t="inlineStr">
        <is>
          <t>2611N</t>
        </is>
      </c>
      <c r="E29" s="96" t="inlineStr">
        <is>
          <t>45GP</t>
        </is>
      </c>
      <c r="F29" s="96" t="inlineStr">
        <is>
          <t>SD</t>
        </is>
      </c>
      <c r="G29" s="96" t="inlineStr">
        <is>
          <t>THBKK</t>
        </is>
      </c>
      <c r="H29" s="96" t="inlineStr">
        <is>
          <t>THBKK</t>
        </is>
      </c>
      <c r="I29" s="96" t="inlineStr">
        <is>
          <t>VNSGN</t>
        </is>
      </c>
      <c r="J29" s="96" t="inlineStr">
        <is>
          <t>VNSGN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BKK01</t>
        </is>
      </c>
      <c r="O29" s="96" t="inlineStr">
        <is>
          <t>BKK</t>
        </is>
      </c>
      <c r="P29" s="96" t="inlineStr">
        <is>
          <t>TH</t>
        </is>
      </c>
      <c r="Q29" s="96" t="inlineStr">
        <is>
          <t>HASLS22260902223</t>
        </is>
      </c>
      <c r="R29" s="96" t="inlineStr">
        <is>
          <t>N</t>
        </is>
      </c>
      <c r="S29" s="96" t="inlineStr">
        <is>
          <t>N</t>
        </is>
      </c>
      <c r="T29" s="96" t="inlineStr">
        <is>
          <t>KHS</t>
        </is>
      </c>
      <c r="U29" s="97" t="n"/>
      <c r="V29" s="96" t="inlineStr">
        <is>
          <t>K0120023</t>
        </is>
      </c>
      <c r="W29" s="96" t="inlineStr">
        <is>
          <t>CAPRICORN LOGISTICS CO.,LTD.</t>
        </is>
      </c>
      <c r="X29" s="96" t="inlineStr">
        <is>
          <t>VFD</t>
        </is>
      </c>
      <c r="Y29" s="96" t="inlineStr">
        <is>
          <t>GIA NGUYEN INT'L LOGISTICS CO., LTD</t>
        </is>
      </c>
      <c r="Z29" s="96" t="inlineStr">
        <is>
          <t>GIA NGUYEN INT'L LOGISTICS CO., LTD</t>
        </is>
      </c>
      <c r="AA29" s="97" t="n">
        <v>5270.53</v>
      </c>
      <c r="AB29" s="96" t="inlineStr">
        <is>
          <t>BKK01</t>
        </is>
      </c>
      <c r="AC29" s="96" t="inlineStr">
        <is>
          <t>SGN03</t>
        </is>
      </c>
    </row>
    <row r="30" ht="12" customHeight="1">
      <c r="A30" s="96" t="inlineStr">
        <is>
          <t>SKHU8905560</t>
        </is>
      </c>
      <c r="B30" s="161" t="inlineStr">
        <is>
          <t>2026-10-16</t>
        </is>
      </c>
      <c r="C30" s="96" t="inlineStr">
        <is>
          <t>SWIC</t>
        </is>
      </c>
      <c r="D30" s="96" t="inlineStr">
        <is>
          <t>2611N</t>
        </is>
      </c>
      <c r="E30" s="96" t="inlineStr">
        <is>
          <t>45GP</t>
        </is>
      </c>
      <c r="F30" s="96" t="inlineStr">
        <is>
          <t>SD</t>
        </is>
      </c>
      <c r="G30" s="96" t="inlineStr">
        <is>
          <t>THBKK</t>
        </is>
      </c>
      <c r="H30" s="96" t="inlineStr">
        <is>
          <t>THBKK</t>
        </is>
      </c>
      <c r="I30" s="96" t="inlineStr">
        <is>
          <t>VNSGN</t>
        </is>
      </c>
      <c r="J30" s="96" t="inlineStr">
        <is>
          <t>VNSGN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BKK01</t>
        </is>
      </c>
      <c r="O30" s="96" t="inlineStr">
        <is>
          <t>BKK</t>
        </is>
      </c>
      <c r="P30" s="96" t="inlineStr">
        <is>
          <t>TH</t>
        </is>
      </c>
      <c r="Q30" s="96" t="inlineStr">
        <is>
          <t>HASLS22260902223</t>
        </is>
      </c>
      <c r="R30" s="96" t="inlineStr">
        <is>
          <t>N</t>
        </is>
      </c>
      <c r="S30" s="96" t="inlineStr">
        <is>
          <t>N</t>
        </is>
      </c>
      <c r="T30" s="96" t="inlineStr">
        <is>
          <t>KHS</t>
        </is>
      </c>
      <c r="U30" s="97" t="n"/>
      <c r="V30" s="96" t="inlineStr">
        <is>
          <t>K0120023</t>
        </is>
      </c>
      <c r="W30" s="96" t="inlineStr">
        <is>
          <t>CAPRICORN LOGISTICS CO.,LTD.</t>
        </is>
      </c>
      <c r="X30" s="96" t="inlineStr">
        <is>
          <t>VFD</t>
        </is>
      </c>
      <c r="Y30" s="96" t="inlineStr">
        <is>
          <t>GIA NGUYEN INT'L LOGISTICS CO., LTD</t>
        </is>
      </c>
      <c r="Z30" s="96" t="inlineStr">
        <is>
          <t>GIA NGUYEN INT'L LOGISTICS CO., LTD</t>
        </is>
      </c>
      <c r="AA30" s="97" t="n">
        <v>5270.53</v>
      </c>
      <c r="AB30" s="96" t="inlineStr">
        <is>
          <t>BKK01</t>
        </is>
      </c>
      <c r="AC30" s="96" t="inlineStr">
        <is>
          <t>SGN03</t>
        </is>
      </c>
    </row>
    <row r="31" ht="12" customHeight="1">
      <c r="A31" s="96" t="inlineStr">
        <is>
          <t>SKHU6625262</t>
        </is>
      </c>
      <c r="B31" s="161" t="inlineStr">
        <is>
          <t>2026-10-16</t>
        </is>
      </c>
      <c r="C31" s="96" t="inlineStr">
        <is>
          <t>SWIC</t>
        </is>
      </c>
      <c r="D31" s="96" t="inlineStr">
        <is>
          <t>2611N</t>
        </is>
      </c>
      <c r="E31" s="96" t="inlineStr">
        <is>
          <t>45GP</t>
        </is>
      </c>
      <c r="F31" s="96" t="inlineStr">
        <is>
          <t>SD</t>
        </is>
      </c>
      <c r="G31" s="96" t="inlineStr">
        <is>
          <t>THBKK</t>
        </is>
      </c>
      <c r="H31" s="96" t="inlineStr">
        <is>
          <t>THBKK</t>
        </is>
      </c>
      <c r="I31" s="96" t="inlineStr">
        <is>
          <t>KRKAN</t>
        </is>
      </c>
      <c r="J31" s="96" t="inlineStr">
        <is>
          <t>KRKAN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BKK01</t>
        </is>
      </c>
      <c r="O31" s="96" t="inlineStr">
        <is>
          <t>BKK</t>
        </is>
      </c>
      <c r="P31" s="96" t="inlineStr">
        <is>
          <t>TH</t>
        </is>
      </c>
      <c r="Q31" s="96" t="inlineStr">
        <is>
          <t>HASLS22260901611</t>
        </is>
      </c>
      <c r="R31" s="96" t="inlineStr">
        <is>
          <t>N</t>
        </is>
      </c>
      <c r="S31" s="96" t="inlineStr">
        <is>
          <t>N</t>
        </is>
      </c>
      <c r="T31" s="96" t="inlineStr">
        <is>
          <t>KHS</t>
        </is>
      </c>
      <c r="U31" s="97" t="n"/>
      <c r="V31" s="96" t="inlineStr">
        <is>
          <t>K0120023</t>
        </is>
      </c>
      <c r="W31" s="96" t="inlineStr">
        <is>
          <t>SAWATPAIBOON AGRICULTURE CO.,LTD.</t>
        </is>
      </c>
      <c r="X31" s="96" t="inlineStr">
        <is>
          <t>VFD</t>
        </is>
      </c>
      <c r="Y31" s="96" t="inlineStr">
        <is>
          <t>TO THE ORDER OF KEB HANA BANK</t>
        </is>
      </c>
      <c r="Z31" s="96" t="inlineStr">
        <is>
          <t>WOORIWA CO.,LTD</t>
        </is>
      </c>
      <c r="AA31" s="97" t="n">
        <v>25000</v>
      </c>
      <c r="AB31" s="96" t="inlineStr">
        <is>
          <t>BKK01</t>
        </is>
      </c>
      <c r="AC31" s="96" t="inlineStr">
        <is>
          <t>KAN06</t>
        </is>
      </c>
    </row>
    <row r="32" ht="12" customHeight="1">
      <c r="A32" s="96" t="inlineStr">
        <is>
          <t>SKHU6515671</t>
        </is>
      </c>
      <c r="B32" s="161" t="inlineStr">
        <is>
          <t>2026-10-16</t>
        </is>
      </c>
      <c r="C32" s="96" t="inlineStr">
        <is>
          <t>SWIC</t>
        </is>
      </c>
      <c r="D32" s="96" t="inlineStr">
        <is>
          <t>2611N</t>
        </is>
      </c>
      <c r="E32" s="96" t="inlineStr">
        <is>
          <t>45GP</t>
        </is>
      </c>
      <c r="F32" s="96" t="inlineStr">
        <is>
          <t>SD</t>
        </is>
      </c>
      <c r="G32" s="96" t="inlineStr">
        <is>
          <t>THBKK</t>
        </is>
      </c>
      <c r="H32" s="96" t="inlineStr">
        <is>
          <t>THBKK</t>
        </is>
      </c>
      <c r="I32" s="96" t="inlineStr">
        <is>
          <t>VNSGN</t>
        </is>
      </c>
      <c r="J32" s="96" t="inlineStr">
        <is>
          <t>VNSGN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BKK01</t>
        </is>
      </c>
      <c r="O32" s="96" t="inlineStr">
        <is>
          <t>BKK</t>
        </is>
      </c>
      <c r="P32" s="96" t="inlineStr">
        <is>
          <t>TH</t>
        </is>
      </c>
      <c r="Q32" s="96" t="inlineStr">
        <is>
          <t>HASLS22261000692</t>
        </is>
      </c>
      <c r="R32" s="96" t="inlineStr">
        <is>
          <t>N</t>
        </is>
      </c>
      <c r="S32" s="96" t="inlineStr">
        <is>
          <t>N</t>
        </is>
      </c>
      <c r="T32" s="96" t="inlineStr">
        <is>
          <t>KHS</t>
        </is>
      </c>
      <c r="U32" s="97" t="n"/>
      <c r="V32" s="96" t="inlineStr">
        <is>
          <t>K0120023</t>
        </is>
      </c>
      <c r="W32" s="96" t="inlineStr">
        <is>
          <t>BIRLA CARBON (THAILAND) PUBLIC</t>
        </is>
      </c>
      <c r="X32" s="96" t="inlineStr">
        <is>
          <t>VFD</t>
        </is>
      </c>
      <c r="Y32" s="96" t="inlineStr">
        <is>
          <t>ACTR COMPANY LIMITED</t>
        </is>
      </c>
      <c r="Z32" s="96" t="inlineStr">
        <is>
          <t>ACTR COMPANY LIMITED</t>
        </is>
      </c>
      <c r="AA32" s="97" t="n">
        <v>22308</v>
      </c>
      <c r="AB32" s="96" t="inlineStr">
        <is>
          <t>BKK01</t>
        </is>
      </c>
      <c r="AC32" s="96" t="inlineStr">
        <is>
          <t>SGN03</t>
        </is>
      </c>
    </row>
    <row r="33" ht="12" customHeight="1">
      <c r="A33" s="96" t="inlineStr">
        <is>
          <t>SKHU6591218</t>
        </is>
      </c>
      <c r="B33" s="161" t="inlineStr">
        <is>
          <t>2026-10-16</t>
        </is>
      </c>
      <c r="C33" s="96" t="inlineStr">
        <is>
          <t>SWIC</t>
        </is>
      </c>
      <c r="D33" s="96" t="inlineStr">
        <is>
          <t>2611N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THBKK</t>
        </is>
      </c>
      <c r="H33" s="96" t="inlineStr">
        <is>
          <t>THBKK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ONE</t>
        </is>
      </c>
      <c r="M33" s="96" t="inlineStr">
        <is>
          <t>VFL</t>
        </is>
      </c>
      <c r="N33" s="96" t="inlineStr">
        <is>
          <t>BKK01</t>
        </is>
      </c>
      <c r="O33" s="96" t="inlineStr">
        <is>
          <t>BKK</t>
        </is>
      </c>
      <c r="P33" s="96" t="inlineStr">
        <is>
          <t>TH</t>
        </is>
      </c>
      <c r="Q33" s="96" t="inlineStr">
        <is>
          <t>HASLS22261000692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KHS</t>
        </is>
      </c>
      <c r="U33" s="97" t="n"/>
      <c r="V33" s="96" t="inlineStr">
        <is>
          <t>K0120023</t>
        </is>
      </c>
      <c r="W33" s="96" t="inlineStr">
        <is>
          <t>BIRLA CARBON (THAILAND) PUBLIC</t>
        </is>
      </c>
      <c r="X33" s="96" t="inlineStr">
        <is>
          <t>VFD</t>
        </is>
      </c>
      <c r="Y33" s="96" t="inlineStr">
        <is>
          <t>ACTR COMPANY LIMITED</t>
        </is>
      </c>
      <c r="Z33" s="96" t="inlineStr">
        <is>
          <t>ACTR COMPANY LIMITED</t>
        </is>
      </c>
      <c r="AA33" s="97" t="n">
        <v>22308</v>
      </c>
      <c r="AB33" s="96" t="inlineStr">
        <is>
          <t>BKK01</t>
        </is>
      </c>
      <c r="AC33" s="96" t="inlineStr">
        <is>
          <t>SGN03</t>
        </is>
      </c>
    </row>
    <row r="34" ht="12" customHeight="1">
      <c r="A34" s="96" t="inlineStr">
        <is>
          <t>SKHU6360986</t>
        </is>
      </c>
      <c r="B34" s="161" t="inlineStr">
        <is>
          <t>2026-10-16</t>
        </is>
      </c>
      <c r="C34" s="96" t="inlineStr">
        <is>
          <t>SWIC</t>
        </is>
      </c>
      <c r="D34" s="96" t="inlineStr">
        <is>
          <t>2611N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THBKK</t>
        </is>
      </c>
      <c r="H34" s="96" t="inlineStr">
        <is>
          <t>THBKK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ONE</t>
        </is>
      </c>
      <c r="M34" s="96" t="inlineStr">
        <is>
          <t>VFL</t>
        </is>
      </c>
      <c r="N34" s="96" t="inlineStr">
        <is>
          <t>BKK01</t>
        </is>
      </c>
      <c r="O34" s="96" t="inlineStr">
        <is>
          <t>BKK</t>
        </is>
      </c>
      <c r="P34" s="96" t="inlineStr">
        <is>
          <t>TH</t>
        </is>
      </c>
      <c r="Q34" s="96" t="inlineStr">
        <is>
          <t>HASLS22260902196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KHS</t>
        </is>
      </c>
      <c r="U34" s="97" t="n"/>
      <c r="V34" s="96" t="inlineStr">
        <is>
          <t>K0120023</t>
        </is>
      </c>
      <c r="W34" s="96" t="inlineStr">
        <is>
          <t>ASIAN GLOBAL HOLDING CO ., LTD.</t>
        </is>
      </c>
      <c r="X34" s="96" t="inlineStr">
        <is>
          <t>VFD</t>
        </is>
      </c>
      <c r="Y34" s="96" t="inlineStr">
        <is>
          <t>FOODTECH JSC</t>
        </is>
      </c>
      <c r="Z34" s="96" t="inlineStr">
        <is>
          <t>FOODTECH JSC</t>
        </is>
      </c>
      <c r="AA34" s="97" t="n">
        <v>4581</v>
      </c>
      <c r="AB34" s="96" t="inlineStr">
        <is>
          <t>BKK01</t>
        </is>
      </c>
      <c r="AC34" s="96" t="inlineStr">
        <is>
          <t>SGN03</t>
        </is>
      </c>
    </row>
    <row r="35" ht="12" customHeight="1">
      <c r="A35" s="96" t="inlineStr">
        <is>
          <t>SKHU6329430</t>
        </is>
      </c>
      <c r="B35" s="161" t="inlineStr">
        <is>
          <t>2026-10-16</t>
        </is>
      </c>
      <c r="C35" s="96" t="inlineStr">
        <is>
          <t>SWIC</t>
        </is>
      </c>
      <c r="D35" s="96" t="inlineStr">
        <is>
          <t>2611N</t>
        </is>
      </c>
      <c r="E35" s="96" t="inlineStr">
        <is>
          <t>45GP</t>
        </is>
      </c>
      <c r="F35" s="96" t="inlineStr">
        <is>
          <t>SD</t>
        </is>
      </c>
      <c r="G35" s="96" t="inlineStr">
        <is>
          <t>THBKK</t>
        </is>
      </c>
      <c r="H35" s="96" t="inlineStr">
        <is>
          <t>THBKK</t>
        </is>
      </c>
      <c r="I35" s="96" t="inlineStr">
        <is>
          <t>VNSGN</t>
        </is>
      </c>
      <c r="J35" s="96" t="inlineStr">
        <is>
          <t>VNSGN</t>
        </is>
      </c>
      <c r="K35" s="96" t="inlineStr">
        <is>
          <t>F</t>
        </is>
      </c>
      <c r="L35" s="96" t="inlineStr">
        <is>
          <t>ONE</t>
        </is>
      </c>
      <c r="M35" s="96" t="inlineStr">
        <is>
          <t>VFL</t>
        </is>
      </c>
      <c r="N35" s="96" t="inlineStr">
        <is>
          <t>BKK01</t>
        </is>
      </c>
      <c r="O35" s="96" t="inlineStr">
        <is>
          <t>BKK</t>
        </is>
      </c>
      <c r="P35" s="96" t="inlineStr">
        <is>
          <t>TH</t>
        </is>
      </c>
      <c r="Q35" s="96" t="inlineStr">
        <is>
          <t>HASLS22261000692</t>
        </is>
      </c>
      <c r="R35" s="96" t="inlineStr">
        <is>
          <t>N</t>
        </is>
      </c>
      <c r="S35" s="96" t="inlineStr">
        <is>
          <t>N</t>
        </is>
      </c>
      <c r="T35" s="96" t="inlineStr">
        <is>
          <t>KHS</t>
        </is>
      </c>
      <c r="U35" s="97" t="n"/>
      <c r="V35" s="96" t="inlineStr">
        <is>
          <t>K0120023</t>
        </is>
      </c>
      <c r="W35" s="96" t="inlineStr">
        <is>
          <t>BIRLA CARBON (THAILAND) PUBLIC</t>
        </is>
      </c>
      <c r="X35" s="96" t="inlineStr">
        <is>
          <t>VFD</t>
        </is>
      </c>
      <c r="Y35" s="96" t="inlineStr">
        <is>
          <t>ACTR COMPANY LIMITED</t>
        </is>
      </c>
      <c r="Z35" s="96" t="inlineStr">
        <is>
          <t>ACTR COMPANY LIMITED</t>
        </is>
      </c>
      <c r="AA35" s="97" t="n">
        <v>22308</v>
      </c>
      <c r="AB35" s="96" t="inlineStr">
        <is>
          <t>BKK01</t>
        </is>
      </c>
      <c r="AC35" s="96" t="inlineStr">
        <is>
          <t>SGN03</t>
        </is>
      </c>
    </row>
    <row r="36" ht="12" customHeight="1">
      <c r="A36" s="96" t="inlineStr">
        <is>
          <t>SKHU6408375</t>
        </is>
      </c>
      <c r="B36" s="161" t="inlineStr">
        <is>
          <t>2026-10-16</t>
        </is>
      </c>
      <c r="C36" s="96" t="inlineStr">
        <is>
          <t>SWIC</t>
        </is>
      </c>
      <c r="D36" s="96" t="inlineStr">
        <is>
          <t>2611N</t>
        </is>
      </c>
      <c r="E36" s="96" t="inlineStr">
        <is>
          <t>45GP</t>
        </is>
      </c>
      <c r="F36" s="96" t="inlineStr">
        <is>
          <t>SD</t>
        </is>
      </c>
      <c r="G36" s="96" t="inlineStr">
        <is>
          <t>THBKK</t>
        </is>
      </c>
      <c r="H36" s="96" t="inlineStr">
        <is>
          <t>THBKK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ONE</t>
        </is>
      </c>
      <c r="M36" s="96" t="inlineStr">
        <is>
          <t>VFL</t>
        </is>
      </c>
      <c r="N36" s="96" t="inlineStr">
        <is>
          <t>BKK01</t>
        </is>
      </c>
      <c r="O36" s="96" t="inlineStr">
        <is>
          <t>BKK</t>
        </is>
      </c>
      <c r="P36" s="96" t="inlineStr">
        <is>
          <t>TH</t>
        </is>
      </c>
      <c r="Q36" s="96" t="inlineStr">
        <is>
          <t>HASLS22261000692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KHS</t>
        </is>
      </c>
      <c r="U36" s="97" t="n"/>
      <c r="V36" s="96" t="inlineStr">
        <is>
          <t>K0120023</t>
        </is>
      </c>
      <c r="W36" s="96" t="inlineStr">
        <is>
          <t>BIRLA CARBON (THAILAND) PUBLIC</t>
        </is>
      </c>
      <c r="X36" s="96" t="inlineStr">
        <is>
          <t>VFD</t>
        </is>
      </c>
      <c r="Y36" s="96" t="inlineStr">
        <is>
          <t>ACTR COMPANY LIMITED</t>
        </is>
      </c>
      <c r="Z36" s="96" t="inlineStr">
        <is>
          <t>ACTR COMPANY LIMITED</t>
        </is>
      </c>
      <c r="AA36" s="97" t="n">
        <v>22308</v>
      </c>
      <c r="AB36" s="96" t="inlineStr">
        <is>
          <t>BKK01</t>
        </is>
      </c>
      <c r="AC36" s="96" t="inlineStr">
        <is>
          <t>SGN03</t>
        </is>
      </c>
    </row>
    <row r="37" ht="12" customHeight="1">
      <c r="A37" s="96" t="inlineStr">
        <is>
          <t>HALU5652996</t>
        </is>
      </c>
      <c r="B37" s="161" t="inlineStr">
        <is>
          <t>2026-10-16</t>
        </is>
      </c>
      <c r="C37" s="96" t="inlineStr">
        <is>
          <t>SWIC</t>
        </is>
      </c>
      <c r="D37" s="96" t="inlineStr">
        <is>
          <t>2611N</t>
        </is>
      </c>
      <c r="E37" s="96" t="inlineStr">
        <is>
          <t>45GP</t>
        </is>
      </c>
      <c r="F37" s="96" t="inlineStr">
        <is>
          <t>SD</t>
        </is>
      </c>
      <c r="G37" s="96" t="inlineStr">
        <is>
          <t>THBKK</t>
        </is>
      </c>
      <c r="H37" s="96" t="inlineStr">
        <is>
          <t>THBKK</t>
        </is>
      </c>
      <c r="I37" s="96" t="inlineStr">
        <is>
          <t>KRPUS</t>
        </is>
      </c>
      <c r="J37" s="96" t="inlineStr">
        <is>
          <t>KRPUS</t>
        </is>
      </c>
      <c r="K37" s="96" t="inlineStr">
        <is>
          <t>F</t>
        </is>
      </c>
      <c r="L37" s="96" t="inlineStr">
        <is>
          <t>ONE</t>
        </is>
      </c>
      <c r="M37" s="96" t="inlineStr">
        <is>
          <t>VFL</t>
        </is>
      </c>
      <c r="N37" s="96" t="inlineStr">
        <is>
          <t>BKK01</t>
        </is>
      </c>
      <c r="O37" s="96" t="inlineStr">
        <is>
          <t>BKK</t>
        </is>
      </c>
      <c r="P37" s="96" t="inlineStr">
        <is>
          <t>TH</t>
        </is>
      </c>
      <c r="Q37" s="96" t="inlineStr">
        <is>
          <t>HASLS22260902582</t>
        </is>
      </c>
      <c r="R37" s="96" t="inlineStr">
        <is>
          <t>N</t>
        </is>
      </c>
      <c r="S37" s="96" t="inlineStr">
        <is>
          <t>N</t>
        </is>
      </c>
      <c r="T37" s="96" t="inlineStr">
        <is>
          <t>KHS</t>
        </is>
      </c>
      <c r="U37" s="97" t="n"/>
      <c r="V37" s="96" t="inlineStr">
        <is>
          <t>K0120023</t>
        </is>
      </c>
      <c r="W37" s="96" t="inlineStr">
        <is>
          <t>FM GLOBAL LOGISTICS CO LTD</t>
        </is>
      </c>
      <c r="X37" s="96" t="inlineStr">
        <is>
          <t>VFD</t>
        </is>
      </c>
      <c r="Y37" s="96" t="inlineStr">
        <is>
          <t>UNI LOGISTICS CO.,LTD</t>
        </is>
      </c>
      <c r="Z37" s="96" t="inlineStr">
        <is>
          <t>UNI LOGISTICS CO.,LTD</t>
        </is>
      </c>
      <c r="AA37" s="97" t="n">
        <v>21050</v>
      </c>
      <c r="AB37" s="96" t="inlineStr">
        <is>
          <t>BKK01</t>
        </is>
      </c>
      <c r="AC37" s="96" t="inlineStr">
        <is>
          <t>PUS05</t>
        </is>
      </c>
    </row>
    <row r="38" ht="12" customHeight="1">
      <c r="A38" s="96" t="inlineStr">
        <is>
          <t>SKHU6536653</t>
        </is>
      </c>
      <c r="B38" s="161" t="inlineStr">
        <is>
          <t>2026-10-16</t>
        </is>
      </c>
      <c r="C38" s="96" t="inlineStr">
        <is>
          <t>SWIC</t>
        </is>
      </c>
      <c r="D38" s="96" t="inlineStr">
        <is>
          <t>2611N</t>
        </is>
      </c>
      <c r="E38" s="96" t="inlineStr">
        <is>
          <t>45GP</t>
        </is>
      </c>
      <c r="F38" s="96" t="inlineStr">
        <is>
          <t>SD</t>
        </is>
      </c>
      <c r="G38" s="96" t="inlineStr">
        <is>
          <t>THBKK</t>
        </is>
      </c>
      <c r="H38" s="96" t="inlineStr">
        <is>
          <t>THBKK</t>
        </is>
      </c>
      <c r="I38" s="96" t="inlineStr">
        <is>
          <t>VNSGN</t>
        </is>
      </c>
      <c r="J38" s="96" t="inlineStr">
        <is>
          <t>VNSGN</t>
        </is>
      </c>
      <c r="K38" s="96" t="inlineStr">
        <is>
          <t>F</t>
        </is>
      </c>
      <c r="L38" s="96" t="inlineStr">
        <is>
          <t>ONE</t>
        </is>
      </c>
      <c r="M38" s="96" t="inlineStr">
        <is>
          <t>VFL</t>
        </is>
      </c>
      <c r="N38" s="96" t="inlineStr">
        <is>
          <t>BKK01</t>
        </is>
      </c>
      <c r="O38" s="96" t="inlineStr">
        <is>
          <t>BKK</t>
        </is>
      </c>
      <c r="P38" s="96" t="inlineStr">
        <is>
          <t>TH</t>
        </is>
      </c>
      <c r="Q38" s="96" t="inlineStr">
        <is>
          <t>HASLS22260902383</t>
        </is>
      </c>
      <c r="R38" s="96" t="inlineStr">
        <is>
          <t>N</t>
        </is>
      </c>
      <c r="S38" s="96" t="inlineStr">
        <is>
          <t>N</t>
        </is>
      </c>
      <c r="T38" s="96" t="inlineStr">
        <is>
          <t>KHS</t>
        </is>
      </c>
      <c r="U38" s="97" t="n"/>
      <c r="V38" s="96" t="inlineStr">
        <is>
          <t>K0120023</t>
        </is>
      </c>
      <c r="W38" s="96" t="inlineStr">
        <is>
          <t>R.J.LONDON CHEMICALS INDUSTRIES</t>
        </is>
      </c>
      <c r="X38" s="96" t="inlineStr">
        <is>
          <t>VFD</t>
        </is>
      </c>
      <c r="Y38" s="96" t="inlineStr">
        <is>
          <t>TO ORDER OF</t>
        </is>
      </c>
      <c r="Z38" s="96" t="inlineStr">
        <is>
          <t>TUYET MAI TRADE-SERVICE COMPANY</t>
        </is>
      </c>
      <c r="AA38" s="97" t="n">
        <v>21172.4</v>
      </c>
      <c r="AB38" s="96" t="inlineStr">
        <is>
          <t>BKK01</t>
        </is>
      </c>
      <c r="AC38" s="96" t="inlineStr">
        <is>
          <t>SGN03</t>
        </is>
      </c>
    </row>
    <row r="39" ht="12" customHeight="1">
      <c r="A39" s="96" t="inlineStr">
        <is>
          <t>TRHU4863610</t>
        </is>
      </c>
      <c r="B39" s="161" t="inlineStr">
        <is>
          <t>2026-10-16</t>
        </is>
      </c>
      <c r="C39" s="96" t="inlineStr">
        <is>
          <t>SWIC</t>
        </is>
      </c>
      <c r="D39" s="96" t="inlineStr">
        <is>
          <t>2611N</t>
        </is>
      </c>
      <c r="E39" s="96" t="inlineStr">
        <is>
          <t>45GP</t>
        </is>
      </c>
      <c r="F39" s="96" t="inlineStr">
        <is>
          <t>SD</t>
        </is>
      </c>
      <c r="G39" s="96" t="inlineStr">
        <is>
          <t>THBKK</t>
        </is>
      </c>
      <c r="H39" s="96" t="inlineStr">
        <is>
          <t>THBKK</t>
        </is>
      </c>
      <c r="I39" s="96" t="inlineStr">
        <is>
          <t>KRPUS</t>
        </is>
      </c>
      <c r="J39" s="96" t="inlineStr">
        <is>
          <t>JPMYJ</t>
        </is>
      </c>
      <c r="K39" s="96" t="inlineStr">
        <is>
          <t>F</t>
        </is>
      </c>
      <c r="L39" s="96" t="inlineStr">
        <is>
          <t>ONE</t>
        </is>
      </c>
      <c r="M39" s="96" t="inlineStr">
        <is>
          <t>VFL</t>
        </is>
      </c>
      <c r="N39" s="96" t="inlineStr">
        <is>
          <t>BKK01</t>
        </is>
      </c>
      <c r="O39" s="96" t="inlineStr">
        <is>
          <t>BKK</t>
        </is>
      </c>
      <c r="P39" s="96" t="inlineStr">
        <is>
          <t>TH</t>
        </is>
      </c>
      <c r="Q39" s="96" t="inlineStr">
        <is>
          <t>HASLS22260901777</t>
        </is>
      </c>
      <c r="R39" s="96" t="inlineStr">
        <is>
          <t>Y</t>
        </is>
      </c>
      <c r="S39" s="96" t="inlineStr">
        <is>
          <t>N</t>
        </is>
      </c>
      <c r="T39" s="96" t="inlineStr">
        <is>
          <t>KHS</t>
        </is>
      </c>
      <c r="U39" s="97" t="n"/>
      <c r="V39" s="96" t="inlineStr">
        <is>
          <t>K0120023</t>
        </is>
      </c>
      <c r="W39" s="96" t="inlineStr">
        <is>
          <t>MULFRO (THAILAND) CO., LTD.</t>
        </is>
      </c>
      <c r="X39" s="96" t="inlineStr">
        <is>
          <t>VFD</t>
        </is>
      </c>
      <c r="Y39" s="96" t="inlineStr">
        <is>
          <t>TO ORDER OF SHIPPER</t>
        </is>
      </c>
      <c r="Z39" s="96" t="inlineStr">
        <is>
          <t>PROGRESS INTERNATIONAL CORP.,</t>
        </is>
      </c>
      <c r="AA39" s="97" t="n">
        <v>24500</v>
      </c>
      <c r="AB39" s="96" t="inlineStr">
        <is>
          <t>BKK01</t>
        </is>
      </c>
      <c r="AC39" s="96" t="inlineStr">
        <is>
          <t>MYJ01</t>
        </is>
      </c>
    </row>
    <row r="40" ht="12" customHeight="1">
      <c r="A40" s="96" t="inlineStr">
        <is>
          <t>SEGU6569436</t>
        </is>
      </c>
      <c r="B40" s="161" t="inlineStr">
        <is>
          <t>2026-10-16</t>
        </is>
      </c>
      <c r="C40" s="96" t="inlineStr">
        <is>
          <t>SWIC</t>
        </is>
      </c>
      <c r="D40" s="96" t="inlineStr">
        <is>
          <t>2611N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THBKK</t>
        </is>
      </c>
      <c r="H40" s="96" t="inlineStr">
        <is>
          <t>THBKK</t>
        </is>
      </c>
      <c r="I40" s="96" t="inlineStr">
        <is>
          <t>VNSGN</t>
        </is>
      </c>
      <c r="J40" s="96" t="inlineStr">
        <is>
          <t>VNSGN</t>
        </is>
      </c>
      <c r="K40" s="96" t="inlineStr">
        <is>
          <t>F</t>
        </is>
      </c>
      <c r="L40" s="96" t="inlineStr">
        <is>
          <t>ONE</t>
        </is>
      </c>
      <c r="M40" s="96" t="inlineStr">
        <is>
          <t>VFL</t>
        </is>
      </c>
      <c r="N40" s="96" t="inlineStr">
        <is>
          <t>BKK01</t>
        </is>
      </c>
      <c r="O40" s="96" t="inlineStr">
        <is>
          <t>BKK</t>
        </is>
      </c>
      <c r="P40" s="96" t="inlineStr">
        <is>
          <t>TH</t>
        </is>
      </c>
      <c r="Q40" s="96" t="inlineStr">
        <is>
          <t>HASLS22260902222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KHS</t>
        </is>
      </c>
      <c r="U40" s="97" t="n"/>
      <c r="V40" s="96" t="inlineStr">
        <is>
          <t>K0120023</t>
        </is>
      </c>
      <c r="W40" s="96" t="inlineStr">
        <is>
          <t>CAPRICORN LOGISTICS CO.,LTD.</t>
        </is>
      </c>
      <c r="X40" s="96" t="inlineStr">
        <is>
          <t>VFD</t>
        </is>
      </c>
      <c r="Y40" s="96" t="inlineStr">
        <is>
          <t>GIA NGUYEN INT'L LOGISTICS CO., LTD</t>
        </is>
      </c>
      <c r="Z40" s="96" t="inlineStr">
        <is>
          <t>GIA NGUYEN INT'L LOGISTICS CO., LTD</t>
        </is>
      </c>
      <c r="AA40" s="97" t="n">
        <v>5270.53</v>
      </c>
      <c r="AB40" s="96" t="inlineStr">
        <is>
          <t>BKK01</t>
        </is>
      </c>
      <c r="AC40" s="96" t="inlineStr">
        <is>
          <t>SGN03</t>
        </is>
      </c>
    </row>
    <row r="41" ht="12" customHeight="1">
      <c r="A41" s="96" t="inlineStr">
        <is>
          <t>SKHU9316821</t>
        </is>
      </c>
      <c r="B41" s="161" t="inlineStr">
        <is>
          <t>2026-10-16</t>
        </is>
      </c>
      <c r="C41" s="96" t="inlineStr">
        <is>
          <t>SWIC</t>
        </is>
      </c>
      <c r="D41" s="96" t="inlineStr">
        <is>
          <t>2611N</t>
        </is>
      </c>
      <c r="E41" s="96" t="inlineStr">
        <is>
          <t>45GP</t>
        </is>
      </c>
      <c r="F41" s="96" t="inlineStr">
        <is>
          <t>SD</t>
        </is>
      </c>
      <c r="G41" s="96" t="inlineStr">
        <is>
          <t>THBKK</t>
        </is>
      </c>
      <c r="H41" s="96" t="inlineStr">
        <is>
          <t>THBKK</t>
        </is>
      </c>
      <c r="I41" s="96" t="inlineStr">
        <is>
          <t>VNSGN</t>
        </is>
      </c>
      <c r="J41" s="96" t="inlineStr">
        <is>
          <t>VNSGN</t>
        </is>
      </c>
      <c r="K41" s="96" t="inlineStr">
        <is>
          <t>F</t>
        </is>
      </c>
      <c r="L41" s="96" t="inlineStr">
        <is>
          <t>ONE</t>
        </is>
      </c>
      <c r="M41" s="96" t="inlineStr">
        <is>
          <t>VFL</t>
        </is>
      </c>
      <c r="N41" s="96" t="inlineStr">
        <is>
          <t>BKK01</t>
        </is>
      </c>
      <c r="O41" s="96" t="inlineStr">
        <is>
          <t>BKK</t>
        </is>
      </c>
      <c r="P41" s="96" t="inlineStr">
        <is>
          <t>TH</t>
        </is>
      </c>
      <c r="Q41" s="96" t="inlineStr">
        <is>
          <t>HASLS22260902222</t>
        </is>
      </c>
      <c r="R41" s="96" t="inlineStr">
        <is>
          <t>N</t>
        </is>
      </c>
      <c r="S41" s="96" t="inlineStr">
        <is>
          <t>N</t>
        </is>
      </c>
      <c r="T41" s="96" t="inlineStr">
        <is>
          <t>KHS</t>
        </is>
      </c>
      <c r="U41" s="97" t="n"/>
      <c r="V41" s="96" t="inlineStr">
        <is>
          <t>K0120023</t>
        </is>
      </c>
      <c r="W41" s="96" t="inlineStr">
        <is>
          <t>CAPRICORN LOGISTICS CO.,LTD.</t>
        </is>
      </c>
      <c r="X41" s="96" t="inlineStr">
        <is>
          <t>VFD</t>
        </is>
      </c>
      <c r="Y41" s="96" t="inlineStr">
        <is>
          <t>GIA NGUYEN INT'L LOGISTICS CO., LTD</t>
        </is>
      </c>
      <c r="Z41" s="96" t="inlineStr">
        <is>
          <t>GIA NGUYEN INT'L LOGISTICS CO., LTD</t>
        </is>
      </c>
      <c r="AA41" s="97" t="n">
        <v>5270.53</v>
      </c>
      <c r="AB41" s="96" t="inlineStr">
        <is>
          <t>BKK01</t>
        </is>
      </c>
      <c r="AC41" s="96" t="inlineStr">
        <is>
          <t>SGN03</t>
        </is>
      </c>
    </row>
    <row r="42" ht="12" customHeight="1">
      <c r="A42" s="96" t="inlineStr">
        <is>
          <t>SKHU9824653</t>
        </is>
      </c>
      <c r="B42" s="161" t="inlineStr">
        <is>
          <t>2026-10-16</t>
        </is>
      </c>
      <c r="C42" s="96" t="inlineStr">
        <is>
          <t>SWIC</t>
        </is>
      </c>
      <c r="D42" s="96" t="inlineStr">
        <is>
          <t>2611N</t>
        </is>
      </c>
      <c r="E42" s="96" t="inlineStr">
        <is>
          <t>45GP</t>
        </is>
      </c>
      <c r="F42" s="96" t="inlineStr">
        <is>
          <t>SD</t>
        </is>
      </c>
      <c r="G42" s="96" t="inlineStr">
        <is>
          <t>THBKK</t>
        </is>
      </c>
      <c r="H42" s="96" t="inlineStr">
        <is>
          <t>THBKK</t>
        </is>
      </c>
      <c r="I42" s="96" t="inlineStr">
        <is>
          <t>VNSGN</t>
        </is>
      </c>
      <c r="J42" s="96" t="inlineStr">
        <is>
          <t>VNSGN</t>
        </is>
      </c>
      <c r="K42" s="96" t="inlineStr">
        <is>
          <t>F</t>
        </is>
      </c>
      <c r="L42" s="96" t="inlineStr">
        <is>
          <t>ONE</t>
        </is>
      </c>
      <c r="M42" s="96" t="inlineStr">
        <is>
          <t>VFL</t>
        </is>
      </c>
      <c r="N42" s="96" t="inlineStr">
        <is>
          <t>BKK01</t>
        </is>
      </c>
      <c r="O42" s="96" t="inlineStr">
        <is>
          <t>BKK</t>
        </is>
      </c>
      <c r="P42" s="96" t="inlineStr">
        <is>
          <t>TH</t>
        </is>
      </c>
      <c r="Q42" s="96" t="inlineStr">
        <is>
          <t>HASLS22260902222</t>
        </is>
      </c>
      <c r="R42" s="96" t="inlineStr">
        <is>
          <t>N</t>
        </is>
      </c>
      <c r="S42" s="96" t="inlineStr">
        <is>
          <t>N</t>
        </is>
      </c>
      <c r="T42" s="96" t="inlineStr">
        <is>
          <t>KHS</t>
        </is>
      </c>
      <c r="U42" s="97" t="n"/>
      <c r="V42" s="96" t="inlineStr">
        <is>
          <t>K0120023</t>
        </is>
      </c>
      <c r="W42" s="96" t="inlineStr">
        <is>
          <t>CAPRICORN LOGISTICS CO.,LTD.</t>
        </is>
      </c>
      <c r="X42" s="96" t="inlineStr">
        <is>
          <t>VFD</t>
        </is>
      </c>
      <c r="Y42" s="96" t="inlineStr">
        <is>
          <t>GIA NGUYEN INT'L LOGISTICS CO., LTD</t>
        </is>
      </c>
      <c r="Z42" s="96" t="inlineStr">
        <is>
          <t>GIA NGUYEN INT'L LOGISTICS CO., LTD</t>
        </is>
      </c>
      <c r="AA42" s="97" t="n">
        <v>5270.53</v>
      </c>
      <c r="AB42" s="96" t="inlineStr">
        <is>
          <t>BKK01</t>
        </is>
      </c>
      <c r="AC42" s="96" t="inlineStr">
        <is>
          <t>SGN03</t>
        </is>
      </c>
    </row>
    <row r="43" ht="12" customHeight="1">
      <c r="A43" s="96" t="inlineStr">
        <is>
          <t>SKHU9955503</t>
        </is>
      </c>
      <c r="B43" s="161" t="inlineStr">
        <is>
          <t>2026-10-16</t>
        </is>
      </c>
      <c r="C43" s="96" t="inlineStr">
        <is>
          <t>SWIC</t>
        </is>
      </c>
      <c r="D43" s="96" t="inlineStr">
        <is>
          <t>2611N</t>
        </is>
      </c>
      <c r="E43" s="96" t="inlineStr">
        <is>
          <t>45GP</t>
        </is>
      </c>
      <c r="F43" s="96" t="inlineStr">
        <is>
          <t>SD</t>
        </is>
      </c>
      <c r="G43" s="96" t="inlineStr">
        <is>
          <t>THBKK</t>
        </is>
      </c>
      <c r="H43" s="96" t="inlineStr">
        <is>
          <t>THBKK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ONE</t>
        </is>
      </c>
      <c r="M43" s="96" t="inlineStr">
        <is>
          <t>VFL</t>
        </is>
      </c>
      <c r="N43" s="96" t="inlineStr">
        <is>
          <t>BKK01</t>
        </is>
      </c>
      <c r="O43" s="96" t="inlineStr">
        <is>
          <t>BKK</t>
        </is>
      </c>
      <c r="P43" s="96" t="inlineStr">
        <is>
          <t>TH</t>
        </is>
      </c>
      <c r="Q43" s="96" t="inlineStr">
        <is>
          <t>HASLS22260902222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KHS</t>
        </is>
      </c>
      <c r="U43" s="97" t="n"/>
      <c r="V43" s="96" t="inlineStr">
        <is>
          <t>K0120023</t>
        </is>
      </c>
      <c r="W43" s="96" t="inlineStr">
        <is>
          <t>CAPRICORN LOGISTICS CO.,LTD.</t>
        </is>
      </c>
      <c r="X43" s="96" t="inlineStr">
        <is>
          <t>VFD</t>
        </is>
      </c>
      <c r="Y43" s="96" t="inlineStr">
        <is>
          <t>GIA NGUYEN INT'L LOGISTICS CO., LTD</t>
        </is>
      </c>
      <c r="Z43" s="96" t="inlineStr">
        <is>
          <t>GIA NGUYEN INT'L LOGISTICS CO., LTD</t>
        </is>
      </c>
      <c r="AA43" s="97" t="n">
        <v>5270.53</v>
      </c>
      <c r="AB43" s="96" t="inlineStr">
        <is>
          <t>BKK01</t>
        </is>
      </c>
      <c r="AC43" s="96" t="inlineStr">
        <is>
          <t>SGN03</t>
        </is>
      </c>
    </row>
    <row r="44" ht="12" customHeight="1">
      <c r="A44" s="96" t="inlineStr">
        <is>
          <t>TRHU6362665</t>
        </is>
      </c>
      <c r="B44" s="161" t="inlineStr">
        <is>
          <t>2026-10-16</t>
        </is>
      </c>
      <c r="C44" s="96" t="inlineStr">
        <is>
          <t>SWIC</t>
        </is>
      </c>
      <c r="D44" s="96" t="inlineStr">
        <is>
          <t>2611N</t>
        </is>
      </c>
      <c r="E44" s="96" t="inlineStr">
        <is>
          <t>45GP</t>
        </is>
      </c>
      <c r="F44" s="96" t="inlineStr">
        <is>
          <t>SD</t>
        </is>
      </c>
      <c r="G44" s="96" t="inlineStr">
        <is>
          <t>THBKK</t>
        </is>
      </c>
      <c r="H44" s="96" t="inlineStr">
        <is>
          <t>THBKK</t>
        </is>
      </c>
      <c r="I44" s="96" t="inlineStr">
        <is>
          <t>VNSGN</t>
        </is>
      </c>
      <c r="J44" s="96" t="inlineStr">
        <is>
          <t>VNSGN</t>
        </is>
      </c>
      <c r="K44" s="96" t="inlineStr">
        <is>
          <t>F</t>
        </is>
      </c>
      <c r="L44" s="96" t="inlineStr">
        <is>
          <t>ONE</t>
        </is>
      </c>
      <c r="M44" s="96" t="inlineStr">
        <is>
          <t>VFL</t>
        </is>
      </c>
      <c r="N44" s="96" t="inlineStr">
        <is>
          <t>BKK01</t>
        </is>
      </c>
      <c r="O44" s="96" t="inlineStr">
        <is>
          <t>BKK</t>
        </is>
      </c>
      <c r="P44" s="96" t="inlineStr">
        <is>
          <t>TH</t>
        </is>
      </c>
      <c r="Q44" s="96" t="inlineStr">
        <is>
          <t>HASLS22260902222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KHS</t>
        </is>
      </c>
      <c r="U44" s="97" t="n"/>
      <c r="V44" s="96" t="inlineStr">
        <is>
          <t>K0120023</t>
        </is>
      </c>
      <c r="W44" s="96" t="inlineStr">
        <is>
          <t>CAPRICORN LOGISTICS CO.,LTD.</t>
        </is>
      </c>
      <c r="X44" s="96" t="inlineStr">
        <is>
          <t>VFD</t>
        </is>
      </c>
      <c r="Y44" s="96" t="inlineStr">
        <is>
          <t>GIA NGUYEN INT'L LOGISTICS CO., LTD</t>
        </is>
      </c>
      <c r="Z44" s="96" t="inlineStr">
        <is>
          <t>GIA NGUYEN INT'L LOGISTICS CO., LTD</t>
        </is>
      </c>
      <c r="AA44" s="97" t="n">
        <v>5270.53</v>
      </c>
      <c r="AB44" s="96" t="inlineStr">
        <is>
          <t>BKK01</t>
        </is>
      </c>
      <c r="AC44" s="96" t="inlineStr">
        <is>
          <t>SGN03</t>
        </is>
      </c>
    </row>
    <row r="45" ht="12" customHeight="1">
      <c r="A45" s="96" t="inlineStr">
        <is>
          <t>SKHU6428094</t>
        </is>
      </c>
      <c r="B45" s="161" t="inlineStr">
        <is>
          <t>2026-10-16</t>
        </is>
      </c>
      <c r="C45" s="96" t="inlineStr">
        <is>
          <t>SWIC</t>
        </is>
      </c>
      <c r="D45" s="96" t="inlineStr">
        <is>
          <t>2611N</t>
        </is>
      </c>
      <c r="E45" s="96" t="inlineStr">
        <is>
          <t>45GP</t>
        </is>
      </c>
      <c r="F45" s="96" t="inlineStr">
        <is>
          <t>SD</t>
        </is>
      </c>
      <c r="G45" s="96" t="inlineStr">
        <is>
          <t>THBKK</t>
        </is>
      </c>
      <c r="H45" s="96" t="inlineStr">
        <is>
          <t>THBKK</t>
        </is>
      </c>
      <c r="I45" s="96" t="inlineStr">
        <is>
          <t>KRPUS</t>
        </is>
      </c>
      <c r="J45" s="96" t="inlineStr">
        <is>
          <t>KRPUS</t>
        </is>
      </c>
      <c r="K45" s="96" t="inlineStr">
        <is>
          <t>F</t>
        </is>
      </c>
      <c r="L45" s="96" t="inlineStr">
        <is>
          <t>ONE</t>
        </is>
      </c>
      <c r="M45" s="96" t="inlineStr">
        <is>
          <t>VFL</t>
        </is>
      </c>
      <c r="N45" s="96" t="inlineStr">
        <is>
          <t>BKK01</t>
        </is>
      </c>
      <c r="O45" s="96" t="inlineStr">
        <is>
          <t>BKK</t>
        </is>
      </c>
      <c r="P45" s="96" t="inlineStr">
        <is>
          <t>TH</t>
        </is>
      </c>
      <c r="Q45" s="96" t="inlineStr">
        <is>
          <t>HASLS22260900218</t>
        </is>
      </c>
      <c r="R45" s="96" t="inlineStr">
        <is>
          <t>N</t>
        </is>
      </c>
      <c r="S45" s="96" t="inlineStr">
        <is>
          <t>N</t>
        </is>
      </c>
      <c r="T45" s="96" t="inlineStr">
        <is>
          <t>KHS</t>
        </is>
      </c>
      <c r="U45" s="97" t="n"/>
      <c r="V45" s="96" t="inlineStr">
        <is>
          <t>K0120023</t>
        </is>
      </c>
      <c r="W45" s="96" t="inlineStr">
        <is>
          <t>THAI ASAHI CO.,LTD.</t>
        </is>
      </c>
      <c r="X45" s="96" t="inlineStr">
        <is>
          <t>VFD</t>
        </is>
      </c>
      <c r="Y45" s="96" t="inlineStr">
        <is>
          <t>WOO SUNG FEED CO., LTD.</t>
        </is>
      </c>
      <c r="Z45" s="96" t="inlineStr">
        <is>
          <t>WOO SUNG FEED CO., LTD.</t>
        </is>
      </c>
      <c r="AA45" s="97" t="n">
        <v>24332</v>
      </c>
      <c r="AB45" s="96" t="inlineStr">
        <is>
          <t>BKK01</t>
        </is>
      </c>
      <c r="AC45" s="96" t="inlineStr">
        <is>
          <t>PUS05</t>
        </is>
      </c>
    </row>
    <row r="46" ht="12" customHeight="1">
      <c r="A46" s="96" t="inlineStr">
        <is>
          <t>SKHU6587331</t>
        </is>
      </c>
      <c r="B46" s="161" t="inlineStr">
        <is>
          <t>2026-10-16</t>
        </is>
      </c>
      <c r="C46" s="96" t="inlineStr">
        <is>
          <t>SWIC</t>
        </is>
      </c>
      <c r="D46" s="96" t="inlineStr">
        <is>
          <t>2611N</t>
        </is>
      </c>
      <c r="E46" s="96" t="inlineStr">
        <is>
          <t>45GP</t>
        </is>
      </c>
      <c r="F46" s="96" t="inlineStr">
        <is>
          <t>SD</t>
        </is>
      </c>
      <c r="G46" s="96" t="inlineStr">
        <is>
          <t>THBKK</t>
        </is>
      </c>
      <c r="H46" s="96" t="inlineStr">
        <is>
          <t>THBKK</t>
        </is>
      </c>
      <c r="I46" s="96" t="inlineStr">
        <is>
          <t>KRPUS</t>
        </is>
      </c>
      <c r="J46" s="96" t="inlineStr">
        <is>
          <t>KRPUS</t>
        </is>
      </c>
      <c r="K46" s="96" t="inlineStr">
        <is>
          <t>F</t>
        </is>
      </c>
      <c r="L46" s="96" t="inlineStr">
        <is>
          <t>ONE</t>
        </is>
      </c>
      <c r="M46" s="96" t="inlineStr">
        <is>
          <t>VFL</t>
        </is>
      </c>
      <c r="N46" s="96" t="inlineStr">
        <is>
          <t>BKK01</t>
        </is>
      </c>
      <c r="O46" s="96" t="inlineStr">
        <is>
          <t>BKK</t>
        </is>
      </c>
      <c r="P46" s="96" t="inlineStr">
        <is>
          <t>TH</t>
        </is>
      </c>
      <c r="Q46" s="96" t="inlineStr">
        <is>
          <t>HASLS22260900218</t>
        </is>
      </c>
      <c r="R46" s="96" t="inlineStr">
        <is>
          <t>N</t>
        </is>
      </c>
      <c r="S46" s="96" t="inlineStr">
        <is>
          <t>N</t>
        </is>
      </c>
      <c r="T46" s="96" t="inlineStr">
        <is>
          <t>KHS</t>
        </is>
      </c>
      <c r="U46" s="97" t="n"/>
      <c r="V46" s="96" t="inlineStr">
        <is>
          <t>K0120023</t>
        </is>
      </c>
      <c r="W46" s="96" t="inlineStr">
        <is>
          <t>THAI ASAHI CO.,LTD.</t>
        </is>
      </c>
      <c r="X46" s="96" t="inlineStr">
        <is>
          <t>VFD</t>
        </is>
      </c>
      <c r="Y46" s="96" t="inlineStr">
        <is>
          <t>WOO SUNG FEED CO., LTD.</t>
        </is>
      </c>
      <c r="Z46" s="96" t="inlineStr">
        <is>
          <t>WOO SUNG FEED CO., LTD.</t>
        </is>
      </c>
      <c r="AA46" s="97" t="n">
        <v>24332</v>
      </c>
      <c r="AB46" s="96" t="inlineStr">
        <is>
          <t>BKK01</t>
        </is>
      </c>
      <c r="AC46" s="96" t="inlineStr">
        <is>
          <t>PUS05</t>
        </is>
      </c>
    </row>
    <row r="47" ht="12" customHeight="1">
      <c r="A47" s="96" t="inlineStr">
        <is>
          <t>SKHU6442301</t>
        </is>
      </c>
      <c r="B47" s="161" t="inlineStr">
        <is>
          <t>2026-10-16</t>
        </is>
      </c>
      <c r="C47" s="96" t="inlineStr">
        <is>
          <t>SWIC</t>
        </is>
      </c>
      <c r="D47" s="96" t="inlineStr">
        <is>
          <t>2611N</t>
        </is>
      </c>
      <c r="E47" s="96" t="inlineStr">
        <is>
          <t>45GP</t>
        </is>
      </c>
      <c r="F47" s="96" t="inlineStr">
        <is>
          <t>SD</t>
        </is>
      </c>
      <c r="G47" s="96" t="inlineStr">
        <is>
          <t>THBKK</t>
        </is>
      </c>
      <c r="H47" s="96" t="inlineStr">
        <is>
          <t>THBKK</t>
        </is>
      </c>
      <c r="I47" s="96" t="inlineStr">
        <is>
          <t>KRKAN</t>
        </is>
      </c>
      <c r="J47" s="96" t="inlineStr">
        <is>
          <t>KRKAN</t>
        </is>
      </c>
      <c r="K47" s="96" t="inlineStr">
        <is>
          <t>F</t>
        </is>
      </c>
      <c r="L47" s="96" t="inlineStr">
        <is>
          <t>ONE</t>
        </is>
      </c>
      <c r="M47" s="96" t="inlineStr">
        <is>
          <t>VFL</t>
        </is>
      </c>
      <c r="N47" s="96" t="inlineStr">
        <is>
          <t>BKK01</t>
        </is>
      </c>
      <c r="O47" s="96" t="inlineStr">
        <is>
          <t>BKK</t>
        </is>
      </c>
      <c r="P47" s="96" t="inlineStr">
        <is>
          <t>TH</t>
        </is>
      </c>
      <c r="Q47" s="96" t="inlineStr">
        <is>
          <t>HASLS22260901726</t>
        </is>
      </c>
      <c r="R47" s="96" t="inlineStr">
        <is>
          <t>N</t>
        </is>
      </c>
      <c r="S47" s="96" t="inlineStr">
        <is>
          <t>N</t>
        </is>
      </c>
      <c r="T47" s="96" t="inlineStr">
        <is>
          <t>KHS</t>
        </is>
      </c>
      <c r="U47" s="97" t="n"/>
      <c r="V47" s="96" t="inlineStr">
        <is>
          <t>K0120023</t>
        </is>
      </c>
      <c r="W47" s="96" t="inlineStr">
        <is>
          <t>THAI ASAHI CO.,LTD.</t>
        </is>
      </c>
      <c r="X47" s="96" t="inlineStr">
        <is>
          <t>VFD</t>
        </is>
      </c>
      <c r="Y47" s="96" t="inlineStr">
        <is>
          <t>TO THE ORDER OF NONGHYUP BANK</t>
        </is>
      </c>
      <c r="Z47" s="96" t="inlineStr">
        <is>
          <t>KOREA FEED CO.,LTD.</t>
        </is>
      </c>
      <c r="AA47" s="97" t="n">
        <v>24332</v>
      </c>
      <c r="AB47" s="96" t="inlineStr">
        <is>
          <t>BKK01</t>
        </is>
      </c>
      <c r="AC47" s="96" t="inlineStr">
        <is>
          <t>KAN06</t>
        </is>
      </c>
    </row>
    <row r="48" ht="12" customHeight="1">
      <c r="A48" s="96" t="inlineStr">
        <is>
          <t>SKHU6420339</t>
        </is>
      </c>
      <c r="B48" s="161" t="inlineStr">
        <is>
          <t>2026-10-16</t>
        </is>
      </c>
      <c r="C48" s="96" t="inlineStr">
        <is>
          <t>SWIC</t>
        </is>
      </c>
      <c r="D48" s="96" t="inlineStr">
        <is>
          <t>2611N</t>
        </is>
      </c>
      <c r="E48" s="96" t="inlineStr">
        <is>
          <t>45GP</t>
        </is>
      </c>
      <c r="F48" s="96" t="inlineStr">
        <is>
          <t>SD</t>
        </is>
      </c>
      <c r="G48" s="96" t="inlineStr">
        <is>
          <t>THBKK</t>
        </is>
      </c>
      <c r="H48" s="96" t="inlineStr">
        <is>
          <t>THBKK</t>
        </is>
      </c>
      <c r="I48" s="96" t="inlineStr">
        <is>
          <t>VNSGN</t>
        </is>
      </c>
      <c r="J48" s="96" t="inlineStr">
        <is>
          <t>VNSGN</t>
        </is>
      </c>
      <c r="K48" s="96" t="inlineStr">
        <is>
          <t>F</t>
        </is>
      </c>
      <c r="L48" s="96" t="inlineStr">
        <is>
          <t>ONE</t>
        </is>
      </c>
      <c r="M48" s="96" t="inlineStr">
        <is>
          <t>VFL</t>
        </is>
      </c>
      <c r="N48" s="96" t="inlineStr">
        <is>
          <t>BKK01</t>
        </is>
      </c>
      <c r="O48" s="96" t="inlineStr">
        <is>
          <t>BKK</t>
        </is>
      </c>
      <c r="P48" s="96" t="inlineStr">
        <is>
          <t>TH</t>
        </is>
      </c>
      <c r="Q48" s="96" t="inlineStr">
        <is>
          <t>HASLS22261000949</t>
        </is>
      </c>
      <c r="R48" s="96" t="inlineStr">
        <is>
          <t>N</t>
        </is>
      </c>
      <c r="S48" s="96" t="inlineStr">
        <is>
          <t>N</t>
        </is>
      </c>
      <c r="T48" s="96" t="inlineStr">
        <is>
          <t>KHS</t>
        </is>
      </c>
      <c r="U48" s="97" t="n"/>
      <c r="V48" s="96" t="inlineStr">
        <is>
          <t>K0120023</t>
        </is>
      </c>
      <c r="W48" s="96" t="inlineStr">
        <is>
          <t>BIRLA CARBON (THAILAND) PUBLIC</t>
        </is>
      </c>
      <c r="X48" s="96" t="inlineStr">
        <is>
          <t>VFD</t>
        </is>
      </c>
      <c r="Y48" s="96" t="inlineStr">
        <is>
          <t>YOKOHAMA TYRE VIETNAM INC.</t>
        </is>
      </c>
      <c r="Z48" s="96" t="inlineStr">
        <is>
          <t>YOKOHAMA TYRE VIETNAM INC.</t>
        </is>
      </c>
      <c r="AA48" s="97" t="n">
        <v>22308</v>
      </c>
      <c r="AB48" s="96" t="inlineStr">
        <is>
          <t>BKK01</t>
        </is>
      </c>
      <c r="AC48" s="96" t="inlineStr">
        <is>
          <t>SGN03</t>
        </is>
      </c>
    </row>
    <row r="49" ht="12" customHeight="1">
      <c r="A49" s="96" t="inlineStr">
        <is>
          <t>FSCU5888721</t>
        </is>
      </c>
      <c r="B49" s="161" t="inlineStr">
        <is>
          <t>2026-10-16</t>
        </is>
      </c>
      <c r="C49" s="96" t="inlineStr">
        <is>
          <t>SWIC</t>
        </is>
      </c>
      <c r="D49" s="96" t="inlineStr">
        <is>
          <t>2611N</t>
        </is>
      </c>
      <c r="E49" s="96" t="inlineStr">
        <is>
          <t>45RE</t>
        </is>
      </c>
      <c r="F49" s="96" t="inlineStr">
        <is>
          <t>SD</t>
        </is>
      </c>
      <c r="G49" s="96" t="inlineStr">
        <is>
          <t>THBKK</t>
        </is>
      </c>
      <c r="H49" s="96" t="inlineStr">
        <is>
          <t>THBKK</t>
        </is>
      </c>
      <c r="I49" s="96" t="inlineStr">
        <is>
          <t>KRPUS</t>
        </is>
      </c>
      <c r="J49" s="96" t="inlineStr">
        <is>
          <t>RUVVO</t>
        </is>
      </c>
      <c r="K49" s="96" t="inlineStr">
        <is>
          <t>F</t>
        </is>
      </c>
      <c r="L49" s="96" t="inlineStr">
        <is>
          <t>ONE</t>
        </is>
      </c>
      <c r="M49" s="96" t="inlineStr">
        <is>
          <t>VFL</t>
        </is>
      </c>
      <c r="N49" s="96" t="inlineStr">
        <is>
          <t>BKK01</t>
        </is>
      </c>
      <c r="O49" s="96" t="inlineStr">
        <is>
          <t>BKK</t>
        </is>
      </c>
      <c r="P49" s="96" t="inlineStr">
        <is>
          <t>TH</t>
        </is>
      </c>
      <c r="Q49" s="96" t="inlineStr">
        <is>
          <t>HASLS22260902791</t>
        </is>
      </c>
      <c r="R49" s="96" t="inlineStr">
        <is>
          <t>Y</t>
        </is>
      </c>
      <c r="S49" s="96" t="inlineStr">
        <is>
          <t>N</t>
        </is>
      </c>
      <c r="T49" s="96" t="inlineStr">
        <is>
          <t>KHS</t>
        </is>
      </c>
      <c r="U49" s="97" t="n"/>
      <c r="V49" s="96" t="inlineStr">
        <is>
          <t>K0120025</t>
        </is>
      </c>
      <c r="W49" s="96" t="inlineStr">
        <is>
          <t>VENTE TRADE CO.,LTD.</t>
        </is>
      </c>
      <c r="X49" s="96" t="inlineStr">
        <is>
          <t>VFD</t>
        </is>
      </c>
      <c r="Y49" s="96" t="inlineStr">
        <is>
          <t>RVI (RUSSIAN VENTURE INVESTMENTS)</t>
        </is>
      </c>
      <c r="Z49" s="96" t="inlineStr">
        <is>
          <t>RVI (RUSSIAN VENTURE INVESTMENTS)</t>
        </is>
      </c>
      <c r="AA49" s="97" t="n">
        <v>24999.6</v>
      </c>
      <c r="AB49" s="96" t="inlineStr">
        <is>
          <t>BKK01</t>
        </is>
      </c>
      <c r="AC49" s="96" t="inlineStr">
        <is>
          <t>VVO01</t>
        </is>
      </c>
    </row>
    <row r="50" ht="12" customHeight="1">
      <c r="A50" s="96" t="inlineStr">
        <is>
          <t>FSCU5892193</t>
        </is>
      </c>
      <c r="B50" s="161" t="inlineStr">
        <is>
          <t>2026-10-16</t>
        </is>
      </c>
      <c r="C50" s="96" t="inlineStr">
        <is>
          <t>SWIC</t>
        </is>
      </c>
      <c r="D50" s="96" t="inlineStr">
        <is>
          <t>2611N</t>
        </is>
      </c>
      <c r="E50" s="96" t="inlineStr">
        <is>
          <t>45RE</t>
        </is>
      </c>
      <c r="F50" s="96" t="inlineStr">
        <is>
          <t>SD</t>
        </is>
      </c>
      <c r="G50" s="96" t="inlineStr">
        <is>
          <t>THBKK</t>
        </is>
      </c>
      <c r="H50" s="96" t="inlineStr">
        <is>
          <t>THBKK</t>
        </is>
      </c>
      <c r="I50" s="96" t="inlineStr">
        <is>
          <t>KRPUS</t>
        </is>
      </c>
      <c r="J50" s="96" t="inlineStr">
        <is>
          <t>RUVVO</t>
        </is>
      </c>
      <c r="K50" s="96" t="inlineStr">
        <is>
          <t>F</t>
        </is>
      </c>
      <c r="L50" s="96" t="inlineStr">
        <is>
          <t>ONE</t>
        </is>
      </c>
      <c r="M50" s="96" t="inlineStr">
        <is>
          <t>VFL</t>
        </is>
      </c>
      <c r="N50" s="96" t="inlineStr">
        <is>
          <t>BKK01</t>
        </is>
      </c>
      <c r="O50" s="96" t="inlineStr">
        <is>
          <t>BKK</t>
        </is>
      </c>
      <c r="P50" s="96" t="inlineStr">
        <is>
          <t>TH</t>
        </is>
      </c>
      <c r="Q50" s="96" t="inlineStr">
        <is>
          <t>HASLS22260902791</t>
        </is>
      </c>
      <c r="R50" s="96" t="inlineStr">
        <is>
          <t>Y</t>
        </is>
      </c>
      <c r="S50" s="96" t="inlineStr">
        <is>
          <t>N</t>
        </is>
      </c>
      <c r="T50" s="96" t="inlineStr">
        <is>
          <t>KHS</t>
        </is>
      </c>
      <c r="U50" s="97" t="n"/>
      <c r="V50" s="96" t="inlineStr">
        <is>
          <t>K0120025</t>
        </is>
      </c>
      <c r="W50" s="96" t="inlineStr">
        <is>
          <t>VENTE TRADE CO.,LTD.</t>
        </is>
      </c>
      <c r="X50" s="96" t="inlineStr">
        <is>
          <t>VFD</t>
        </is>
      </c>
      <c r="Y50" s="96" t="inlineStr">
        <is>
          <t>RVI (RUSSIAN VENTURE INVESTMENTS)</t>
        </is>
      </c>
      <c r="Z50" s="96" t="inlineStr">
        <is>
          <t>RVI (RUSSIAN VENTURE INVESTMENTS)</t>
        </is>
      </c>
      <c r="AA50" s="97" t="n">
        <v>24999.6</v>
      </c>
      <c r="AB50" s="96" t="inlineStr">
        <is>
          <t>BKK01</t>
        </is>
      </c>
      <c r="AC50" s="96" t="inlineStr">
        <is>
          <t>VVO01</t>
        </is>
      </c>
    </row>
    <row r="51" ht="12" customHeight="1">
      <c r="A51" s="96" t="inlineStr">
        <is>
          <t>SKRU9909262</t>
        </is>
      </c>
      <c r="B51" s="161" t="inlineStr">
        <is>
          <t>2026-10-16</t>
        </is>
      </c>
      <c r="C51" s="96" t="inlineStr">
        <is>
          <t>SWIC</t>
        </is>
      </c>
      <c r="D51" s="96" t="inlineStr">
        <is>
          <t>2611N</t>
        </is>
      </c>
      <c r="E51" s="96" t="inlineStr">
        <is>
          <t>45RE</t>
        </is>
      </c>
      <c r="F51" s="96" t="inlineStr">
        <is>
          <t>SD</t>
        </is>
      </c>
      <c r="G51" s="96" t="inlineStr">
        <is>
          <t>THBKK</t>
        </is>
      </c>
      <c r="H51" s="96" t="inlineStr">
        <is>
          <t>THBKK</t>
        </is>
      </c>
      <c r="I51" s="96" t="inlineStr">
        <is>
          <t>KRPUS</t>
        </is>
      </c>
      <c r="J51" s="96" t="inlineStr">
        <is>
          <t>RUVVO</t>
        </is>
      </c>
      <c r="K51" s="96" t="inlineStr">
        <is>
          <t>F</t>
        </is>
      </c>
      <c r="L51" s="96" t="inlineStr">
        <is>
          <t>ONE</t>
        </is>
      </c>
      <c r="M51" s="96" t="inlineStr">
        <is>
          <t>VFL</t>
        </is>
      </c>
      <c r="N51" s="96" t="inlineStr">
        <is>
          <t>BKK01</t>
        </is>
      </c>
      <c r="O51" s="96" t="inlineStr">
        <is>
          <t>BKK</t>
        </is>
      </c>
      <c r="P51" s="96" t="inlineStr">
        <is>
          <t>TH</t>
        </is>
      </c>
      <c r="Q51" s="96" t="inlineStr">
        <is>
          <t>HASLS22260902791</t>
        </is>
      </c>
      <c r="R51" s="96" t="inlineStr">
        <is>
          <t>Y</t>
        </is>
      </c>
      <c r="S51" s="96" t="inlineStr">
        <is>
          <t>N</t>
        </is>
      </c>
      <c r="T51" s="96" t="inlineStr">
        <is>
          <t>KHS</t>
        </is>
      </c>
      <c r="U51" s="97" t="n"/>
      <c r="V51" s="96" t="inlineStr">
        <is>
          <t>K0120025</t>
        </is>
      </c>
      <c r="W51" s="96" t="inlineStr">
        <is>
          <t>VENTE TRADE CO.,LTD.</t>
        </is>
      </c>
      <c r="X51" s="96" t="inlineStr">
        <is>
          <t>VFD</t>
        </is>
      </c>
      <c r="Y51" s="96" t="inlineStr">
        <is>
          <t>RVI (RUSSIAN VENTURE INVESTMENTS)</t>
        </is>
      </c>
      <c r="Z51" s="96" t="inlineStr">
        <is>
          <t>RVI (RUSSIAN VENTURE INVESTMENTS)</t>
        </is>
      </c>
      <c r="AA51" s="97" t="n">
        <v>24999.6</v>
      </c>
      <c r="AB51" s="96" t="inlineStr">
        <is>
          <t>BKK01</t>
        </is>
      </c>
      <c r="AC51" s="96" t="inlineStr">
        <is>
          <t>VVO01</t>
        </is>
      </c>
    </row>
    <row r="52" ht="12" customHeight="1">
      <c r="A52" s="96" t="inlineStr">
        <is>
          <t>FSCU5893327</t>
        </is>
      </c>
      <c r="B52" s="161" t="inlineStr">
        <is>
          <t>2026-10-16</t>
        </is>
      </c>
      <c r="C52" s="96" t="inlineStr">
        <is>
          <t>SWIC</t>
        </is>
      </c>
      <c r="D52" s="96" t="inlineStr">
        <is>
          <t>2611N</t>
        </is>
      </c>
      <c r="E52" s="96" t="inlineStr">
        <is>
          <t>45RE</t>
        </is>
      </c>
      <c r="F52" s="96" t="inlineStr">
        <is>
          <t>SD</t>
        </is>
      </c>
      <c r="G52" s="96" t="inlineStr">
        <is>
          <t>THBKK</t>
        </is>
      </c>
      <c r="H52" s="96" t="inlineStr">
        <is>
          <t>THBKK</t>
        </is>
      </c>
      <c r="I52" s="96" t="inlineStr">
        <is>
          <t>KRPUS</t>
        </is>
      </c>
      <c r="J52" s="96" t="inlineStr">
        <is>
          <t>RUVVO</t>
        </is>
      </c>
      <c r="K52" s="96" t="inlineStr">
        <is>
          <t>F</t>
        </is>
      </c>
      <c r="L52" s="96" t="inlineStr">
        <is>
          <t>ONE</t>
        </is>
      </c>
      <c r="M52" s="96" t="inlineStr">
        <is>
          <t>VFL</t>
        </is>
      </c>
      <c r="N52" s="96" t="inlineStr">
        <is>
          <t>BKK01</t>
        </is>
      </c>
      <c r="O52" s="96" t="inlineStr">
        <is>
          <t>BKK</t>
        </is>
      </c>
      <c r="P52" s="96" t="inlineStr">
        <is>
          <t>TH</t>
        </is>
      </c>
      <c r="Q52" s="96" t="inlineStr">
        <is>
          <t>HASLS22260902365</t>
        </is>
      </c>
      <c r="R52" s="96" t="inlineStr">
        <is>
          <t>Y</t>
        </is>
      </c>
      <c r="S52" s="96" t="inlineStr">
        <is>
          <t>N</t>
        </is>
      </c>
      <c r="T52" s="96" t="inlineStr">
        <is>
          <t>KHS</t>
        </is>
      </c>
      <c r="U52" s="97" t="n"/>
      <c r="V52" s="96" t="inlineStr">
        <is>
          <t>K0120025</t>
        </is>
      </c>
      <c r="W52" s="96" t="inlineStr">
        <is>
          <t>THAI AGRI FOODS PUBLIC COMPANY</t>
        </is>
      </c>
      <c r="X52" s="96" t="inlineStr">
        <is>
          <t>VFD</t>
        </is>
      </c>
      <c r="Y52" s="96" t="inlineStr">
        <is>
          <t>EXIM PACIFIC LLC. RUSSIA,</t>
        </is>
      </c>
      <c r="Z52" s="96" t="inlineStr">
        <is>
          <t>EXIM PACIFIC LLC. RUSSIA,</t>
        </is>
      </c>
      <c r="AA52" s="97" t="n">
        <v>26722.5</v>
      </c>
      <c r="AB52" s="96" t="inlineStr">
        <is>
          <t>BKK01</t>
        </is>
      </c>
      <c r="AC52" s="96" t="inlineStr">
        <is>
          <t>VVO01</t>
        </is>
      </c>
    </row>
    <row r="53" ht="12" customHeight="1">
      <c r="A53" s="96" t="inlineStr">
        <is>
          <t>SKLU1803122</t>
        </is>
      </c>
      <c r="B53" s="161" t="inlineStr">
        <is>
          <t>2026-10-16</t>
        </is>
      </c>
      <c r="C53" s="96" t="inlineStr">
        <is>
          <t>SWIC</t>
        </is>
      </c>
      <c r="D53" s="96" t="inlineStr">
        <is>
          <t>2611N</t>
        </is>
      </c>
      <c r="E53" s="96" t="inlineStr">
        <is>
          <t>22GP</t>
        </is>
      </c>
      <c r="F53" s="96" t="inlineStr">
        <is>
          <t>SD</t>
        </is>
      </c>
      <c r="G53" s="96" t="inlineStr">
        <is>
          <t>THBKK</t>
        </is>
      </c>
      <c r="H53" s="96" t="inlineStr">
        <is>
          <t>THBKK</t>
        </is>
      </c>
      <c r="I53" s="96" t="inlineStr">
        <is>
          <t>KRPUS</t>
        </is>
      </c>
      <c r="J53" s="96" t="inlineStr">
        <is>
          <t>RUVVO</t>
        </is>
      </c>
      <c r="K53" s="96" t="inlineStr">
        <is>
          <t>F</t>
        </is>
      </c>
      <c r="L53" s="96" t="inlineStr">
        <is>
          <t>ONE</t>
        </is>
      </c>
      <c r="M53" s="96" t="inlineStr">
        <is>
          <t>VFL</t>
        </is>
      </c>
      <c r="N53" s="96" t="inlineStr">
        <is>
          <t>BKK01</t>
        </is>
      </c>
      <c r="O53" s="96" t="inlineStr">
        <is>
          <t>BKK</t>
        </is>
      </c>
      <c r="P53" s="96" t="inlineStr">
        <is>
          <t>TH</t>
        </is>
      </c>
      <c r="Q53" s="96" t="inlineStr">
        <is>
          <t>HASLS22260902760</t>
        </is>
      </c>
      <c r="R53" s="96" t="inlineStr">
        <is>
          <t>Y</t>
        </is>
      </c>
      <c r="S53" s="96" t="inlineStr">
        <is>
          <t>N</t>
        </is>
      </c>
      <c r="T53" s="96" t="inlineStr">
        <is>
          <t>KHS</t>
        </is>
      </c>
      <c r="U53" s="97" t="n"/>
      <c r="V53" s="96" t="inlineStr">
        <is>
          <t>K0120021</t>
        </is>
      </c>
      <c r="W53" s="96" t="inlineStr">
        <is>
          <t>THAI AGRI FOODS PUBLIC COMPANY</t>
        </is>
      </c>
      <c r="X53" s="96" t="inlineStr">
        <is>
          <t>VFD</t>
        </is>
      </c>
      <c r="Y53" s="96" t="inlineStr">
        <is>
          <t>EXIM PACIFIC LLC. RUSSIA,</t>
        </is>
      </c>
      <c r="Z53" s="96" t="inlineStr">
        <is>
          <t>EXIM PACIFIC LLC. RUSSIA,</t>
        </is>
      </c>
      <c r="AA53" s="97" t="n">
        <v>19239</v>
      </c>
      <c r="AB53" s="96" t="inlineStr">
        <is>
          <t>BKK01</t>
        </is>
      </c>
      <c r="AC53" s="96" t="inlineStr">
        <is>
          <t>VVO01</t>
        </is>
      </c>
    </row>
    <row r="54" ht="12" customHeight="1">
      <c r="A54" s="96" t="inlineStr">
        <is>
          <t>SKLU2471953</t>
        </is>
      </c>
      <c r="B54" s="161" t="inlineStr">
        <is>
          <t>2026-10-16</t>
        </is>
      </c>
      <c r="C54" s="96" t="inlineStr">
        <is>
          <t>SWIC</t>
        </is>
      </c>
      <c r="D54" s="96" t="inlineStr">
        <is>
          <t>2611N</t>
        </is>
      </c>
      <c r="E54" s="96" t="inlineStr">
        <is>
          <t>22GP</t>
        </is>
      </c>
      <c r="F54" s="96" t="inlineStr">
        <is>
          <t>SD</t>
        </is>
      </c>
      <c r="G54" s="96" t="inlineStr">
        <is>
          <t>THBKK</t>
        </is>
      </c>
      <c r="H54" s="96" t="inlineStr">
        <is>
          <t>THBKK</t>
        </is>
      </c>
      <c r="I54" s="96" t="inlineStr">
        <is>
          <t>KRPUS</t>
        </is>
      </c>
      <c r="J54" s="96" t="inlineStr">
        <is>
          <t>JPUKB</t>
        </is>
      </c>
      <c r="K54" s="96" t="inlineStr">
        <is>
          <t>F</t>
        </is>
      </c>
      <c r="L54" s="96" t="inlineStr">
        <is>
          <t>ONE</t>
        </is>
      </c>
      <c r="M54" s="96" t="inlineStr">
        <is>
          <t>VFL</t>
        </is>
      </c>
      <c r="N54" s="96" t="inlineStr">
        <is>
          <t>BKK01</t>
        </is>
      </c>
      <c r="O54" s="96" t="inlineStr">
        <is>
          <t>BKK</t>
        </is>
      </c>
      <c r="P54" s="96" t="inlineStr">
        <is>
          <t>TH</t>
        </is>
      </c>
      <c r="Q54" s="96" t="inlineStr">
        <is>
          <t>HASLS22260902184</t>
        </is>
      </c>
      <c r="R54" s="96" t="inlineStr">
        <is>
          <t>Y</t>
        </is>
      </c>
      <c r="S54" s="96" t="inlineStr">
        <is>
          <t>N</t>
        </is>
      </c>
      <c r="T54" s="96" t="inlineStr">
        <is>
          <t>KHS</t>
        </is>
      </c>
      <c r="U54" s="97" t="n"/>
      <c r="V54" s="96" t="inlineStr">
        <is>
          <t>K0120021</t>
        </is>
      </c>
      <c r="W54" s="96" t="inlineStr">
        <is>
          <t>BIRLA CARBON (THAILAND) PUBLIC</t>
        </is>
      </c>
      <c r="X54" s="96" t="inlineStr">
        <is>
          <t>VFD</t>
        </is>
      </c>
      <c r="Y54" s="96" t="inlineStr">
        <is>
          <t>NIPPON GIANT TIRE CO.,LTD.</t>
        </is>
      </c>
      <c r="Z54" s="96" t="inlineStr">
        <is>
          <t>NIPPON GIANT TIRE CO.,LTD.</t>
        </is>
      </c>
      <c r="AA54" s="97" t="n">
        <v>11654</v>
      </c>
      <c r="AB54" s="96" t="inlineStr">
        <is>
          <t>BKK01</t>
        </is>
      </c>
      <c r="AC54" s="96" t="inlineStr">
        <is>
          <t>UKB03</t>
        </is>
      </c>
    </row>
    <row r="55" ht="12" customHeight="1">
      <c r="A55" s="96" t="inlineStr">
        <is>
          <t>SKLU2484101</t>
        </is>
      </c>
      <c r="B55" s="161" t="inlineStr">
        <is>
          <t>2026-10-16</t>
        </is>
      </c>
      <c r="C55" s="96" t="inlineStr">
        <is>
          <t>SWIC</t>
        </is>
      </c>
      <c r="D55" s="96" t="inlineStr">
        <is>
          <t>2611N</t>
        </is>
      </c>
      <c r="E55" s="96" t="inlineStr">
        <is>
          <t>22GP</t>
        </is>
      </c>
      <c r="F55" s="96" t="inlineStr">
        <is>
          <t>SD</t>
        </is>
      </c>
      <c r="G55" s="96" t="inlineStr">
        <is>
          <t>THBKK</t>
        </is>
      </c>
      <c r="H55" s="96" t="inlineStr">
        <is>
          <t>THBKK</t>
        </is>
      </c>
      <c r="I55" s="96" t="inlineStr">
        <is>
          <t>KRPUS</t>
        </is>
      </c>
      <c r="J55" s="96" t="inlineStr">
        <is>
          <t>JPUKB</t>
        </is>
      </c>
      <c r="K55" s="96" t="inlineStr">
        <is>
          <t>F</t>
        </is>
      </c>
      <c r="L55" s="96" t="inlineStr">
        <is>
          <t>ONE</t>
        </is>
      </c>
      <c r="M55" s="96" t="inlineStr">
        <is>
          <t>VFL</t>
        </is>
      </c>
      <c r="N55" s="96" t="inlineStr">
        <is>
          <t>BKK01</t>
        </is>
      </c>
      <c r="O55" s="96" t="inlineStr">
        <is>
          <t>BKK</t>
        </is>
      </c>
      <c r="P55" s="96" t="inlineStr">
        <is>
          <t>TH</t>
        </is>
      </c>
      <c r="Q55" s="96" t="inlineStr">
        <is>
          <t>HASLS22260902184</t>
        </is>
      </c>
      <c r="R55" s="96" t="inlineStr">
        <is>
          <t>Y</t>
        </is>
      </c>
      <c r="S55" s="96" t="inlineStr">
        <is>
          <t>N</t>
        </is>
      </c>
      <c r="T55" s="96" t="inlineStr">
        <is>
          <t>KHS</t>
        </is>
      </c>
      <c r="U55" s="97" t="n"/>
      <c r="V55" s="96" t="inlineStr">
        <is>
          <t>K0120021</t>
        </is>
      </c>
      <c r="W55" s="96" t="inlineStr">
        <is>
          <t>BIRLA CARBON (THAILAND) PUBLIC</t>
        </is>
      </c>
      <c r="X55" s="96" t="inlineStr">
        <is>
          <t>VFD</t>
        </is>
      </c>
      <c r="Y55" s="96" t="inlineStr">
        <is>
          <t>NIPPON GIANT TIRE CO.,LTD.</t>
        </is>
      </c>
      <c r="Z55" s="96" t="inlineStr">
        <is>
          <t>NIPPON GIANT TIRE CO.,LTD.</t>
        </is>
      </c>
      <c r="AA55" s="97" t="n">
        <v>11564</v>
      </c>
      <c r="AB55" s="96" t="inlineStr">
        <is>
          <t>BKK01</t>
        </is>
      </c>
      <c r="AC55" s="96" t="inlineStr">
        <is>
          <t>UKB03</t>
        </is>
      </c>
    </row>
    <row r="56" ht="12" customHeight="1">
      <c r="A56" s="96" t="inlineStr">
        <is>
          <t>SKLU0562648</t>
        </is>
      </c>
      <c r="B56" s="161" t="inlineStr">
        <is>
          <t>2026-10-16</t>
        </is>
      </c>
      <c r="C56" s="96" t="inlineStr">
        <is>
          <t>SWIC</t>
        </is>
      </c>
      <c r="D56" s="96" t="inlineStr">
        <is>
          <t>2611N</t>
        </is>
      </c>
      <c r="E56" s="96" t="inlineStr">
        <is>
          <t>22GP</t>
        </is>
      </c>
      <c r="F56" s="96" t="inlineStr">
        <is>
          <t>SD</t>
        </is>
      </c>
      <c r="G56" s="96" t="inlineStr">
        <is>
          <t>THBKK</t>
        </is>
      </c>
      <c r="H56" s="96" t="inlineStr">
        <is>
          <t>THBKK</t>
        </is>
      </c>
      <c r="I56" s="96" t="inlineStr">
        <is>
          <t>KRPUS</t>
        </is>
      </c>
      <c r="J56" s="96" t="inlineStr">
        <is>
          <t>JPSEN</t>
        </is>
      </c>
      <c r="K56" s="96" t="inlineStr">
        <is>
          <t>F</t>
        </is>
      </c>
      <c r="L56" s="96" t="inlineStr">
        <is>
          <t>ONE</t>
        </is>
      </c>
      <c r="M56" s="96" t="inlineStr">
        <is>
          <t>VFL</t>
        </is>
      </c>
      <c r="N56" s="96" t="inlineStr">
        <is>
          <t>BKK01</t>
        </is>
      </c>
      <c r="O56" s="96" t="inlineStr">
        <is>
          <t>BKK</t>
        </is>
      </c>
      <c r="P56" s="96" t="inlineStr">
        <is>
          <t>TH</t>
        </is>
      </c>
      <c r="Q56" s="96" t="inlineStr">
        <is>
          <t>HASLS22260801865</t>
        </is>
      </c>
      <c r="R56" s="96" t="inlineStr">
        <is>
          <t>Y</t>
        </is>
      </c>
      <c r="S56" s="96" t="inlineStr">
        <is>
          <t>N</t>
        </is>
      </c>
      <c r="T56" s="96" t="inlineStr">
        <is>
          <t>KHS</t>
        </is>
      </c>
      <c r="U56" s="97" t="n"/>
      <c r="V56" s="96" t="inlineStr">
        <is>
          <t>K0120021</t>
        </is>
      </c>
      <c r="W56" s="96" t="inlineStr">
        <is>
          <t>STARFISH CO.,LTD</t>
        </is>
      </c>
      <c r="X56" s="96" t="inlineStr">
        <is>
          <t>VFD</t>
        </is>
      </c>
      <c r="Y56" s="96" t="inlineStr">
        <is>
          <t>TO ORDER OF NISSUI CORPORATION.</t>
        </is>
      </c>
      <c r="Z56" s="96" t="inlineStr">
        <is>
          <t>NISSUI CORPORATION.</t>
        </is>
      </c>
      <c r="AA56" s="97" t="n">
        <v>20056</v>
      </c>
      <c r="AB56" s="96" t="inlineStr">
        <is>
          <t>BKK01</t>
        </is>
      </c>
      <c r="AC56" s="96" t="inlineStr">
        <is>
          <t>SEN01</t>
        </is>
      </c>
    </row>
    <row r="57" ht="12" customHeight="1">
      <c r="A57" s="96" t="inlineStr">
        <is>
          <t>SKLU1650487</t>
        </is>
      </c>
      <c r="B57" s="161" t="inlineStr">
        <is>
          <t>2026-10-16</t>
        </is>
      </c>
      <c r="C57" s="96" t="inlineStr">
        <is>
          <t>SWIC</t>
        </is>
      </c>
      <c r="D57" s="96" t="inlineStr">
        <is>
          <t>2611N</t>
        </is>
      </c>
      <c r="E57" s="96" t="inlineStr">
        <is>
          <t>22GP</t>
        </is>
      </c>
      <c r="F57" s="96" t="inlineStr">
        <is>
          <t>SD</t>
        </is>
      </c>
      <c r="G57" s="96" t="inlineStr">
        <is>
          <t>THBKK</t>
        </is>
      </c>
      <c r="H57" s="96" t="inlineStr">
        <is>
          <t>THBKK</t>
        </is>
      </c>
      <c r="I57" s="96" t="inlineStr">
        <is>
          <t>KRPUS</t>
        </is>
      </c>
      <c r="J57" s="96" t="inlineStr">
        <is>
          <t>JPSEN</t>
        </is>
      </c>
      <c r="K57" s="96" t="inlineStr">
        <is>
          <t>F</t>
        </is>
      </c>
      <c r="L57" s="96" t="inlineStr">
        <is>
          <t>ONE</t>
        </is>
      </c>
      <c r="M57" s="96" t="inlineStr">
        <is>
          <t>VFL</t>
        </is>
      </c>
      <c r="N57" s="96" t="inlineStr">
        <is>
          <t>BKK01</t>
        </is>
      </c>
      <c r="O57" s="96" t="inlineStr">
        <is>
          <t>BKK</t>
        </is>
      </c>
      <c r="P57" s="96" t="inlineStr">
        <is>
          <t>TH</t>
        </is>
      </c>
      <c r="Q57" s="96" t="inlineStr">
        <is>
          <t>HASLS22260801865</t>
        </is>
      </c>
      <c r="R57" s="96" t="inlineStr">
        <is>
          <t>Y</t>
        </is>
      </c>
      <c r="S57" s="96" t="inlineStr">
        <is>
          <t>N</t>
        </is>
      </c>
      <c r="T57" s="96" t="inlineStr">
        <is>
          <t>KHS</t>
        </is>
      </c>
      <c r="U57" s="97" t="n"/>
      <c r="V57" s="96" t="inlineStr">
        <is>
          <t>K0120021</t>
        </is>
      </c>
      <c r="W57" s="96" t="inlineStr">
        <is>
          <t>STARFISH CO.,LTD</t>
        </is>
      </c>
      <c r="X57" s="96" t="inlineStr">
        <is>
          <t>VFD</t>
        </is>
      </c>
      <c r="Y57" s="96" t="inlineStr">
        <is>
          <t>TO ORDER OF NISSUI CORPORATION.</t>
        </is>
      </c>
      <c r="Z57" s="96" t="inlineStr">
        <is>
          <t>NISSUI CORPORATION.</t>
        </is>
      </c>
      <c r="AA57" s="97" t="n">
        <v>20056</v>
      </c>
      <c r="AB57" s="96" t="inlineStr">
        <is>
          <t>BKK01</t>
        </is>
      </c>
      <c r="AC57" s="96" t="inlineStr">
        <is>
          <t>SEN01</t>
        </is>
      </c>
    </row>
    <row r="58" ht="12" customHeight="1">
      <c r="A58" s="96" t="inlineStr">
        <is>
          <t>SKLU1954936</t>
        </is>
      </c>
      <c r="B58" s="161" t="inlineStr">
        <is>
          <t>2026-10-16</t>
        </is>
      </c>
      <c r="C58" s="96" t="inlineStr">
        <is>
          <t>SWIC</t>
        </is>
      </c>
      <c r="D58" s="96" t="inlineStr">
        <is>
          <t>2611N</t>
        </is>
      </c>
      <c r="E58" s="96" t="inlineStr">
        <is>
          <t>22GP</t>
        </is>
      </c>
      <c r="F58" s="96" t="inlineStr">
        <is>
          <t>SD</t>
        </is>
      </c>
      <c r="G58" s="96" t="inlineStr">
        <is>
          <t>THBKK</t>
        </is>
      </c>
      <c r="H58" s="96" t="inlineStr">
        <is>
          <t>THBKK</t>
        </is>
      </c>
      <c r="I58" s="96" t="inlineStr">
        <is>
          <t>KRPUS</t>
        </is>
      </c>
      <c r="J58" s="96" t="inlineStr">
        <is>
          <t>JPSEN</t>
        </is>
      </c>
      <c r="K58" s="96" t="inlineStr">
        <is>
          <t>F</t>
        </is>
      </c>
      <c r="L58" s="96" t="inlineStr">
        <is>
          <t>ONE</t>
        </is>
      </c>
      <c r="M58" s="96" t="inlineStr">
        <is>
          <t>VFL</t>
        </is>
      </c>
      <c r="N58" s="96" t="inlineStr">
        <is>
          <t>BKK01</t>
        </is>
      </c>
      <c r="O58" s="96" t="inlineStr">
        <is>
          <t>BKK</t>
        </is>
      </c>
      <c r="P58" s="96" t="inlineStr">
        <is>
          <t>TH</t>
        </is>
      </c>
      <c r="Q58" s="96" t="inlineStr">
        <is>
          <t>HASLS22260801865</t>
        </is>
      </c>
      <c r="R58" s="96" t="inlineStr">
        <is>
          <t>Y</t>
        </is>
      </c>
      <c r="S58" s="96" t="inlineStr">
        <is>
          <t>N</t>
        </is>
      </c>
      <c r="T58" s="96" t="inlineStr">
        <is>
          <t>KHS</t>
        </is>
      </c>
      <c r="U58" s="97" t="n"/>
      <c r="V58" s="96" t="inlineStr">
        <is>
          <t>K0120021</t>
        </is>
      </c>
      <c r="W58" s="96" t="inlineStr">
        <is>
          <t>STARFISH CO.,LTD</t>
        </is>
      </c>
      <c r="X58" s="96" t="inlineStr">
        <is>
          <t>VFD</t>
        </is>
      </c>
      <c r="Y58" s="96" t="inlineStr">
        <is>
          <t>TO ORDER OF NISSUI CORPORATION.</t>
        </is>
      </c>
      <c r="Z58" s="96" t="inlineStr">
        <is>
          <t>NISSUI CORPORATION.</t>
        </is>
      </c>
      <c r="AA58" s="97" t="n">
        <v>20056</v>
      </c>
      <c r="AB58" s="96" t="inlineStr">
        <is>
          <t>BKK01</t>
        </is>
      </c>
      <c r="AC58" s="96" t="inlineStr">
        <is>
          <t>SEN01</t>
        </is>
      </c>
    </row>
    <row r="59" ht="12" customHeight="1">
      <c r="A59" s="96" t="inlineStr">
        <is>
          <t>SKLU1975585</t>
        </is>
      </c>
      <c r="B59" s="161" t="inlineStr">
        <is>
          <t>2026-10-16</t>
        </is>
      </c>
      <c r="C59" s="96" t="inlineStr">
        <is>
          <t>SWIC</t>
        </is>
      </c>
      <c r="D59" s="96" t="inlineStr">
        <is>
          <t>2611N</t>
        </is>
      </c>
      <c r="E59" s="96" t="inlineStr">
        <is>
          <t>22GP</t>
        </is>
      </c>
      <c r="F59" s="96" t="inlineStr">
        <is>
          <t>SD</t>
        </is>
      </c>
      <c r="G59" s="96" t="inlineStr">
        <is>
          <t>THBKK</t>
        </is>
      </c>
      <c r="H59" s="96" t="inlineStr">
        <is>
          <t>THBKK</t>
        </is>
      </c>
      <c r="I59" s="96" t="inlineStr">
        <is>
          <t>KRPUS</t>
        </is>
      </c>
      <c r="J59" s="96" t="inlineStr">
        <is>
          <t>JPSEN</t>
        </is>
      </c>
      <c r="K59" s="96" t="inlineStr">
        <is>
          <t>F</t>
        </is>
      </c>
      <c r="L59" s="96" t="inlineStr">
        <is>
          <t>ONE</t>
        </is>
      </c>
      <c r="M59" s="96" t="inlineStr">
        <is>
          <t>VFL</t>
        </is>
      </c>
      <c r="N59" s="96" t="inlineStr">
        <is>
          <t>BKK01</t>
        </is>
      </c>
      <c r="O59" s="96" t="inlineStr">
        <is>
          <t>BKK</t>
        </is>
      </c>
      <c r="P59" s="96" t="inlineStr">
        <is>
          <t>TH</t>
        </is>
      </c>
      <c r="Q59" s="96" t="inlineStr">
        <is>
          <t>HASLS22260801865</t>
        </is>
      </c>
      <c r="R59" s="96" t="inlineStr">
        <is>
          <t>Y</t>
        </is>
      </c>
      <c r="S59" s="96" t="inlineStr">
        <is>
          <t>N</t>
        </is>
      </c>
      <c r="T59" s="96" t="inlineStr">
        <is>
          <t>KHS</t>
        </is>
      </c>
      <c r="U59" s="97" t="n"/>
      <c r="V59" s="96" t="inlineStr">
        <is>
          <t>K0120021</t>
        </is>
      </c>
      <c r="W59" s="96" t="inlineStr">
        <is>
          <t>STARFISH CO.,LTD</t>
        </is>
      </c>
      <c r="X59" s="96" t="inlineStr">
        <is>
          <t>VFD</t>
        </is>
      </c>
      <c r="Y59" s="96" t="inlineStr">
        <is>
          <t>TO ORDER OF NISSUI CORPORATION.</t>
        </is>
      </c>
      <c r="Z59" s="96" t="inlineStr">
        <is>
          <t>NISSUI CORPORATION.</t>
        </is>
      </c>
      <c r="AA59" s="97" t="n">
        <v>20056</v>
      </c>
      <c r="AB59" s="96" t="inlineStr">
        <is>
          <t>BKK01</t>
        </is>
      </c>
      <c r="AC59" s="96" t="inlineStr">
        <is>
          <t>SEN01</t>
        </is>
      </c>
    </row>
    <row r="60" ht="12" customHeight="1">
      <c r="A60" s="96" t="inlineStr">
        <is>
          <t>SKLU2060382</t>
        </is>
      </c>
      <c r="B60" s="161" t="inlineStr">
        <is>
          <t>2026-10-16</t>
        </is>
      </c>
      <c r="C60" s="96" t="inlineStr">
        <is>
          <t>SWIC</t>
        </is>
      </c>
      <c r="D60" s="96" t="inlineStr">
        <is>
          <t>2611N</t>
        </is>
      </c>
      <c r="E60" s="96" t="inlineStr">
        <is>
          <t>22GP</t>
        </is>
      </c>
      <c r="F60" s="96" t="inlineStr">
        <is>
          <t>SD</t>
        </is>
      </c>
      <c r="G60" s="96" t="inlineStr">
        <is>
          <t>THBKK</t>
        </is>
      </c>
      <c r="H60" s="96" t="inlineStr">
        <is>
          <t>THBKK</t>
        </is>
      </c>
      <c r="I60" s="96" t="inlineStr">
        <is>
          <t>KRPUS</t>
        </is>
      </c>
      <c r="J60" s="96" t="inlineStr">
        <is>
          <t>JPSEN</t>
        </is>
      </c>
      <c r="K60" s="96" t="inlineStr">
        <is>
          <t>F</t>
        </is>
      </c>
      <c r="L60" s="96" t="inlineStr">
        <is>
          <t>ONE</t>
        </is>
      </c>
      <c r="M60" s="96" t="inlineStr">
        <is>
          <t>VFL</t>
        </is>
      </c>
      <c r="N60" s="96" t="inlineStr">
        <is>
          <t>BKK01</t>
        </is>
      </c>
      <c r="O60" s="96" t="inlineStr">
        <is>
          <t>BKK</t>
        </is>
      </c>
      <c r="P60" s="96" t="inlineStr">
        <is>
          <t>TH</t>
        </is>
      </c>
      <c r="Q60" s="96" t="inlineStr">
        <is>
          <t>HASLS22260801865</t>
        </is>
      </c>
      <c r="R60" s="96" t="inlineStr">
        <is>
          <t>Y</t>
        </is>
      </c>
      <c r="S60" s="96" t="inlineStr">
        <is>
          <t>N</t>
        </is>
      </c>
      <c r="T60" s="96" t="inlineStr">
        <is>
          <t>KHS</t>
        </is>
      </c>
      <c r="U60" s="97" t="n"/>
      <c r="V60" s="96" t="inlineStr">
        <is>
          <t>K0120021</t>
        </is>
      </c>
      <c r="W60" s="96" t="inlineStr">
        <is>
          <t>STARFISH CO.,LTD</t>
        </is>
      </c>
      <c r="X60" s="96" t="inlineStr">
        <is>
          <t>VFD</t>
        </is>
      </c>
      <c r="Y60" s="96" t="inlineStr">
        <is>
          <t>TO ORDER OF NISSUI CORPORATION.</t>
        </is>
      </c>
      <c r="Z60" s="96" t="inlineStr">
        <is>
          <t>NISSUI CORPORATION.</t>
        </is>
      </c>
      <c r="AA60" s="97" t="n">
        <v>20056</v>
      </c>
      <c r="AB60" s="96" t="inlineStr">
        <is>
          <t>BKK01</t>
        </is>
      </c>
      <c r="AC60" s="96" t="inlineStr">
        <is>
          <t>SEN01</t>
        </is>
      </c>
    </row>
    <row r="61" ht="12" customHeight="1">
      <c r="A61" s="96" t="inlineStr">
        <is>
          <t>SKLU2120603</t>
        </is>
      </c>
      <c r="B61" s="161" t="inlineStr">
        <is>
          <t>2026-10-16</t>
        </is>
      </c>
      <c r="C61" s="96" t="inlineStr">
        <is>
          <t>SWIC</t>
        </is>
      </c>
      <c r="D61" s="96" t="inlineStr">
        <is>
          <t>2611N</t>
        </is>
      </c>
      <c r="E61" s="96" t="inlineStr">
        <is>
          <t>22GP</t>
        </is>
      </c>
      <c r="F61" s="96" t="inlineStr">
        <is>
          <t>SD</t>
        </is>
      </c>
      <c r="G61" s="96" t="inlineStr">
        <is>
          <t>THBKK</t>
        </is>
      </c>
      <c r="H61" s="96" t="inlineStr">
        <is>
          <t>THBKK</t>
        </is>
      </c>
      <c r="I61" s="96" t="inlineStr">
        <is>
          <t>KRPUS</t>
        </is>
      </c>
      <c r="J61" s="96" t="inlineStr">
        <is>
          <t>JPSEN</t>
        </is>
      </c>
      <c r="K61" s="96" t="inlineStr">
        <is>
          <t>F</t>
        </is>
      </c>
      <c r="L61" s="96" t="inlineStr">
        <is>
          <t>ONE</t>
        </is>
      </c>
      <c r="M61" s="96" t="inlineStr">
        <is>
          <t>VFL</t>
        </is>
      </c>
      <c r="N61" s="96" t="inlineStr">
        <is>
          <t>BKK01</t>
        </is>
      </c>
      <c r="O61" s="96" t="inlineStr">
        <is>
          <t>BKK</t>
        </is>
      </c>
      <c r="P61" s="96" t="inlineStr">
        <is>
          <t>TH</t>
        </is>
      </c>
      <c r="Q61" s="96" t="inlineStr">
        <is>
          <t>HASLS22260801865</t>
        </is>
      </c>
      <c r="R61" s="96" t="inlineStr">
        <is>
          <t>Y</t>
        </is>
      </c>
      <c r="S61" s="96" t="inlineStr">
        <is>
          <t>N</t>
        </is>
      </c>
      <c r="T61" s="96" t="inlineStr">
        <is>
          <t>KHS</t>
        </is>
      </c>
      <c r="U61" s="97" t="n"/>
      <c r="V61" s="96" t="inlineStr">
        <is>
          <t>K0120021</t>
        </is>
      </c>
      <c r="W61" s="96" t="inlineStr">
        <is>
          <t>STARFISH CO.,LTD</t>
        </is>
      </c>
      <c r="X61" s="96" t="inlineStr">
        <is>
          <t>VFD</t>
        </is>
      </c>
      <c r="Y61" s="96" t="inlineStr">
        <is>
          <t>TO ORDER OF NISSUI CORPORATION.</t>
        </is>
      </c>
      <c r="Z61" s="96" t="inlineStr">
        <is>
          <t>NISSUI CORPORATION.</t>
        </is>
      </c>
      <c r="AA61" s="97" t="n">
        <v>20056</v>
      </c>
      <c r="AB61" s="96" t="inlineStr">
        <is>
          <t>BKK01</t>
        </is>
      </c>
      <c r="AC61" s="96" t="inlineStr">
        <is>
          <t>SEN01</t>
        </is>
      </c>
    </row>
    <row r="62" ht="12" customHeight="1">
      <c r="A62" s="96" t="inlineStr">
        <is>
          <t>SKLU2410454</t>
        </is>
      </c>
      <c r="B62" s="161" t="inlineStr">
        <is>
          <t>2026-10-16</t>
        </is>
      </c>
      <c r="C62" s="96" t="inlineStr">
        <is>
          <t>SWIC</t>
        </is>
      </c>
      <c r="D62" s="96" t="inlineStr">
        <is>
          <t>2611N</t>
        </is>
      </c>
      <c r="E62" s="96" t="inlineStr">
        <is>
          <t>22GP</t>
        </is>
      </c>
      <c r="F62" s="96" t="inlineStr">
        <is>
          <t>SD</t>
        </is>
      </c>
      <c r="G62" s="96" t="inlineStr">
        <is>
          <t>THBKK</t>
        </is>
      </c>
      <c r="H62" s="96" t="inlineStr">
        <is>
          <t>THBKK</t>
        </is>
      </c>
      <c r="I62" s="96" t="inlineStr">
        <is>
          <t>KRPUS</t>
        </is>
      </c>
      <c r="J62" s="96" t="inlineStr">
        <is>
          <t>JPSEN</t>
        </is>
      </c>
      <c r="K62" s="96" t="inlineStr">
        <is>
          <t>F</t>
        </is>
      </c>
      <c r="L62" s="96" t="inlineStr">
        <is>
          <t>ONE</t>
        </is>
      </c>
      <c r="M62" s="96" t="inlineStr">
        <is>
          <t>VFL</t>
        </is>
      </c>
      <c r="N62" s="96" t="inlineStr">
        <is>
          <t>BKK01</t>
        </is>
      </c>
      <c r="O62" s="96" t="inlineStr">
        <is>
          <t>BKK</t>
        </is>
      </c>
      <c r="P62" s="96" t="inlineStr">
        <is>
          <t>TH</t>
        </is>
      </c>
      <c r="Q62" s="96" t="inlineStr">
        <is>
          <t>HASLS22260801865</t>
        </is>
      </c>
      <c r="R62" s="96" t="inlineStr">
        <is>
          <t>Y</t>
        </is>
      </c>
      <c r="S62" s="96" t="inlineStr">
        <is>
          <t>N</t>
        </is>
      </c>
      <c r="T62" s="96" t="inlineStr">
        <is>
          <t>KHS</t>
        </is>
      </c>
      <c r="U62" s="97" t="n"/>
      <c r="V62" s="96" t="inlineStr">
        <is>
          <t>K0120021</t>
        </is>
      </c>
      <c r="W62" s="96" t="inlineStr">
        <is>
          <t>STARFISH CO.,LTD</t>
        </is>
      </c>
      <c r="X62" s="96" t="inlineStr">
        <is>
          <t>VFD</t>
        </is>
      </c>
      <c r="Y62" s="96" t="inlineStr">
        <is>
          <t>TO ORDER OF NISSUI CORPORATION.</t>
        </is>
      </c>
      <c r="Z62" s="96" t="inlineStr">
        <is>
          <t>NISSUI CORPORATION.</t>
        </is>
      </c>
      <c r="AA62" s="97" t="n">
        <v>20056</v>
      </c>
      <c r="AB62" s="96" t="inlineStr">
        <is>
          <t>BKK01</t>
        </is>
      </c>
      <c r="AC62" s="96" t="inlineStr">
        <is>
          <t>SEN01</t>
        </is>
      </c>
    </row>
    <row r="63" ht="12" customHeight="1">
      <c r="A63" s="96" t="inlineStr">
        <is>
          <t>SKLU2483050</t>
        </is>
      </c>
      <c r="B63" s="161" t="inlineStr">
        <is>
          <t>2026-10-16</t>
        </is>
      </c>
      <c r="C63" s="96" t="inlineStr">
        <is>
          <t>SWIC</t>
        </is>
      </c>
      <c r="D63" s="96" t="inlineStr">
        <is>
          <t>2611N</t>
        </is>
      </c>
      <c r="E63" s="96" t="inlineStr">
        <is>
          <t>22GP</t>
        </is>
      </c>
      <c r="F63" s="96" t="inlineStr">
        <is>
          <t>SD</t>
        </is>
      </c>
      <c r="G63" s="96" t="inlineStr">
        <is>
          <t>THBKK</t>
        </is>
      </c>
      <c r="H63" s="96" t="inlineStr">
        <is>
          <t>THBKK</t>
        </is>
      </c>
      <c r="I63" s="96" t="inlineStr">
        <is>
          <t>KRPUS</t>
        </is>
      </c>
      <c r="J63" s="96" t="inlineStr">
        <is>
          <t>JPSEN</t>
        </is>
      </c>
      <c r="K63" s="96" t="inlineStr">
        <is>
          <t>F</t>
        </is>
      </c>
      <c r="L63" s="96" t="inlineStr">
        <is>
          <t>ONE</t>
        </is>
      </c>
      <c r="M63" s="96" t="inlineStr">
        <is>
          <t>VFL</t>
        </is>
      </c>
      <c r="N63" s="96" t="inlineStr">
        <is>
          <t>BKK01</t>
        </is>
      </c>
      <c r="O63" s="96" t="inlineStr">
        <is>
          <t>BKK</t>
        </is>
      </c>
      <c r="P63" s="96" t="inlineStr">
        <is>
          <t>TH</t>
        </is>
      </c>
      <c r="Q63" s="96" t="inlineStr">
        <is>
          <t>HASLS22260801865</t>
        </is>
      </c>
      <c r="R63" s="96" t="inlineStr">
        <is>
          <t>Y</t>
        </is>
      </c>
      <c r="S63" s="96" t="inlineStr">
        <is>
          <t>N</t>
        </is>
      </c>
      <c r="T63" s="96" t="inlineStr">
        <is>
          <t>KHS</t>
        </is>
      </c>
      <c r="U63" s="97" t="n"/>
      <c r="V63" s="96" t="inlineStr">
        <is>
          <t>K0120021</t>
        </is>
      </c>
      <c r="W63" s="96" t="inlineStr">
        <is>
          <t>STARFISH CO.,LTD</t>
        </is>
      </c>
      <c r="X63" s="96" t="inlineStr">
        <is>
          <t>VFD</t>
        </is>
      </c>
      <c r="Y63" s="96" t="inlineStr">
        <is>
          <t>TO ORDER OF NISSUI CORPORATION.</t>
        </is>
      </c>
      <c r="Z63" s="96" t="inlineStr">
        <is>
          <t>NISSUI CORPORATION.</t>
        </is>
      </c>
      <c r="AA63" s="97" t="n">
        <v>20056</v>
      </c>
      <c r="AB63" s="96" t="inlineStr">
        <is>
          <t>BKK01</t>
        </is>
      </c>
      <c r="AC63" s="96" t="inlineStr">
        <is>
          <t>SEN01</t>
        </is>
      </c>
    </row>
    <row r="64" ht="12" customHeight="1">
      <c r="A64" s="96" t="inlineStr">
        <is>
          <t>SKLU1650379</t>
        </is>
      </c>
      <c r="B64" s="161" t="inlineStr">
        <is>
          <t>2026-10-16</t>
        </is>
      </c>
      <c r="C64" s="96" t="inlineStr">
        <is>
          <t>SWIC</t>
        </is>
      </c>
      <c r="D64" s="96" t="inlineStr">
        <is>
          <t>2611N</t>
        </is>
      </c>
      <c r="E64" s="96" t="inlineStr">
        <is>
          <t>22GP</t>
        </is>
      </c>
      <c r="F64" s="96" t="inlineStr">
        <is>
          <t>SD</t>
        </is>
      </c>
      <c r="G64" s="96" t="inlineStr">
        <is>
          <t>THBKK</t>
        </is>
      </c>
      <c r="H64" s="96" t="inlineStr">
        <is>
          <t>THBKK</t>
        </is>
      </c>
      <c r="I64" s="96" t="inlineStr">
        <is>
          <t>VNSGN</t>
        </is>
      </c>
      <c r="J64" s="96" t="inlineStr">
        <is>
          <t>VNSGN</t>
        </is>
      </c>
      <c r="K64" s="96" t="inlineStr">
        <is>
          <t>F</t>
        </is>
      </c>
      <c r="L64" s="96" t="inlineStr">
        <is>
          <t>ONE</t>
        </is>
      </c>
      <c r="M64" s="96" t="inlineStr">
        <is>
          <t>VFL</t>
        </is>
      </c>
      <c r="N64" s="96" t="inlineStr">
        <is>
          <t>BKK01</t>
        </is>
      </c>
      <c r="O64" s="96" t="inlineStr">
        <is>
          <t>BKK</t>
        </is>
      </c>
      <c r="P64" s="96" t="inlineStr">
        <is>
          <t>TH</t>
        </is>
      </c>
      <c r="Q64" s="96" t="inlineStr">
        <is>
          <t>HASLS22260902367</t>
        </is>
      </c>
      <c r="R64" s="96" t="inlineStr">
        <is>
          <t>N</t>
        </is>
      </c>
      <c r="S64" s="96" t="inlineStr">
        <is>
          <t>N</t>
        </is>
      </c>
      <c r="T64" s="96" t="inlineStr">
        <is>
          <t>KHS</t>
        </is>
      </c>
      <c r="U64" s="97" t="n"/>
      <c r="V64" s="96" t="inlineStr">
        <is>
          <t>K0120021</t>
        </is>
      </c>
      <c r="W64" s="96" t="inlineStr">
        <is>
          <t>PK INTERFREIGHT CO.,LTD.</t>
        </is>
      </c>
      <c r="X64" s="96" t="inlineStr">
        <is>
          <t>VFD</t>
        </is>
      </c>
      <c r="Y64" s="96" t="inlineStr">
        <is>
          <t>PAM CARGO INTERNATIONAL CO., LTD</t>
        </is>
      </c>
      <c r="Z64" s="96" t="inlineStr">
        <is>
          <t>PAM CARGO INTERNATIONAL CO., LTD</t>
        </is>
      </c>
      <c r="AA64" s="97" t="n">
        <v>11024.5</v>
      </c>
      <c r="AB64" s="96" t="inlineStr">
        <is>
          <t>BKK01</t>
        </is>
      </c>
      <c r="AC64" s="96" t="inlineStr">
        <is>
          <t>SGN03</t>
        </is>
      </c>
    </row>
    <row r="65" ht="12" customHeight="1">
      <c r="A65" s="96" t="inlineStr">
        <is>
          <t>SKLU0566113</t>
        </is>
      </c>
      <c r="B65" s="161" t="inlineStr">
        <is>
          <t>2026-10-16</t>
        </is>
      </c>
      <c r="C65" s="96" t="inlineStr">
        <is>
          <t>SWIC</t>
        </is>
      </c>
      <c r="D65" s="96" t="inlineStr">
        <is>
          <t>2611N</t>
        </is>
      </c>
      <c r="E65" s="96" t="inlineStr">
        <is>
          <t>22GP</t>
        </is>
      </c>
      <c r="F65" s="96" t="inlineStr">
        <is>
          <t>SD</t>
        </is>
      </c>
      <c r="G65" s="96" t="inlineStr">
        <is>
          <t>THBKK</t>
        </is>
      </c>
      <c r="H65" s="96" t="inlineStr">
        <is>
          <t>THBKK</t>
        </is>
      </c>
      <c r="I65" s="96" t="inlineStr">
        <is>
          <t>VNSGN</t>
        </is>
      </c>
      <c r="J65" s="96" t="inlineStr">
        <is>
          <t>VNSGN</t>
        </is>
      </c>
      <c r="K65" s="96" t="inlineStr">
        <is>
          <t>F</t>
        </is>
      </c>
      <c r="L65" s="96" t="inlineStr">
        <is>
          <t>ONE</t>
        </is>
      </c>
      <c r="M65" s="96" t="inlineStr">
        <is>
          <t>VFL</t>
        </is>
      </c>
      <c r="N65" s="96" t="inlineStr">
        <is>
          <t>BKK01</t>
        </is>
      </c>
      <c r="O65" s="96" t="inlineStr">
        <is>
          <t>BKK</t>
        </is>
      </c>
      <c r="P65" s="96" t="inlineStr">
        <is>
          <t>TH</t>
        </is>
      </c>
      <c r="Q65" s="96" t="inlineStr">
        <is>
          <t>HASLS22260901669</t>
        </is>
      </c>
      <c r="R65" s="96" t="inlineStr">
        <is>
          <t>N</t>
        </is>
      </c>
      <c r="S65" s="96" t="inlineStr">
        <is>
          <t>N</t>
        </is>
      </c>
      <c r="T65" s="96" t="inlineStr">
        <is>
          <t>KHS</t>
        </is>
      </c>
      <c r="U65" s="97" t="n"/>
      <c r="V65" s="96" t="inlineStr">
        <is>
          <t>K0120021</t>
        </is>
      </c>
      <c r="W65" s="96" t="inlineStr">
        <is>
          <t>THANAKORN VEGETABLE OIL PRODUCTS</t>
        </is>
      </c>
      <c r="X65" s="96" t="inlineStr">
        <is>
          <t>VFD</t>
        </is>
      </c>
      <c r="Y65" s="96" t="inlineStr">
        <is>
          <t>MEKONG COMMODITIES JSC</t>
        </is>
      </c>
      <c r="Z65" s="96" t="inlineStr">
        <is>
          <t>AUSTRALASIAN COMMODITIES PTY LTD.</t>
        </is>
      </c>
      <c r="AA65" s="97" t="n">
        <v>21090</v>
      </c>
      <c r="AB65" s="96" t="inlineStr">
        <is>
          <t>BKK01</t>
        </is>
      </c>
      <c r="AC65" s="96" t="inlineStr">
        <is>
          <t>SGN03</t>
        </is>
      </c>
    </row>
    <row r="66" ht="12" customHeight="1">
      <c r="A66" s="96" t="inlineStr">
        <is>
          <t>SKLU1544865</t>
        </is>
      </c>
      <c r="B66" s="161" t="inlineStr">
        <is>
          <t>2026-10-16</t>
        </is>
      </c>
      <c r="C66" s="96" t="inlineStr">
        <is>
          <t>SWIC</t>
        </is>
      </c>
      <c r="D66" s="96" t="inlineStr">
        <is>
          <t>2611N</t>
        </is>
      </c>
      <c r="E66" s="96" t="inlineStr">
        <is>
          <t>22GP</t>
        </is>
      </c>
      <c r="F66" s="96" t="inlineStr">
        <is>
          <t>SD</t>
        </is>
      </c>
      <c r="G66" s="96" t="inlineStr">
        <is>
          <t>THBKK</t>
        </is>
      </c>
      <c r="H66" s="96" t="inlineStr">
        <is>
          <t>THBKK</t>
        </is>
      </c>
      <c r="I66" s="96" t="inlineStr">
        <is>
          <t>VNSGN</t>
        </is>
      </c>
      <c r="J66" s="96" t="inlineStr">
        <is>
          <t>VNSGN</t>
        </is>
      </c>
      <c r="K66" s="96" t="inlineStr">
        <is>
          <t>F</t>
        </is>
      </c>
      <c r="L66" s="96" t="inlineStr">
        <is>
          <t>ONE</t>
        </is>
      </c>
      <c r="M66" s="96" t="inlineStr">
        <is>
          <t>VFL</t>
        </is>
      </c>
      <c r="N66" s="96" t="inlineStr">
        <is>
          <t>BKK01</t>
        </is>
      </c>
      <c r="O66" s="96" t="inlineStr">
        <is>
          <t>BKK</t>
        </is>
      </c>
      <c r="P66" s="96" t="inlineStr">
        <is>
          <t>TH</t>
        </is>
      </c>
      <c r="Q66" s="96" t="inlineStr">
        <is>
          <t>HASLS22260901669</t>
        </is>
      </c>
      <c r="R66" s="96" t="inlineStr">
        <is>
          <t>N</t>
        </is>
      </c>
      <c r="S66" s="96" t="inlineStr">
        <is>
          <t>N</t>
        </is>
      </c>
      <c r="T66" s="96" t="inlineStr">
        <is>
          <t>KHS</t>
        </is>
      </c>
      <c r="U66" s="97" t="n"/>
      <c r="V66" s="96" t="inlineStr">
        <is>
          <t>K0120021</t>
        </is>
      </c>
      <c r="W66" s="96" t="inlineStr">
        <is>
          <t>THANAKORN VEGETABLE OIL PRODUCTS</t>
        </is>
      </c>
      <c r="X66" s="96" t="inlineStr">
        <is>
          <t>VFD</t>
        </is>
      </c>
      <c r="Y66" s="96" t="inlineStr">
        <is>
          <t>MEKONG COMMODITIES JSC</t>
        </is>
      </c>
      <c r="Z66" s="96" t="inlineStr">
        <is>
          <t>AUSTRALASIAN COMMODITIES PTY LTD.</t>
        </is>
      </c>
      <c r="AA66" s="97" t="n">
        <v>21090</v>
      </c>
      <c r="AB66" s="96" t="inlineStr">
        <is>
          <t>BKK01</t>
        </is>
      </c>
      <c r="AC66" s="96" t="inlineStr">
        <is>
          <t>SGN03</t>
        </is>
      </c>
    </row>
    <row r="67" ht="12" customHeight="1">
      <c r="A67" s="96" t="inlineStr">
        <is>
          <t>SKLU1643050</t>
        </is>
      </c>
      <c r="B67" s="161" t="inlineStr">
        <is>
          <t>2026-10-16</t>
        </is>
      </c>
      <c r="C67" s="96" t="inlineStr">
        <is>
          <t>SWIC</t>
        </is>
      </c>
      <c r="D67" s="96" t="inlineStr">
        <is>
          <t>2611N</t>
        </is>
      </c>
      <c r="E67" s="96" t="inlineStr">
        <is>
          <t>22GP</t>
        </is>
      </c>
      <c r="F67" s="96" t="inlineStr">
        <is>
          <t>SD</t>
        </is>
      </c>
      <c r="G67" s="96" t="inlineStr">
        <is>
          <t>THBKK</t>
        </is>
      </c>
      <c r="H67" s="96" t="inlineStr">
        <is>
          <t>THBKK</t>
        </is>
      </c>
      <c r="I67" s="96" t="inlineStr">
        <is>
          <t>KRPUS</t>
        </is>
      </c>
      <c r="J67" s="96" t="inlineStr">
        <is>
          <t>JPHHE</t>
        </is>
      </c>
      <c r="K67" s="96" t="inlineStr">
        <is>
          <t>F</t>
        </is>
      </c>
      <c r="L67" s="96" t="inlineStr">
        <is>
          <t>ONE</t>
        </is>
      </c>
      <c r="M67" s="96" t="inlineStr">
        <is>
          <t>VFL</t>
        </is>
      </c>
      <c r="N67" s="96" t="inlineStr">
        <is>
          <t>BKK01</t>
        </is>
      </c>
      <c r="O67" s="96" t="inlineStr">
        <is>
          <t>BKK</t>
        </is>
      </c>
      <c r="P67" s="96" t="inlineStr">
        <is>
          <t>TH</t>
        </is>
      </c>
      <c r="Q67" s="96" t="inlineStr">
        <is>
          <t>HASLS22260901782</t>
        </is>
      </c>
      <c r="R67" s="96" t="inlineStr">
        <is>
          <t>Y</t>
        </is>
      </c>
      <c r="S67" s="96" t="inlineStr">
        <is>
          <t>N</t>
        </is>
      </c>
      <c r="T67" s="96" t="inlineStr">
        <is>
          <t>KHS</t>
        </is>
      </c>
      <c r="U67" s="97" t="n"/>
      <c r="V67" s="96" t="inlineStr">
        <is>
          <t>K0120021</t>
        </is>
      </c>
      <c r="W67" s="96" t="inlineStr">
        <is>
          <t>UNICORD PUBLIC COMPANY LIMITED.</t>
        </is>
      </c>
      <c r="X67" s="96" t="inlineStr">
        <is>
          <t>VFD</t>
        </is>
      </c>
      <c r="Y67" s="96" t="inlineStr">
        <is>
          <t>VOX TRADING CO.,LTD.</t>
        </is>
      </c>
      <c r="Z67" s="96" t="inlineStr">
        <is>
          <t>1) VOX TRADING CO.,LTD.</t>
        </is>
      </c>
      <c r="AA67" s="97" t="n">
        <v>18847.04</v>
      </c>
      <c r="AB67" s="96" t="inlineStr">
        <is>
          <t>BKK01</t>
        </is>
      </c>
      <c r="AC67" s="96" t="inlineStr">
        <is>
          <t>HHE01</t>
        </is>
      </c>
    </row>
    <row r="68" ht="12" customHeight="1">
      <c r="A68" s="96" t="inlineStr">
        <is>
          <t>SKLU1654179</t>
        </is>
      </c>
      <c r="B68" s="161" t="inlineStr">
        <is>
          <t>2026-10-16</t>
        </is>
      </c>
      <c r="C68" s="96" t="inlineStr">
        <is>
          <t>SWIC</t>
        </is>
      </c>
      <c r="D68" s="96" t="inlineStr">
        <is>
          <t>2611N</t>
        </is>
      </c>
      <c r="E68" s="96" t="inlineStr">
        <is>
          <t>22GP</t>
        </is>
      </c>
      <c r="F68" s="96" t="inlineStr">
        <is>
          <t>SD</t>
        </is>
      </c>
      <c r="G68" s="96" t="inlineStr">
        <is>
          <t>THBKK</t>
        </is>
      </c>
      <c r="H68" s="96" t="inlineStr">
        <is>
          <t>THBKK</t>
        </is>
      </c>
      <c r="I68" s="96" t="inlineStr">
        <is>
          <t>VNSGN</t>
        </is>
      </c>
      <c r="J68" s="96" t="inlineStr">
        <is>
          <t>VNSGN</t>
        </is>
      </c>
      <c r="K68" s="96" t="inlineStr">
        <is>
          <t>F</t>
        </is>
      </c>
      <c r="L68" s="96" t="inlineStr">
        <is>
          <t>ONE</t>
        </is>
      </c>
      <c r="M68" s="96" t="inlineStr">
        <is>
          <t>VFL</t>
        </is>
      </c>
      <c r="N68" s="96" t="inlineStr">
        <is>
          <t>BKK01</t>
        </is>
      </c>
      <c r="O68" s="96" t="inlineStr">
        <is>
          <t>BKK</t>
        </is>
      </c>
      <c r="P68" s="96" t="inlineStr">
        <is>
          <t>TH</t>
        </is>
      </c>
      <c r="Q68" s="96" t="inlineStr">
        <is>
          <t>HASLS22260901669</t>
        </is>
      </c>
      <c r="R68" s="96" t="inlineStr">
        <is>
          <t>N</t>
        </is>
      </c>
      <c r="S68" s="96" t="inlineStr">
        <is>
          <t>N</t>
        </is>
      </c>
      <c r="T68" s="96" t="inlineStr">
        <is>
          <t>KHS</t>
        </is>
      </c>
      <c r="U68" s="97" t="n"/>
      <c r="V68" s="96" t="inlineStr">
        <is>
          <t>K0120021</t>
        </is>
      </c>
      <c r="W68" s="96" t="inlineStr">
        <is>
          <t>THANAKORN VEGETABLE OIL PRODUCTS</t>
        </is>
      </c>
      <c r="X68" s="96" t="inlineStr">
        <is>
          <t>VFD</t>
        </is>
      </c>
      <c r="Y68" s="96" t="inlineStr">
        <is>
          <t>MEKONG COMMODITIES JSC</t>
        </is>
      </c>
      <c r="Z68" s="96" t="inlineStr">
        <is>
          <t>AUSTRALASIAN COMMODITIES PTY LTD.</t>
        </is>
      </c>
      <c r="AA68" s="97" t="n">
        <v>21080</v>
      </c>
      <c r="AB68" s="96" t="inlineStr">
        <is>
          <t>BKK01</t>
        </is>
      </c>
      <c r="AC68" s="96" t="inlineStr">
        <is>
          <t>SGN03</t>
        </is>
      </c>
    </row>
    <row r="69" ht="12" customHeight="1">
      <c r="A69" s="96" t="inlineStr">
        <is>
          <t>SKLU2415775</t>
        </is>
      </c>
      <c r="B69" s="161" t="inlineStr">
        <is>
          <t>2026-10-16</t>
        </is>
      </c>
      <c r="C69" s="96" t="inlineStr">
        <is>
          <t>SWIC</t>
        </is>
      </c>
      <c r="D69" s="96" t="inlineStr">
        <is>
          <t>2611N</t>
        </is>
      </c>
      <c r="E69" s="96" t="inlineStr">
        <is>
          <t>22GP</t>
        </is>
      </c>
      <c r="F69" s="96" t="inlineStr">
        <is>
          <t>SD</t>
        </is>
      </c>
      <c r="G69" s="96" t="inlineStr">
        <is>
          <t>THBKK</t>
        </is>
      </c>
      <c r="H69" s="96" t="inlineStr">
        <is>
          <t>THBKK</t>
        </is>
      </c>
      <c r="I69" s="96" t="inlineStr">
        <is>
          <t>VNSGN</t>
        </is>
      </c>
      <c r="J69" s="96" t="inlineStr">
        <is>
          <t>VNSGN</t>
        </is>
      </c>
      <c r="K69" s="96" t="inlineStr">
        <is>
          <t>F</t>
        </is>
      </c>
      <c r="L69" s="96" t="inlineStr">
        <is>
          <t>ONE</t>
        </is>
      </c>
      <c r="M69" s="96" t="inlineStr">
        <is>
          <t>VFL</t>
        </is>
      </c>
      <c r="N69" s="96" t="inlineStr">
        <is>
          <t>BKK01</t>
        </is>
      </c>
      <c r="O69" s="96" t="inlineStr">
        <is>
          <t>BKK</t>
        </is>
      </c>
      <c r="P69" s="96" t="inlineStr">
        <is>
          <t>TH</t>
        </is>
      </c>
      <c r="Q69" s="96" t="inlineStr">
        <is>
          <t>HASLS22260901669</t>
        </is>
      </c>
      <c r="R69" s="96" t="inlineStr">
        <is>
          <t>N</t>
        </is>
      </c>
      <c r="S69" s="96" t="inlineStr">
        <is>
          <t>N</t>
        </is>
      </c>
      <c r="T69" s="96" t="inlineStr">
        <is>
          <t>KHS</t>
        </is>
      </c>
      <c r="U69" s="97" t="n"/>
      <c r="V69" s="96" t="inlineStr">
        <is>
          <t>K0120021</t>
        </is>
      </c>
      <c r="W69" s="96" t="inlineStr">
        <is>
          <t>THANAKORN VEGETABLE OIL PRODUCTS</t>
        </is>
      </c>
      <c r="X69" s="96" t="inlineStr">
        <is>
          <t>VFD</t>
        </is>
      </c>
      <c r="Y69" s="96" t="inlineStr">
        <is>
          <t>MEKONG COMMODITIES JSC</t>
        </is>
      </c>
      <c r="Z69" s="96" t="inlineStr">
        <is>
          <t>AUSTRALASIAN COMMODITIES PTY LTD.</t>
        </is>
      </c>
      <c r="AA69" s="97" t="n">
        <v>21110</v>
      </c>
      <c r="AB69" s="96" t="inlineStr">
        <is>
          <t>BKK01</t>
        </is>
      </c>
      <c r="AC69" s="96" t="inlineStr">
        <is>
          <t>SGN03</t>
        </is>
      </c>
    </row>
    <row r="70" ht="12" customHeight="1">
      <c r="A70" s="96" t="inlineStr">
        <is>
          <t>TCLU3361047</t>
        </is>
      </c>
      <c r="B70" s="161" t="inlineStr">
        <is>
          <t>2026-10-16</t>
        </is>
      </c>
      <c r="C70" s="96" t="inlineStr">
        <is>
          <t>SWIC</t>
        </is>
      </c>
      <c r="D70" s="96" t="inlineStr">
        <is>
          <t>2611N</t>
        </is>
      </c>
      <c r="E70" s="96" t="inlineStr">
        <is>
          <t>22GP</t>
        </is>
      </c>
      <c r="F70" s="96" t="inlineStr">
        <is>
          <t>SD</t>
        </is>
      </c>
      <c r="G70" s="96" t="inlineStr">
        <is>
          <t>THBKK</t>
        </is>
      </c>
      <c r="H70" s="96" t="inlineStr">
        <is>
          <t>THBKK</t>
        </is>
      </c>
      <c r="I70" s="96" t="inlineStr">
        <is>
          <t>KRPUS</t>
        </is>
      </c>
      <c r="J70" s="96" t="inlineStr">
        <is>
          <t>RUVVO</t>
        </is>
      </c>
      <c r="K70" s="96" t="inlineStr">
        <is>
          <t>F</t>
        </is>
      </c>
      <c r="L70" s="96" t="inlineStr">
        <is>
          <t>ONE</t>
        </is>
      </c>
      <c r="M70" s="96" t="inlineStr">
        <is>
          <t>VFL</t>
        </is>
      </c>
      <c r="N70" s="96" t="inlineStr">
        <is>
          <t>BKK01</t>
        </is>
      </c>
      <c r="O70" s="96" t="inlineStr">
        <is>
          <t>BKK</t>
        </is>
      </c>
      <c r="P70" s="96" t="inlineStr">
        <is>
          <t>TH</t>
        </is>
      </c>
      <c r="Q70" s="96" t="inlineStr">
        <is>
          <t>HASLS22260901932</t>
        </is>
      </c>
      <c r="R70" s="96" t="inlineStr">
        <is>
          <t>Y</t>
        </is>
      </c>
      <c r="S70" s="96" t="inlineStr">
        <is>
          <t>N</t>
        </is>
      </c>
      <c r="T70" s="96" t="inlineStr">
        <is>
          <t>KHS</t>
        </is>
      </c>
      <c r="U70" s="97" t="n"/>
      <c r="V70" s="96" t="inlineStr">
        <is>
          <t>K0120021</t>
        </is>
      </c>
      <c r="W70" s="96" t="inlineStr">
        <is>
          <t>THAI AGRI FOODS PUBLIC COMPANY</t>
        </is>
      </c>
      <c r="X70" s="96" t="inlineStr">
        <is>
          <t>VFD</t>
        </is>
      </c>
      <c r="Y70" s="96" t="inlineStr">
        <is>
          <t>EXIM PACIFIC LLC. RUSSIA,</t>
        </is>
      </c>
      <c r="Z70" s="96" t="inlineStr">
        <is>
          <t>EXIM PACIFIC LLC. RUSSIA,</t>
        </is>
      </c>
      <c r="AA70" s="97" t="n">
        <v>22227</v>
      </c>
      <c r="AB70" s="96" t="inlineStr">
        <is>
          <t>BKK01</t>
        </is>
      </c>
      <c r="AC70" s="96" t="inlineStr">
        <is>
          <t>VVO01</t>
        </is>
      </c>
    </row>
    <row r="71" ht="12" customHeight="1">
      <c r="A71" s="96" t="inlineStr">
        <is>
          <t>SKLU1620219</t>
        </is>
      </c>
      <c r="B71" s="161" t="inlineStr">
        <is>
          <t>2026-10-16</t>
        </is>
      </c>
      <c r="C71" s="96" t="inlineStr">
        <is>
          <t>SWIC</t>
        </is>
      </c>
      <c r="D71" s="96" t="inlineStr">
        <is>
          <t>2611N</t>
        </is>
      </c>
      <c r="E71" s="96" t="inlineStr">
        <is>
          <t>22GP</t>
        </is>
      </c>
      <c r="F71" s="96" t="inlineStr">
        <is>
          <t>SD</t>
        </is>
      </c>
      <c r="G71" s="96" t="inlineStr">
        <is>
          <t>THBKK</t>
        </is>
      </c>
      <c r="H71" s="96" t="inlineStr">
        <is>
          <t>THBKK</t>
        </is>
      </c>
      <c r="I71" s="96" t="inlineStr">
        <is>
          <t>KRPUS</t>
        </is>
      </c>
      <c r="J71" s="96" t="inlineStr">
        <is>
          <t>RUVVO</t>
        </is>
      </c>
      <c r="K71" s="96" t="inlineStr">
        <is>
          <t>F</t>
        </is>
      </c>
      <c r="L71" s="96" t="inlineStr">
        <is>
          <t>ONE</t>
        </is>
      </c>
      <c r="M71" s="96" t="inlineStr">
        <is>
          <t>VFL</t>
        </is>
      </c>
      <c r="N71" s="96" t="inlineStr">
        <is>
          <t>BKK01</t>
        </is>
      </c>
      <c r="O71" s="96" t="inlineStr">
        <is>
          <t>BKK</t>
        </is>
      </c>
      <c r="P71" s="96" t="inlineStr">
        <is>
          <t>TH</t>
        </is>
      </c>
      <c r="Q71" s="96" t="inlineStr">
        <is>
          <t>HASLS22260901935</t>
        </is>
      </c>
      <c r="R71" s="96" t="inlineStr">
        <is>
          <t>Y</t>
        </is>
      </c>
      <c r="S71" s="96" t="inlineStr">
        <is>
          <t>N</t>
        </is>
      </c>
      <c r="T71" s="96" t="inlineStr">
        <is>
          <t>KHS</t>
        </is>
      </c>
      <c r="U71" s="97" t="n"/>
      <c r="V71" s="96" t="inlineStr">
        <is>
          <t>K0120021</t>
        </is>
      </c>
      <c r="W71" s="96" t="inlineStr">
        <is>
          <t>THAI AGRI FOODS PUBLIC COMPANY</t>
        </is>
      </c>
      <c r="X71" s="96" t="inlineStr">
        <is>
          <t>VFD</t>
        </is>
      </c>
      <c r="Y71" s="96" t="inlineStr">
        <is>
          <t>EXIM PACIFIC LLC. RUSSIA,</t>
        </is>
      </c>
      <c r="Z71" s="96" t="inlineStr">
        <is>
          <t>EXIM PACIFIC LLC. RUSSIA,</t>
        </is>
      </c>
      <c r="AA71" s="97" t="n">
        <v>19814.5</v>
      </c>
      <c r="AB71" s="96" t="inlineStr">
        <is>
          <t>BKK01</t>
        </is>
      </c>
      <c r="AC71" s="96" t="inlineStr">
        <is>
          <t>VVO01</t>
        </is>
      </c>
    </row>
    <row r="72" ht="12" customHeight="1">
      <c r="A72" s="96" t="inlineStr">
        <is>
          <t>SKLU1998580</t>
        </is>
      </c>
      <c r="B72" s="161" t="inlineStr">
        <is>
          <t>2026-10-16</t>
        </is>
      </c>
      <c r="C72" s="96" t="inlineStr">
        <is>
          <t>SWIC</t>
        </is>
      </c>
      <c r="D72" s="96" t="inlineStr">
        <is>
          <t>2611N</t>
        </is>
      </c>
      <c r="E72" s="96" t="inlineStr">
        <is>
          <t>22GP</t>
        </is>
      </c>
      <c r="F72" s="96" t="inlineStr">
        <is>
          <t>SD</t>
        </is>
      </c>
      <c r="G72" s="96" t="inlineStr">
        <is>
          <t>THBKK</t>
        </is>
      </c>
      <c r="H72" s="96" t="inlineStr">
        <is>
          <t>THBKK</t>
        </is>
      </c>
      <c r="I72" s="96" t="inlineStr">
        <is>
          <t>KRPUS</t>
        </is>
      </c>
      <c r="J72" s="96" t="inlineStr">
        <is>
          <t>RUVVO</t>
        </is>
      </c>
      <c r="K72" s="96" t="inlineStr">
        <is>
          <t>F</t>
        </is>
      </c>
      <c r="L72" s="96" t="inlineStr">
        <is>
          <t>ONE</t>
        </is>
      </c>
      <c r="M72" s="96" t="inlineStr">
        <is>
          <t>VFL</t>
        </is>
      </c>
      <c r="N72" s="96" t="inlineStr">
        <is>
          <t>BKK01</t>
        </is>
      </c>
      <c r="O72" s="96" t="inlineStr">
        <is>
          <t>BKK</t>
        </is>
      </c>
      <c r="P72" s="96" t="inlineStr">
        <is>
          <t>TH</t>
        </is>
      </c>
      <c r="Q72" s="96" t="inlineStr">
        <is>
          <t>HASLS22260901929</t>
        </is>
      </c>
      <c r="R72" s="96" t="inlineStr">
        <is>
          <t>Y</t>
        </is>
      </c>
      <c r="S72" s="96" t="inlineStr">
        <is>
          <t>N</t>
        </is>
      </c>
      <c r="T72" s="96" t="inlineStr">
        <is>
          <t>KHS</t>
        </is>
      </c>
      <c r="U72" s="97" t="n"/>
      <c r="V72" s="96" t="inlineStr">
        <is>
          <t>K0120021</t>
        </is>
      </c>
      <c r="W72" s="96" t="inlineStr">
        <is>
          <t>THAI AGRI FOODS PUBLIC COMPANY</t>
        </is>
      </c>
      <c r="X72" s="96" t="inlineStr">
        <is>
          <t>VFD</t>
        </is>
      </c>
      <c r="Y72" s="96" t="inlineStr">
        <is>
          <t>EXIM PACIFIC LLC. RUSSIA,</t>
        </is>
      </c>
      <c r="Z72" s="96" t="inlineStr">
        <is>
          <t>EXIM PACIFIC LLC. RUSSIA,</t>
        </is>
      </c>
      <c r="AA72" s="97" t="n">
        <v>22227</v>
      </c>
      <c r="AB72" s="96" t="inlineStr">
        <is>
          <t>BKK01</t>
        </is>
      </c>
      <c r="AC72" s="96" t="inlineStr">
        <is>
          <t>VVO01</t>
        </is>
      </c>
    </row>
    <row r="73" ht="12" customHeight="1">
      <c r="A73" s="96" t="inlineStr">
        <is>
          <t>SKLU1654688</t>
        </is>
      </c>
      <c r="B73" s="161" t="inlineStr">
        <is>
          <t>2026-10-16</t>
        </is>
      </c>
      <c r="C73" s="96" t="inlineStr">
        <is>
          <t>SWIC</t>
        </is>
      </c>
      <c r="D73" s="96" t="inlineStr">
        <is>
          <t>2611N</t>
        </is>
      </c>
      <c r="E73" s="96" t="inlineStr">
        <is>
          <t>22GP</t>
        </is>
      </c>
      <c r="F73" s="96" t="inlineStr">
        <is>
          <t>SD</t>
        </is>
      </c>
      <c r="G73" s="96" t="inlineStr">
        <is>
          <t>THBKK</t>
        </is>
      </c>
      <c r="H73" s="96" t="inlineStr">
        <is>
          <t>THBKK</t>
        </is>
      </c>
      <c r="I73" s="96" t="inlineStr">
        <is>
          <t>KRPUS</t>
        </is>
      </c>
      <c r="J73" s="96" t="inlineStr">
        <is>
          <t>JPUKB</t>
        </is>
      </c>
      <c r="K73" s="96" t="inlineStr">
        <is>
          <t>F</t>
        </is>
      </c>
      <c r="L73" s="96" t="inlineStr">
        <is>
          <t>ONE</t>
        </is>
      </c>
      <c r="M73" s="96" t="inlineStr">
        <is>
          <t>VFL</t>
        </is>
      </c>
      <c r="N73" s="96" t="inlineStr">
        <is>
          <t>BKK01</t>
        </is>
      </c>
      <c r="O73" s="96" t="inlineStr">
        <is>
          <t>BKK</t>
        </is>
      </c>
      <c r="P73" s="96" t="inlineStr">
        <is>
          <t>TH</t>
        </is>
      </c>
      <c r="Q73" s="96" t="inlineStr">
        <is>
          <t>HASLS22260902094</t>
        </is>
      </c>
      <c r="R73" s="96" t="inlineStr">
        <is>
          <t>Y</t>
        </is>
      </c>
      <c r="S73" s="96" t="inlineStr">
        <is>
          <t>N</t>
        </is>
      </c>
      <c r="T73" s="96" t="inlineStr">
        <is>
          <t>KHS</t>
        </is>
      </c>
      <c r="U73" s="97" t="n"/>
      <c r="V73" s="96" t="inlineStr">
        <is>
          <t>K0120021</t>
        </is>
      </c>
      <c r="W73" s="96" t="inlineStr">
        <is>
          <t>BIRLA CARBON (THAILAND) PUBLIC</t>
        </is>
      </c>
      <c r="X73" s="96" t="inlineStr">
        <is>
          <t>VFD</t>
        </is>
      </c>
      <c r="Y73" s="96" t="inlineStr">
        <is>
          <t>NIPPON GIANT TIRE CO.,LTD.</t>
        </is>
      </c>
      <c r="Z73" s="96" t="inlineStr">
        <is>
          <t>NIPPON GIANT TIRE CO.,LTD.</t>
        </is>
      </c>
      <c r="AA73" s="97" t="n">
        <v>10544</v>
      </c>
      <c r="AB73" s="96" t="inlineStr">
        <is>
          <t>BKK01</t>
        </is>
      </c>
      <c r="AC73" s="96" t="inlineStr">
        <is>
          <t>UKB03</t>
        </is>
      </c>
    </row>
    <row r="74" ht="12" customHeight="1">
      <c r="A74" s="96" t="inlineStr">
        <is>
          <t>SKLU1981417</t>
        </is>
      </c>
      <c r="B74" s="161" t="inlineStr">
        <is>
          <t>2026-10-16</t>
        </is>
      </c>
      <c r="C74" s="96" t="inlineStr">
        <is>
          <t>SWIC</t>
        </is>
      </c>
      <c r="D74" s="96" t="inlineStr">
        <is>
          <t>2611N</t>
        </is>
      </c>
      <c r="E74" s="96" t="inlineStr">
        <is>
          <t>22GP</t>
        </is>
      </c>
      <c r="F74" s="96" t="inlineStr">
        <is>
          <t>SD</t>
        </is>
      </c>
      <c r="G74" s="96" t="inlineStr">
        <is>
          <t>THBKK</t>
        </is>
      </c>
      <c r="H74" s="96" t="inlineStr">
        <is>
          <t>THBKK</t>
        </is>
      </c>
      <c r="I74" s="96" t="inlineStr">
        <is>
          <t>KRPUS</t>
        </is>
      </c>
      <c r="J74" s="96" t="inlineStr">
        <is>
          <t>KRPUS</t>
        </is>
      </c>
      <c r="K74" s="96" t="inlineStr">
        <is>
          <t>F</t>
        </is>
      </c>
      <c r="L74" s="96" t="inlineStr">
        <is>
          <t>ONE</t>
        </is>
      </c>
      <c r="M74" s="96" t="inlineStr">
        <is>
          <t>VFL</t>
        </is>
      </c>
      <c r="N74" s="96" t="inlineStr">
        <is>
          <t>BKK01</t>
        </is>
      </c>
      <c r="O74" s="96" t="inlineStr">
        <is>
          <t>BKK</t>
        </is>
      </c>
      <c r="P74" s="96" t="inlineStr">
        <is>
          <t>TH</t>
        </is>
      </c>
      <c r="Q74" s="96" t="inlineStr">
        <is>
          <t>HASLS22260900657</t>
        </is>
      </c>
      <c r="R74" s="96" t="inlineStr">
        <is>
          <t>N</t>
        </is>
      </c>
      <c r="S74" s="96" t="inlineStr">
        <is>
          <t>N</t>
        </is>
      </c>
      <c r="T74" s="96" t="inlineStr">
        <is>
          <t>KHS</t>
        </is>
      </c>
      <c r="U74" s="97" t="n"/>
      <c r="V74" s="96" t="inlineStr">
        <is>
          <t>K0120021</t>
        </is>
      </c>
      <c r="W74" s="96" t="inlineStr">
        <is>
          <t>ORIENT STAR INTERNATIONAL</t>
        </is>
      </c>
      <c r="X74" s="96" t="inlineStr">
        <is>
          <t>VFD</t>
        </is>
      </c>
      <c r="Y74" s="96" t="inlineStr">
        <is>
          <t>EXIM LOGISTICS CO., LTD.</t>
        </is>
      </c>
      <c r="Z74" s="96" t="inlineStr">
        <is>
          <t>EXIM LOGISTICS CO., LTD.</t>
        </is>
      </c>
      <c r="AA74" s="97" t="n">
        <v>17005</v>
      </c>
      <c r="AB74" s="96" t="inlineStr">
        <is>
          <t>BKK01</t>
        </is>
      </c>
      <c r="AC74" s="96" t="inlineStr">
        <is>
          <t>PUS05</t>
        </is>
      </c>
    </row>
    <row r="75" ht="12" customHeight="1">
      <c r="A75" s="96" t="inlineStr">
        <is>
          <t>SKLU2323690</t>
        </is>
      </c>
      <c r="B75" s="161" t="inlineStr">
        <is>
          <t>2026-10-16</t>
        </is>
      </c>
      <c r="C75" s="96" t="inlineStr">
        <is>
          <t>SWIC</t>
        </is>
      </c>
      <c r="D75" s="96" t="inlineStr">
        <is>
          <t>2611N</t>
        </is>
      </c>
      <c r="E75" s="96" t="inlineStr">
        <is>
          <t>22GP</t>
        </is>
      </c>
      <c r="F75" s="96" t="inlineStr">
        <is>
          <t>SD</t>
        </is>
      </c>
      <c r="G75" s="96" t="inlineStr">
        <is>
          <t>THBKK</t>
        </is>
      </c>
      <c r="H75" s="96" t="inlineStr">
        <is>
          <t>THBKK</t>
        </is>
      </c>
      <c r="I75" s="96" t="inlineStr">
        <is>
          <t>KRPUS</t>
        </is>
      </c>
      <c r="J75" s="96" t="inlineStr">
        <is>
          <t>KRPUS</t>
        </is>
      </c>
      <c r="K75" s="96" t="inlineStr">
        <is>
          <t>F</t>
        </is>
      </c>
      <c r="L75" s="96" t="inlineStr">
        <is>
          <t>ONE</t>
        </is>
      </c>
      <c r="M75" s="96" t="inlineStr">
        <is>
          <t>VFL</t>
        </is>
      </c>
      <c r="N75" s="96" t="inlineStr">
        <is>
          <t>BKK01</t>
        </is>
      </c>
      <c r="O75" s="96" t="inlineStr">
        <is>
          <t>BKK</t>
        </is>
      </c>
      <c r="P75" s="96" t="inlineStr">
        <is>
          <t>TH</t>
        </is>
      </c>
      <c r="Q75" s="96" t="inlineStr">
        <is>
          <t>HASLS22260900657</t>
        </is>
      </c>
      <c r="R75" s="96" t="inlineStr">
        <is>
          <t>N</t>
        </is>
      </c>
      <c r="S75" s="96" t="inlineStr">
        <is>
          <t>N</t>
        </is>
      </c>
      <c r="T75" s="96" t="inlineStr">
        <is>
          <t>KHS</t>
        </is>
      </c>
      <c r="U75" s="97" t="n"/>
      <c r="V75" s="96" t="inlineStr">
        <is>
          <t>K0120021</t>
        </is>
      </c>
      <c r="W75" s="96" t="inlineStr">
        <is>
          <t>ORIENT STAR INTERNATIONAL</t>
        </is>
      </c>
      <c r="X75" s="96" t="inlineStr">
        <is>
          <t>VFD</t>
        </is>
      </c>
      <c r="Y75" s="96" t="inlineStr">
        <is>
          <t>EXIM LOGISTICS CO., LTD.</t>
        </is>
      </c>
      <c r="Z75" s="96" t="inlineStr">
        <is>
          <t>EXIM LOGISTICS CO., LTD.</t>
        </is>
      </c>
      <c r="AA75" s="97" t="n">
        <v>17005</v>
      </c>
      <c r="AB75" s="96" t="inlineStr">
        <is>
          <t>BKK01</t>
        </is>
      </c>
      <c r="AC75" s="96" t="inlineStr">
        <is>
          <t>PUS05</t>
        </is>
      </c>
    </row>
    <row r="76" ht="12" customHeight="1">
      <c r="A76" s="96" t="inlineStr">
        <is>
          <t>TEMU5121525</t>
        </is>
      </c>
      <c r="B76" s="161" t="inlineStr">
        <is>
          <t>2026-10-16</t>
        </is>
      </c>
      <c r="C76" s="96" t="inlineStr">
        <is>
          <t>SWIC</t>
        </is>
      </c>
      <c r="D76" s="96" t="inlineStr">
        <is>
          <t>2611N</t>
        </is>
      </c>
      <c r="E76" s="96" t="inlineStr">
        <is>
          <t>22GP</t>
        </is>
      </c>
      <c r="F76" s="96" t="inlineStr">
        <is>
          <t>SD</t>
        </is>
      </c>
      <c r="G76" s="96" t="inlineStr">
        <is>
          <t>THBKK</t>
        </is>
      </c>
      <c r="H76" s="96" t="inlineStr">
        <is>
          <t>THBKK</t>
        </is>
      </c>
      <c r="I76" s="96" t="inlineStr">
        <is>
          <t>KRPUS</t>
        </is>
      </c>
      <c r="J76" s="96" t="inlineStr">
        <is>
          <t>JPSMZ</t>
        </is>
      </c>
      <c r="K76" s="96" t="inlineStr">
        <is>
          <t>F</t>
        </is>
      </c>
      <c r="L76" s="96" t="inlineStr">
        <is>
          <t>ONE</t>
        </is>
      </c>
      <c r="M76" s="96" t="inlineStr">
        <is>
          <t>VFL</t>
        </is>
      </c>
      <c r="N76" s="96" t="inlineStr">
        <is>
          <t>BKK01</t>
        </is>
      </c>
      <c r="O76" s="96" t="inlineStr">
        <is>
          <t>BKK</t>
        </is>
      </c>
      <c r="P76" s="96" t="inlineStr">
        <is>
          <t>TH</t>
        </is>
      </c>
      <c r="Q76" s="96" t="inlineStr">
        <is>
          <t>HASLS22260902262</t>
        </is>
      </c>
      <c r="R76" s="96" t="inlineStr">
        <is>
          <t>Y</t>
        </is>
      </c>
      <c r="S76" s="96" t="inlineStr">
        <is>
          <t>N</t>
        </is>
      </c>
      <c r="T76" s="96" t="inlineStr">
        <is>
          <t>KHS</t>
        </is>
      </c>
      <c r="U76" s="97" t="n"/>
      <c r="V76" s="96" t="inlineStr">
        <is>
          <t>K0120021</t>
        </is>
      </c>
      <c r="W76" s="96" t="inlineStr">
        <is>
          <t>SCAN GLOBAL LOGISTICS CO.,LTD</t>
        </is>
      </c>
      <c r="X76" s="96" t="inlineStr">
        <is>
          <t>VFD</t>
        </is>
      </c>
      <c r="Y76" s="96" t="inlineStr">
        <is>
          <t>SCAN GLOBAL LOGISTICS K.K.</t>
        </is>
      </c>
      <c r="Z76" s="96" t="inlineStr">
        <is>
          <t>SCAN GLOBAL LOGISTICS K.K.</t>
        </is>
      </c>
      <c r="AA76" s="97" t="n">
        <v>3168.64</v>
      </c>
      <c r="AB76" s="96" t="inlineStr">
        <is>
          <t>BKK01</t>
        </is>
      </c>
      <c r="AC76" s="96" t="inlineStr">
        <is>
          <t>SMZ01</t>
        </is>
      </c>
    </row>
    <row r="77" ht="12" customHeight="1">
      <c r="A77" s="96" t="inlineStr">
        <is>
          <t>SKLU0562294</t>
        </is>
      </c>
      <c r="B77" s="161" t="inlineStr">
        <is>
          <t>2026-10-16</t>
        </is>
      </c>
      <c r="C77" s="96" t="inlineStr">
        <is>
          <t>SWIC</t>
        </is>
      </c>
      <c r="D77" s="96" t="inlineStr">
        <is>
          <t>2611N</t>
        </is>
      </c>
      <c r="E77" s="96" t="inlineStr">
        <is>
          <t>22GP</t>
        </is>
      </c>
      <c r="F77" s="96" t="inlineStr">
        <is>
          <t>SD</t>
        </is>
      </c>
      <c r="G77" s="96" t="inlineStr">
        <is>
          <t>THBKK</t>
        </is>
      </c>
      <c r="H77" s="96" t="inlineStr">
        <is>
          <t>THBKK</t>
        </is>
      </c>
      <c r="I77" s="96" t="inlineStr">
        <is>
          <t>VNSGN</t>
        </is>
      </c>
      <c r="J77" s="96" t="inlineStr">
        <is>
          <t>VNSGN</t>
        </is>
      </c>
      <c r="K77" s="96" t="inlineStr">
        <is>
          <t>F</t>
        </is>
      </c>
      <c r="L77" s="96" t="inlineStr">
        <is>
          <t>ONE</t>
        </is>
      </c>
      <c r="M77" s="96" t="inlineStr">
        <is>
          <t>VFL</t>
        </is>
      </c>
      <c r="N77" s="96" t="inlineStr">
        <is>
          <t>BKK01</t>
        </is>
      </c>
      <c r="O77" s="96" t="inlineStr">
        <is>
          <t>BKK</t>
        </is>
      </c>
      <c r="P77" s="96" t="inlineStr">
        <is>
          <t>TH</t>
        </is>
      </c>
      <c r="Q77" s="96" t="inlineStr">
        <is>
          <t>HASLS22260902658</t>
        </is>
      </c>
      <c r="R77" s="96" t="inlineStr">
        <is>
          <t>N</t>
        </is>
      </c>
      <c r="S77" s="96" t="inlineStr">
        <is>
          <t>N</t>
        </is>
      </c>
      <c r="T77" s="96" t="inlineStr">
        <is>
          <t>KHS</t>
        </is>
      </c>
      <c r="U77" s="97" t="n"/>
      <c r="V77" s="96" t="inlineStr">
        <is>
          <t>K0120021</t>
        </is>
      </c>
      <c r="W77" s="96" t="inlineStr">
        <is>
          <t>LAM SOON (THAILAND) PUBLIC COMPANY</t>
        </is>
      </c>
      <c r="X77" s="96" t="inlineStr">
        <is>
          <t>VFD</t>
        </is>
      </c>
      <c r="Y77" s="96" t="inlineStr">
        <is>
          <t>UNI-PRESIDENT VIETNAM CO.,LTD</t>
        </is>
      </c>
      <c r="Z77" s="96" t="inlineStr">
        <is>
          <t>UNI-PRESIDENT VIETNAM CO.,LTD</t>
        </is>
      </c>
      <c r="AA77" s="97" t="n">
        <v>13347.54</v>
      </c>
      <c r="AB77" s="96" t="inlineStr">
        <is>
          <t>BKK01</t>
        </is>
      </c>
      <c r="AC77" s="96" t="inlineStr">
        <is>
          <t>SGN03</t>
        </is>
      </c>
    </row>
    <row r="78" ht="12" customHeight="1">
      <c r="A78" s="96" t="inlineStr">
        <is>
          <t>SKLU2471871</t>
        </is>
      </c>
      <c r="B78" s="161" t="inlineStr">
        <is>
          <t>2026-10-16</t>
        </is>
      </c>
      <c r="C78" s="96" t="inlineStr">
        <is>
          <t>SWIC</t>
        </is>
      </c>
      <c r="D78" s="96" t="inlineStr">
        <is>
          <t>2611N</t>
        </is>
      </c>
      <c r="E78" s="96" t="inlineStr">
        <is>
          <t>22GP</t>
        </is>
      </c>
      <c r="F78" s="96" t="inlineStr">
        <is>
          <t>SD</t>
        </is>
      </c>
      <c r="G78" s="96" t="inlineStr">
        <is>
          <t>THBKK</t>
        </is>
      </c>
      <c r="H78" s="96" t="inlineStr">
        <is>
          <t>THBKK</t>
        </is>
      </c>
      <c r="I78" s="96" t="inlineStr">
        <is>
          <t>VNSGN</t>
        </is>
      </c>
      <c r="J78" s="96" t="inlineStr">
        <is>
          <t>VNSGN</t>
        </is>
      </c>
      <c r="K78" s="96" t="inlineStr">
        <is>
          <t>F</t>
        </is>
      </c>
      <c r="L78" s="96" t="inlineStr">
        <is>
          <t>ONE</t>
        </is>
      </c>
      <c r="M78" s="96" t="inlineStr">
        <is>
          <t>VFL</t>
        </is>
      </c>
      <c r="N78" s="96" t="inlineStr">
        <is>
          <t>BKK01</t>
        </is>
      </c>
      <c r="O78" s="96" t="inlineStr">
        <is>
          <t>BKK</t>
        </is>
      </c>
      <c r="P78" s="96" t="inlineStr">
        <is>
          <t>TH</t>
        </is>
      </c>
      <c r="Q78" s="96" t="inlineStr">
        <is>
          <t>HASLS22260902658</t>
        </is>
      </c>
      <c r="R78" s="96" t="inlineStr">
        <is>
          <t>N</t>
        </is>
      </c>
      <c r="S78" s="96" t="inlineStr">
        <is>
          <t>N</t>
        </is>
      </c>
      <c r="T78" s="96" t="inlineStr">
        <is>
          <t>KHS</t>
        </is>
      </c>
      <c r="U78" s="97" t="n"/>
      <c r="V78" s="96" t="inlineStr">
        <is>
          <t>K0120021</t>
        </is>
      </c>
      <c r="W78" s="96" t="inlineStr">
        <is>
          <t>LAM SOON (THAILAND) PUBLIC COMPANY</t>
        </is>
      </c>
      <c r="X78" s="96" t="inlineStr">
        <is>
          <t>VFD</t>
        </is>
      </c>
      <c r="Y78" s="96" t="inlineStr">
        <is>
          <t>UNI-PRESIDENT VIETNAM CO.,LTD</t>
        </is>
      </c>
      <c r="Z78" s="96" t="inlineStr">
        <is>
          <t>UNI-PRESIDENT VIETNAM CO.,LTD</t>
        </is>
      </c>
      <c r="AA78" s="97" t="n">
        <v>20335.38</v>
      </c>
      <c r="AB78" s="96" t="inlineStr">
        <is>
          <t>BKK01</t>
        </is>
      </c>
      <c r="AC78" s="96" t="inlineStr">
        <is>
          <t>SGN03</t>
        </is>
      </c>
    </row>
    <row r="79" ht="12" customHeight="1">
      <c r="A79" s="96" t="inlineStr">
        <is>
          <t>SKLU0515332</t>
        </is>
      </c>
      <c r="B79" s="161" t="inlineStr">
        <is>
          <t>2026-10-16</t>
        </is>
      </c>
      <c r="C79" s="96" t="inlineStr">
        <is>
          <t>SWIC</t>
        </is>
      </c>
      <c r="D79" s="96" t="inlineStr">
        <is>
          <t>2611N</t>
        </is>
      </c>
      <c r="E79" s="96" t="inlineStr">
        <is>
          <t>22GP</t>
        </is>
      </c>
      <c r="F79" s="96" t="inlineStr">
        <is>
          <t>SD</t>
        </is>
      </c>
      <c r="G79" s="96" t="inlineStr">
        <is>
          <t>THBKK</t>
        </is>
      </c>
      <c r="H79" s="96" t="inlineStr">
        <is>
          <t>THBKK</t>
        </is>
      </c>
      <c r="I79" s="96" t="inlineStr">
        <is>
          <t>VNSGN</t>
        </is>
      </c>
      <c r="J79" s="96" t="inlineStr">
        <is>
          <t>VNSGN</t>
        </is>
      </c>
      <c r="K79" s="96" t="inlineStr">
        <is>
          <t>F</t>
        </is>
      </c>
      <c r="L79" s="96" t="inlineStr">
        <is>
          <t>ONE</t>
        </is>
      </c>
      <c r="M79" s="96" t="inlineStr">
        <is>
          <t>VFL</t>
        </is>
      </c>
      <c r="N79" s="96" t="inlineStr">
        <is>
          <t>BKK01</t>
        </is>
      </c>
      <c r="O79" s="96" t="inlineStr">
        <is>
          <t>BKK</t>
        </is>
      </c>
      <c r="P79" s="96" t="inlineStr">
        <is>
          <t>TH</t>
        </is>
      </c>
      <c r="Q79" s="96" t="inlineStr">
        <is>
          <t>HASLS22260902658</t>
        </is>
      </c>
      <c r="R79" s="96" t="inlineStr">
        <is>
          <t>N</t>
        </is>
      </c>
      <c r="S79" s="96" t="inlineStr">
        <is>
          <t>N</t>
        </is>
      </c>
      <c r="T79" s="96" t="inlineStr">
        <is>
          <t>KHS</t>
        </is>
      </c>
      <c r="U79" s="97" t="n"/>
      <c r="V79" s="96" t="inlineStr">
        <is>
          <t>K0120021</t>
        </is>
      </c>
      <c r="W79" s="96" t="inlineStr">
        <is>
          <t>LAM SOON (THAILAND) PUBLIC COMPANY</t>
        </is>
      </c>
      <c r="X79" s="96" t="inlineStr">
        <is>
          <t>VFD</t>
        </is>
      </c>
      <c r="Y79" s="96" t="inlineStr">
        <is>
          <t>UNI-PRESIDENT VIETNAM CO.,LTD</t>
        </is>
      </c>
      <c r="Z79" s="96" t="inlineStr">
        <is>
          <t>UNI-PRESIDENT VIETNAM CO.,LTD</t>
        </is>
      </c>
      <c r="AA79" s="97" t="n">
        <v>20358</v>
      </c>
      <c r="AB79" s="96" t="inlineStr">
        <is>
          <t>BKK01</t>
        </is>
      </c>
      <c r="AC79" s="96" t="inlineStr">
        <is>
          <t>SGN03</t>
        </is>
      </c>
    </row>
    <row r="80" ht="12" customHeight="1">
      <c r="A80" s="96" t="inlineStr">
        <is>
          <t>DFSU3102843</t>
        </is>
      </c>
      <c r="B80" s="161" t="inlineStr">
        <is>
          <t>2026-10-16</t>
        </is>
      </c>
      <c r="C80" s="96" t="inlineStr">
        <is>
          <t>SWIC</t>
        </is>
      </c>
      <c r="D80" s="96" t="inlineStr">
        <is>
          <t>2611N</t>
        </is>
      </c>
      <c r="E80" s="96" t="inlineStr">
        <is>
          <t>22GP</t>
        </is>
      </c>
      <c r="F80" s="96" t="inlineStr">
        <is>
          <t>SD</t>
        </is>
      </c>
      <c r="G80" s="96" t="inlineStr">
        <is>
          <t>THBKK</t>
        </is>
      </c>
      <c r="H80" s="96" t="inlineStr">
        <is>
          <t>THBKK</t>
        </is>
      </c>
      <c r="I80" s="96" t="inlineStr">
        <is>
          <t>KRPUS</t>
        </is>
      </c>
      <c r="J80" s="96" t="inlineStr">
        <is>
          <t>JPKSM</t>
        </is>
      </c>
      <c r="K80" s="96" t="inlineStr">
        <is>
          <t>F</t>
        </is>
      </c>
      <c r="L80" s="96" t="inlineStr">
        <is>
          <t>ONE</t>
        </is>
      </c>
      <c r="M80" s="96" t="inlineStr">
        <is>
          <t>VFL</t>
        </is>
      </c>
      <c r="N80" s="96" t="inlineStr">
        <is>
          <t>BKK01</t>
        </is>
      </c>
      <c r="O80" s="96" t="inlineStr">
        <is>
          <t>BKK</t>
        </is>
      </c>
      <c r="P80" s="96" t="inlineStr">
        <is>
          <t>TH</t>
        </is>
      </c>
      <c r="Q80" s="96" t="inlineStr">
        <is>
          <t>HASLS22260801161</t>
        </is>
      </c>
      <c r="R80" s="96" t="inlineStr">
        <is>
          <t>Y</t>
        </is>
      </c>
      <c r="S80" s="96" t="inlineStr">
        <is>
          <t>N</t>
        </is>
      </c>
      <c r="T80" s="96" t="inlineStr">
        <is>
          <t>KHS</t>
        </is>
      </c>
      <c r="U80" s="97" t="n"/>
      <c r="V80" s="96" t="inlineStr">
        <is>
          <t>K0120021</t>
        </is>
      </c>
      <c r="W80" s="96" t="inlineStr">
        <is>
          <t>FISHMEAL MARKETING DEVELOPMENT</t>
        </is>
      </c>
      <c r="X80" s="96" t="inlineStr">
        <is>
          <t>VFD</t>
        </is>
      </c>
      <c r="Y80" s="96" t="inlineStr">
        <is>
          <t>SANSHO CO., LTD.</t>
        </is>
      </c>
      <c r="Z80" s="96" t="inlineStr">
        <is>
          <t>SANSHO CO., LTD.</t>
        </is>
      </c>
      <c r="AA80" s="97" t="n">
        <v>20040</v>
      </c>
      <c r="AB80" s="96" t="inlineStr">
        <is>
          <t>BKK01</t>
        </is>
      </c>
      <c r="AC80" s="96" t="inlineStr">
        <is>
          <t>KSM01</t>
        </is>
      </c>
    </row>
    <row r="81" ht="12" customHeight="1">
      <c r="A81" s="96" t="inlineStr">
        <is>
          <t>SKLU1319118</t>
        </is>
      </c>
      <c r="B81" s="161" t="inlineStr">
        <is>
          <t>2026-10-16</t>
        </is>
      </c>
      <c r="C81" s="96" t="inlineStr">
        <is>
          <t>SWIC</t>
        </is>
      </c>
      <c r="D81" s="96" t="inlineStr">
        <is>
          <t>2611N</t>
        </is>
      </c>
      <c r="E81" s="96" t="inlineStr">
        <is>
          <t>22GP</t>
        </is>
      </c>
      <c r="F81" s="96" t="inlineStr">
        <is>
          <t>SD</t>
        </is>
      </c>
      <c r="G81" s="96" t="inlineStr">
        <is>
          <t>THBKK</t>
        </is>
      </c>
      <c r="H81" s="96" t="inlineStr">
        <is>
          <t>THBKK</t>
        </is>
      </c>
      <c r="I81" s="96" t="inlineStr">
        <is>
          <t>KRPUS</t>
        </is>
      </c>
      <c r="J81" s="96" t="inlineStr">
        <is>
          <t>JPKSM</t>
        </is>
      </c>
      <c r="K81" s="96" t="inlineStr">
        <is>
          <t>F</t>
        </is>
      </c>
      <c r="L81" s="96" t="inlineStr">
        <is>
          <t>ONE</t>
        </is>
      </c>
      <c r="M81" s="96" t="inlineStr">
        <is>
          <t>VFL</t>
        </is>
      </c>
      <c r="N81" s="96" t="inlineStr">
        <is>
          <t>BKK01</t>
        </is>
      </c>
      <c r="O81" s="96" t="inlineStr">
        <is>
          <t>BKK</t>
        </is>
      </c>
      <c r="P81" s="96" t="inlineStr">
        <is>
          <t>TH</t>
        </is>
      </c>
      <c r="Q81" s="96" t="inlineStr">
        <is>
          <t>HASLS22260801161</t>
        </is>
      </c>
      <c r="R81" s="96" t="inlineStr">
        <is>
          <t>Y</t>
        </is>
      </c>
      <c r="S81" s="96" t="inlineStr">
        <is>
          <t>N</t>
        </is>
      </c>
      <c r="T81" s="96" t="inlineStr">
        <is>
          <t>KHS</t>
        </is>
      </c>
      <c r="U81" s="97" t="n"/>
      <c r="V81" s="96" t="inlineStr">
        <is>
          <t>K0120021</t>
        </is>
      </c>
      <c r="W81" s="96" t="inlineStr">
        <is>
          <t>FISHMEAL MARKETING DEVELOPMENT</t>
        </is>
      </c>
      <c r="X81" s="96" t="inlineStr">
        <is>
          <t>VFD</t>
        </is>
      </c>
      <c r="Y81" s="96" t="inlineStr">
        <is>
          <t>SANSHO CO., LTD.</t>
        </is>
      </c>
      <c r="Z81" s="96" t="inlineStr">
        <is>
          <t>SANSHO CO., LTD.</t>
        </is>
      </c>
      <c r="AA81" s="97" t="n">
        <v>20040</v>
      </c>
      <c r="AB81" s="96" t="inlineStr">
        <is>
          <t>BKK01</t>
        </is>
      </c>
      <c r="AC81" s="96" t="inlineStr">
        <is>
          <t>KSM01</t>
        </is>
      </c>
    </row>
    <row r="82" ht="12" customHeight="1">
      <c r="A82" s="96" t="inlineStr">
        <is>
          <t>SKLU1426184</t>
        </is>
      </c>
      <c r="B82" s="161" t="inlineStr">
        <is>
          <t>2026-10-16</t>
        </is>
      </c>
      <c r="C82" s="96" t="inlineStr">
        <is>
          <t>SWIC</t>
        </is>
      </c>
      <c r="D82" s="96" t="inlineStr">
        <is>
          <t>2611N</t>
        </is>
      </c>
      <c r="E82" s="96" t="inlineStr">
        <is>
          <t>22GP</t>
        </is>
      </c>
      <c r="F82" s="96" t="inlineStr">
        <is>
          <t>SD</t>
        </is>
      </c>
      <c r="G82" s="96" t="inlineStr">
        <is>
          <t>THBKK</t>
        </is>
      </c>
      <c r="H82" s="96" t="inlineStr">
        <is>
          <t>THBKK</t>
        </is>
      </c>
      <c r="I82" s="96" t="inlineStr">
        <is>
          <t>KRPUS</t>
        </is>
      </c>
      <c r="J82" s="96" t="inlineStr">
        <is>
          <t>JPKSM</t>
        </is>
      </c>
      <c r="K82" s="96" t="inlineStr">
        <is>
          <t>F</t>
        </is>
      </c>
      <c r="L82" s="96" t="inlineStr">
        <is>
          <t>ONE</t>
        </is>
      </c>
      <c r="M82" s="96" t="inlineStr">
        <is>
          <t>VFL</t>
        </is>
      </c>
      <c r="N82" s="96" t="inlineStr">
        <is>
          <t>BKK01</t>
        </is>
      </c>
      <c r="O82" s="96" t="inlineStr">
        <is>
          <t>BKK</t>
        </is>
      </c>
      <c r="P82" s="96" t="inlineStr">
        <is>
          <t>TH</t>
        </is>
      </c>
      <c r="Q82" s="96" t="inlineStr">
        <is>
          <t>HASLS22260801161</t>
        </is>
      </c>
      <c r="R82" s="96" t="inlineStr">
        <is>
          <t>Y</t>
        </is>
      </c>
      <c r="S82" s="96" t="inlineStr">
        <is>
          <t>N</t>
        </is>
      </c>
      <c r="T82" s="96" t="inlineStr">
        <is>
          <t>KHS</t>
        </is>
      </c>
      <c r="U82" s="97" t="n"/>
      <c r="V82" s="96" t="inlineStr">
        <is>
          <t>K0120021</t>
        </is>
      </c>
      <c r="W82" s="96" t="inlineStr">
        <is>
          <t>FISHMEAL MARKETING DEVELOPMENT</t>
        </is>
      </c>
      <c r="X82" s="96" t="inlineStr">
        <is>
          <t>VFD</t>
        </is>
      </c>
      <c r="Y82" s="96" t="inlineStr">
        <is>
          <t>SANSHO CO., LTD.</t>
        </is>
      </c>
      <c r="Z82" s="96" t="inlineStr">
        <is>
          <t>SANSHO CO., LTD.</t>
        </is>
      </c>
      <c r="AA82" s="97" t="n">
        <v>20040</v>
      </c>
      <c r="AB82" s="96" t="inlineStr">
        <is>
          <t>BKK01</t>
        </is>
      </c>
      <c r="AC82" s="96" t="inlineStr">
        <is>
          <t>KSM01</t>
        </is>
      </c>
    </row>
    <row r="83" ht="12" customHeight="1">
      <c r="A83" s="96" t="inlineStr">
        <is>
          <t>SKLU1509709</t>
        </is>
      </c>
      <c r="B83" s="161" t="inlineStr">
        <is>
          <t>2026-10-16</t>
        </is>
      </c>
      <c r="C83" s="96" t="inlineStr">
        <is>
          <t>SWIC</t>
        </is>
      </c>
      <c r="D83" s="96" t="inlineStr">
        <is>
          <t>2611N</t>
        </is>
      </c>
      <c r="E83" s="96" t="inlineStr">
        <is>
          <t>22GP</t>
        </is>
      </c>
      <c r="F83" s="96" t="inlineStr">
        <is>
          <t>SD</t>
        </is>
      </c>
      <c r="G83" s="96" t="inlineStr">
        <is>
          <t>THBKK</t>
        </is>
      </c>
      <c r="H83" s="96" t="inlineStr">
        <is>
          <t>THBKK</t>
        </is>
      </c>
      <c r="I83" s="96" t="inlineStr">
        <is>
          <t>KRPUS</t>
        </is>
      </c>
      <c r="J83" s="96" t="inlineStr">
        <is>
          <t>JPKSM</t>
        </is>
      </c>
      <c r="K83" s="96" t="inlineStr">
        <is>
          <t>F</t>
        </is>
      </c>
      <c r="L83" s="96" t="inlineStr">
        <is>
          <t>ONE</t>
        </is>
      </c>
      <c r="M83" s="96" t="inlineStr">
        <is>
          <t>VFL</t>
        </is>
      </c>
      <c r="N83" s="96" t="inlineStr">
        <is>
          <t>BKK01</t>
        </is>
      </c>
      <c r="O83" s="96" t="inlineStr">
        <is>
          <t>BKK</t>
        </is>
      </c>
      <c r="P83" s="96" t="inlineStr">
        <is>
          <t>TH</t>
        </is>
      </c>
      <c r="Q83" s="96" t="inlineStr">
        <is>
          <t>HASLS22260801161</t>
        </is>
      </c>
      <c r="R83" s="96" t="inlineStr">
        <is>
          <t>Y</t>
        </is>
      </c>
      <c r="S83" s="96" t="inlineStr">
        <is>
          <t>N</t>
        </is>
      </c>
      <c r="T83" s="96" t="inlineStr">
        <is>
          <t>KHS</t>
        </is>
      </c>
      <c r="U83" s="97" t="n"/>
      <c r="V83" s="96" t="inlineStr">
        <is>
          <t>K0120021</t>
        </is>
      </c>
      <c r="W83" s="96" t="inlineStr">
        <is>
          <t>FISHMEAL MARKETING DEVELOPMENT</t>
        </is>
      </c>
      <c r="X83" s="96" t="inlineStr">
        <is>
          <t>VFD</t>
        </is>
      </c>
      <c r="Y83" s="96" t="inlineStr">
        <is>
          <t>SANSHO CO., LTD.</t>
        </is>
      </c>
      <c r="Z83" s="96" t="inlineStr">
        <is>
          <t>SANSHO CO., LTD.</t>
        </is>
      </c>
      <c r="AA83" s="97" t="n">
        <v>20040</v>
      </c>
      <c r="AB83" s="96" t="inlineStr">
        <is>
          <t>BKK01</t>
        </is>
      </c>
      <c r="AC83" s="96" t="inlineStr">
        <is>
          <t>KSM01</t>
        </is>
      </c>
    </row>
    <row r="84" ht="12" customHeight="1">
      <c r="A84" s="96" t="inlineStr">
        <is>
          <t>SKLU1600038</t>
        </is>
      </c>
      <c r="B84" s="161" t="inlineStr">
        <is>
          <t>2026-10-16</t>
        </is>
      </c>
      <c r="C84" s="96" t="inlineStr">
        <is>
          <t>SWIC</t>
        </is>
      </c>
      <c r="D84" s="96" t="inlineStr">
        <is>
          <t>2611N</t>
        </is>
      </c>
      <c r="E84" s="96" t="inlineStr">
        <is>
          <t>22GP</t>
        </is>
      </c>
      <c r="F84" s="96" t="inlineStr">
        <is>
          <t>SD</t>
        </is>
      </c>
      <c r="G84" s="96" t="inlineStr">
        <is>
          <t>THBKK</t>
        </is>
      </c>
      <c r="H84" s="96" t="inlineStr">
        <is>
          <t>THBKK</t>
        </is>
      </c>
      <c r="I84" s="96" t="inlineStr">
        <is>
          <t>KRPUS</t>
        </is>
      </c>
      <c r="J84" s="96" t="inlineStr">
        <is>
          <t>JPKSM</t>
        </is>
      </c>
      <c r="K84" s="96" t="inlineStr">
        <is>
          <t>F</t>
        </is>
      </c>
      <c r="L84" s="96" t="inlineStr">
        <is>
          <t>ONE</t>
        </is>
      </c>
      <c r="M84" s="96" t="inlineStr">
        <is>
          <t>VFL</t>
        </is>
      </c>
      <c r="N84" s="96" t="inlineStr">
        <is>
          <t>BKK01</t>
        </is>
      </c>
      <c r="O84" s="96" t="inlineStr">
        <is>
          <t>BKK</t>
        </is>
      </c>
      <c r="P84" s="96" t="inlineStr">
        <is>
          <t>TH</t>
        </is>
      </c>
      <c r="Q84" s="96" t="inlineStr">
        <is>
          <t>HASLS22260801161</t>
        </is>
      </c>
      <c r="R84" s="96" t="inlineStr">
        <is>
          <t>Y</t>
        </is>
      </c>
      <c r="S84" s="96" t="inlineStr">
        <is>
          <t>N</t>
        </is>
      </c>
      <c r="T84" s="96" t="inlineStr">
        <is>
          <t>KHS</t>
        </is>
      </c>
      <c r="U84" s="97" t="n"/>
      <c r="V84" s="96" t="inlineStr">
        <is>
          <t>K0120021</t>
        </is>
      </c>
      <c r="W84" s="96" t="inlineStr">
        <is>
          <t>FISHMEAL MARKETING DEVELOPMENT</t>
        </is>
      </c>
      <c r="X84" s="96" t="inlineStr">
        <is>
          <t>VFD</t>
        </is>
      </c>
      <c r="Y84" s="96" t="inlineStr">
        <is>
          <t>SANSHO CO., LTD.</t>
        </is>
      </c>
      <c r="Z84" s="96" t="inlineStr">
        <is>
          <t>SANSHO CO., LTD.</t>
        </is>
      </c>
      <c r="AA84" s="97" t="n">
        <v>20040</v>
      </c>
      <c r="AB84" s="96" t="inlineStr">
        <is>
          <t>BKK01</t>
        </is>
      </c>
      <c r="AC84" s="96" t="inlineStr">
        <is>
          <t>KSM01</t>
        </is>
      </c>
    </row>
    <row r="85" ht="12" customHeight="1">
      <c r="A85" s="96" t="inlineStr">
        <is>
          <t>SKLU1658934</t>
        </is>
      </c>
      <c r="B85" s="161" t="inlineStr">
        <is>
          <t>2026-10-16</t>
        </is>
      </c>
      <c r="C85" s="96" t="inlineStr">
        <is>
          <t>SWIC</t>
        </is>
      </c>
      <c r="D85" s="96" t="inlineStr">
        <is>
          <t>2611N</t>
        </is>
      </c>
      <c r="E85" s="96" t="inlineStr">
        <is>
          <t>22GP</t>
        </is>
      </c>
      <c r="F85" s="96" t="inlineStr">
        <is>
          <t>SD</t>
        </is>
      </c>
      <c r="G85" s="96" t="inlineStr">
        <is>
          <t>THBKK</t>
        </is>
      </c>
      <c r="H85" s="96" t="inlineStr">
        <is>
          <t>THBKK</t>
        </is>
      </c>
      <c r="I85" s="96" t="inlineStr">
        <is>
          <t>KRPUS</t>
        </is>
      </c>
      <c r="J85" s="96" t="inlineStr">
        <is>
          <t>JPKSM</t>
        </is>
      </c>
      <c r="K85" s="96" t="inlineStr">
        <is>
          <t>F</t>
        </is>
      </c>
      <c r="L85" s="96" t="inlineStr">
        <is>
          <t>ONE</t>
        </is>
      </c>
      <c r="M85" s="96" t="inlineStr">
        <is>
          <t>VFL</t>
        </is>
      </c>
      <c r="N85" s="96" t="inlineStr">
        <is>
          <t>BKK01</t>
        </is>
      </c>
      <c r="O85" s="96" t="inlineStr">
        <is>
          <t>BKK</t>
        </is>
      </c>
      <c r="P85" s="96" t="inlineStr">
        <is>
          <t>TH</t>
        </is>
      </c>
      <c r="Q85" s="96" t="inlineStr">
        <is>
          <t>HASLS22260801161</t>
        </is>
      </c>
      <c r="R85" s="96" t="inlineStr">
        <is>
          <t>Y</t>
        </is>
      </c>
      <c r="S85" s="96" t="inlineStr">
        <is>
          <t>N</t>
        </is>
      </c>
      <c r="T85" s="96" t="inlineStr">
        <is>
          <t>KHS</t>
        </is>
      </c>
      <c r="U85" s="97" t="n"/>
      <c r="V85" s="96" t="inlineStr">
        <is>
          <t>K0120021</t>
        </is>
      </c>
      <c r="W85" s="96" t="inlineStr">
        <is>
          <t>FISHMEAL MARKETING DEVELOPMENT</t>
        </is>
      </c>
      <c r="X85" s="96" t="inlineStr">
        <is>
          <t>VFD</t>
        </is>
      </c>
      <c r="Y85" s="96" t="inlineStr">
        <is>
          <t>SANSHO CO., LTD.</t>
        </is>
      </c>
      <c r="Z85" s="96" t="inlineStr">
        <is>
          <t>SANSHO CO., LTD.</t>
        </is>
      </c>
      <c r="AA85" s="97" t="n">
        <v>20040</v>
      </c>
      <c r="AB85" s="96" t="inlineStr">
        <is>
          <t>BKK01</t>
        </is>
      </c>
      <c r="AC85" s="96" t="inlineStr">
        <is>
          <t>KSM01</t>
        </is>
      </c>
    </row>
    <row r="86" ht="12" customHeight="1">
      <c r="A86" s="96" t="inlineStr">
        <is>
          <t>SKLU1823392</t>
        </is>
      </c>
      <c r="B86" s="161" t="inlineStr">
        <is>
          <t>2026-10-16</t>
        </is>
      </c>
      <c r="C86" s="96" t="inlineStr">
        <is>
          <t>SWIC</t>
        </is>
      </c>
      <c r="D86" s="96" t="inlineStr">
        <is>
          <t>2611N</t>
        </is>
      </c>
      <c r="E86" s="96" t="inlineStr">
        <is>
          <t>22GP</t>
        </is>
      </c>
      <c r="F86" s="96" t="inlineStr">
        <is>
          <t>SD</t>
        </is>
      </c>
      <c r="G86" s="96" t="inlineStr">
        <is>
          <t>THBKK</t>
        </is>
      </c>
      <c r="H86" s="96" t="inlineStr">
        <is>
          <t>THBKK</t>
        </is>
      </c>
      <c r="I86" s="96" t="inlineStr">
        <is>
          <t>KRPUS</t>
        </is>
      </c>
      <c r="J86" s="96" t="inlineStr">
        <is>
          <t>JPKSM</t>
        </is>
      </c>
      <c r="K86" s="96" t="inlineStr">
        <is>
          <t>F</t>
        </is>
      </c>
      <c r="L86" s="96" t="inlineStr">
        <is>
          <t>ONE</t>
        </is>
      </c>
      <c r="M86" s="96" t="inlineStr">
        <is>
          <t>VFL</t>
        </is>
      </c>
      <c r="N86" s="96" t="inlineStr">
        <is>
          <t>BKK01</t>
        </is>
      </c>
      <c r="O86" s="96" t="inlineStr">
        <is>
          <t>BKK</t>
        </is>
      </c>
      <c r="P86" s="96" t="inlineStr">
        <is>
          <t>TH</t>
        </is>
      </c>
      <c r="Q86" s="96" t="inlineStr">
        <is>
          <t>HASLS22260801161</t>
        </is>
      </c>
      <c r="R86" s="96" t="inlineStr">
        <is>
          <t>Y</t>
        </is>
      </c>
      <c r="S86" s="96" t="inlineStr">
        <is>
          <t>N</t>
        </is>
      </c>
      <c r="T86" s="96" t="inlineStr">
        <is>
          <t>KHS</t>
        </is>
      </c>
      <c r="U86" s="97" t="n"/>
      <c r="V86" s="96" t="inlineStr">
        <is>
          <t>K0120021</t>
        </is>
      </c>
      <c r="W86" s="96" t="inlineStr">
        <is>
          <t>FISHMEAL MARKETING DEVELOPMENT</t>
        </is>
      </c>
      <c r="X86" s="96" t="inlineStr">
        <is>
          <t>VFD</t>
        </is>
      </c>
      <c r="Y86" s="96" t="inlineStr">
        <is>
          <t>SANSHO CO., LTD.</t>
        </is>
      </c>
      <c r="Z86" s="96" t="inlineStr">
        <is>
          <t>SANSHO CO., LTD.</t>
        </is>
      </c>
      <c r="AA86" s="97" t="n">
        <v>20040</v>
      </c>
      <c r="AB86" s="96" t="inlineStr">
        <is>
          <t>BKK01</t>
        </is>
      </c>
      <c r="AC86" s="96" t="inlineStr">
        <is>
          <t>KSM01</t>
        </is>
      </c>
    </row>
    <row r="87" ht="12" customHeight="1">
      <c r="A87" s="96" t="inlineStr">
        <is>
          <t>SKLU3511011</t>
        </is>
      </c>
      <c r="B87" s="161" t="inlineStr">
        <is>
          <t>2026-10-16</t>
        </is>
      </c>
      <c r="C87" s="96" t="inlineStr">
        <is>
          <t>SWIC</t>
        </is>
      </c>
      <c r="D87" s="96" t="inlineStr">
        <is>
          <t>2611N</t>
        </is>
      </c>
      <c r="E87" s="96" t="inlineStr">
        <is>
          <t>22GP</t>
        </is>
      </c>
      <c r="F87" s="96" t="inlineStr">
        <is>
          <t>SD</t>
        </is>
      </c>
      <c r="G87" s="96" t="inlineStr">
        <is>
          <t>THBKK</t>
        </is>
      </c>
      <c r="H87" s="96" t="inlineStr">
        <is>
          <t>THBKK</t>
        </is>
      </c>
      <c r="I87" s="96" t="inlineStr">
        <is>
          <t>KRPUS</t>
        </is>
      </c>
      <c r="J87" s="96" t="inlineStr">
        <is>
          <t>JPKSM</t>
        </is>
      </c>
      <c r="K87" s="96" t="inlineStr">
        <is>
          <t>F</t>
        </is>
      </c>
      <c r="L87" s="96" t="inlineStr">
        <is>
          <t>ONE</t>
        </is>
      </c>
      <c r="M87" s="96" t="inlineStr">
        <is>
          <t>VFL</t>
        </is>
      </c>
      <c r="N87" s="96" t="inlineStr">
        <is>
          <t>BKK01</t>
        </is>
      </c>
      <c r="O87" s="96" t="inlineStr">
        <is>
          <t>BKK</t>
        </is>
      </c>
      <c r="P87" s="96" t="inlineStr">
        <is>
          <t>TH</t>
        </is>
      </c>
      <c r="Q87" s="96" t="inlineStr">
        <is>
          <t>HASLS22260801161</t>
        </is>
      </c>
      <c r="R87" s="96" t="inlineStr">
        <is>
          <t>Y</t>
        </is>
      </c>
      <c r="S87" s="96" t="inlineStr">
        <is>
          <t>N</t>
        </is>
      </c>
      <c r="T87" s="96" t="inlineStr">
        <is>
          <t>KHS</t>
        </is>
      </c>
      <c r="U87" s="97" t="n"/>
      <c r="V87" s="96" t="inlineStr">
        <is>
          <t>K0120021</t>
        </is>
      </c>
      <c r="W87" s="96" t="inlineStr">
        <is>
          <t>FISHMEAL MARKETING DEVELOPMENT</t>
        </is>
      </c>
      <c r="X87" s="96" t="inlineStr">
        <is>
          <t>VFD</t>
        </is>
      </c>
      <c r="Y87" s="96" t="inlineStr">
        <is>
          <t>SANSHO CO., LTD.</t>
        </is>
      </c>
      <c r="Z87" s="96" t="inlineStr">
        <is>
          <t>SANSHO CO., LTD.</t>
        </is>
      </c>
      <c r="AA87" s="97" t="n">
        <v>20040</v>
      </c>
      <c r="AB87" s="96" t="inlineStr">
        <is>
          <t>BKK01</t>
        </is>
      </c>
      <c r="AC87" s="96" t="inlineStr">
        <is>
          <t>KSM01</t>
        </is>
      </c>
    </row>
    <row r="88" ht="12" customHeight="1">
      <c r="A88" s="96" t="inlineStr">
        <is>
          <t>TRHU2722779</t>
        </is>
      </c>
      <c r="B88" s="161" t="inlineStr">
        <is>
          <t>2026-10-16</t>
        </is>
      </c>
      <c r="C88" s="96" t="inlineStr">
        <is>
          <t>SWIC</t>
        </is>
      </c>
      <c r="D88" s="96" t="inlineStr">
        <is>
          <t>2611N</t>
        </is>
      </c>
      <c r="E88" s="96" t="inlineStr">
        <is>
          <t>22GP</t>
        </is>
      </c>
      <c r="F88" s="96" t="inlineStr">
        <is>
          <t>SD</t>
        </is>
      </c>
      <c r="G88" s="96" t="inlineStr">
        <is>
          <t>THBKK</t>
        </is>
      </c>
      <c r="H88" s="96" t="inlineStr">
        <is>
          <t>THBKK</t>
        </is>
      </c>
      <c r="I88" s="96" t="inlineStr">
        <is>
          <t>KRPUS</t>
        </is>
      </c>
      <c r="J88" s="96" t="inlineStr">
        <is>
          <t>JPKSM</t>
        </is>
      </c>
      <c r="K88" s="96" t="inlineStr">
        <is>
          <t>F</t>
        </is>
      </c>
      <c r="L88" s="96" t="inlineStr">
        <is>
          <t>ONE</t>
        </is>
      </c>
      <c r="M88" s="96" t="inlineStr">
        <is>
          <t>VFL</t>
        </is>
      </c>
      <c r="N88" s="96" t="inlineStr">
        <is>
          <t>BKK01</t>
        </is>
      </c>
      <c r="O88" s="96" t="inlineStr">
        <is>
          <t>BKK</t>
        </is>
      </c>
      <c r="P88" s="96" t="inlineStr">
        <is>
          <t>TH</t>
        </is>
      </c>
      <c r="Q88" s="96" t="inlineStr">
        <is>
          <t>HASLS22260801161</t>
        </is>
      </c>
      <c r="R88" s="96" t="inlineStr">
        <is>
          <t>Y</t>
        </is>
      </c>
      <c r="S88" s="96" t="inlineStr">
        <is>
          <t>N</t>
        </is>
      </c>
      <c r="T88" s="96" t="inlineStr">
        <is>
          <t>KHS</t>
        </is>
      </c>
      <c r="U88" s="97" t="n"/>
      <c r="V88" s="96" t="inlineStr">
        <is>
          <t>K0120021</t>
        </is>
      </c>
      <c r="W88" s="96" t="inlineStr">
        <is>
          <t>FISHMEAL MARKETING DEVELOPMENT</t>
        </is>
      </c>
      <c r="X88" s="96" t="inlineStr">
        <is>
          <t>VFD</t>
        </is>
      </c>
      <c r="Y88" s="96" t="inlineStr">
        <is>
          <t>SANSHO CO., LTD.</t>
        </is>
      </c>
      <c r="Z88" s="96" t="inlineStr">
        <is>
          <t>SANSHO CO., LTD.</t>
        </is>
      </c>
      <c r="AA88" s="97" t="n">
        <v>20040</v>
      </c>
      <c r="AB88" s="96" t="inlineStr">
        <is>
          <t>BKK01</t>
        </is>
      </c>
      <c r="AC88" s="96" t="inlineStr">
        <is>
          <t>KSM01</t>
        </is>
      </c>
    </row>
    <row r="89" ht="12" customHeight="1">
      <c r="A89" s="96" t="inlineStr">
        <is>
          <t>SKLU1823026</t>
        </is>
      </c>
      <c r="B89" s="161" t="inlineStr">
        <is>
          <t>2026-10-16</t>
        </is>
      </c>
      <c r="C89" s="96" t="inlineStr">
        <is>
          <t>SWIC</t>
        </is>
      </c>
      <c r="D89" s="96" t="inlineStr">
        <is>
          <t>2611N</t>
        </is>
      </c>
      <c r="E89" s="96" t="inlineStr">
        <is>
          <t>22GP</t>
        </is>
      </c>
      <c r="F89" s="96" t="inlineStr">
        <is>
          <t>SD</t>
        </is>
      </c>
      <c r="G89" s="96" t="inlineStr">
        <is>
          <t>THBKK</t>
        </is>
      </c>
      <c r="H89" s="96" t="inlineStr">
        <is>
          <t>THBKK</t>
        </is>
      </c>
      <c r="I89" s="96" t="inlineStr">
        <is>
          <t>KRPUS</t>
        </is>
      </c>
      <c r="J89" s="96" t="inlineStr">
        <is>
          <t>JPIYM</t>
        </is>
      </c>
      <c r="K89" s="96" t="inlineStr">
        <is>
          <t>F</t>
        </is>
      </c>
      <c r="L89" s="96" t="inlineStr">
        <is>
          <t>ONE</t>
        </is>
      </c>
      <c r="M89" s="96" t="inlineStr">
        <is>
          <t>VFL</t>
        </is>
      </c>
      <c r="N89" s="96" t="inlineStr">
        <is>
          <t>BKK01</t>
        </is>
      </c>
      <c r="O89" s="96" t="inlineStr">
        <is>
          <t>BKK</t>
        </is>
      </c>
      <c r="P89" s="96" t="inlineStr">
        <is>
          <t>TH</t>
        </is>
      </c>
      <c r="Q89" s="96" t="inlineStr">
        <is>
          <t>HASLS22260901974</t>
        </is>
      </c>
      <c r="R89" s="96" t="inlineStr">
        <is>
          <t>Y</t>
        </is>
      </c>
      <c r="S89" s="96" t="inlineStr">
        <is>
          <t>N</t>
        </is>
      </c>
      <c r="T89" s="96" t="inlineStr">
        <is>
          <t>KHS</t>
        </is>
      </c>
      <c r="U89" s="97" t="n"/>
      <c r="V89" s="96" t="inlineStr">
        <is>
          <t>K0120021</t>
        </is>
      </c>
      <c r="W89" s="96" t="inlineStr">
        <is>
          <t>SCG INTERNATIONAL CORPORATION CO.,</t>
        </is>
      </c>
      <c r="X89" s="96" t="inlineStr">
        <is>
          <t>VFD</t>
        </is>
      </c>
      <c r="Y89" s="96" t="inlineStr">
        <is>
          <t>USUI METALS CORPORATION</t>
        </is>
      </c>
      <c r="Z89" s="96" t="inlineStr">
        <is>
          <t>USUI METALS CORPORATION</t>
        </is>
      </c>
      <c r="AA89" s="97" t="n">
        <v>20210</v>
      </c>
      <c r="AB89" s="96" t="inlineStr">
        <is>
          <t>BKK01</t>
        </is>
      </c>
      <c r="AC89" s="96" t="inlineStr">
        <is>
          <t>IYM02</t>
        </is>
      </c>
    </row>
    <row r="90" ht="12" customHeight="1">
      <c r="A90" s="96" t="inlineStr">
        <is>
          <t>SKLU2318815</t>
        </is>
      </c>
      <c r="B90" s="161" t="inlineStr">
        <is>
          <t>2026-10-16</t>
        </is>
      </c>
      <c r="C90" s="96" t="inlineStr">
        <is>
          <t>SWIC</t>
        </is>
      </c>
      <c r="D90" s="96" t="inlineStr">
        <is>
          <t>2611N</t>
        </is>
      </c>
      <c r="E90" s="96" t="inlineStr">
        <is>
          <t>22GP</t>
        </is>
      </c>
      <c r="F90" s="96" t="inlineStr">
        <is>
          <t>SD</t>
        </is>
      </c>
      <c r="G90" s="96" t="inlineStr">
        <is>
          <t>THBKK</t>
        </is>
      </c>
      <c r="H90" s="96" t="inlineStr">
        <is>
          <t>THBKK</t>
        </is>
      </c>
      <c r="I90" s="96" t="inlineStr">
        <is>
          <t>KRPUS</t>
        </is>
      </c>
      <c r="J90" s="96" t="inlineStr">
        <is>
          <t>JPIYM</t>
        </is>
      </c>
      <c r="K90" s="96" t="inlineStr">
        <is>
          <t>F</t>
        </is>
      </c>
      <c r="L90" s="96" t="inlineStr">
        <is>
          <t>ONE</t>
        </is>
      </c>
      <c r="M90" s="96" t="inlineStr">
        <is>
          <t>VFL</t>
        </is>
      </c>
      <c r="N90" s="96" t="inlineStr">
        <is>
          <t>BKK01</t>
        </is>
      </c>
      <c r="O90" s="96" t="inlineStr">
        <is>
          <t>BKK</t>
        </is>
      </c>
      <c r="P90" s="96" t="inlineStr">
        <is>
          <t>TH</t>
        </is>
      </c>
      <c r="Q90" s="96" t="inlineStr">
        <is>
          <t>HASLS22260901974</t>
        </is>
      </c>
      <c r="R90" s="96" t="inlineStr">
        <is>
          <t>Y</t>
        </is>
      </c>
      <c r="S90" s="96" t="inlineStr">
        <is>
          <t>N</t>
        </is>
      </c>
      <c r="T90" s="96" t="inlineStr">
        <is>
          <t>KHS</t>
        </is>
      </c>
      <c r="U90" s="97" t="n"/>
      <c r="V90" s="96" t="inlineStr">
        <is>
          <t>K0120021</t>
        </is>
      </c>
      <c r="W90" s="96" t="inlineStr">
        <is>
          <t>SCG INTERNATIONAL CORPORATION CO.,</t>
        </is>
      </c>
      <c r="X90" s="96" t="inlineStr">
        <is>
          <t>VFD</t>
        </is>
      </c>
      <c r="Y90" s="96" t="inlineStr">
        <is>
          <t>USUI METALS CORPORATION</t>
        </is>
      </c>
      <c r="Z90" s="96" t="inlineStr">
        <is>
          <t>USUI METALS CORPORATION</t>
        </is>
      </c>
      <c r="AA90" s="97" t="n">
        <v>20150</v>
      </c>
      <c r="AB90" s="96" t="inlineStr">
        <is>
          <t>BKK01</t>
        </is>
      </c>
      <c r="AC90" s="96" t="inlineStr">
        <is>
          <t>IYM02</t>
        </is>
      </c>
    </row>
    <row r="91" ht="12" customHeight="1">
      <c r="A91" s="96" t="inlineStr">
        <is>
          <t>SKLU1809706</t>
        </is>
      </c>
      <c r="B91" s="161" t="inlineStr">
        <is>
          <t>2026-10-16</t>
        </is>
      </c>
      <c r="C91" s="96" t="inlineStr">
        <is>
          <t>SWIC</t>
        </is>
      </c>
      <c r="D91" s="96" t="inlineStr">
        <is>
          <t>2611N</t>
        </is>
      </c>
      <c r="E91" s="96" t="inlineStr">
        <is>
          <t>22GP</t>
        </is>
      </c>
      <c r="F91" s="96" t="inlineStr">
        <is>
          <t>SD</t>
        </is>
      </c>
      <c r="G91" s="96" t="inlineStr">
        <is>
          <t>THBKK</t>
        </is>
      </c>
      <c r="H91" s="96" t="inlineStr">
        <is>
          <t>THBKK</t>
        </is>
      </c>
      <c r="I91" s="96" t="inlineStr">
        <is>
          <t>KRPUS</t>
        </is>
      </c>
      <c r="J91" s="96" t="inlineStr">
        <is>
          <t>JPOSA</t>
        </is>
      </c>
      <c r="K91" s="96" t="inlineStr">
        <is>
          <t>F</t>
        </is>
      </c>
      <c r="L91" s="96" t="inlineStr">
        <is>
          <t>ONE</t>
        </is>
      </c>
      <c r="M91" s="96" t="inlineStr">
        <is>
          <t>VFL</t>
        </is>
      </c>
      <c r="N91" s="96" t="inlineStr">
        <is>
          <t>BKK01</t>
        </is>
      </c>
      <c r="O91" s="96" t="inlineStr">
        <is>
          <t>BKK</t>
        </is>
      </c>
      <c r="P91" s="96" t="inlineStr">
        <is>
          <t>TH</t>
        </is>
      </c>
      <c r="Q91" s="96" t="inlineStr">
        <is>
          <t>HASLS22260902525</t>
        </is>
      </c>
      <c r="R91" s="96" t="inlineStr">
        <is>
          <t>Y</t>
        </is>
      </c>
      <c r="S91" s="96" t="inlineStr">
        <is>
          <t>N</t>
        </is>
      </c>
      <c r="T91" s="96" t="inlineStr">
        <is>
          <t>KHS</t>
        </is>
      </c>
      <c r="U91" s="97" t="n"/>
      <c r="V91" s="96" t="inlineStr">
        <is>
          <t>K0120021</t>
        </is>
      </c>
      <c r="W91" s="96" t="inlineStr">
        <is>
          <t>NEW SOLUTIONS (THAILAND) CO., LTD.</t>
        </is>
      </c>
      <c r="X91" s="96" t="inlineStr">
        <is>
          <t>VFD</t>
        </is>
      </c>
      <c r="Y91" s="96" t="inlineStr">
        <is>
          <t>WAKOH METAL CO., LTD</t>
        </is>
      </c>
      <c r="Z91" s="96" t="inlineStr">
        <is>
          <t>WAKOH METAL CO., LTD</t>
        </is>
      </c>
      <c r="AA91" s="97" t="n">
        <v>19979</v>
      </c>
      <c r="AB91" s="96" t="inlineStr">
        <is>
          <t>BKK01</t>
        </is>
      </c>
      <c r="AC91" s="96" t="inlineStr">
        <is>
          <t>OSA01</t>
        </is>
      </c>
    </row>
    <row r="92" ht="12" customHeight="1">
      <c r="A92" s="96" t="inlineStr">
        <is>
          <t>SKLU1601498</t>
        </is>
      </c>
      <c r="B92" s="161" t="inlineStr">
        <is>
          <t>2026-10-16</t>
        </is>
      </c>
      <c r="C92" s="96" t="inlineStr">
        <is>
          <t>SWIC</t>
        </is>
      </c>
      <c r="D92" s="96" t="inlineStr">
        <is>
          <t>2611N</t>
        </is>
      </c>
      <c r="E92" s="96" t="inlineStr">
        <is>
          <t>22GP</t>
        </is>
      </c>
      <c r="F92" s="96" t="inlineStr">
        <is>
          <t>SD</t>
        </is>
      </c>
      <c r="G92" s="96" t="inlineStr">
        <is>
          <t>THBKK</t>
        </is>
      </c>
      <c r="H92" s="96" t="inlineStr">
        <is>
          <t>THBKK</t>
        </is>
      </c>
      <c r="I92" s="96" t="inlineStr">
        <is>
          <t>KRPUS</t>
        </is>
      </c>
      <c r="J92" s="96" t="inlineStr">
        <is>
          <t>JPKNZ</t>
        </is>
      </c>
      <c r="K92" s="96" t="inlineStr">
        <is>
          <t>F</t>
        </is>
      </c>
      <c r="L92" s="96" t="inlineStr">
        <is>
          <t>ONE</t>
        </is>
      </c>
      <c r="M92" s="96" t="inlineStr">
        <is>
          <t>VFL</t>
        </is>
      </c>
      <c r="N92" s="96" t="inlineStr">
        <is>
          <t>BKK01</t>
        </is>
      </c>
      <c r="O92" s="96" t="inlineStr">
        <is>
          <t>BKK</t>
        </is>
      </c>
      <c r="P92" s="96" t="inlineStr">
        <is>
          <t>TH</t>
        </is>
      </c>
      <c r="Q92" s="96" t="inlineStr">
        <is>
          <t>HASLS22261000002</t>
        </is>
      </c>
      <c r="R92" s="96" t="inlineStr">
        <is>
          <t>Y</t>
        </is>
      </c>
      <c r="S92" s="96" t="inlineStr">
        <is>
          <t>N</t>
        </is>
      </c>
      <c r="T92" s="96" t="inlineStr">
        <is>
          <t>KHS</t>
        </is>
      </c>
      <c r="U92" s="97" t="n"/>
      <c r="V92" s="96" t="inlineStr">
        <is>
          <t>K0120021</t>
        </is>
      </c>
      <c r="W92" s="96" t="inlineStr">
        <is>
          <t>THAI TORAY SYNTHETICS CO.,LTD.</t>
        </is>
      </c>
      <c r="X92" s="96" t="inlineStr">
        <is>
          <t>VFD</t>
        </is>
      </c>
      <c r="Y92" s="96" t="inlineStr">
        <is>
          <t>TORAY INTERNATIONAL, INC.</t>
        </is>
      </c>
      <c r="Z92" s="96" t="inlineStr">
        <is>
          <t>TORAY INTERNATIONAL, INC.</t>
        </is>
      </c>
      <c r="AA92" s="97" t="n">
        <v>8742</v>
      </c>
      <c r="AB92" s="96" t="inlineStr">
        <is>
          <t>BKK01</t>
        </is>
      </c>
      <c r="AC92" s="96" t="inlineStr">
        <is>
          <t>KNZ01</t>
        </is>
      </c>
    </row>
    <row r="93" ht="12" customHeight="1">
      <c r="A93" s="96" t="inlineStr">
        <is>
          <t>SKLU1808280</t>
        </is>
      </c>
      <c r="B93" s="161" t="inlineStr">
        <is>
          <t>2026-10-16</t>
        </is>
      </c>
      <c r="C93" s="96" t="inlineStr">
        <is>
          <t>SWIC</t>
        </is>
      </c>
      <c r="D93" s="96" t="inlineStr">
        <is>
          <t>2611N</t>
        </is>
      </c>
      <c r="E93" s="96" t="inlineStr">
        <is>
          <t>22GP</t>
        </is>
      </c>
      <c r="F93" s="96" t="inlineStr">
        <is>
          <t>SD</t>
        </is>
      </c>
      <c r="G93" s="96" t="inlineStr">
        <is>
          <t>THBKK</t>
        </is>
      </c>
      <c r="H93" s="96" t="inlineStr">
        <is>
          <t>THBKK</t>
        </is>
      </c>
      <c r="I93" s="96" t="inlineStr">
        <is>
          <t>VNSGN</t>
        </is>
      </c>
      <c r="J93" s="96" t="inlineStr">
        <is>
          <t>VNSGN</t>
        </is>
      </c>
      <c r="K93" s="96" t="inlineStr">
        <is>
          <t>F</t>
        </is>
      </c>
      <c r="L93" s="96" t="inlineStr">
        <is>
          <t>ONE</t>
        </is>
      </c>
      <c r="M93" s="96" t="inlineStr">
        <is>
          <t>VFL</t>
        </is>
      </c>
      <c r="N93" s="96" t="inlineStr">
        <is>
          <t>BKK01</t>
        </is>
      </c>
      <c r="O93" s="96" t="inlineStr">
        <is>
          <t>BKK</t>
        </is>
      </c>
      <c r="P93" s="96" t="inlineStr">
        <is>
          <t>TH</t>
        </is>
      </c>
      <c r="Q93" s="96" t="inlineStr">
        <is>
          <t>HASLS22260801364</t>
        </is>
      </c>
      <c r="R93" s="96" t="inlineStr">
        <is>
          <t>N</t>
        </is>
      </c>
      <c r="S93" s="96" t="inlineStr">
        <is>
          <t>N</t>
        </is>
      </c>
      <c r="T93" s="96" t="inlineStr">
        <is>
          <t>KHS</t>
        </is>
      </c>
      <c r="U93" s="97" t="n"/>
      <c r="V93" s="96" t="inlineStr">
        <is>
          <t>K0120021</t>
        </is>
      </c>
      <c r="W93" s="96" t="inlineStr">
        <is>
          <t>CROWN FOOD PACKAGING (THAILAND)</t>
        </is>
      </c>
      <c r="X93" s="96" t="inlineStr">
        <is>
          <t>VFD</t>
        </is>
      </c>
      <c r="Y93" s="96" t="inlineStr">
        <is>
          <t>FOODTECH JOINT STOCK COMPANY</t>
        </is>
      </c>
      <c r="Z93" s="96" t="inlineStr">
        <is>
          <t>FOODTECH JOINT STOCK COMPANY</t>
        </is>
      </c>
      <c r="AA93" s="97" t="n">
        <v>16960</v>
      </c>
      <c r="AB93" s="96" t="inlineStr">
        <is>
          <t>BKK01</t>
        </is>
      </c>
      <c r="AC93" s="96" t="inlineStr">
        <is>
          <t>SGN03</t>
        </is>
      </c>
    </row>
    <row r="94" ht="12" customHeight="1">
      <c r="A94" s="96" t="inlineStr">
        <is>
          <t>SKLU0746347</t>
        </is>
      </c>
      <c r="B94" s="161" t="inlineStr">
        <is>
          <t>2026-10-16</t>
        </is>
      </c>
      <c r="C94" s="96" t="inlineStr">
        <is>
          <t>SWIC</t>
        </is>
      </c>
      <c r="D94" s="96" t="inlineStr">
        <is>
          <t>2611N</t>
        </is>
      </c>
      <c r="E94" s="96" t="inlineStr">
        <is>
          <t>22GP</t>
        </is>
      </c>
      <c r="F94" s="96" t="inlineStr">
        <is>
          <t>SD</t>
        </is>
      </c>
      <c r="G94" s="96" t="inlineStr">
        <is>
          <t>THBKK</t>
        </is>
      </c>
      <c r="H94" s="96" t="inlineStr">
        <is>
          <t>THBKK</t>
        </is>
      </c>
      <c r="I94" s="96" t="inlineStr">
        <is>
          <t>KRPUS</t>
        </is>
      </c>
      <c r="J94" s="96" t="inlineStr">
        <is>
          <t>RUVVO</t>
        </is>
      </c>
      <c r="K94" s="96" t="inlineStr">
        <is>
          <t>F</t>
        </is>
      </c>
      <c r="L94" s="96" t="inlineStr">
        <is>
          <t>ONE</t>
        </is>
      </c>
      <c r="M94" s="96" t="inlineStr">
        <is>
          <t>VFL</t>
        </is>
      </c>
      <c r="N94" s="96" t="inlineStr">
        <is>
          <t>BKK01</t>
        </is>
      </c>
      <c r="O94" s="96" t="inlineStr">
        <is>
          <t>BKK</t>
        </is>
      </c>
      <c r="P94" s="96" t="inlineStr">
        <is>
          <t>TH</t>
        </is>
      </c>
      <c r="Q94" s="96" t="inlineStr">
        <is>
          <t>HASLS22260902761</t>
        </is>
      </c>
      <c r="R94" s="96" t="inlineStr">
        <is>
          <t>Y</t>
        </is>
      </c>
      <c r="S94" s="96" t="inlineStr">
        <is>
          <t>N</t>
        </is>
      </c>
      <c r="T94" s="96" t="inlineStr">
        <is>
          <t>KHS</t>
        </is>
      </c>
      <c r="U94" s="97" t="n"/>
      <c r="V94" s="96" t="inlineStr">
        <is>
          <t>K0120021</t>
        </is>
      </c>
      <c r="W94" s="96" t="inlineStr">
        <is>
          <t>THAI AGRI FOODS PUBLIC COMPANY</t>
        </is>
      </c>
      <c r="X94" s="96" t="inlineStr">
        <is>
          <t>VFD</t>
        </is>
      </c>
      <c r="Y94" s="96" t="inlineStr">
        <is>
          <t>EXIM PACIFIC LLC. RUSSIA,</t>
        </is>
      </c>
      <c r="Z94" s="96" t="inlineStr">
        <is>
          <t>EXIM PACIFIC LLC. RUSSIA,</t>
        </is>
      </c>
      <c r="AA94" s="97" t="n">
        <v>22227</v>
      </c>
      <c r="AB94" s="96" t="inlineStr">
        <is>
          <t>BKK01</t>
        </is>
      </c>
      <c r="AC94" s="96" t="inlineStr">
        <is>
          <t>VVO01</t>
        </is>
      </c>
    </row>
    <row r="95" ht="12" customHeight="1">
      <c r="A95" s="96" t="inlineStr">
        <is>
          <t>SKLU1957128</t>
        </is>
      </c>
      <c r="B95" s="161" t="inlineStr">
        <is>
          <t>2026-10-16</t>
        </is>
      </c>
      <c r="C95" s="96" t="inlineStr">
        <is>
          <t>SWIC</t>
        </is>
      </c>
      <c r="D95" s="96" t="inlineStr">
        <is>
          <t>2611N</t>
        </is>
      </c>
      <c r="E95" s="96" t="inlineStr">
        <is>
          <t>22GP</t>
        </is>
      </c>
      <c r="F95" s="96" t="inlineStr">
        <is>
          <t>SD</t>
        </is>
      </c>
      <c r="G95" s="96" t="inlineStr">
        <is>
          <t>THBKK</t>
        </is>
      </c>
      <c r="H95" s="96" t="inlineStr">
        <is>
          <t>THBKK</t>
        </is>
      </c>
      <c r="I95" s="96" t="inlineStr">
        <is>
          <t>KRPUS</t>
        </is>
      </c>
      <c r="J95" s="96" t="inlineStr">
        <is>
          <t>RUVVO</t>
        </is>
      </c>
      <c r="K95" s="96" t="inlineStr">
        <is>
          <t>F</t>
        </is>
      </c>
      <c r="L95" s="96" t="inlineStr">
        <is>
          <t>ONE</t>
        </is>
      </c>
      <c r="M95" s="96" t="inlineStr">
        <is>
          <t>VFL</t>
        </is>
      </c>
      <c r="N95" s="96" t="inlineStr">
        <is>
          <t>BKK01</t>
        </is>
      </c>
      <c r="O95" s="96" t="inlineStr">
        <is>
          <t>BKK</t>
        </is>
      </c>
      <c r="P95" s="96" t="inlineStr">
        <is>
          <t>TH</t>
        </is>
      </c>
      <c r="Q95" s="96" t="inlineStr">
        <is>
          <t>HASLS22260901930</t>
        </is>
      </c>
      <c r="R95" s="96" t="inlineStr">
        <is>
          <t>Y</t>
        </is>
      </c>
      <c r="S95" s="96" t="inlineStr">
        <is>
          <t>N</t>
        </is>
      </c>
      <c r="T95" s="96" t="inlineStr">
        <is>
          <t>KHS</t>
        </is>
      </c>
      <c r="U95" s="97" t="n"/>
      <c r="V95" s="96" t="inlineStr">
        <is>
          <t>K0120021</t>
        </is>
      </c>
      <c r="W95" s="96" t="inlineStr">
        <is>
          <t>THAI AGRI FOODS PUBLIC COMPANY</t>
        </is>
      </c>
      <c r="X95" s="96" t="inlineStr">
        <is>
          <t>VFD</t>
        </is>
      </c>
      <c r="Y95" s="96" t="inlineStr">
        <is>
          <t>EXIM PACIFIC LLC. RUSSIA,</t>
        </is>
      </c>
      <c r="Z95" s="96" t="inlineStr">
        <is>
          <t>EXIM PACIFIC LLC. RUSSIA,</t>
        </is>
      </c>
      <c r="AA95" s="97" t="n">
        <v>19239</v>
      </c>
      <c r="AB95" s="96" t="inlineStr">
        <is>
          <t>BKK01</t>
        </is>
      </c>
      <c r="AC95" s="96" t="inlineStr">
        <is>
          <t>VVO01</t>
        </is>
      </c>
    </row>
    <row r="96" ht="12" customHeight="1">
      <c r="A96" s="96" t="inlineStr">
        <is>
          <t>SKLU2426527</t>
        </is>
      </c>
      <c r="B96" s="161" t="inlineStr">
        <is>
          <t>2026-10-16</t>
        </is>
      </c>
      <c r="C96" s="96" t="inlineStr">
        <is>
          <t>SWIC</t>
        </is>
      </c>
      <c r="D96" s="96" t="inlineStr">
        <is>
          <t>2611N</t>
        </is>
      </c>
      <c r="E96" s="96" t="inlineStr">
        <is>
          <t>22GP</t>
        </is>
      </c>
      <c r="F96" s="96" t="inlineStr">
        <is>
          <t>SD</t>
        </is>
      </c>
      <c r="G96" s="96" t="inlineStr">
        <is>
          <t>THBKK</t>
        </is>
      </c>
      <c r="H96" s="96" t="inlineStr">
        <is>
          <t>THBKK</t>
        </is>
      </c>
      <c r="I96" s="96" t="inlineStr">
        <is>
          <t>KRPUS</t>
        </is>
      </c>
      <c r="J96" s="96" t="inlineStr">
        <is>
          <t>KRPUS</t>
        </is>
      </c>
      <c r="K96" s="96" t="inlineStr">
        <is>
          <t>F</t>
        </is>
      </c>
      <c r="L96" s="96" t="inlineStr">
        <is>
          <t>ONE</t>
        </is>
      </c>
      <c r="M96" s="96" t="inlineStr">
        <is>
          <t>VFL</t>
        </is>
      </c>
      <c r="N96" s="96" t="inlineStr">
        <is>
          <t>BKK01</t>
        </is>
      </c>
      <c r="O96" s="96" t="inlineStr">
        <is>
          <t>BKK</t>
        </is>
      </c>
      <c r="P96" s="96" t="inlineStr">
        <is>
          <t>TH</t>
        </is>
      </c>
      <c r="Q96" s="96" t="inlineStr">
        <is>
          <t>HASLS22260902209</t>
        </is>
      </c>
      <c r="R96" s="96" t="inlineStr">
        <is>
          <t>N</t>
        </is>
      </c>
      <c r="S96" s="96" t="inlineStr">
        <is>
          <t>N</t>
        </is>
      </c>
      <c r="T96" s="96" t="inlineStr">
        <is>
          <t>KHS</t>
        </is>
      </c>
      <c r="U96" s="97" t="n"/>
      <c r="V96" s="96" t="inlineStr">
        <is>
          <t>K0120021</t>
        </is>
      </c>
      <c r="W96" s="96" t="inlineStr">
        <is>
          <t>SUNFLOWER AGRO CO LTD</t>
        </is>
      </c>
      <c r="X96" s="96" t="inlineStr">
        <is>
          <t>VFD</t>
        </is>
      </c>
      <c r="Y96" s="96" t="inlineStr">
        <is>
          <t>KOSPA TRADING COMPANY</t>
        </is>
      </c>
      <c r="Z96" s="96" t="inlineStr">
        <is>
          <t>KOSPA TRADING COMPANY</t>
        </is>
      </c>
      <c r="AA96" s="97" t="n">
        <v>22581</v>
      </c>
      <c r="AB96" s="96" t="inlineStr">
        <is>
          <t>BKK01</t>
        </is>
      </c>
      <c r="AC96" s="96" t="inlineStr">
        <is>
          <t>PUS05</t>
        </is>
      </c>
    </row>
    <row r="97" ht="12" customHeight="1">
      <c r="A97" s="96" t="inlineStr">
        <is>
          <t>SKLU1443290</t>
        </is>
      </c>
      <c r="B97" s="161" t="inlineStr">
        <is>
          <t>2026-10-16</t>
        </is>
      </c>
      <c r="C97" s="96" t="inlineStr">
        <is>
          <t>SWIC</t>
        </is>
      </c>
      <c r="D97" s="96" t="inlineStr">
        <is>
          <t>2611N</t>
        </is>
      </c>
      <c r="E97" s="96" t="inlineStr">
        <is>
          <t>22GP</t>
        </is>
      </c>
      <c r="F97" s="96" t="inlineStr">
        <is>
          <t>SD</t>
        </is>
      </c>
      <c r="G97" s="96" t="inlineStr">
        <is>
          <t>THBKK</t>
        </is>
      </c>
      <c r="H97" s="96" t="inlineStr">
        <is>
          <t>THBKK</t>
        </is>
      </c>
      <c r="I97" s="96" t="inlineStr">
        <is>
          <t>VNSGN</t>
        </is>
      </c>
      <c r="J97" s="96" t="inlineStr">
        <is>
          <t>VNSGN</t>
        </is>
      </c>
      <c r="K97" s="96" t="inlineStr">
        <is>
          <t>F</t>
        </is>
      </c>
      <c r="L97" s="96" t="inlineStr">
        <is>
          <t>ONE</t>
        </is>
      </c>
      <c r="M97" s="96" t="inlineStr">
        <is>
          <t>VFL</t>
        </is>
      </c>
      <c r="N97" s="96" t="inlineStr">
        <is>
          <t>BKK01</t>
        </is>
      </c>
      <c r="O97" s="96" t="inlineStr">
        <is>
          <t>BKK</t>
        </is>
      </c>
      <c r="P97" s="96" t="inlineStr">
        <is>
          <t>TH</t>
        </is>
      </c>
      <c r="Q97" s="96" t="inlineStr">
        <is>
          <t>HASLS22260901595</t>
        </is>
      </c>
      <c r="R97" s="96" t="inlineStr">
        <is>
          <t>N</t>
        </is>
      </c>
      <c r="S97" s="96" t="inlineStr">
        <is>
          <t>N</t>
        </is>
      </c>
      <c r="T97" s="96" t="inlineStr">
        <is>
          <t>KHS</t>
        </is>
      </c>
      <c r="U97" s="97" t="n"/>
      <c r="V97" s="96" t="inlineStr">
        <is>
          <t>K0120021</t>
        </is>
      </c>
      <c r="W97" s="96" t="inlineStr">
        <is>
          <t>CHAROEN POKPHAND PRODUCE CO.,LTD.</t>
        </is>
      </c>
      <c r="X97" s="96" t="inlineStr">
        <is>
          <t>VFD</t>
        </is>
      </c>
      <c r="Y97" s="96" t="inlineStr">
        <is>
          <t>C.P.SEEDS (VIETNAM) CO.,LTD.</t>
        </is>
      </c>
      <c r="Z97" s="96" t="inlineStr">
        <is>
          <t>C.P.SEEDS (VIETNAM) CO.,LTD.</t>
        </is>
      </c>
      <c r="AA97" s="97" t="n">
        <v>20200</v>
      </c>
      <c r="AB97" s="96" t="inlineStr">
        <is>
          <t>BKK01</t>
        </is>
      </c>
      <c r="AC97" s="96" t="inlineStr">
        <is>
          <t>SGN03</t>
        </is>
      </c>
    </row>
    <row r="98" ht="12" customHeight="1">
      <c r="A98" s="96" t="inlineStr">
        <is>
          <t>GCXU2428285</t>
        </is>
      </c>
      <c r="B98" s="161" t="inlineStr">
        <is>
          <t>2026-10-16</t>
        </is>
      </c>
      <c r="C98" s="96" t="inlineStr">
        <is>
          <t>SWIC</t>
        </is>
      </c>
      <c r="D98" s="96" t="inlineStr">
        <is>
          <t>2611N</t>
        </is>
      </c>
      <c r="E98" s="96" t="inlineStr">
        <is>
          <t>22GP</t>
        </is>
      </c>
      <c r="F98" s="96" t="inlineStr">
        <is>
          <t>SD</t>
        </is>
      </c>
      <c r="G98" s="96" t="inlineStr">
        <is>
          <t>THBKK</t>
        </is>
      </c>
      <c r="H98" s="96" t="inlineStr">
        <is>
          <t>THBKK</t>
        </is>
      </c>
      <c r="I98" s="96" t="inlineStr">
        <is>
          <t>KRPUS</t>
        </is>
      </c>
      <c r="J98" s="96" t="inlineStr">
        <is>
          <t>KRPUS</t>
        </is>
      </c>
      <c r="K98" s="96" t="inlineStr">
        <is>
          <t>F</t>
        </is>
      </c>
      <c r="L98" s="96" t="inlineStr">
        <is>
          <t>ONE</t>
        </is>
      </c>
      <c r="M98" s="96" t="inlineStr">
        <is>
          <t>VFL</t>
        </is>
      </c>
      <c r="N98" s="96" t="inlineStr">
        <is>
          <t>BKK01</t>
        </is>
      </c>
      <c r="O98" s="96" t="inlineStr">
        <is>
          <t>BKK</t>
        </is>
      </c>
      <c r="P98" s="96" t="inlineStr">
        <is>
          <t>TH</t>
        </is>
      </c>
      <c r="Q98" s="96" t="inlineStr">
        <is>
          <t>HASLS22260900657</t>
        </is>
      </c>
      <c r="R98" s="96" t="inlineStr">
        <is>
          <t>N</t>
        </is>
      </c>
      <c r="S98" s="96" t="inlineStr">
        <is>
          <t>N</t>
        </is>
      </c>
      <c r="T98" s="96" t="inlineStr">
        <is>
          <t>KHS</t>
        </is>
      </c>
      <c r="U98" s="97" t="n"/>
      <c r="V98" s="96" t="inlineStr">
        <is>
          <t>K0120021</t>
        </is>
      </c>
      <c r="W98" s="96" t="inlineStr">
        <is>
          <t>ORIENT STAR INTERNATIONAL</t>
        </is>
      </c>
      <c r="X98" s="96" t="inlineStr">
        <is>
          <t>VFD</t>
        </is>
      </c>
      <c r="Y98" s="96" t="inlineStr">
        <is>
          <t>EXIM LOGISTICS CO., LTD.</t>
        </is>
      </c>
      <c r="Z98" s="96" t="inlineStr">
        <is>
          <t>EXIM LOGISTICS CO., LTD.</t>
        </is>
      </c>
      <c r="AA98" s="97" t="n">
        <v>17005</v>
      </c>
      <c r="AB98" s="96" t="inlineStr">
        <is>
          <t>BKK01</t>
        </is>
      </c>
      <c r="AC98" s="96" t="inlineStr">
        <is>
          <t>PUS05</t>
        </is>
      </c>
    </row>
    <row r="99" ht="12" customHeight="1">
      <c r="A99" s="96" t="inlineStr">
        <is>
          <t>SKLU1959687</t>
        </is>
      </c>
      <c r="B99" s="161" t="inlineStr">
        <is>
          <t>2026-10-16</t>
        </is>
      </c>
      <c r="C99" s="96" t="inlineStr">
        <is>
          <t>SWIC</t>
        </is>
      </c>
      <c r="D99" s="96" t="inlineStr">
        <is>
          <t>2611N</t>
        </is>
      </c>
      <c r="E99" s="96" t="inlineStr">
        <is>
          <t>22GP</t>
        </is>
      </c>
      <c r="F99" s="96" t="inlineStr">
        <is>
          <t>SD</t>
        </is>
      </c>
      <c r="G99" s="96" t="inlineStr">
        <is>
          <t>THBKK</t>
        </is>
      </c>
      <c r="H99" s="96" t="inlineStr">
        <is>
          <t>THBKK</t>
        </is>
      </c>
      <c r="I99" s="96" t="inlineStr">
        <is>
          <t>KRPUS</t>
        </is>
      </c>
      <c r="J99" s="96" t="inlineStr">
        <is>
          <t>KRPUS</t>
        </is>
      </c>
      <c r="K99" s="96" t="inlineStr">
        <is>
          <t>F</t>
        </is>
      </c>
      <c r="L99" s="96" t="inlineStr">
        <is>
          <t>ONE</t>
        </is>
      </c>
      <c r="M99" s="96" t="inlineStr">
        <is>
          <t>VFL</t>
        </is>
      </c>
      <c r="N99" s="96" t="inlineStr">
        <is>
          <t>BKK01</t>
        </is>
      </c>
      <c r="O99" s="96" t="inlineStr">
        <is>
          <t>BKK</t>
        </is>
      </c>
      <c r="P99" s="96" t="inlineStr">
        <is>
          <t>TH</t>
        </is>
      </c>
      <c r="Q99" s="96" t="inlineStr">
        <is>
          <t>HASLS22260900657</t>
        </is>
      </c>
      <c r="R99" s="96" t="inlineStr">
        <is>
          <t>N</t>
        </is>
      </c>
      <c r="S99" s="96" t="inlineStr">
        <is>
          <t>N</t>
        </is>
      </c>
      <c r="T99" s="96" t="inlineStr">
        <is>
          <t>KHS</t>
        </is>
      </c>
      <c r="U99" s="97" t="n"/>
      <c r="V99" s="96" t="inlineStr">
        <is>
          <t>K0120021</t>
        </is>
      </c>
      <c r="W99" s="96" t="inlineStr">
        <is>
          <t>ORIENT STAR INTERNATIONAL</t>
        </is>
      </c>
      <c r="X99" s="96" t="inlineStr">
        <is>
          <t>VFD</t>
        </is>
      </c>
      <c r="Y99" s="96" t="inlineStr">
        <is>
          <t>EXIM LOGISTICS CO., LTD.</t>
        </is>
      </c>
      <c r="Z99" s="96" t="inlineStr">
        <is>
          <t>EXIM LOGISTICS CO., LTD.</t>
        </is>
      </c>
      <c r="AA99" s="97" t="n">
        <v>17005</v>
      </c>
      <c r="AB99" s="96" t="inlineStr">
        <is>
          <t>BKK01</t>
        </is>
      </c>
      <c r="AC99" s="96" t="inlineStr">
        <is>
          <t>PUS05</t>
        </is>
      </c>
    </row>
    <row r="100" ht="12" customHeight="1">
      <c r="A100" s="96" t="inlineStr">
        <is>
          <t>TEMU9748750</t>
        </is>
      </c>
      <c r="B100" s="161" t="inlineStr">
        <is>
          <t>2026-10-16</t>
        </is>
      </c>
      <c r="C100" s="96" t="inlineStr">
        <is>
          <t>SWIC</t>
        </is>
      </c>
      <c r="D100" s="96" t="inlineStr">
        <is>
          <t>2611N</t>
        </is>
      </c>
      <c r="E100" s="96" t="inlineStr">
        <is>
          <t>45RE</t>
        </is>
      </c>
      <c r="F100" s="96" t="inlineStr">
        <is>
          <t>SD</t>
        </is>
      </c>
      <c r="G100" s="96" t="inlineStr">
        <is>
          <t>THBKK</t>
        </is>
      </c>
      <c r="H100" s="96" t="inlineStr">
        <is>
          <t>THBKK</t>
        </is>
      </c>
      <c r="I100" s="96" t="inlineStr">
        <is>
          <t>KRPUS</t>
        </is>
      </c>
      <c r="J100" s="96" t="inlineStr">
        <is>
          <t>RUVVO</t>
        </is>
      </c>
      <c r="K100" s="96" t="inlineStr">
        <is>
          <t>F</t>
        </is>
      </c>
      <c r="L100" s="96" t="inlineStr">
        <is>
          <t>L/T</t>
        </is>
      </c>
      <c r="M100" s="96" t="inlineStr">
        <is>
          <t>VFL</t>
        </is>
      </c>
      <c r="N100" s="96" t="inlineStr">
        <is>
          <t>BKK01</t>
        </is>
      </c>
      <c r="O100" s="96" t="inlineStr">
        <is>
          <t>BKK</t>
        </is>
      </c>
      <c r="P100" s="96" t="inlineStr">
        <is>
          <t>TH</t>
        </is>
      </c>
      <c r="Q100" s="96" t="inlineStr">
        <is>
          <t>HASLS22260902791</t>
        </is>
      </c>
      <c r="R100" s="96" t="inlineStr">
        <is>
          <t>Y</t>
        </is>
      </c>
      <c r="S100" s="96" t="inlineStr">
        <is>
          <t>N</t>
        </is>
      </c>
      <c r="T100" s="96" t="inlineStr">
        <is>
          <t>KHS</t>
        </is>
      </c>
      <c r="U100" s="97" t="n"/>
      <c r="V100" s="96" t="inlineStr">
        <is>
          <t>C0320010</t>
        </is>
      </c>
      <c r="W100" s="96" t="inlineStr">
        <is>
          <t>VENTE TRADE CO.,LTD.</t>
        </is>
      </c>
      <c r="X100" s="96" t="inlineStr">
        <is>
          <t>VFD</t>
        </is>
      </c>
      <c r="Y100" s="96" t="inlineStr">
        <is>
          <t>RVI (RUSSIAN VENTURE INVESTMENTS)</t>
        </is>
      </c>
      <c r="Z100" s="96" t="inlineStr">
        <is>
          <t>RVI (RUSSIAN VENTURE INVESTMENTS)</t>
        </is>
      </c>
      <c r="AA100" s="97" t="n">
        <v>24999.6</v>
      </c>
      <c r="AB100" s="96" t="inlineStr">
        <is>
          <t>BKK01</t>
        </is>
      </c>
      <c r="AC100" s="96" t="inlineStr">
        <is>
          <t>VVO01</t>
        </is>
      </c>
    </row>
    <row r="101" ht="12" customHeight="1">
      <c r="A101" s="96" t="inlineStr">
        <is>
          <t>FSCU5892085</t>
        </is>
      </c>
      <c r="B101" s="161" t="inlineStr">
        <is>
          <t>2026-10-16</t>
        </is>
      </c>
      <c r="C101" s="96" t="inlineStr">
        <is>
          <t>SWIC</t>
        </is>
      </c>
      <c r="D101" s="96" t="inlineStr">
        <is>
          <t>2611N</t>
        </is>
      </c>
      <c r="E101" s="96" t="inlineStr">
        <is>
          <t>45RE</t>
        </is>
      </c>
      <c r="F101" s="96" t="inlineStr">
        <is>
          <t>SD</t>
        </is>
      </c>
      <c r="G101" s="96" t="inlineStr">
        <is>
          <t>THBKK</t>
        </is>
      </c>
      <c r="H101" s="96" t="inlineStr">
        <is>
          <t>THBKK</t>
        </is>
      </c>
      <c r="I101" s="96" t="inlineStr">
        <is>
          <t>KRPUS</t>
        </is>
      </c>
      <c r="J101" s="96" t="inlineStr">
        <is>
          <t>RUVVO</t>
        </is>
      </c>
      <c r="K101" s="96" t="inlineStr">
        <is>
          <t>F</t>
        </is>
      </c>
      <c r="L101" s="96" t="inlineStr">
        <is>
          <t>L/T</t>
        </is>
      </c>
      <c r="M101" s="96" t="inlineStr">
        <is>
          <t>VFL</t>
        </is>
      </c>
      <c r="N101" s="96" t="inlineStr">
        <is>
          <t>BKK01</t>
        </is>
      </c>
      <c r="O101" s="96" t="inlineStr">
        <is>
          <t>BKK</t>
        </is>
      </c>
      <c r="P101" s="96" t="inlineStr">
        <is>
          <t>TH</t>
        </is>
      </c>
      <c r="Q101" s="96" t="inlineStr">
        <is>
          <t>HASLS22260902368</t>
        </is>
      </c>
      <c r="R101" s="96" t="inlineStr">
        <is>
          <t>Y</t>
        </is>
      </c>
      <c r="S101" s="96" t="inlineStr">
        <is>
          <t>N</t>
        </is>
      </c>
      <c r="T101" s="96" t="inlineStr">
        <is>
          <t>KHS</t>
        </is>
      </c>
      <c r="U101" s="97" t="n"/>
      <c r="V101" s="96" t="inlineStr">
        <is>
          <t>C0320021</t>
        </is>
      </c>
      <c r="W101" s="96" t="inlineStr">
        <is>
          <t>THAI AGRI FOODS PUBLIC COMPANY</t>
        </is>
      </c>
      <c r="X101" s="96" t="inlineStr">
        <is>
          <t>VFD</t>
        </is>
      </c>
      <c r="Y101" s="96" t="inlineStr">
        <is>
          <t>EXIM PACIFIC LLC. RUSSIA,</t>
        </is>
      </c>
      <c r="Z101" s="96" t="inlineStr">
        <is>
          <t>EXIM PACIFIC LLC. RUSSIA,</t>
        </is>
      </c>
      <c r="AA101" s="97" t="n">
        <v>26214.5</v>
      </c>
      <c r="AB101" s="96" t="inlineStr">
        <is>
          <t>BKK01</t>
        </is>
      </c>
      <c r="AC101" s="96" t="inlineStr">
        <is>
          <t>VVO01</t>
        </is>
      </c>
    </row>
    <row r="102" ht="12" customHeight="1">
      <c r="A102" s="96" t="inlineStr">
        <is>
          <t>HLHU8115390</t>
        </is>
      </c>
      <c r="B102" s="161" t="inlineStr">
        <is>
          <t>2026-10-16</t>
        </is>
      </c>
      <c r="C102" s="96" t="inlineStr">
        <is>
          <t>SWIC</t>
        </is>
      </c>
      <c r="D102" s="96" t="inlineStr">
        <is>
          <t>2611N</t>
        </is>
      </c>
      <c r="E102" s="96" t="inlineStr">
        <is>
          <t>45GP</t>
        </is>
      </c>
      <c r="F102" s="96" t="inlineStr">
        <is>
          <t>SD</t>
        </is>
      </c>
      <c r="G102" s="96" t="inlineStr">
        <is>
          <t>THBKK</t>
        </is>
      </c>
      <c r="H102" s="96" t="inlineStr">
        <is>
          <t>THBKK</t>
        </is>
      </c>
      <c r="I102" s="96" t="inlineStr">
        <is>
          <t>VNSGN</t>
        </is>
      </c>
      <c r="J102" s="96" t="inlineStr">
        <is>
          <t>VNSGN</t>
        </is>
      </c>
      <c r="K102" s="96" t="inlineStr">
        <is>
          <t>F</t>
        </is>
      </c>
      <c r="L102" s="96" t="inlineStr">
        <is>
          <t>OWN</t>
        </is>
      </c>
      <c r="M102" s="96" t="inlineStr">
        <is>
          <t>VFL</t>
        </is>
      </c>
      <c r="N102" s="96" t="inlineStr">
        <is>
          <t>BKK01</t>
        </is>
      </c>
      <c r="O102" s="96" t="inlineStr">
        <is>
          <t>BKK</t>
        </is>
      </c>
      <c r="P102" s="96" t="inlineStr">
        <is>
          <t>TH</t>
        </is>
      </c>
      <c r="Q102" s="96" t="inlineStr">
        <is>
          <t>HASLS22260902223</t>
        </is>
      </c>
      <c r="R102" s="96" t="inlineStr">
        <is>
          <t>N</t>
        </is>
      </c>
      <c r="S102" s="96" t="inlineStr">
        <is>
          <t>N</t>
        </is>
      </c>
      <c r="T102" s="96" t="inlineStr">
        <is>
          <t>KHS</t>
        </is>
      </c>
      <c r="U102" s="97" t="n"/>
      <c r="V102" s="96" t="inlineStr">
        <is>
          <t>C0521004</t>
        </is>
      </c>
      <c r="W102" s="96" t="inlineStr">
        <is>
          <t>CAPRICORN LOGISTICS CO.,LTD.</t>
        </is>
      </c>
      <c r="X102" s="96" t="inlineStr">
        <is>
          <t>VFD</t>
        </is>
      </c>
      <c r="Y102" s="96" t="inlineStr">
        <is>
          <t>GIA NGUYEN INT'L LOGISTICS CO., LTD</t>
        </is>
      </c>
      <c r="Z102" s="96" t="inlineStr">
        <is>
          <t>GIA NGUYEN INT'L LOGISTICS CO., LTD</t>
        </is>
      </c>
      <c r="AA102" s="97" t="n">
        <v>5270.53</v>
      </c>
      <c r="AB102" s="96" t="inlineStr">
        <is>
          <t>BKK01</t>
        </is>
      </c>
      <c r="AC102" s="96" t="inlineStr">
        <is>
          <t>SGN03</t>
        </is>
      </c>
    </row>
    <row r="103" ht="12" customHeight="1">
      <c r="A103" s="96" t="inlineStr">
        <is>
          <t>HLHU8107060</t>
        </is>
      </c>
      <c r="B103" s="161" t="inlineStr">
        <is>
          <t>2026-10-16</t>
        </is>
      </c>
      <c r="C103" s="96" t="inlineStr">
        <is>
          <t>SWIC</t>
        </is>
      </c>
      <c r="D103" s="96" t="inlineStr">
        <is>
          <t>2611N</t>
        </is>
      </c>
      <c r="E103" s="96" t="inlineStr">
        <is>
          <t>45GP</t>
        </is>
      </c>
      <c r="F103" s="96" t="inlineStr">
        <is>
          <t>SD</t>
        </is>
      </c>
      <c r="G103" s="96" t="inlineStr">
        <is>
          <t>THBKK</t>
        </is>
      </c>
      <c r="H103" s="96" t="inlineStr">
        <is>
          <t>THBKK</t>
        </is>
      </c>
      <c r="I103" s="96" t="inlineStr">
        <is>
          <t>VNSGN</t>
        </is>
      </c>
      <c r="J103" s="96" t="inlineStr">
        <is>
          <t>VNSGN</t>
        </is>
      </c>
      <c r="K103" s="96" t="inlineStr">
        <is>
          <t>F</t>
        </is>
      </c>
      <c r="L103" s="96" t="inlineStr">
        <is>
          <t>OWN</t>
        </is>
      </c>
      <c r="M103" s="96" t="inlineStr">
        <is>
          <t>VFL</t>
        </is>
      </c>
      <c r="N103" s="96" t="inlineStr">
        <is>
          <t>BKK01</t>
        </is>
      </c>
      <c r="O103" s="96" t="inlineStr">
        <is>
          <t>BKK</t>
        </is>
      </c>
      <c r="P103" s="96" t="inlineStr">
        <is>
          <t>TH</t>
        </is>
      </c>
      <c r="Q103" s="96" t="inlineStr">
        <is>
          <t>HASLS22261000088</t>
        </is>
      </c>
      <c r="R103" s="96" t="inlineStr">
        <is>
          <t>N</t>
        </is>
      </c>
      <c r="S103" s="96" t="inlineStr">
        <is>
          <t>N</t>
        </is>
      </c>
      <c r="T103" s="96" t="inlineStr">
        <is>
          <t>KHS</t>
        </is>
      </c>
      <c r="U103" s="97" t="n"/>
      <c r="V103" s="96" t="inlineStr">
        <is>
          <t>C0121003</t>
        </is>
      </c>
      <c r="W103" s="96" t="inlineStr">
        <is>
          <t>ASIA FORWARDING (THAILAND) LTD.</t>
        </is>
      </c>
      <c r="X103" s="96" t="inlineStr">
        <is>
          <t>VFD</t>
        </is>
      </c>
      <c r="Y103" s="96" t="inlineStr">
        <is>
          <t>EVERICH LTD</t>
        </is>
      </c>
      <c r="Z103" s="96" t="inlineStr">
        <is>
          <t>EVERICH LTD</t>
        </is>
      </c>
      <c r="AA103" s="97" t="n">
        <v>4862.93</v>
      </c>
      <c r="AB103" s="96" t="inlineStr">
        <is>
          <t>BKK01</t>
        </is>
      </c>
      <c r="AC103" s="96" t="inlineStr">
        <is>
          <t>SGN03</t>
        </is>
      </c>
    </row>
    <row r="104" ht="12" customHeight="1">
      <c r="A104" s="96" t="inlineStr">
        <is>
          <t>HALU2103863</t>
        </is>
      </c>
      <c r="B104" s="161" t="inlineStr">
        <is>
          <t>2026-10-16</t>
        </is>
      </c>
      <c r="C104" s="96" t="inlineStr">
        <is>
          <t>SWIC</t>
        </is>
      </c>
      <c r="D104" s="96" t="inlineStr">
        <is>
          <t>2611N</t>
        </is>
      </c>
      <c r="E104" s="96" t="inlineStr">
        <is>
          <t>22GP</t>
        </is>
      </c>
      <c r="F104" s="96" t="inlineStr">
        <is>
          <t>SD</t>
        </is>
      </c>
      <c r="G104" s="96" t="inlineStr">
        <is>
          <t>THBKK</t>
        </is>
      </c>
      <c r="H104" s="96" t="inlineStr">
        <is>
          <t>THBKK</t>
        </is>
      </c>
      <c r="I104" s="96" t="inlineStr">
        <is>
          <t>KRPUS</t>
        </is>
      </c>
      <c r="J104" s="96" t="inlineStr">
        <is>
          <t>JPKSM</t>
        </is>
      </c>
      <c r="K104" s="96" t="inlineStr">
        <is>
          <t>F</t>
        </is>
      </c>
      <c r="L104" s="96" t="inlineStr">
        <is>
          <t>OWN</t>
        </is>
      </c>
      <c r="M104" s="96" t="inlineStr">
        <is>
          <t>VFL</t>
        </is>
      </c>
      <c r="N104" s="96" t="inlineStr">
        <is>
          <t>BKK01</t>
        </is>
      </c>
      <c r="O104" s="96" t="inlineStr">
        <is>
          <t>BKK</t>
        </is>
      </c>
      <c r="P104" s="96" t="inlineStr">
        <is>
          <t>TH</t>
        </is>
      </c>
      <c r="Q104" s="96" t="inlineStr">
        <is>
          <t>HASLS22260801161</t>
        </is>
      </c>
      <c r="R104" s="96" t="inlineStr">
        <is>
          <t>Y</t>
        </is>
      </c>
      <c r="S104" s="96" t="inlineStr">
        <is>
          <t>N</t>
        </is>
      </c>
      <c r="T104" s="96" t="inlineStr">
        <is>
          <t>KHS</t>
        </is>
      </c>
      <c r="U104" s="97" t="n"/>
      <c r="V104" s="96" t="inlineStr">
        <is>
          <t>C0521003</t>
        </is>
      </c>
      <c r="W104" s="96" t="inlineStr">
        <is>
          <t>FISHMEAL MARKETING DEVELOPMENT</t>
        </is>
      </c>
      <c r="X104" s="96" t="inlineStr">
        <is>
          <t>VFD</t>
        </is>
      </c>
      <c r="Y104" s="96" t="inlineStr">
        <is>
          <t>SANSHO CO., LTD.</t>
        </is>
      </c>
      <c r="Z104" s="96" t="inlineStr">
        <is>
          <t>SANSHO CO., LTD.</t>
        </is>
      </c>
      <c r="AA104" s="97" t="n">
        <v>20040</v>
      </c>
      <c r="AB104" s="96" t="inlineStr">
        <is>
          <t>BKK01</t>
        </is>
      </c>
      <c r="AC104" s="96" t="inlineStr">
        <is>
          <t>KSM01</t>
        </is>
      </c>
    </row>
    <row r="105" ht="12" customHeight="1">
      <c r="A105" s="96" t="inlineStr">
        <is>
          <t>HALU2109780</t>
        </is>
      </c>
      <c r="B105" s="161" t="inlineStr">
        <is>
          <t>2026-10-16</t>
        </is>
      </c>
      <c r="C105" s="96" t="inlineStr">
        <is>
          <t>SWIC</t>
        </is>
      </c>
      <c r="D105" s="96" t="inlineStr">
        <is>
          <t>2611N</t>
        </is>
      </c>
      <c r="E105" s="96" t="inlineStr">
        <is>
          <t>22GP</t>
        </is>
      </c>
      <c r="F105" s="96" t="inlineStr">
        <is>
          <t>SD</t>
        </is>
      </c>
      <c r="G105" s="96" t="inlineStr">
        <is>
          <t>THBKK</t>
        </is>
      </c>
      <c r="H105" s="96" t="inlineStr">
        <is>
          <t>THBKK</t>
        </is>
      </c>
      <c r="I105" s="96" t="inlineStr">
        <is>
          <t>KRPUS</t>
        </is>
      </c>
      <c r="J105" s="96" t="inlineStr">
        <is>
          <t>KRPUS</t>
        </is>
      </c>
      <c r="K105" s="96" t="inlineStr">
        <is>
          <t>F</t>
        </is>
      </c>
      <c r="L105" s="96" t="inlineStr">
        <is>
          <t>OWN</t>
        </is>
      </c>
      <c r="M105" s="96" t="inlineStr">
        <is>
          <t>VFL</t>
        </is>
      </c>
      <c r="N105" s="96" t="inlineStr">
        <is>
          <t>BKK01</t>
        </is>
      </c>
      <c r="O105" s="96" t="inlineStr">
        <is>
          <t>BKK</t>
        </is>
      </c>
      <c r="P105" s="96" t="inlineStr">
        <is>
          <t>TH</t>
        </is>
      </c>
      <c r="Q105" s="96" t="inlineStr">
        <is>
          <t>HASLS22260900657</t>
        </is>
      </c>
      <c r="R105" s="96" t="inlineStr">
        <is>
          <t>N</t>
        </is>
      </c>
      <c r="S105" s="96" t="inlineStr">
        <is>
          <t>N</t>
        </is>
      </c>
      <c r="T105" s="96" t="inlineStr">
        <is>
          <t>KHS</t>
        </is>
      </c>
      <c r="U105" s="97" t="n"/>
      <c r="V105" s="96" t="inlineStr">
        <is>
          <t>C0521003</t>
        </is>
      </c>
      <c r="W105" s="96" t="inlineStr">
        <is>
          <t>ORIENT STAR INTERNATIONAL</t>
        </is>
      </c>
      <c r="X105" s="96" t="inlineStr">
        <is>
          <t>VFD</t>
        </is>
      </c>
      <c r="Y105" s="96" t="inlineStr">
        <is>
          <t>EXIM LOGISTICS CO., LTD.</t>
        </is>
      </c>
      <c r="Z105" s="96" t="inlineStr">
        <is>
          <t>EXIM LOGISTICS CO., LTD.</t>
        </is>
      </c>
      <c r="AA105" s="97" t="n">
        <v>17005</v>
      </c>
      <c r="AB105" s="96" t="inlineStr">
        <is>
          <t>BKK01</t>
        </is>
      </c>
      <c r="AC105" s="96" t="inlineStr">
        <is>
          <t>PUS05</t>
        </is>
      </c>
    </row>
    <row r="106" ht="12" customHeight="1">
      <c r="A106" s="96" t="inlineStr">
        <is>
          <t>FSCU5910044</t>
        </is>
      </c>
      <c r="B106" s="161" t="inlineStr">
        <is>
          <t>2026-10-16</t>
        </is>
      </c>
      <c r="C106" s="96" t="inlineStr">
        <is>
          <t>SWIC</t>
        </is>
      </c>
      <c r="D106" s="96" t="inlineStr">
        <is>
          <t>2611N</t>
        </is>
      </c>
      <c r="E106" s="96" t="inlineStr">
        <is>
          <t>45RE</t>
        </is>
      </c>
      <c r="F106" s="96" t="inlineStr">
        <is>
          <t>SD</t>
        </is>
      </c>
      <c r="G106" s="96" t="inlineStr">
        <is>
          <t>THBKK</t>
        </is>
      </c>
      <c r="H106" s="96" t="inlineStr">
        <is>
          <t>THBKK</t>
        </is>
      </c>
      <c r="I106" s="96" t="inlineStr">
        <is>
          <t>KRPUS</t>
        </is>
      </c>
      <c r="J106" s="96" t="inlineStr">
        <is>
          <t>RUVVO</t>
        </is>
      </c>
      <c r="K106" s="96" t="inlineStr">
        <is>
          <t>F</t>
        </is>
      </c>
      <c r="L106" s="96" t="inlineStr">
        <is>
          <t>L/T</t>
        </is>
      </c>
      <c r="M106" s="96" t="inlineStr">
        <is>
          <t>VFL</t>
        </is>
      </c>
      <c r="N106" s="96" t="inlineStr">
        <is>
          <t>BKK01</t>
        </is>
      </c>
      <c r="O106" s="96" t="inlineStr">
        <is>
          <t>BKK</t>
        </is>
      </c>
      <c r="P106" s="96" t="inlineStr">
        <is>
          <t>TH</t>
        </is>
      </c>
      <c r="Q106" s="96" t="inlineStr">
        <is>
          <t>HASLS22260902791</t>
        </is>
      </c>
      <c r="R106" s="96" t="inlineStr">
        <is>
          <t>Y</t>
        </is>
      </c>
      <c r="S106" s="96" t="inlineStr">
        <is>
          <t>N</t>
        </is>
      </c>
      <c r="T106" s="96" t="inlineStr">
        <is>
          <t>KHS</t>
        </is>
      </c>
      <c r="U106" s="97" t="n"/>
      <c r="V106" s="96" t="inlineStr">
        <is>
          <t>C0321002</t>
        </is>
      </c>
      <c r="W106" s="96" t="inlineStr">
        <is>
          <t>VENTE TRADE CO.,LTD.</t>
        </is>
      </c>
      <c r="X106" s="96" t="inlineStr">
        <is>
          <t>VFD</t>
        </is>
      </c>
      <c r="Y106" s="96" t="inlineStr">
        <is>
          <t>RVI (RUSSIAN VENTURE INVESTMENTS)</t>
        </is>
      </c>
      <c r="Z106" s="96" t="inlineStr">
        <is>
          <t>RVI (RUSSIAN VENTURE INVESTMENTS)</t>
        </is>
      </c>
      <c r="AA106" s="97" t="n">
        <v>24999.6</v>
      </c>
      <c r="AB106" s="96" t="inlineStr">
        <is>
          <t>BKK01</t>
        </is>
      </c>
      <c r="AC106" s="96" t="inlineStr">
        <is>
          <t>VVO01</t>
        </is>
      </c>
    </row>
    <row r="107" ht="12" customHeight="1">
      <c r="A107" s="96" t="inlineStr">
        <is>
          <t>FSCU5910960</t>
        </is>
      </c>
      <c r="B107" s="161" t="inlineStr">
        <is>
          <t>2026-10-16</t>
        </is>
      </c>
      <c r="C107" s="96" t="inlineStr">
        <is>
          <t>SWIC</t>
        </is>
      </c>
      <c r="D107" s="96" t="inlineStr">
        <is>
          <t>2611N</t>
        </is>
      </c>
      <c r="E107" s="96" t="inlineStr">
        <is>
          <t>45RE</t>
        </is>
      </c>
      <c r="F107" s="96" t="inlineStr">
        <is>
          <t>SD</t>
        </is>
      </c>
      <c r="G107" s="96" t="inlineStr">
        <is>
          <t>THBKK</t>
        </is>
      </c>
      <c r="H107" s="96" t="inlineStr">
        <is>
          <t>THBKK</t>
        </is>
      </c>
      <c r="I107" s="96" t="inlineStr">
        <is>
          <t>KRPUS</t>
        </is>
      </c>
      <c r="J107" s="96" t="inlineStr">
        <is>
          <t>RUVVO</t>
        </is>
      </c>
      <c r="K107" s="96" t="inlineStr">
        <is>
          <t>F</t>
        </is>
      </c>
      <c r="L107" s="96" t="inlineStr">
        <is>
          <t>L/T</t>
        </is>
      </c>
      <c r="M107" s="96" t="inlineStr">
        <is>
          <t>VFL</t>
        </is>
      </c>
      <c r="N107" s="96" t="inlineStr">
        <is>
          <t>BKK01</t>
        </is>
      </c>
      <c r="O107" s="96" t="inlineStr">
        <is>
          <t>BKK</t>
        </is>
      </c>
      <c r="P107" s="96" t="inlineStr">
        <is>
          <t>TH</t>
        </is>
      </c>
      <c r="Q107" s="96" t="inlineStr">
        <is>
          <t>HASLS22260902791</t>
        </is>
      </c>
      <c r="R107" s="96" t="inlineStr">
        <is>
          <t>Y</t>
        </is>
      </c>
      <c r="S107" s="96" t="inlineStr">
        <is>
          <t>N</t>
        </is>
      </c>
      <c r="T107" s="96" t="inlineStr">
        <is>
          <t>KHS</t>
        </is>
      </c>
      <c r="U107" s="97" t="n"/>
      <c r="V107" s="96" t="inlineStr">
        <is>
          <t>C0321002</t>
        </is>
      </c>
      <c r="W107" s="96" t="inlineStr">
        <is>
          <t>VENTE TRADE CO.,LTD.</t>
        </is>
      </c>
      <c r="X107" s="96" t="inlineStr">
        <is>
          <t>VFD</t>
        </is>
      </c>
      <c r="Y107" s="96" t="inlineStr">
        <is>
          <t>RVI (RUSSIAN VENTURE INVESTMENTS)</t>
        </is>
      </c>
      <c r="Z107" s="96" t="inlineStr">
        <is>
          <t>RVI (RUSSIAN VENTURE INVESTMENTS)</t>
        </is>
      </c>
      <c r="AA107" s="97" t="n">
        <v>24999.6</v>
      </c>
      <c r="AB107" s="96" t="inlineStr">
        <is>
          <t>BKK01</t>
        </is>
      </c>
      <c r="AC107" s="96" t="inlineStr">
        <is>
          <t>VVO01</t>
        </is>
      </c>
    </row>
    <row r="108" ht="12" customHeight="1">
      <c r="A108" s="96" t="inlineStr">
        <is>
          <t>FSCU5911307</t>
        </is>
      </c>
      <c r="B108" s="161" t="inlineStr">
        <is>
          <t>2026-10-16</t>
        </is>
      </c>
      <c r="C108" s="96" t="inlineStr">
        <is>
          <t>SWIC</t>
        </is>
      </c>
      <c r="D108" s="96" t="inlineStr">
        <is>
          <t>2611N</t>
        </is>
      </c>
      <c r="E108" s="96" t="inlineStr">
        <is>
          <t>45RE</t>
        </is>
      </c>
      <c r="F108" s="96" t="inlineStr">
        <is>
          <t>SD</t>
        </is>
      </c>
      <c r="G108" s="96" t="inlineStr">
        <is>
          <t>THBKK</t>
        </is>
      </c>
      <c r="H108" s="96" t="inlineStr">
        <is>
          <t>THBKK</t>
        </is>
      </c>
      <c r="I108" s="96" t="inlineStr">
        <is>
          <t>KRPUS</t>
        </is>
      </c>
      <c r="J108" s="96" t="inlineStr">
        <is>
          <t>RUVVO</t>
        </is>
      </c>
      <c r="K108" s="96" t="inlineStr">
        <is>
          <t>F</t>
        </is>
      </c>
      <c r="L108" s="96" t="inlineStr">
        <is>
          <t>L/T</t>
        </is>
      </c>
      <c r="M108" s="96" t="inlineStr">
        <is>
          <t>VFL</t>
        </is>
      </c>
      <c r="N108" s="96" t="inlineStr">
        <is>
          <t>BKK01</t>
        </is>
      </c>
      <c r="O108" s="96" t="inlineStr">
        <is>
          <t>BKK</t>
        </is>
      </c>
      <c r="P108" s="96" t="inlineStr">
        <is>
          <t>TH</t>
        </is>
      </c>
      <c r="Q108" s="96" t="inlineStr">
        <is>
          <t>HASLS22260902791</t>
        </is>
      </c>
      <c r="R108" s="96" t="inlineStr">
        <is>
          <t>Y</t>
        </is>
      </c>
      <c r="S108" s="96" t="inlineStr">
        <is>
          <t>N</t>
        </is>
      </c>
      <c r="T108" s="96" t="inlineStr">
        <is>
          <t>KHS</t>
        </is>
      </c>
      <c r="U108" s="97" t="n"/>
      <c r="V108" s="96" t="inlineStr">
        <is>
          <t>C0321002</t>
        </is>
      </c>
      <c r="W108" s="96" t="inlineStr">
        <is>
          <t>VENTE TRADE CO.,LTD.</t>
        </is>
      </c>
      <c r="X108" s="96" t="inlineStr">
        <is>
          <t>VFD</t>
        </is>
      </c>
      <c r="Y108" s="96" t="inlineStr">
        <is>
          <t>RVI (RUSSIAN VENTURE INVESTMENTS)</t>
        </is>
      </c>
      <c r="Z108" s="96" t="inlineStr">
        <is>
          <t>RVI (RUSSIAN VENTURE INVESTMENTS)</t>
        </is>
      </c>
      <c r="AA108" s="97" t="n">
        <v>24999.6</v>
      </c>
      <c r="AB108" s="96" t="inlineStr">
        <is>
          <t>BKK01</t>
        </is>
      </c>
      <c r="AC108" s="96" t="inlineStr">
        <is>
          <t>VVO01</t>
        </is>
      </c>
    </row>
    <row r="109" ht="12" customHeight="1">
      <c r="A109" s="96" t="inlineStr">
        <is>
          <t>HLHU8364480</t>
        </is>
      </c>
      <c r="B109" s="161" t="inlineStr">
        <is>
          <t>2026-10-16</t>
        </is>
      </c>
      <c r="C109" s="96" t="inlineStr">
        <is>
          <t>SWIC</t>
        </is>
      </c>
      <c r="D109" s="96" t="inlineStr">
        <is>
          <t>2611N</t>
        </is>
      </c>
      <c r="E109" s="96" t="inlineStr">
        <is>
          <t>45GP</t>
        </is>
      </c>
      <c r="F109" s="96" t="inlineStr">
        <is>
          <t>SD</t>
        </is>
      </c>
      <c r="G109" s="96" t="inlineStr">
        <is>
          <t>THBKK</t>
        </is>
      </c>
      <c r="H109" s="96" t="inlineStr">
        <is>
          <t>THBKK</t>
        </is>
      </c>
      <c r="I109" s="96" t="inlineStr">
        <is>
          <t>VNSGN</t>
        </is>
      </c>
      <c r="J109" s="96" t="inlineStr">
        <is>
          <t>VNSGN</t>
        </is>
      </c>
      <c r="K109" s="96" t="inlineStr">
        <is>
          <t>F</t>
        </is>
      </c>
      <c r="L109" s="96" t="inlineStr">
        <is>
          <t>OWN</t>
        </is>
      </c>
      <c r="M109" s="96" t="inlineStr">
        <is>
          <t>VFL</t>
        </is>
      </c>
      <c r="N109" s="96" t="inlineStr">
        <is>
          <t>BKK01</t>
        </is>
      </c>
      <c r="O109" s="96" t="inlineStr">
        <is>
          <t>BKK</t>
        </is>
      </c>
      <c r="P109" s="96" t="inlineStr">
        <is>
          <t>TH</t>
        </is>
      </c>
      <c r="Q109" s="96" t="inlineStr">
        <is>
          <t>HASLS22261000948</t>
        </is>
      </c>
      <c r="R109" s="96" t="inlineStr">
        <is>
          <t>N</t>
        </is>
      </c>
      <c r="S109" s="96" t="inlineStr">
        <is>
          <t>N</t>
        </is>
      </c>
      <c r="T109" s="96" t="inlineStr">
        <is>
          <t>KHS</t>
        </is>
      </c>
      <c r="U109" s="97" t="n"/>
      <c r="V109" s="96" t="inlineStr">
        <is>
          <t>C5623002</t>
        </is>
      </c>
      <c r="W109" s="96" t="inlineStr">
        <is>
          <t>BIRLA CARBON (THAILAND) PUBLIC</t>
        </is>
      </c>
      <c r="X109" s="96" t="inlineStr">
        <is>
          <t>VFD</t>
        </is>
      </c>
      <c r="Y109" s="96" t="inlineStr">
        <is>
          <t>SAILUN (VIETNAM) CO.,LTD</t>
        </is>
      </c>
      <c r="Z109" s="96" t="inlineStr">
        <is>
          <t>SAILUN (VIETNAM) CO.,LTD</t>
        </is>
      </c>
      <c r="AA109" s="97" t="n">
        <v>22308</v>
      </c>
      <c r="AB109" s="96" t="inlineStr">
        <is>
          <t>BKK01</t>
        </is>
      </c>
      <c r="AC109" s="96" t="inlineStr">
        <is>
          <t>SGN03</t>
        </is>
      </c>
    </row>
    <row r="110" ht="12" customHeight="1">
      <c r="A110" s="96" t="inlineStr">
        <is>
          <t>HALU2352953</t>
        </is>
      </c>
      <c r="B110" s="161" t="inlineStr">
        <is>
          <t>2026-10-16</t>
        </is>
      </c>
      <c r="C110" s="96" t="inlineStr">
        <is>
          <t>SWIC</t>
        </is>
      </c>
      <c r="D110" s="96" t="inlineStr">
        <is>
          <t>2611N</t>
        </is>
      </c>
      <c r="E110" s="96" t="inlineStr">
        <is>
          <t>22GP</t>
        </is>
      </c>
      <c r="F110" s="96" t="inlineStr">
        <is>
          <t>SD</t>
        </is>
      </c>
      <c r="G110" s="96" t="inlineStr">
        <is>
          <t>THBKK</t>
        </is>
      </c>
      <c r="H110" s="96" t="inlineStr">
        <is>
          <t>THBKK</t>
        </is>
      </c>
      <c r="I110" s="96" t="inlineStr">
        <is>
          <t>VNSGN</t>
        </is>
      </c>
      <c r="J110" s="96" t="inlineStr">
        <is>
          <t>VNSGN</t>
        </is>
      </c>
      <c r="K110" s="96" t="inlineStr">
        <is>
          <t>F</t>
        </is>
      </c>
      <c r="L110" s="96" t="inlineStr">
        <is>
          <t>OWN</t>
        </is>
      </c>
      <c r="M110" s="96" t="inlineStr">
        <is>
          <t>VFL</t>
        </is>
      </c>
      <c r="N110" s="96" t="inlineStr">
        <is>
          <t>BKK01</t>
        </is>
      </c>
      <c r="O110" s="96" t="inlineStr">
        <is>
          <t>BKK</t>
        </is>
      </c>
      <c r="P110" s="96" t="inlineStr">
        <is>
          <t>TH</t>
        </is>
      </c>
      <c r="Q110" s="96" t="inlineStr">
        <is>
          <t>HASLS22260901669</t>
        </is>
      </c>
      <c r="R110" s="96" t="inlineStr">
        <is>
          <t>N</t>
        </is>
      </c>
      <c r="S110" s="96" t="inlineStr">
        <is>
          <t>N</t>
        </is>
      </c>
      <c r="T110" s="96" t="inlineStr">
        <is>
          <t>KHS</t>
        </is>
      </c>
      <c r="U110" s="97" t="n"/>
      <c r="V110" s="96" t="inlineStr">
        <is>
          <t>C0223008</t>
        </is>
      </c>
      <c r="W110" s="96" t="inlineStr">
        <is>
          <t>THANAKORN VEGETABLE OIL PRODUCTS</t>
        </is>
      </c>
      <c r="X110" s="96" t="inlineStr">
        <is>
          <t>VFD</t>
        </is>
      </c>
      <c r="Y110" s="96" t="inlineStr">
        <is>
          <t>MEKONG COMMODITIES JSC</t>
        </is>
      </c>
      <c r="Z110" s="96" t="inlineStr">
        <is>
          <t>AUSTRALASIAN COMMODITIES PTY LTD.</t>
        </is>
      </c>
      <c r="AA110" s="97" t="n">
        <v>21100</v>
      </c>
      <c r="AB110" s="96" t="inlineStr">
        <is>
          <t>BKK01</t>
        </is>
      </c>
      <c r="AC110" s="96" t="inlineStr">
        <is>
          <t>SGN03</t>
        </is>
      </c>
    </row>
    <row r="111" ht="12" customHeight="1">
      <c r="A111" s="96" t="inlineStr">
        <is>
          <t>HALU2325243</t>
        </is>
      </c>
      <c r="B111" s="161" t="inlineStr">
        <is>
          <t>2026-10-16</t>
        </is>
      </c>
      <c r="C111" s="96" t="inlineStr">
        <is>
          <t>SWIC</t>
        </is>
      </c>
      <c r="D111" s="96" t="inlineStr">
        <is>
          <t>2611N</t>
        </is>
      </c>
      <c r="E111" s="96" t="inlineStr">
        <is>
          <t>22GP</t>
        </is>
      </c>
      <c r="F111" s="96" t="inlineStr">
        <is>
          <t>SD</t>
        </is>
      </c>
      <c r="G111" s="96" t="inlineStr">
        <is>
          <t>THBKK</t>
        </is>
      </c>
      <c r="H111" s="96" t="inlineStr">
        <is>
          <t>THBKK</t>
        </is>
      </c>
      <c r="I111" s="96" t="inlineStr">
        <is>
          <t>KRPUS</t>
        </is>
      </c>
      <c r="J111" s="96" t="inlineStr">
        <is>
          <t>JPUKB</t>
        </is>
      </c>
      <c r="K111" s="96" t="inlineStr">
        <is>
          <t>F</t>
        </is>
      </c>
      <c r="L111" s="96" t="inlineStr">
        <is>
          <t>OWN</t>
        </is>
      </c>
      <c r="M111" s="96" t="inlineStr">
        <is>
          <t>VFL</t>
        </is>
      </c>
      <c r="N111" s="96" t="inlineStr">
        <is>
          <t>BKK01</t>
        </is>
      </c>
      <c r="O111" s="96" t="inlineStr">
        <is>
          <t>BKK</t>
        </is>
      </c>
      <c r="P111" s="96" t="inlineStr">
        <is>
          <t>TH</t>
        </is>
      </c>
      <c r="Q111" s="96" t="inlineStr">
        <is>
          <t>HASLS22260902184</t>
        </is>
      </c>
      <c r="R111" s="96" t="inlineStr">
        <is>
          <t>Y</t>
        </is>
      </c>
      <c r="S111" s="96" t="inlineStr">
        <is>
          <t>N</t>
        </is>
      </c>
      <c r="T111" s="96" t="inlineStr">
        <is>
          <t>KHS</t>
        </is>
      </c>
      <c r="U111" s="97" t="n"/>
      <c r="V111" s="96" t="inlineStr">
        <is>
          <t>C7T23001</t>
        </is>
      </c>
      <c r="W111" s="96" t="inlineStr">
        <is>
          <t>BIRLA CARBON (THAILAND) PUBLIC</t>
        </is>
      </c>
      <c r="X111" s="96" t="inlineStr">
        <is>
          <t>VFD</t>
        </is>
      </c>
      <c r="Y111" s="96" t="inlineStr">
        <is>
          <t>NIPPON GIANT TIRE CO.,LTD.</t>
        </is>
      </c>
      <c r="Z111" s="96" t="inlineStr">
        <is>
          <t>NIPPON GIANT TIRE CO.,LTD.</t>
        </is>
      </c>
      <c r="AA111" s="97" t="n">
        <v>11424</v>
      </c>
      <c r="AB111" s="96" t="inlineStr">
        <is>
          <t>BKK01</t>
        </is>
      </c>
      <c r="AC111" s="96" t="inlineStr">
        <is>
          <t>UKB03</t>
        </is>
      </c>
    </row>
    <row r="112" ht="12" customHeight="1">
      <c r="A112" s="96" t="inlineStr">
        <is>
          <t>HLHU8372700</t>
        </is>
      </c>
      <c r="B112" s="161" t="inlineStr">
        <is>
          <t>2026-10-16</t>
        </is>
      </c>
      <c r="C112" s="96" t="inlineStr">
        <is>
          <t>SWIC</t>
        </is>
      </c>
      <c r="D112" s="96" t="inlineStr">
        <is>
          <t>2611N</t>
        </is>
      </c>
      <c r="E112" s="96" t="inlineStr">
        <is>
          <t>45GP</t>
        </is>
      </c>
      <c r="F112" s="96" t="inlineStr">
        <is>
          <t>SD</t>
        </is>
      </c>
      <c r="G112" s="96" t="inlineStr">
        <is>
          <t>THBKK</t>
        </is>
      </c>
      <c r="H112" s="96" t="inlineStr">
        <is>
          <t>THBKK</t>
        </is>
      </c>
      <c r="I112" s="96" t="inlineStr">
        <is>
          <t>VNSGN</t>
        </is>
      </c>
      <c r="J112" s="96" t="inlineStr">
        <is>
          <t>VNSGN</t>
        </is>
      </c>
      <c r="K112" s="96" t="inlineStr">
        <is>
          <t>F</t>
        </is>
      </c>
      <c r="L112" s="96" t="inlineStr">
        <is>
          <t>OWN</t>
        </is>
      </c>
      <c r="M112" s="96" t="inlineStr">
        <is>
          <t>VFL</t>
        </is>
      </c>
      <c r="N112" s="96" t="inlineStr">
        <is>
          <t>BKK01</t>
        </is>
      </c>
      <c r="O112" s="96" t="inlineStr">
        <is>
          <t>BKK</t>
        </is>
      </c>
      <c r="P112" s="96" t="inlineStr">
        <is>
          <t>TH</t>
        </is>
      </c>
      <c r="Q112" s="96" t="inlineStr">
        <is>
          <t>HASLS22261000948</t>
        </is>
      </c>
      <c r="R112" s="96" t="inlineStr">
        <is>
          <t>N</t>
        </is>
      </c>
      <c r="S112" s="96" t="inlineStr">
        <is>
          <t>N</t>
        </is>
      </c>
      <c r="T112" s="96" t="inlineStr">
        <is>
          <t>KHS</t>
        </is>
      </c>
      <c r="U112" s="97" t="n"/>
      <c r="V112" s="96" t="inlineStr">
        <is>
          <t>C0523003</t>
        </is>
      </c>
      <c r="W112" s="96" t="inlineStr">
        <is>
          <t>BIRLA CARBON (THAILAND) PUBLIC</t>
        </is>
      </c>
      <c r="X112" s="96" t="inlineStr">
        <is>
          <t>VFD</t>
        </is>
      </c>
      <c r="Y112" s="96" t="inlineStr">
        <is>
          <t>SAILUN (VIETNAM) CO.,LTD</t>
        </is>
      </c>
      <c r="Z112" s="96" t="inlineStr">
        <is>
          <t>SAILUN (VIETNAM) CO.,LTD</t>
        </is>
      </c>
      <c r="AA112" s="97" t="n">
        <v>22308</v>
      </c>
      <c r="AB112" s="96" t="inlineStr">
        <is>
          <t>BKK01</t>
        </is>
      </c>
      <c r="AC112" s="96" t="inlineStr">
        <is>
          <t>SGN03</t>
        </is>
      </c>
    </row>
    <row r="113" ht="12" customHeight="1">
      <c r="A113" s="96" t="inlineStr">
        <is>
          <t>HLHU8371560</t>
        </is>
      </c>
      <c r="B113" s="161" t="inlineStr">
        <is>
          <t>2026-10-16</t>
        </is>
      </c>
      <c r="C113" s="96" t="inlineStr">
        <is>
          <t>SWIC</t>
        </is>
      </c>
      <c r="D113" s="96" t="inlineStr">
        <is>
          <t>2611N</t>
        </is>
      </c>
      <c r="E113" s="96" t="inlineStr">
        <is>
          <t>45GP</t>
        </is>
      </c>
      <c r="F113" s="96" t="inlineStr">
        <is>
          <t>SD</t>
        </is>
      </c>
      <c r="G113" s="96" t="inlineStr">
        <is>
          <t>THBKK</t>
        </is>
      </c>
      <c r="H113" s="96" t="inlineStr">
        <is>
          <t>THBKK</t>
        </is>
      </c>
      <c r="I113" s="96" t="inlineStr">
        <is>
          <t>VNSGN</t>
        </is>
      </c>
      <c r="J113" s="96" t="inlineStr">
        <is>
          <t>VNSGN</t>
        </is>
      </c>
      <c r="K113" s="96" t="inlineStr">
        <is>
          <t>F</t>
        </is>
      </c>
      <c r="L113" s="96" t="inlineStr">
        <is>
          <t>OWN</t>
        </is>
      </c>
      <c r="M113" s="96" t="inlineStr">
        <is>
          <t>VFL</t>
        </is>
      </c>
      <c r="N113" s="96" t="inlineStr">
        <is>
          <t>BKK01</t>
        </is>
      </c>
      <c r="O113" s="96" t="inlineStr">
        <is>
          <t>BKK</t>
        </is>
      </c>
      <c r="P113" s="96" t="inlineStr">
        <is>
          <t>TH</t>
        </is>
      </c>
      <c r="Q113" s="96" t="inlineStr">
        <is>
          <t>HASLS22261000692</t>
        </is>
      </c>
      <c r="R113" s="96" t="inlineStr">
        <is>
          <t>N</t>
        </is>
      </c>
      <c r="S113" s="96" t="inlineStr">
        <is>
          <t>N</t>
        </is>
      </c>
      <c r="T113" s="96" t="inlineStr">
        <is>
          <t>KHS</t>
        </is>
      </c>
      <c r="U113" s="97" t="n"/>
      <c r="V113" s="96" t="inlineStr">
        <is>
          <t>C0523003</t>
        </is>
      </c>
      <c r="W113" s="96" t="inlineStr">
        <is>
          <t>BIRLA CARBON (THAILAND) PUBLIC</t>
        </is>
      </c>
      <c r="X113" s="96" t="inlineStr">
        <is>
          <t>VFD</t>
        </is>
      </c>
      <c r="Y113" s="96" t="inlineStr">
        <is>
          <t>ACTR COMPANY LIMITED</t>
        </is>
      </c>
      <c r="Z113" s="96" t="inlineStr">
        <is>
          <t>ACTR COMPANY LIMITED</t>
        </is>
      </c>
      <c r="AA113" s="97" t="n">
        <v>22308</v>
      </c>
      <c r="AB113" s="96" t="inlineStr">
        <is>
          <t>BKK01</t>
        </is>
      </c>
      <c r="AC113" s="96" t="inlineStr">
        <is>
          <t>SGN03</t>
        </is>
      </c>
    </row>
    <row r="114" ht="12" customHeight="1">
      <c r="A114" s="96" t="inlineStr">
        <is>
          <t>HLHU8386473</t>
        </is>
      </c>
      <c r="B114" s="161" t="inlineStr">
        <is>
          <t>2026-10-16</t>
        </is>
      </c>
      <c r="C114" s="96" t="inlineStr">
        <is>
          <t>SWIC</t>
        </is>
      </c>
      <c r="D114" s="96" t="inlineStr">
        <is>
          <t>2611N</t>
        </is>
      </c>
      <c r="E114" s="96" t="inlineStr">
        <is>
          <t>45GP</t>
        </is>
      </c>
      <c r="F114" s="96" t="inlineStr">
        <is>
          <t>SD</t>
        </is>
      </c>
      <c r="G114" s="96" t="inlineStr">
        <is>
          <t>THBKK</t>
        </is>
      </c>
      <c r="H114" s="96" t="inlineStr">
        <is>
          <t>THBKK</t>
        </is>
      </c>
      <c r="I114" s="96" t="inlineStr">
        <is>
          <t>VNSGN</t>
        </is>
      </c>
      <c r="J114" s="96" t="inlineStr">
        <is>
          <t>VNSGN</t>
        </is>
      </c>
      <c r="K114" s="96" t="inlineStr">
        <is>
          <t>F</t>
        </is>
      </c>
      <c r="L114" s="96" t="inlineStr">
        <is>
          <t>OWN</t>
        </is>
      </c>
      <c r="M114" s="96" t="inlineStr">
        <is>
          <t>VFL</t>
        </is>
      </c>
      <c r="N114" s="96" t="inlineStr">
        <is>
          <t>BKK01</t>
        </is>
      </c>
      <c r="O114" s="96" t="inlineStr">
        <is>
          <t>BKK</t>
        </is>
      </c>
      <c r="P114" s="96" t="inlineStr">
        <is>
          <t>TH</t>
        </is>
      </c>
      <c r="Q114" s="96" t="inlineStr">
        <is>
          <t>HASLS22261000615</t>
        </is>
      </c>
      <c r="R114" s="96" t="inlineStr">
        <is>
          <t>N</t>
        </is>
      </c>
      <c r="S114" s="96" t="inlineStr">
        <is>
          <t>N</t>
        </is>
      </c>
      <c r="T114" s="96" t="inlineStr">
        <is>
          <t>KHS</t>
        </is>
      </c>
      <c r="U114" s="97" t="n"/>
      <c r="V114" s="96" t="inlineStr">
        <is>
          <t>C0324002</t>
        </is>
      </c>
      <c r="W114" s="96" t="inlineStr">
        <is>
          <t>APEX CIRCUIT (THAILAND) CO.,LTD.</t>
        </is>
      </c>
      <c r="X114" s="96" t="inlineStr">
        <is>
          <t>VFD</t>
        </is>
      </c>
      <c r="Y114" s="96" t="inlineStr">
        <is>
          <t>SAMSUNG ELECTRONICS HCMC CE COMPLEX</t>
        </is>
      </c>
      <c r="Z114" s="96" t="inlineStr">
        <is>
          <t>SAMSUNG SDS VIETNAM CO., LTD -</t>
        </is>
      </c>
      <c r="AA114" s="97" t="n">
        <v>6850.84</v>
      </c>
      <c r="AB114" s="96" t="inlineStr">
        <is>
          <t>BKK01</t>
        </is>
      </c>
      <c r="AC114" s="96" t="inlineStr">
        <is>
          <t>SGN03</t>
        </is>
      </c>
    </row>
    <row r="115" ht="12" customHeight="1">
      <c r="A115" s="96" t="inlineStr">
        <is>
          <t>HLHU8394479</t>
        </is>
      </c>
      <c r="B115" s="161" t="inlineStr">
        <is>
          <t>2026-10-16</t>
        </is>
      </c>
      <c r="C115" s="96" t="inlineStr">
        <is>
          <t>SWIC</t>
        </is>
      </c>
      <c r="D115" s="96" t="inlineStr">
        <is>
          <t>2611N</t>
        </is>
      </c>
      <c r="E115" s="96" t="inlineStr">
        <is>
          <t>45GP</t>
        </is>
      </c>
      <c r="F115" s="96" t="inlineStr">
        <is>
          <t>SD</t>
        </is>
      </c>
      <c r="G115" s="96" t="inlineStr">
        <is>
          <t>THBKK</t>
        </is>
      </c>
      <c r="H115" s="96" t="inlineStr">
        <is>
          <t>THBKK</t>
        </is>
      </c>
      <c r="I115" s="96" t="inlineStr">
        <is>
          <t>VNSGN</t>
        </is>
      </c>
      <c r="J115" s="96" t="inlineStr">
        <is>
          <t>VNSGN</t>
        </is>
      </c>
      <c r="K115" s="96" t="inlineStr">
        <is>
          <t>F</t>
        </is>
      </c>
      <c r="L115" s="96" t="inlineStr">
        <is>
          <t>OWN</t>
        </is>
      </c>
      <c r="M115" s="96" t="inlineStr">
        <is>
          <t>VFL</t>
        </is>
      </c>
      <c r="N115" s="96" t="inlineStr">
        <is>
          <t>BKK01</t>
        </is>
      </c>
      <c r="O115" s="96" t="inlineStr">
        <is>
          <t>BKK</t>
        </is>
      </c>
      <c r="P115" s="96" t="inlineStr">
        <is>
          <t>TH</t>
        </is>
      </c>
      <c r="Q115" s="96" t="inlineStr">
        <is>
          <t>HASLS22260901687</t>
        </is>
      </c>
      <c r="R115" s="96" t="inlineStr">
        <is>
          <t>N</t>
        </is>
      </c>
      <c r="S115" s="96" t="inlineStr">
        <is>
          <t>N</t>
        </is>
      </c>
      <c r="T115" s="96" t="inlineStr">
        <is>
          <t>KHS</t>
        </is>
      </c>
      <c r="U115" s="97" t="n"/>
      <c r="V115" s="96" t="inlineStr">
        <is>
          <t>C0324002</t>
        </is>
      </c>
      <c r="W115" s="96" t="inlineStr">
        <is>
          <t>BIRLA CARBON (THAILAND) PUBLIC</t>
        </is>
      </c>
      <c r="X115" s="96" t="inlineStr">
        <is>
          <t>VFD</t>
        </is>
      </c>
      <c r="Y115" s="96" t="inlineStr">
        <is>
          <t>KUMHO TIRE (VIETNAM) CO.,LTD.</t>
        </is>
      </c>
      <c r="Z115" s="96" t="inlineStr">
        <is>
          <t>KUMHO TIRE (VIETNAM) CO.,LTD.</t>
        </is>
      </c>
      <c r="AA115" s="97" t="n">
        <v>20280</v>
      </c>
      <c r="AB115" s="96" t="inlineStr">
        <is>
          <t>BKK01</t>
        </is>
      </c>
      <c r="AC115" s="96" t="inlineStr">
        <is>
          <t>SGN03</t>
        </is>
      </c>
    </row>
    <row r="116" ht="12" customHeight="1">
      <c r="A116" s="96" t="inlineStr">
        <is>
          <t>HLHU8443315</t>
        </is>
      </c>
      <c r="B116" s="161" t="inlineStr">
        <is>
          <t>2026-10-16</t>
        </is>
      </c>
      <c r="C116" s="96" t="inlineStr">
        <is>
          <t>SWIC</t>
        </is>
      </c>
      <c r="D116" s="96" t="inlineStr">
        <is>
          <t>2611N</t>
        </is>
      </c>
      <c r="E116" s="96" t="inlineStr">
        <is>
          <t>45GP</t>
        </is>
      </c>
      <c r="F116" s="96" t="inlineStr">
        <is>
          <t>SD</t>
        </is>
      </c>
      <c r="G116" s="96" t="inlineStr">
        <is>
          <t>THBKK</t>
        </is>
      </c>
      <c r="H116" s="96" t="inlineStr">
        <is>
          <t>THBKK</t>
        </is>
      </c>
      <c r="I116" s="96" t="inlineStr">
        <is>
          <t>VNSGN</t>
        </is>
      </c>
      <c r="J116" s="96" t="inlineStr">
        <is>
          <t>VNSGN</t>
        </is>
      </c>
      <c r="K116" s="96" t="inlineStr">
        <is>
          <t>F</t>
        </is>
      </c>
      <c r="L116" s="96" t="inlineStr">
        <is>
          <t>OWN</t>
        </is>
      </c>
      <c r="M116" s="96" t="inlineStr">
        <is>
          <t>VFL</t>
        </is>
      </c>
      <c r="N116" s="96" t="inlineStr">
        <is>
          <t>BKK01</t>
        </is>
      </c>
      <c r="O116" s="96" t="inlineStr">
        <is>
          <t>BKK</t>
        </is>
      </c>
      <c r="P116" s="96" t="inlineStr">
        <is>
          <t>TH</t>
        </is>
      </c>
      <c r="Q116" s="96" t="inlineStr">
        <is>
          <t>HASLS22261000476</t>
        </is>
      </c>
      <c r="R116" s="96" t="inlineStr">
        <is>
          <t>N</t>
        </is>
      </c>
      <c r="S116" s="96" t="inlineStr">
        <is>
          <t>N</t>
        </is>
      </c>
      <c r="T116" s="96" t="inlineStr">
        <is>
          <t>KHS</t>
        </is>
      </c>
      <c r="U116" s="97" t="n"/>
      <c r="V116" s="96" t="inlineStr">
        <is>
          <t>C0124001</t>
        </is>
      </c>
      <c r="W116" s="96" t="inlineStr">
        <is>
          <t>OASIS LOGISTICS CO., LTD.</t>
        </is>
      </c>
      <c r="X116" s="96" t="inlineStr">
        <is>
          <t>VFD</t>
        </is>
      </c>
      <c r="Y116" s="96" t="inlineStr">
        <is>
          <t>FELIX LOGISTICS COMPANY LIMITED</t>
        </is>
      </c>
      <c r="Z116" s="96" t="inlineStr">
        <is>
          <t>FELIX LOGISTICS COMPANY LIMITED</t>
        </is>
      </c>
      <c r="AA116" s="97" t="n">
        <v>3500.2</v>
      </c>
      <c r="AB116" s="96" t="inlineStr">
        <is>
          <t>BKK01</t>
        </is>
      </c>
      <c r="AC116" s="96" t="inlineStr">
        <is>
          <t>SGN03</t>
        </is>
      </c>
    </row>
    <row r="117" ht="12" customHeight="1">
      <c r="A117" s="96" t="inlineStr">
        <is>
          <t>HLHU8416198</t>
        </is>
      </c>
      <c r="B117" s="161" t="inlineStr">
        <is>
          <t>2026-10-16</t>
        </is>
      </c>
      <c r="C117" s="96" t="inlineStr">
        <is>
          <t>SWIC</t>
        </is>
      </c>
      <c r="D117" s="96" t="inlineStr">
        <is>
          <t>2611N</t>
        </is>
      </c>
      <c r="E117" s="96" t="inlineStr">
        <is>
          <t>45GP</t>
        </is>
      </c>
      <c r="F117" s="96" t="inlineStr">
        <is>
          <t>SD</t>
        </is>
      </c>
      <c r="G117" s="96" t="inlineStr">
        <is>
          <t>THBKK</t>
        </is>
      </c>
      <c r="H117" s="96" t="inlineStr">
        <is>
          <t>THBKK</t>
        </is>
      </c>
      <c r="I117" s="96" t="inlineStr">
        <is>
          <t>VNSGN</t>
        </is>
      </c>
      <c r="J117" s="96" t="inlineStr">
        <is>
          <t>VNSGN</t>
        </is>
      </c>
      <c r="K117" s="96" t="inlineStr">
        <is>
          <t>F</t>
        </is>
      </c>
      <c r="L117" s="96" t="inlineStr">
        <is>
          <t>OWN</t>
        </is>
      </c>
      <c r="M117" s="96" t="inlineStr">
        <is>
          <t>VFL</t>
        </is>
      </c>
      <c r="N117" s="96" t="inlineStr">
        <is>
          <t>BKK01</t>
        </is>
      </c>
      <c r="O117" s="96" t="inlineStr">
        <is>
          <t>BKK</t>
        </is>
      </c>
      <c r="P117" s="96" t="inlineStr">
        <is>
          <t>TH</t>
        </is>
      </c>
      <c r="Q117" s="96" t="inlineStr">
        <is>
          <t>HASLS22260902182</t>
        </is>
      </c>
      <c r="R117" s="96" t="inlineStr">
        <is>
          <t>N</t>
        </is>
      </c>
      <c r="S117" s="96" t="inlineStr">
        <is>
          <t>N</t>
        </is>
      </c>
      <c r="T117" s="96" t="inlineStr">
        <is>
          <t>KHS</t>
        </is>
      </c>
      <c r="U117" s="97" t="n"/>
      <c r="V117" s="96" t="inlineStr">
        <is>
          <t>C0124001</t>
        </is>
      </c>
      <c r="W117" s="96" t="inlineStr">
        <is>
          <t>BIRLA CARBON (THAILAND) PUBLIC</t>
        </is>
      </c>
      <c r="X117" s="96" t="inlineStr">
        <is>
          <t>VFD</t>
        </is>
      </c>
      <c r="Y117" s="96" t="inlineStr">
        <is>
          <t>CART TIRE CO., LTD</t>
        </is>
      </c>
      <c r="Z117" s="96" t="inlineStr">
        <is>
          <t>NTL GROUP CO.,LTD</t>
        </is>
      </c>
      <c r="AA117" s="97" t="n">
        <v>22308</v>
      </c>
      <c r="AB117" s="96" t="inlineStr">
        <is>
          <t>BKK01</t>
        </is>
      </c>
      <c r="AC117" s="96" t="inlineStr">
        <is>
          <t>SGN03</t>
        </is>
      </c>
    </row>
    <row r="118" ht="12" customHeight="1">
      <c r="A118" s="96" t="inlineStr">
        <is>
          <t>HLHU8426679</t>
        </is>
      </c>
      <c r="B118" s="161" t="inlineStr">
        <is>
          <t>2026-10-16</t>
        </is>
      </c>
      <c r="C118" s="96" t="inlineStr">
        <is>
          <t>SWIC</t>
        </is>
      </c>
      <c r="D118" s="96" t="inlineStr">
        <is>
          <t>2611N</t>
        </is>
      </c>
      <c r="E118" s="96" t="inlineStr">
        <is>
          <t>45GP</t>
        </is>
      </c>
      <c r="F118" s="96" t="inlineStr">
        <is>
          <t>SD</t>
        </is>
      </c>
      <c r="G118" s="96" t="inlineStr">
        <is>
          <t>THBKK</t>
        </is>
      </c>
      <c r="H118" s="96" t="inlineStr">
        <is>
          <t>THBKK</t>
        </is>
      </c>
      <c r="I118" s="96" t="inlineStr">
        <is>
          <t>VNSGN</t>
        </is>
      </c>
      <c r="J118" s="96" t="inlineStr">
        <is>
          <t>VNSGN</t>
        </is>
      </c>
      <c r="K118" s="96" t="inlineStr">
        <is>
          <t>F</t>
        </is>
      </c>
      <c r="L118" s="96" t="inlineStr">
        <is>
          <t>OWN</t>
        </is>
      </c>
      <c r="M118" s="96" t="inlineStr">
        <is>
          <t>VFL</t>
        </is>
      </c>
      <c r="N118" s="96" t="inlineStr">
        <is>
          <t>BKK01</t>
        </is>
      </c>
      <c r="O118" s="96" t="inlineStr">
        <is>
          <t>BKK</t>
        </is>
      </c>
      <c r="P118" s="96" t="inlineStr">
        <is>
          <t>TH</t>
        </is>
      </c>
      <c r="Q118" s="96" t="inlineStr">
        <is>
          <t>HASLS22260902182</t>
        </is>
      </c>
      <c r="R118" s="96" t="inlineStr">
        <is>
          <t>N</t>
        </is>
      </c>
      <c r="S118" s="96" t="inlineStr">
        <is>
          <t>N</t>
        </is>
      </c>
      <c r="T118" s="96" t="inlineStr">
        <is>
          <t>KHS</t>
        </is>
      </c>
      <c r="U118" s="97" t="n"/>
      <c r="V118" s="96" t="inlineStr">
        <is>
          <t>C0124001</t>
        </is>
      </c>
      <c r="W118" s="96" t="inlineStr">
        <is>
          <t>BIRLA CARBON (THAILAND) PUBLIC</t>
        </is>
      </c>
      <c r="X118" s="96" t="inlineStr">
        <is>
          <t>VFD</t>
        </is>
      </c>
      <c r="Y118" s="96" t="inlineStr">
        <is>
          <t>CART TIRE CO., LTD</t>
        </is>
      </c>
      <c r="Z118" s="96" t="inlineStr">
        <is>
          <t>NTL GROUP CO.,LTD</t>
        </is>
      </c>
      <c r="AA118" s="97" t="n">
        <v>22308</v>
      </c>
      <c r="AB118" s="96" t="inlineStr">
        <is>
          <t>BKK01</t>
        </is>
      </c>
      <c r="AC118" s="96" t="inlineStr">
        <is>
          <t>SGN03</t>
        </is>
      </c>
    </row>
    <row r="119" ht="12" customHeight="1">
      <c r="A119" s="96" t="inlineStr">
        <is>
          <t>HALU2360666</t>
        </is>
      </c>
      <c r="B119" s="161" t="inlineStr">
        <is>
          <t>2026-10-16</t>
        </is>
      </c>
      <c r="C119" s="96" t="inlineStr">
        <is>
          <t>SWIC</t>
        </is>
      </c>
      <c r="D119" s="96" t="inlineStr">
        <is>
          <t>2611N</t>
        </is>
      </c>
      <c r="E119" s="96" t="inlineStr">
        <is>
          <t>22GP</t>
        </is>
      </c>
      <c r="F119" s="96" t="inlineStr">
        <is>
          <t>SD</t>
        </is>
      </c>
      <c r="G119" s="96" t="inlineStr">
        <is>
          <t>THBKK</t>
        </is>
      </c>
      <c r="H119" s="96" t="inlineStr">
        <is>
          <t>THBKK</t>
        </is>
      </c>
      <c r="I119" s="96" t="inlineStr">
        <is>
          <t>VNSGN</t>
        </is>
      </c>
      <c r="J119" s="96" t="inlineStr">
        <is>
          <t>VNSGN</t>
        </is>
      </c>
      <c r="K119" s="96" t="inlineStr">
        <is>
          <t>F</t>
        </is>
      </c>
      <c r="L119" s="96" t="inlineStr">
        <is>
          <t>OWN</t>
        </is>
      </c>
      <c r="M119" s="96" t="inlineStr">
        <is>
          <t>VFL</t>
        </is>
      </c>
      <c r="N119" s="96" t="inlineStr">
        <is>
          <t>BKK01</t>
        </is>
      </c>
      <c r="O119" s="96" t="inlineStr">
        <is>
          <t>BKK</t>
        </is>
      </c>
      <c r="P119" s="96" t="inlineStr">
        <is>
          <t>TH</t>
        </is>
      </c>
      <c r="Q119" s="96" t="inlineStr">
        <is>
          <t>HASLS22260902833</t>
        </is>
      </c>
      <c r="R119" s="96" t="inlineStr">
        <is>
          <t>N</t>
        </is>
      </c>
      <c r="S119" s="96" t="inlineStr">
        <is>
          <t>N</t>
        </is>
      </c>
      <c r="T119" s="96" t="inlineStr">
        <is>
          <t>KHS</t>
        </is>
      </c>
      <c r="U119" s="97" t="n"/>
      <c r="V119" s="96" t="inlineStr">
        <is>
          <t>C0324003</t>
        </is>
      </c>
      <c r="W119" s="96" t="inlineStr">
        <is>
          <t>ALL CARGO SOLUTIONS CO., LTD.</t>
        </is>
      </c>
      <c r="X119" s="96" t="inlineStr">
        <is>
          <t>VFD</t>
        </is>
      </c>
      <c r="Y119" s="96" t="inlineStr">
        <is>
          <t>PEGASUS GLOBAL LOGISTICS CO.,LTD</t>
        </is>
      </c>
      <c r="Z119" s="96" t="inlineStr">
        <is>
          <t>PEGASUS GLOBAL LOGISTICS CO.,LTD</t>
        </is>
      </c>
      <c r="AA119" s="97" t="n">
        <v>525</v>
      </c>
      <c r="AB119" s="96" t="inlineStr">
        <is>
          <t>BKK01</t>
        </is>
      </c>
      <c r="AC119" s="96" t="inlineStr">
        <is>
          <t>SGN03</t>
        </is>
      </c>
    </row>
    <row r="120" ht="12" customHeight="1">
      <c r="A120" s="96" t="inlineStr">
        <is>
          <t>HALU2540009</t>
        </is>
      </c>
      <c r="B120" s="161" t="inlineStr">
        <is>
          <t>2026-10-16</t>
        </is>
      </c>
      <c r="C120" s="96" t="inlineStr">
        <is>
          <t>SWIC</t>
        </is>
      </c>
      <c r="D120" s="96" t="inlineStr">
        <is>
          <t>2611N</t>
        </is>
      </c>
      <c r="E120" s="96" t="inlineStr">
        <is>
          <t>22GP</t>
        </is>
      </c>
      <c r="F120" s="96" t="inlineStr">
        <is>
          <t>SD</t>
        </is>
      </c>
      <c r="G120" s="96" t="inlineStr">
        <is>
          <t>THBKK</t>
        </is>
      </c>
      <c r="H120" s="96" t="inlineStr">
        <is>
          <t>THBKK</t>
        </is>
      </c>
      <c r="I120" s="96" t="inlineStr">
        <is>
          <t>KRPUS</t>
        </is>
      </c>
      <c r="J120" s="96" t="inlineStr">
        <is>
          <t>JPUKB</t>
        </is>
      </c>
      <c r="K120" s="96" t="inlineStr">
        <is>
          <t>F</t>
        </is>
      </c>
      <c r="L120" s="96" t="inlineStr">
        <is>
          <t>OWN</t>
        </is>
      </c>
      <c r="M120" s="96" t="inlineStr">
        <is>
          <t>VFL</t>
        </is>
      </c>
      <c r="N120" s="96" t="inlineStr">
        <is>
          <t>BKK01</t>
        </is>
      </c>
      <c r="O120" s="96" t="inlineStr">
        <is>
          <t>BKK</t>
        </is>
      </c>
      <c r="P120" s="96" t="inlineStr">
        <is>
          <t>TH</t>
        </is>
      </c>
      <c r="Q120" s="96" t="inlineStr">
        <is>
          <t>HASLS22260902184</t>
        </is>
      </c>
      <c r="R120" s="96" t="inlineStr">
        <is>
          <t>Y</t>
        </is>
      </c>
      <c r="S120" s="96" t="inlineStr">
        <is>
          <t>N</t>
        </is>
      </c>
      <c r="T120" s="96" t="inlineStr">
        <is>
          <t>KHS</t>
        </is>
      </c>
      <c r="U120" s="97" t="n"/>
      <c r="V120" s="96" t="inlineStr">
        <is>
          <t>C0125002</t>
        </is>
      </c>
      <c r="W120" s="96" t="inlineStr">
        <is>
          <t>BIRLA CARBON (THAILAND) PUBLIC</t>
        </is>
      </c>
      <c r="X120" s="96" t="inlineStr">
        <is>
          <t>VFD</t>
        </is>
      </c>
      <c r="Y120" s="96" t="inlineStr">
        <is>
          <t>NIPPON GIANT TIRE CO.,LTD.</t>
        </is>
      </c>
      <c r="Z120" s="96" t="inlineStr">
        <is>
          <t>NIPPON GIANT TIRE CO.,LTD.</t>
        </is>
      </c>
      <c r="AA120" s="97" t="n">
        <v>11484</v>
      </c>
      <c r="AB120" s="96" t="inlineStr">
        <is>
          <t>BKK01</t>
        </is>
      </c>
      <c r="AC120" s="96" t="inlineStr">
        <is>
          <t>UKB03</t>
        </is>
      </c>
    </row>
    <row r="121" ht="12" customHeight="1">
      <c r="A121" s="96" t="inlineStr">
        <is>
          <t>HALU2517816</t>
        </is>
      </c>
      <c r="B121" s="161" t="inlineStr">
        <is>
          <t>2026-10-16</t>
        </is>
      </c>
      <c r="C121" s="96" t="inlineStr">
        <is>
          <t>SWIC</t>
        </is>
      </c>
      <c r="D121" s="96" t="inlineStr">
        <is>
          <t>2611N</t>
        </is>
      </c>
      <c r="E121" s="96" t="inlineStr">
        <is>
          <t>22GP</t>
        </is>
      </c>
      <c r="F121" s="96" t="inlineStr">
        <is>
          <t>SD</t>
        </is>
      </c>
      <c r="G121" s="96" t="inlineStr">
        <is>
          <t>THBKK</t>
        </is>
      </c>
      <c r="H121" s="96" t="inlineStr">
        <is>
          <t>THBKK</t>
        </is>
      </c>
      <c r="I121" s="96" t="inlineStr">
        <is>
          <t>VNSGN</t>
        </is>
      </c>
      <c r="J121" s="96" t="inlineStr">
        <is>
          <t>VNSGN</t>
        </is>
      </c>
      <c r="K121" s="96" t="inlineStr">
        <is>
          <t>F</t>
        </is>
      </c>
      <c r="L121" s="96" t="inlineStr">
        <is>
          <t>OWN</t>
        </is>
      </c>
      <c r="M121" s="96" t="inlineStr">
        <is>
          <t>VFL</t>
        </is>
      </c>
      <c r="N121" s="96" t="inlineStr">
        <is>
          <t>BKK01</t>
        </is>
      </c>
      <c r="O121" s="96" t="inlineStr">
        <is>
          <t>BKK</t>
        </is>
      </c>
      <c r="P121" s="96" t="inlineStr">
        <is>
          <t>TH</t>
        </is>
      </c>
      <c r="Q121" s="96" t="inlineStr">
        <is>
          <t>HASLS22260901669</t>
        </is>
      </c>
      <c r="R121" s="96" t="inlineStr">
        <is>
          <t>N</t>
        </is>
      </c>
      <c r="S121" s="96" t="inlineStr">
        <is>
          <t>N</t>
        </is>
      </c>
      <c r="T121" s="96" t="inlineStr">
        <is>
          <t>KHS</t>
        </is>
      </c>
      <c r="U121" s="97" t="n"/>
      <c r="V121" s="96" t="inlineStr">
        <is>
          <t>C0125002</t>
        </is>
      </c>
      <c r="W121" s="96" t="inlineStr">
        <is>
          <t>THANAKORN VEGETABLE OIL PRODUCTS</t>
        </is>
      </c>
      <c r="X121" s="96" t="inlineStr">
        <is>
          <t>VFD</t>
        </is>
      </c>
      <c r="Y121" s="96" t="inlineStr">
        <is>
          <t>MEKONG COMMODITIES JSC</t>
        </is>
      </c>
      <c r="Z121" s="96" t="inlineStr">
        <is>
          <t>AUSTRALASIAN COMMODITIES PTY LTD.</t>
        </is>
      </c>
      <c r="AA121" s="97" t="n">
        <v>21120</v>
      </c>
      <c r="AB121" s="96" t="inlineStr">
        <is>
          <t>BKK01</t>
        </is>
      </c>
      <c r="AC121" s="96" t="inlineStr">
        <is>
          <t>SGN03</t>
        </is>
      </c>
    </row>
    <row r="122" ht="12" customHeight="1">
      <c r="A122" s="96" t="inlineStr">
        <is>
          <t>HALU2524712</t>
        </is>
      </c>
      <c r="B122" s="161" t="inlineStr">
        <is>
          <t>2026-10-16</t>
        </is>
      </c>
      <c r="C122" s="96" t="inlineStr">
        <is>
          <t>SWIC</t>
        </is>
      </c>
      <c r="D122" s="96" t="inlineStr">
        <is>
          <t>2611N</t>
        </is>
      </c>
      <c r="E122" s="96" t="inlineStr">
        <is>
          <t>22GP</t>
        </is>
      </c>
      <c r="F122" s="96" t="inlineStr">
        <is>
          <t>SD</t>
        </is>
      </c>
      <c r="G122" s="96" t="inlineStr">
        <is>
          <t>THBKK</t>
        </is>
      </c>
      <c r="H122" s="96" t="inlineStr">
        <is>
          <t>THBKK</t>
        </is>
      </c>
      <c r="I122" s="96" t="inlineStr">
        <is>
          <t>KRPUS</t>
        </is>
      </c>
      <c r="J122" s="96" t="inlineStr">
        <is>
          <t>JPUKB</t>
        </is>
      </c>
      <c r="K122" s="96" t="inlineStr">
        <is>
          <t>F</t>
        </is>
      </c>
      <c r="L122" s="96" t="inlineStr">
        <is>
          <t>OWN</t>
        </is>
      </c>
      <c r="M122" s="96" t="inlineStr">
        <is>
          <t>VFL</t>
        </is>
      </c>
      <c r="N122" s="96" t="inlineStr">
        <is>
          <t>BKK01</t>
        </is>
      </c>
      <c r="O122" s="96" t="inlineStr">
        <is>
          <t>BKK</t>
        </is>
      </c>
      <c r="P122" s="96" t="inlineStr">
        <is>
          <t>TH</t>
        </is>
      </c>
      <c r="Q122" s="96" t="inlineStr">
        <is>
          <t>HASLS22260902094</t>
        </is>
      </c>
      <c r="R122" s="96" t="inlineStr">
        <is>
          <t>Y</t>
        </is>
      </c>
      <c r="S122" s="96" t="inlineStr">
        <is>
          <t>N</t>
        </is>
      </c>
      <c r="T122" s="96" t="inlineStr">
        <is>
          <t>KHS</t>
        </is>
      </c>
      <c r="U122" s="97" t="n"/>
      <c r="V122" s="96" t="inlineStr">
        <is>
          <t>C0125002</t>
        </is>
      </c>
      <c r="W122" s="96" t="inlineStr">
        <is>
          <t>BIRLA CARBON (THAILAND) PUBLIC</t>
        </is>
      </c>
      <c r="X122" s="96" t="inlineStr">
        <is>
          <t>VFD</t>
        </is>
      </c>
      <c r="Y122" s="96" t="inlineStr">
        <is>
          <t>NIPPON GIANT TIRE CO.,LTD.</t>
        </is>
      </c>
      <c r="Z122" s="96" t="inlineStr">
        <is>
          <t>NIPPON GIANT TIRE CO.,LTD.</t>
        </is>
      </c>
      <c r="AA122" s="97" t="n">
        <v>11284</v>
      </c>
      <c r="AB122" s="96" t="inlineStr">
        <is>
          <t>BKK01</t>
        </is>
      </c>
      <c r="AC122" s="96" t="inlineStr">
        <is>
          <t>UKB03</t>
        </is>
      </c>
    </row>
    <row r="123" ht="12" customHeight="1">
      <c r="A123" s="96" t="inlineStr">
        <is>
          <t>HALU2557038</t>
        </is>
      </c>
      <c r="B123" s="161" t="inlineStr">
        <is>
          <t>2026-10-16</t>
        </is>
      </c>
      <c r="C123" s="96" t="inlineStr">
        <is>
          <t>SWIC</t>
        </is>
      </c>
      <c r="D123" s="96" t="inlineStr">
        <is>
          <t>2611N</t>
        </is>
      </c>
      <c r="E123" s="96" t="inlineStr">
        <is>
          <t>22GP</t>
        </is>
      </c>
      <c r="F123" s="96" t="inlineStr">
        <is>
          <t>SD</t>
        </is>
      </c>
      <c r="G123" s="96" t="inlineStr">
        <is>
          <t>THBKK</t>
        </is>
      </c>
      <c r="H123" s="96" t="inlineStr">
        <is>
          <t>THBKK</t>
        </is>
      </c>
      <c r="I123" s="96" t="inlineStr">
        <is>
          <t>KRPUS</t>
        </is>
      </c>
      <c r="J123" s="96" t="inlineStr">
        <is>
          <t>JPUKB</t>
        </is>
      </c>
      <c r="K123" s="96" t="inlineStr">
        <is>
          <t>F</t>
        </is>
      </c>
      <c r="L123" s="96" t="inlineStr">
        <is>
          <t>OWN</t>
        </is>
      </c>
      <c r="M123" s="96" t="inlineStr">
        <is>
          <t>VFL</t>
        </is>
      </c>
      <c r="N123" s="96" t="inlineStr">
        <is>
          <t>BKK01</t>
        </is>
      </c>
      <c r="O123" s="96" t="inlineStr">
        <is>
          <t>BKK</t>
        </is>
      </c>
      <c r="P123" s="96" t="inlineStr">
        <is>
          <t>TH</t>
        </is>
      </c>
      <c r="Q123" s="96" t="inlineStr">
        <is>
          <t>HASLS22260902094</t>
        </is>
      </c>
      <c r="R123" s="96" t="inlineStr">
        <is>
          <t>Y</t>
        </is>
      </c>
      <c r="S123" s="96" t="inlineStr">
        <is>
          <t>N</t>
        </is>
      </c>
      <c r="T123" s="96" t="inlineStr">
        <is>
          <t>KHS</t>
        </is>
      </c>
      <c r="U123" s="97" t="n"/>
      <c r="V123" s="96" t="inlineStr">
        <is>
          <t>C0125002</t>
        </is>
      </c>
      <c r="W123" s="96" t="inlineStr">
        <is>
          <t>BIRLA CARBON (THAILAND) PUBLIC</t>
        </is>
      </c>
      <c r="X123" s="96" t="inlineStr">
        <is>
          <t>VFD</t>
        </is>
      </c>
      <c r="Y123" s="96" t="inlineStr">
        <is>
          <t>NIPPON GIANT TIRE CO.,LTD.</t>
        </is>
      </c>
      <c r="Z123" s="96" t="inlineStr">
        <is>
          <t>NIPPON GIANT TIRE CO.,LTD.</t>
        </is>
      </c>
      <c r="AA123" s="97" t="n">
        <v>11864</v>
      </c>
      <c r="AB123" s="96" t="inlineStr">
        <is>
          <t>BKK01</t>
        </is>
      </c>
      <c r="AC123" s="96" t="inlineStr">
        <is>
          <t>UKB03</t>
        </is>
      </c>
    </row>
    <row r="124" ht="12" customHeight="1">
      <c r="A124" s="96" t="inlineStr">
        <is>
          <t>HALU2552458</t>
        </is>
      </c>
      <c r="B124" s="161" t="inlineStr">
        <is>
          <t>2026-10-16</t>
        </is>
      </c>
      <c r="C124" s="96" t="inlineStr">
        <is>
          <t>SWIC</t>
        </is>
      </c>
      <c r="D124" s="96" t="inlineStr">
        <is>
          <t>2611N</t>
        </is>
      </c>
      <c r="E124" s="96" t="inlineStr">
        <is>
          <t>22GP</t>
        </is>
      </c>
      <c r="F124" s="96" t="inlineStr">
        <is>
          <t>SD</t>
        </is>
      </c>
      <c r="G124" s="96" t="inlineStr">
        <is>
          <t>THBKK</t>
        </is>
      </c>
      <c r="H124" s="96" t="inlineStr">
        <is>
          <t>THBKK</t>
        </is>
      </c>
      <c r="I124" s="96" t="inlineStr">
        <is>
          <t>KRPUS</t>
        </is>
      </c>
      <c r="J124" s="96" t="inlineStr">
        <is>
          <t>JPKIJ</t>
        </is>
      </c>
      <c r="K124" s="96" t="inlineStr">
        <is>
          <t>F</t>
        </is>
      </c>
      <c r="L124" s="96" t="inlineStr">
        <is>
          <t>OWN</t>
        </is>
      </c>
      <c r="M124" s="96" t="inlineStr">
        <is>
          <t>VFL</t>
        </is>
      </c>
      <c r="N124" s="96" t="inlineStr">
        <is>
          <t>BKK01</t>
        </is>
      </c>
      <c r="O124" s="96" t="inlineStr">
        <is>
          <t>BKK</t>
        </is>
      </c>
      <c r="P124" s="96" t="inlineStr">
        <is>
          <t>TH</t>
        </is>
      </c>
      <c r="Q124" s="96" t="inlineStr">
        <is>
          <t>HASLS22260901896</t>
        </is>
      </c>
      <c r="R124" s="96" t="inlineStr">
        <is>
          <t>Y</t>
        </is>
      </c>
      <c r="S124" s="96" t="inlineStr">
        <is>
          <t>N</t>
        </is>
      </c>
      <c r="T124" s="96" t="inlineStr">
        <is>
          <t>KHS</t>
        </is>
      </c>
      <c r="U124" s="97" t="n"/>
      <c r="V124" s="96" t="inlineStr">
        <is>
          <t>C0125002</t>
        </is>
      </c>
      <c r="W124" s="96" t="inlineStr">
        <is>
          <t>GFM CO., LTD.</t>
        </is>
      </c>
      <c r="X124" s="96" t="inlineStr">
        <is>
          <t>VFD</t>
        </is>
      </c>
      <c r="Y124" s="96" t="inlineStr">
        <is>
          <t>GFM JAPAN CO., LTD.</t>
        </is>
      </c>
      <c r="Z124" s="96" t="inlineStr">
        <is>
          <t>GFM JAPAN CO., LTD.</t>
        </is>
      </c>
      <c r="AA124" s="97" t="n">
        <v>17176</v>
      </c>
      <c r="AB124" s="96" t="inlineStr">
        <is>
          <t>BKK01</t>
        </is>
      </c>
      <c r="AC124" s="96" t="inlineStr">
        <is>
          <t>KIJ01</t>
        </is>
      </c>
    </row>
    <row r="125" ht="12" customHeight="1">
      <c r="A125" s="96" t="inlineStr">
        <is>
          <t>HALU2564248</t>
        </is>
      </c>
      <c r="B125" s="161" t="inlineStr">
        <is>
          <t>2026-10-16</t>
        </is>
      </c>
      <c r="C125" s="96" t="inlineStr">
        <is>
          <t>SWIC</t>
        </is>
      </c>
      <c r="D125" s="96" t="inlineStr">
        <is>
          <t>2611N</t>
        </is>
      </c>
      <c r="E125" s="96" t="inlineStr">
        <is>
          <t>22GP</t>
        </is>
      </c>
      <c r="F125" s="96" t="inlineStr">
        <is>
          <t>SD</t>
        </is>
      </c>
      <c r="G125" s="96" t="inlineStr">
        <is>
          <t>THBKK</t>
        </is>
      </c>
      <c r="H125" s="96" t="inlineStr">
        <is>
          <t>THBKK</t>
        </is>
      </c>
      <c r="I125" s="96" t="inlineStr">
        <is>
          <t>KRPUS</t>
        </is>
      </c>
      <c r="J125" s="96" t="inlineStr">
        <is>
          <t>JPUKB</t>
        </is>
      </c>
      <c r="K125" s="96" t="inlineStr">
        <is>
          <t>F</t>
        </is>
      </c>
      <c r="L125" s="96" t="inlineStr">
        <is>
          <t>OWN</t>
        </is>
      </c>
      <c r="M125" s="96" t="inlineStr">
        <is>
          <t>VFL</t>
        </is>
      </c>
      <c r="N125" s="96" t="inlineStr">
        <is>
          <t>BKK01</t>
        </is>
      </c>
      <c r="O125" s="96" t="inlineStr">
        <is>
          <t>BKK</t>
        </is>
      </c>
      <c r="P125" s="96" t="inlineStr">
        <is>
          <t>TH</t>
        </is>
      </c>
      <c r="Q125" s="96" t="inlineStr">
        <is>
          <t>HASLS22260902094</t>
        </is>
      </c>
      <c r="R125" s="96" t="inlineStr">
        <is>
          <t>Y</t>
        </is>
      </c>
      <c r="S125" s="96" t="inlineStr">
        <is>
          <t>N</t>
        </is>
      </c>
      <c r="T125" s="96" t="inlineStr">
        <is>
          <t>KHS</t>
        </is>
      </c>
      <c r="U125" s="97" t="n"/>
      <c r="V125" s="96" t="inlineStr">
        <is>
          <t>C0325006</t>
        </is>
      </c>
      <c r="W125" s="96" t="inlineStr">
        <is>
          <t>BIRLA CARBON (THAILAND) PUBLIC</t>
        </is>
      </c>
      <c r="X125" s="96" t="inlineStr">
        <is>
          <t>VFD</t>
        </is>
      </c>
      <c r="Y125" s="96" t="inlineStr">
        <is>
          <t>NIPPON GIANT TIRE CO.,LTD.</t>
        </is>
      </c>
      <c r="Z125" s="96" t="inlineStr">
        <is>
          <t>NIPPON GIANT TIRE CO.,LTD.</t>
        </is>
      </c>
      <c r="AA125" s="97" t="n">
        <v>9704</v>
      </c>
      <c r="AB125" s="96" t="inlineStr">
        <is>
          <t>BKK01</t>
        </is>
      </c>
      <c r="AC125" s="96" t="inlineStr">
        <is>
          <t>UKB03</t>
        </is>
      </c>
    </row>
    <row r="126" ht="12" customHeight="1">
      <c r="A126" s="96" t="inlineStr">
        <is>
          <t>HALU2571252</t>
        </is>
      </c>
      <c r="B126" s="161" t="inlineStr">
        <is>
          <t>2026-10-16</t>
        </is>
      </c>
      <c r="C126" s="96" t="inlineStr">
        <is>
          <t>SWIC</t>
        </is>
      </c>
      <c r="D126" s="96" t="inlineStr">
        <is>
          <t>2611N</t>
        </is>
      </c>
      <c r="E126" s="96" t="inlineStr">
        <is>
          <t>22GP</t>
        </is>
      </c>
      <c r="F126" s="96" t="inlineStr">
        <is>
          <t>SD</t>
        </is>
      </c>
      <c r="G126" s="96" t="inlineStr">
        <is>
          <t>THBKK</t>
        </is>
      </c>
      <c r="H126" s="96" t="inlineStr">
        <is>
          <t>THBKK</t>
        </is>
      </c>
      <c r="I126" s="96" t="inlineStr">
        <is>
          <t>VNSGN</t>
        </is>
      </c>
      <c r="J126" s="96" t="inlineStr">
        <is>
          <t>VNSGN</t>
        </is>
      </c>
      <c r="K126" s="96" t="inlineStr">
        <is>
          <t>F</t>
        </is>
      </c>
      <c r="L126" s="96" t="inlineStr">
        <is>
          <t>OWN</t>
        </is>
      </c>
      <c r="M126" s="96" t="inlineStr">
        <is>
          <t>VFL</t>
        </is>
      </c>
      <c r="N126" s="96" t="inlineStr">
        <is>
          <t>BKK01</t>
        </is>
      </c>
      <c r="O126" s="96" t="inlineStr">
        <is>
          <t>BKK</t>
        </is>
      </c>
      <c r="P126" s="96" t="inlineStr">
        <is>
          <t>TH</t>
        </is>
      </c>
      <c r="Q126" s="96" t="inlineStr">
        <is>
          <t>HASLS22260902658</t>
        </is>
      </c>
      <c r="R126" s="96" t="inlineStr">
        <is>
          <t>N</t>
        </is>
      </c>
      <c r="S126" s="96" t="inlineStr">
        <is>
          <t>N</t>
        </is>
      </c>
      <c r="T126" s="96" t="inlineStr">
        <is>
          <t>KHS</t>
        </is>
      </c>
      <c r="U126" s="97" t="n"/>
      <c r="V126" s="96" t="inlineStr">
        <is>
          <t>C0325006</t>
        </is>
      </c>
      <c r="W126" s="96" t="inlineStr">
        <is>
          <t>LAM SOON (THAILAND) PUBLIC COMPANY</t>
        </is>
      </c>
      <c r="X126" s="96" t="inlineStr">
        <is>
          <t>VFD</t>
        </is>
      </c>
      <c r="Y126" s="96" t="inlineStr">
        <is>
          <t>UNI-PRESIDENT VIETNAM CO.,LTD</t>
        </is>
      </c>
      <c r="Z126" s="96" t="inlineStr">
        <is>
          <t>UNI-PRESIDENT VIETNAM CO.,LTD</t>
        </is>
      </c>
      <c r="AA126" s="97" t="n">
        <v>20358</v>
      </c>
      <c r="AB126" s="96" t="inlineStr">
        <is>
          <t>BKK01</t>
        </is>
      </c>
      <c r="AC126" s="96" t="inlineStr">
        <is>
          <t>SGN03</t>
        </is>
      </c>
    </row>
    <row r="127" ht="12" customHeight="1">
      <c r="A127" s="96" t="inlineStr">
        <is>
          <t>HALU2574518</t>
        </is>
      </c>
      <c r="B127" s="161" t="inlineStr">
        <is>
          <t>2026-10-16</t>
        </is>
      </c>
      <c r="C127" s="96" t="inlineStr">
        <is>
          <t>SWIC</t>
        </is>
      </c>
      <c r="D127" s="96" t="inlineStr">
        <is>
          <t>2611N</t>
        </is>
      </c>
      <c r="E127" s="96" t="inlineStr">
        <is>
          <t>22GP</t>
        </is>
      </c>
      <c r="F127" s="96" t="inlineStr">
        <is>
          <t>SD</t>
        </is>
      </c>
      <c r="G127" s="96" t="inlineStr">
        <is>
          <t>THBKK</t>
        </is>
      </c>
      <c r="H127" s="96" t="inlineStr">
        <is>
          <t>THBKK</t>
        </is>
      </c>
      <c r="I127" s="96" t="inlineStr">
        <is>
          <t>VNSGN</t>
        </is>
      </c>
      <c r="J127" s="96" t="inlineStr">
        <is>
          <t>VNSGN</t>
        </is>
      </c>
      <c r="K127" s="96" t="inlineStr">
        <is>
          <t>F</t>
        </is>
      </c>
      <c r="L127" s="96" t="inlineStr">
        <is>
          <t>OWN</t>
        </is>
      </c>
      <c r="M127" s="96" t="inlineStr">
        <is>
          <t>VFL</t>
        </is>
      </c>
      <c r="N127" s="96" t="inlineStr">
        <is>
          <t>BKK01</t>
        </is>
      </c>
      <c r="O127" s="96" t="inlineStr">
        <is>
          <t>BKK</t>
        </is>
      </c>
      <c r="P127" s="96" t="inlineStr">
        <is>
          <t>TH</t>
        </is>
      </c>
      <c r="Q127" s="96" t="inlineStr">
        <is>
          <t>HASLS22260901655</t>
        </is>
      </c>
      <c r="R127" s="96" t="inlineStr">
        <is>
          <t>N</t>
        </is>
      </c>
      <c r="S127" s="96" t="inlineStr">
        <is>
          <t>N</t>
        </is>
      </c>
      <c r="T127" s="96" t="inlineStr">
        <is>
          <t>KHS</t>
        </is>
      </c>
      <c r="U127" s="97" t="n"/>
      <c r="V127" s="96" t="inlineStr">
        <is>
          <t>C0225005</t>
        </is>
      </c>
      <c r="W127" s="96" t="inlineStr">
        <is>
          <t>EXPEDITORS THAILAND LTD.</t>
        </is>
      </c>
      <c r="X127" s="96" t="inlineStr">
        <is>
          <t>VFD</t>
        </is>
      </c>
      <c r="Y127" s="96" t="inlineStr">
        <is>
          <t>EXPEDITORS VIETNAM COMPANY LIMITED</t>
        </is>
      </c>
      <c r="Z127" s="96" t="inlineStr">
        <is>
          <t>EXPEDITORS VIETNAM COMPANY LIMITED</t>
        </is>
      </c>
      <c r="AA127" s="97" t="n">
        <v>25150</v>
      </c>
      <c r="AB127" s="96" t="inlineStr">
        <is>
          <t>BKK01</t>
        </is>
      </c>
      <c r="AC127" s="96" t="inlineStr">
        <is>
          <t>SGN03</t>
        </is>
      </c>
    </row>
    <row r="128" ht="12" customHeight="1">
      <c r="A128" s="96" t="inlineStr">
        <is>
          <t>HLHU8557935</t>
        </is>
      </c>
      <c r="B128" s="161" t="inlineStr">
        <is>
          <t>2026-10-16</t>
        </is>
      </c>
      <c r="C128" s="96" t="inlineStr">
        <is>
          <t>SWIC</t>
        </is>
      </c>
      <c r="D128" s="96" t="inlineStr">
        <is>
          <t>2611N</t>
        </is>
      </c>
      <c r="E128" s="96" t="inlineStr">
        <is>
          <t>45GP</t>
        </is>
      </c>
      <c r="F128" s="96" t="inlineStr">
        <is>
          <t>SD</t>
        </is>
      </c>
      <c r="G128" s="96" t="inlineStr">
        <is>
          <t>THBKK</t>
        </is>
      </c>
      <c r="H128" s="96" t="inlineStr">
        <is>
          <t>THBKK</t>
        </is>
      </c>
      <c r="I128" s="96" t="inlineStr">
        <is>
          <t>VNSGN</t>
        </is>
      </c>
      <c r="J128" s="96" t="inlineStr">
        <is>
          <t>VNSGN</t>
        </is>
      </c>
      <c r="K128" s="96" t="inlineStr">
        <is>
          <t>F</t>
        </is>
      </c>
      <c r="L128" s="96" t="inlineStr">
        <is>
          <t>OWN</t>
        </is>
      </c>
      <c r="M128" s="96" t="inlineStr">
        <is>
          <t>VFL</t>
        </is>
      </c>
      <c r="N128" s="96" t="inlineStr">
        <is>
          <t>BKK01</t>
        </is>
      </c>
      <c r="O128" s="96" t="inlineStr">
        <is>
          <t>BKK</t>
        </is>
      </c>
      <c r="P128" s="96" t="inlineStr">
        <is>
          <t>TH</t>
        </is>
      </c>
      <c r="Q128" s="96" t="inlineStr">
        <is>
          <t>HASLS22260902182</t>
        </is>
      </c>
      <c r="R128" s="96" t="inlineStr">
        <is>
          <t>N</t>
        </is>
      </c>
      <c r="S128" s="96" t="inlineStr">
        <is>
          <t>N</t>
        </is>
      </c>
      <c r="T128" s="96" t="inlineStr">
        <is>
          <t>KHS</t>
        </is>
      </c>
      <c r="U128" s="97" t="n"/>
      <c r="V128" s="96" t="inlineStr">
        <is>
          <t>C0325007</t>
        </is>
      </c>
      <c r="W128" s="96" t="inlineStr">
        <is>
          <t>BIRLA CARBON (THAILAND) PUBLIC</t>
        </is>
      </c>
      <c r="X128" s="96" t="inlineStr">
        <is>
          <t>VFD</t>
        </is>
      </c>
      <c r="Y128" s="96" t="inlineStr">
        <is>
          <t>CART TIRE CO., LTD</t>
        </is>
      </c>
      <c r="Z128" s="96" t="inlineStr">
        <is>
          <t>NTL GROUP CO.,LTD</t>
        </is>
      </c>
      <c r="AA128" s="97" t="n">
        <v>22308</v>
      </c>
      <c r="AB128" s="96" t="inlineStr">
        <is>
          <t>BKK01</t>
        </is>
      </c>
      <c r="AC128" s="96" t="inlineStr">
        <is>
          <t>SGN03</t>
        </is>
      </c>
    </row>
    <row r="129" ht="12" customHeight="1">
      <c r="A129" s="96" t="inlineStr">
        <is>
          <t>HLHU8560055</t>
        </is>
      </c>
      <c r="B129" s="161" t="inlineStr">
        <is>
          <t>2026-10-16</t>
        </is>
      </c>
      <c r="C129" s="96" t="inlineStr">
        <is>
          <t>SWIC</t>
        </is>
      </c>
      <c r="D129" s="96" t="inlineStr">
        <is>
          <t>2611N</t>
        </is>
      </c>
      <c r="E129" s="96" t="inlineStr">
        <is>
          <t>45GP</t>
        </is>
      </c>
      <c r="F129" s="96" t="inlineStr">
        <is>
          <t>SD</t>
        </is>
      </c>
      <c r="G129" s="96" t="inlineStr">
        <is>
          <t>THBKK</t>
        </is>
      </c>
      <c r="H129" s="96" t="inlineStr">
        <is>
          <t>THBKK</t>
        </is>
      </c>
      <c r="I129" s="96" t="inlineStr">
        <is>
          <t>VNSGN</t>
        </is>
      </c>
      <c r="J129" s="96" t="inlineStr">
        <is>
          <t>VNSGN</t>
        </is>
      </c>
      <c r="K129" s="96" t="inlineStr">
        <is>
          <t>F</t>
        </is>
      </c>
      <c r="L129" s="96" t="inlineStr">
        <is>
          <t>OWN</t>
        </is>
      </c>
      <c r="M129" s="96" t="inlineStr">
        <is>
          <t>VFL</t>
        </is>
      </c>
      <c r="N129" s="96" t="inlineStr">
        <is>
          <t>BKK01</t>
        </is>
      </c>
      <c r="O129" s="96" t="inlineStr">
        <is>
          <t>BKK</t>
        </is>
      </c>
      <c r="P129" s="96" t="inlineStr">
        <is>
          <t>TH</t>
        </is>
      </c>
      <c r="Q129" s="96" t="inlineStr">
        <is>
          <t>HASLS22260901687</t>
        </is>
      </c>
      <c r="R129" s="96" t="inlineStr">
        <is>
          <t>N</t>
        </is>
      </c>
      <c r="S129" s="96" t="inlineStr">
        <is>
          <t>N</t>
        </is>
      </c>
      <c r="T129" s="96" t="inlineStr">
        <is>
          <t>KHS</t>
        </is>
      </c>
      <c r="U129" s="97" t="n"/>
      <c r="V129" s="96" t="inlineStr">
        <is>
          <t>C0325007</t>
        </is>
      </c>
      <c r="W129" s="96" t="inlineStr">
        <is>
          <t>BIRLA CARBON (THAILAND) PUBLIC</t>
        </is>
      </c>
      <c r="X129" s="96" t="inlineStr">
        <is>
          <t>VFD</t>
        </is>
      </c>
      <c r="Y129" s="96" t="inlineStr">
        <is>
          <t>KUMHO TIRE (VIETNAM) CO.,LTD.</t>
        </is>
      </c>
      <c r="Z129" s="96" t="inlineStr">
        <is>
          <t>KUMHO TIRE (VIETNAM) CO.,LTD.</t>
        </is>
      </c>
      <c r="AA129" s="97" t="n">
        <v>20280</v>
      </c>
      <c r="AB129" s="96" t="inlineStr">
        <is>
          <t>BKK01</t>
        </is>
      </c>
      <c r="AC129" s="96" t="inlineStr">
        <is>
          <t>SGN03</t>
        </is>
      </c>
    </row>
    <row r="130" ht="12" customHeight="1">
      <c r="A130" s="96" t="inlineStr">
        <is>
          <t>HLHU6419351</t>
        </is>
      </c>
      <c r="B130" s="161" t="inlineStr">
        <is>
          <t>2026-10-16</t>
        </is>
      </c>
      <c r="C130" s="96" t="inlineStr">
        <is>
          <t>SWIC</t>
        </is>
      </c>
      <c r="D130" s="96" t="inlineStr">
        <is>
          <t>2611N</t>
        </is>
      </c>
      <c r="E130" s="96" t="inlineStr">
        <is>
          <t>45GP</t>
        </is>
      </c>
      <c r="F130" s="96" t="inlineStr">
        <is>
          <t>SD</t>
        </is>
      </c>
      <c r="G130" s="96" t="inlineStr">
        <is>
          <t>THBKK</t>
        </is>
      </c>
      <c r="H130" s="96" t="inlineStr">
        <is>
          <t>THBKK</t>
        </is>
      </c>
      <c r="I130" s="96" t="inlineStr">
        <is>
          <t>KRPUS</t>
        </is>
      </c>
      <c r="J130" s="96" t="inlineStr">
        <is>
          <t>KRPUS</t>
        </is>
      </c>
      <c r="K130" s="96" t="inlineStr">
        <is>
          <t>F</t>
        </is>
      </c>
      <c r="L130" s="96" t="inlineStr">
        <is>
          <t>OWN</t>
        </is>
      </c>
      <c r="M130" s="96" t="inlineStr">
        <is>
          <t>VFL</t>
        </is>
      </c>
      <c r="N130" s="96" t="inlineStr">
        <is>
          <t>BKK01</t>
        </is>
      </c>
      <c r="O130" s="96" t="inlineStr">
        <is>
          <t>BKK</t>
        </is>
      </c>
      <c r="P130" s="96" t="inlineStr">
        <is>
          <t>TH</t>
        </is>
      </c>
      <c r="Q130" s="96" t="inlineStr">
        <is>
          <t>HASLS22260900218</t>
        </is>
      </c>
      <c r="R130" s="96" t="inlineStr">
        <is>
          <t>N</t>
        </is>
      </c>
      <c r="S130" s="96" t="inlineStr">
        <is>
          <t>N</t>
        </is>
      </c>
      <c r="T130" s="96" t="inlineStr">
        <is>
          <t>KHS</t>
        </is>
      </c>
      <c r="U130" s="97" t="n"/>
      <c r="V130" s="96" t="inlineStr">
        <is>
          <t>C0724001</t>
        </is>
      </c>
      <c r="W130" s="96" t="inlineStr">
        <is>
          <t>THAI ASAHI CO.,LTD.</t>
        </is>
      </c>
      <c r="X130" s="96" t="inlineStr">
        <is>
          <t>VFD</t>
        </is>
      </c>
      <c r="Y130" s="96" t="inlineStr">
        <is>
          <t>WOO SUNG FEED CO., LTD.</t>
        </is>
      </c>
      <c r="Z130" s="96" t="inlineStr">
        <is>
          <t>WOO SUNG FEED CO., LTD.</t>
        </is>
      </c>
      <c r="AA130" s="97" t="n">
        <v>24332</v>
      </c>
      <c r="AB130" s="96" t="inlineStr">
        <is>
          <t>BKK01</t>
        </is>
      </c>
      <c r="AC130" s="96" t="inlineStr">
        <is>
          <t>PUS05</t>
        </is>
      </c>
    </row>
    <row r="131" ht="12" customHeight="1">
      <c r="A131" s="96" t="inlineStr">
        <is>
          <t>HALU2436083</t>
        </is>
      </c>
      <c r="B131" s="161" t="inlineStr">
        <is>
          <t>2026-10-16</t>
        </is>
      </c>
      <c r="C131" s="96" t="inlineStr">
        <is>
          <t>SWIC</t>
        </is>
      </c>
      <c r="D131" s="96" t="inlineStr">
        <is>
          <t>2611N</t>
        </is>
      </c>
      <c r="E131" s="96" t="inlineStr">
        <is>
          <t>22GP</t>
        </is>
      </c>
      <c r="F131" s="96" t="inlineStr">
        <is>
          <t>SD</t>
        </is>
      </c>
      <c r="G131" s="96" t="inlineStr">
        <is>
          <t>THBKK</t>
        </is>
      </c>
      <c r="H131" s="96" t="inlineStr">
        <is>
          <t>THBKK</t>
        </is>
      </c>
      <c r="I131" s="96" t="inlineStr">
        <is>
          <t>VNSGN</t>
        </is>
      </c>
      <c r="J131" s="96" t="inlineStr">
        <is>
          <t>VNSGN</t>
        </is>
      </c>
      <c r="K131" s="96" t="inlineStr">
        <is>
          <t>F</t>
        </is>
      </c>
      <c r="L131" s="96" t="inlineStr">
        <is>
          <t>OWN</t>
        </is>
      </c>
      <c r="M131" s="96" t="inlineStr">
        <is>
          <t>VFL</t>
        </is>
      </c>
      <c r="N131" s="96" t="inlineStr">
        <is>
          <t>BKK01</t>
        </is>
      </c>
      <c r="O131" s="96" t="inlineStr">
        <is>
          <t>BKK</t>
        </is>
      </c>
      <c r="P131" s="96" t="inlineStr">
        <is>
          <t>TH</t>
        </is>
      </c>
      <c r="Q131" s="96" t="inlineStr">
        <is>
          <t>HASLS22260901669</t>
        </is>
      </c>
      <c r="R131" s="96" t="inlineStr">
        <is>
          <t>N</t>
        </is>
      </c>
      <c r="S131" s="96" t="inlineStr">
        <is>
          <t>N</t>
        </is>
      </c>
      <c r="T131" s="96" t="inlineStr">
        <is>
          <t>KHS</t>
        </is>
      </c>
      <c r="U131" s="97" t="n"/>
      <c r="V131" s="96" t="inlineStr">
        <is>
          <t>C0124002</t>
        </is>
      </c>
      <c r="W131" s="96" t="inlineStr">
        <is>
          <t>THANAKORN VEGETABLE OIL PRODUCTS</t>
        </is>
      </c>
      <c r="X131" s="96" t="inlineStr">
        <is>
          <t>VFD</t>
        </is>
      </c>
      <c r="Y131" s="96" t="inlineStr">
        <is>
          <t>MEKONG COMMODITIES JSC</t>
        </is>
      </c>
      <c r="Z131" s="96" t="inlineStr">
        <is>
          <t>AUSTRALASIAN COMMODITIES PTY LTD.</t>
        </is>
      </c>
      <c r="AA131" s="97" t="n">
        <v>21110</v>
      </c>
      <c r="AB131" s="96" t="inlineStr">
        <is>
          <t>BKK01</t>
        </is>
      </c>
      <c r="AC131" s="96" t="inlineStr">
        <is>
          <t>SGN03</t>
        </is>
      </c>
    </row>
    <row r="132" ht="12" customHeight="1">
      <c r="A132" s="96" t="inlineStr">
        <is>
          <t>HALU2436709</t>
        </is>
      </c>
      <c r="B132" s="161" t="inlineStr">
        <is>
          <t>2026-10-16</t>
        </is>
      </c>
      <c r="C132" s="96" t="inlineStr">
        <is>
          <t>SWIC</t>
        </is>
      </c>
      <c r="D132" s="96" t="inlineStr">
        <is>
          <t>2611N</t>
        </is>
      </c>
      <c r="E132" s="96" t="inlineStr">
        <is>
          <t>22GP</t>
        </is>
      </c>
      <c r="F132" s="96" t="inlineStr">
        <is>
          <t>SD</t>
        </is>
      </c>
      <c r="G132" s="96" t="inlineStr">
        <is>
          <t>THBKK</t>
        </is>
      </c>
      <c r="H132" s="96" t="inlineStr">
        <is>
          <t>THBKK</t>
        </is>
      </c>
      <c r="I132" s="96" t="inlineStr">
        <is>
          <t>KRPUS</t>
        </is>
      </c>
      <c r="J132" s="96" t="inlineStr">
        <is>
          <t>KRPUS</t>
        </is>
      </c>
      <c r="K132" s="96" t="inlineStr">
        <is>
          <t>F</t>
        </is>
      </c>
      <c r="L132" s="96" t="inlineStr">
        <is>
          <t>OWN</t>
        </is>
      </c>
      <c r="M132" s="96" t="inlineStr">
        <is>
          <t>VFL</t>
        </is>
      </c>
      <c r="N132" s="96" t="inlineStr">
        <is>
          <t>BKK01</t>
        </is>
      </c>
      <c r="O132" s="96" t="inlineStr">
        <is>
          <t>BKK</t>
        </is>
      </c>
      <c r="P132" s="96" t="inlineStr">
        <is>
          <t>TH</t>
        </is>
      </c>
      <c r="Q132" s="96" t="inlineStr">
        <is>
          <t>HASLS22260900514</t>
        </is>
      </c>
      <c r="R132" s="96" t="inlineStr">
        <is>
          <t>N</t>
        </is>
      </c>
      <c r="S132" s="96" t="inlineStr">
        <is>
          <t>N</t>
        </is>
      </c>
      <c r="T132" s="96" t="inlineStr">
        <is>
          <t>KHS</t>
        </is>
      </c>
      <c r="U132" s="97" t="n"/>
      <c r="V132" s="96" t="inlineStr">
        <is>
          <t>C0124002</t>
        </is>
      </c>
      <c r="W132" s="96" t="inlineStr">
        <is>
          <t>BANGKOK STARCH INDUSTRIAL</t>
        </is>
      </c>
      <c r="X132" s="96" t="inlineStr">
        <is>
          <t>VFD</t>
        </is>
      </c>
      <c r="Y132" s="96" t="inlineStr">
        <is>
          <t>MATSUTANI KOREA LIMITED</t>
        </is>
      </c>
      <c r="Z132" s="96" t="inlineStr">
        <is>
          <t>MATSUTANI KOREA LIMITED</t>
        </is>
      </c>
      <c r="AA132" s="97" t="n">
        <v>9856</v>
      </c>
      <c r="AB132" s="96" t="inlineStr">
        <is>
          <t>BKK01</t>
        </is>
      </c>
      <c r="AC132" s="96" t="inlineStr">
        <is>
          <t>PUS05</t>
        </is>
      </c>
    </row>
    <row r="133" ht="12" customHeight="1">
      <c r="A133" s="96" t="inlineStr">
        <is>
          <t>HALU2472898</t>
        </is>
      </c>
      <c r="B133" s="161" t="inlineStr">
        <is>
          <t>2026-10-16</t>
        </is>
      </c>
      <c r="C133" s="96" t="inlineStr">
        <is>
          <t>SWIC</t>
        </is>
      </c>
      <c r="D133" s="96" t="inlineStr">
        <is>
          <t>2611N</t>
        </is>
      </c>
      <c r="E133" s="96" t="inlineStr">
        <is>
          <t>22GP</t>
        </is>
      </c>
      <c r="F133" s="96" t="inlineStr">
        <is>
          <t>SD</t>
        </is>
      </c>
      <c r="G133" s="96" t="inlineStr">
        <is>
          <t>THBKK</t>
        </is>
      </c>
      <c r="H133" s="96" t="inlineStr">
        <is>
          <t>THBKK</t>
        </is>
      </c>
      <c r="I133" s="96" t="inlineStr">
        <is>
          <t>VNSGN</t>
        </is>
      </c>
      <c r="J133" s="96" t="inlineStr">
        <is>
          <t>VNSGN</t>
        </is>
      </c>
      <c r="K133" s="96" t="inlineStr">
        <is>
          <t>F</t>
        </is>
      </c>
      <c r="L133" s="96" t="inlineStr">
        <is>
          <t>OWN</t>
        </is>
      </c>
      <c r="M133" s="96" t="inlineStr">
        <is>
          <t>VFL</t>
        </is>
      </c>
      <c r="N133" s="96" t="inlineStr">
        <is>
          <t>BKK01</t>
        </is>
      </c>
      <c r="O133" s="96" t="inlineStr">
        <is>
          <t>BKK</t>
        </is>
      </c>
      <c r="P133" s="96" t="inlineStr">
        <is>
          <t>TH</t>
        </is>
      </c>
      <c r="Q133" s="96" t="inlineStr">
        <is>
          <t>HASLS22260701285</t>
        </is>
      </c>
      <c r="R133" s="96" t="inlineStr">
        <is>
          <t>N</t>
        </is>
      </c>
      <c r="S133" s="96" t="inlineStr">
        <is>
          <t>N</t>
        </is>
      </c>
      <c r="T133" s="96" t="inlineStr">
        <is>
          <t>KHS</t>
        </is>
      </c>
      <c r="U133" s="97" t="n"/>
      <c r="V133" s="96" t="inlineStr">
        <is>
          <t>C0524002</t>
        </is>
      </c>
      <c r="W133" s="96" t="inlineStr">
        <is>
          <t>CNTRANS EXPRESS CO., LTD.</t>
        </is>
      </c>
      <c r="X133" s="96" t="inlineStr">
        <is>
          <t>VFD</t>
        </is>
      </c>
      <c r="Y133" s="96" t="inlineStr">
        <is>
          <t>0301939555</t>
        </is>
      </c>
      <c r="Z133" s="96" t="inlineStr">
        <is>
          <t>0301939555</t>
        </is>
      </c>
      <c r="AA133" s="97" t="n">
        <v>19152</v>
      </c>
      <c r="AB133" s="96" t="inlineStr">
        <is>
          <t>BKK01</t>
        </is>
      </c>
      <c r="AC133" s="96" t="inlineStr">
        <is>
          <t>SGN03</t>
        </is>
      </c>
    </row>
    <row r="134" ht="12" customHeight="1">
      <c r="A134" s="96" t="inlineStr">
        <is>
          <t>HALU2467211</t>
        </is>
      </c>
      <c r="B134" s="161" t="inlineStr">
        <is>
          <t>2026-10-16</t>
        </is>
      </c>
      <c r="C134" s="96" t="inlineStr">
        <is>
          <t>SWIC</t>
        </is>
      </c>
      <c r="D134" s="96" t="inlineStr">
        <is>
          <t>2611N</t>
        </is>
      </c>
      <c r="E134" s="96" t="inlineStr">
        <is>
          <t>22GP</t>
        </is>
      </c>
      <c r="F134" s="96" t="inlineStr">
        <is>
          <t>SD</t>
        </is>
      </c>
      <c r="G134" s="96" t="inlineStr">
        <is>
          <t>THBKK</t>
        </is>
      </c>
      <c r="H134" s="96" t="inlineStr">
        <is>
          <t>THBKK</t>
        </is>
      </c>
      <c r="I134" s="96" t="inlineStr">
        <is>
          <t>KRPUS</t>
        </is>
      </c>
      <c r="J134" s="96" t="inlineStr">
        <is>
          <t>JPKIJ</t>
        </is>
      </c>
      <c r="K134" s="96" t="inlineStr">
        <is>
          <t>F</t>
        </is>
      </c>
      <c r="L134" s="96" t="inlineStr">
        <is>
          <t>OWN</t>
        </is>
      </c>
      <c r="M134" s="96" t="inlineStr">
        <is>
          <t>VFL</t>
        </is>
      </c>
      <c r="N134" s="96" t="inlineStr">
        <is>
          <t>BKK01</t>
        </is>
      </c>
      <c r="O134" s="96" t="inlineStr">
        <is>
          <t>BKK</t>
        </is>
      </c>
      <c r="P134" s="96" t="inlineStr">
        <is>
          <t>TH</t>
        </is>
      </c>
      <c r="Q134" s="96" t="inlineStr">
        <is>
          <t>HASLS22260900557</t>
        </is>
      </c>
      <c r="R134" s="96" t="inlineStr">
        <is>
          <t>Y</t>
        </is>
      </c>
      <c r="S134" s="96" t="inlineStr">
        <is>
          <t>N</t>
        </is>
      </c>
      <c r="T134" s="96" t="inlineStr">
        <is>
          <t>KHS</t>
        </is>
      </c>
      <c r="U134" s="97" t="n"/>
      <c r="V134" s="96" t="inlineStr">
        <is>
          <t>C0424001</t>
        </is>
      </c>
      <c r="W134" s="96" t="inlineStr">
        <is>
          <t>GENERAL FOOD PRODUCTS CO., LTD.</t>
        </is>
      </c>
      <c r="X134" s="96" t="inlineStr">
        <is>
          <t>VFD</t>
        </is>
      </c>
      <c r="Y134" s="96" t="inlineStr">
        <is>
          <t>GFM JAPAN CO., LTD.</t>
        </is>
      </c>
      <c r="Z134" s="96" t="inlineStr">
        <is>
          <t>GFM JAPAN CO., LTD.</t>
        </is>
      </c>
      <c r="AA134" s="97" t="n">
        <v>17266</v>
      </c>
      <c r="AB134" s="96" t="inlineStr">
        <is>
          <t>BKK01</t>
        </is>
      </c>
      <c r="AC134" s="96" t="inlineStr">
        <is>
          <t>KIJ01</t>
        </is>
      </c>
    </row>
    <row r="135" ht="12" customHeight="1">
      <c r="A135" s="96" t="inlineStr">
        <is>
          <t>HLHU8449756</t>
        </is>
      </c>
      <c r="B135" s="161" t="inlineStr">
        <is>
          <t>2026-10-16</t>
        </is>
      </c>
      <c r="C135" s="96" t="inlineStr">
        <is>
          <t>SWIC</t>
        </is>
      </c>
      <c r="D135" s="96" t="inlineStr">
        <is>
          <t>2611N</t>
        </is>
      </c>
      <c r="E135" s="96" t="inlineStr">
        <is>
          <t>45GP</t>
        </is>
      </c>
      <c r="F135" s="96" t="inlineStr">
        <is>
          <t>SD</t>
        </is>
      </c>
      <c r="G135" s="96" t="inlineStr">
        <is>
          <t>THBKK</t>
        </is>
      </c>
      <c r="H135" s="96" t="inlineStr">
        <is>
          <t>THBKK</t>
        </is>
      </c>
      <c r="I135" s="96" t="inlineStr">
        <is>
          <t>VNSGN</t>
        </is>
      </c>
      <c r="J135" s="96" t="inlineStr">
        <is>
          <t>VNSGN</t>
        </is>
      </c>
      <c r="K135" s="96" t="inlineStr">
        <is>
          <t>F</t>
        </is>
      </c>
      <c r="L135" s="96" t="inlineStr">
        <is>
          <t>OWN</t>
        </is>
      </c>
      <c r="M135" s="96" t="inlineStr">
        <is>
          <t>VFL</t>
        </is>
      </c>
      <c r="N135" s="96" t="inlineStr">
        <is>
          <t>BKK01</t>
        </is>
      </c>
      <c r="O135" s="96" t="inlineStr">
        <is>
          <t>BKK</t>
        </is>
      </c>
      <c r="P135" s="96" t="inlineStr">
        <is>
          <t>TH</t>
        </is>
      </c>
      <c r="Q135" s="96" t="inlineStr">
        <is>
          <t>HASLS22260902196</t>
        </is>
      </c>
      <c r="R135" s="96" t="inlineStr">
        <is>
          <t>N</t>
        </is>
      </c>
      <c r="S135" s="96" t="inlineStr">
        <is>
          <t>N</t>
        </is>
      </c>
      <c r="T135" s="96" t="inlineStr">
        <is>
          <t>KHS</t>
        </is>
      </c>
      <c r="U135" s="97" t="n"/>
      <c r="V135" s="96" t="inlineStr">
        <is>
          <t>C5624002</t>
        </is>
      </c>
      <c r="W135" s="96" t="inlineStr">
        <is>
          <t>ASIAN GLOBAL HOLDING CO ., LTD.</t>
        </is>
      </c>
      <c r="X135" s="96" t="inlineStr">
        <is>
          <t>VFD</t>
        </is>
      </c>
      <c r="Y135" s="96" t="inlineStr">
        <is>
          <t>FOODTECH JSC</t>
        </is>
      </c>
      <c r="Z135" s="96" t="inlineStr">
        <is>
          <t>FOODTECH JSC</t>
        </is>
      </c>
      <c r="AA135" s="97" t="n">
        <v>6394</v>
      </c>
      <c r="AB135" s="96" t="inlineStr">
        <is>
          <t>BKK01</t>
        </is>
      </c>
      <c r="AC135" s="96" t="inlineStr">
        <is>
          <t>SGN03</t>
        </is>
      </c>
    </row>
    <row r="136" ht="12" customHeight="1">
      <c r="A136" s="96" t="inlineStr">
        <is>
          <t>HLHU8521803</t>
        </is>
      </c>
      <c r="B136" s="161" t="inlineStr">
        <is>
          <t>2026-10-16</t>
        </is>
      </c>
      <c r="C136" s="96" t="inlineStr">
        <is>
          <t>SWIC</t>
        </is>
      </c>
      <c r="D136" s="96" t="inlineStr">
        <is>
          <t>2611N</t>
        </is>
      </c>
      <c r="E136" s="96" t="inlineStr">
        <is>
          <t>45GP</t>
        </is>
      </c>
      <c r="F136" s="96" t="inlineStr">
        <is>
          <t>SD</t>
        </is>
      </c>
      <c r="G136" s="96" t="inlineStr">
        <is>
          <t>THBKK</t>
        </is>
      </c>
      <c r="H136" s="96" t="inlineStr">
        <is>
          <t>THBKK</t>
        </is>
      </c>
      <c r="I136" s="96" t="inlineStr">
        <is>
          <t>VNSGN</t>
        </is>
      </c>
      <c r="J136" s="96" t="inlineStr">
        <is>
          <t>VNSGN</t>
        </is>
      </c>
      <c r="K136" s="96" t="inlineStr">
        <is>
          <t>F</t>
        </is>
      </c>
      <c r="L136" s="96" t="inlineStr">
        <is>
          <t>OWN</t>
        </is>
      </c>
      <c r="M136" s="96" t="inlineStr">
        <is>
          <t>VFL</t>
        </is>
      </c>
      <c r="N136" s="96" t="inlineStr">
        <is>
          <t>BKK01</t>
        </is>
      </c>
      <c r="O136" s="96" t="inlineStr">
        <is>
          <t>BKK</t>
        </is>
      </c>
      <c r="P136" s="96" t="inlineStr">
        <is>
          <t>TH</t>
        </is>
      </c>
      <c r="Q136" s="96" t="inlineStr">
        <is>
          <t>HASLS22261000948</t>
        </is>
      </c>
      <c r="R136" s="96" t="inlineStr">
        <is>
          <t>N</t>
        </is>
      </c>
      <c r="S136" s="96" t="inlineStr">
        <is>
          <t>N</t>
        </is>
      </c>
      <c r="T136" s="96" t="inlineStr">
        <is>
          <t>KHS</t>
        </is>
      </c>
      <c r="U136" s="97" t="n"/>
      <c r="V136" s="96" t="inlineStr">
        <is>
          <t>C0125003</t>
        </is>
      </c>
      <c r="W136" s="96" t="inlineStr">
        <is>
          <t>BIRLA CARBON (THAILAND) PUBLIC</t>
        </is>
      </c>
      <c r="X136" s="96" t="inlineStr">
        <is>
          <t>VFD</t>
        </is>
      </c>
      <c r="Y136" s="96" t="inlineStr">
        <is>
          <t>SAILUN (VIETNAM) CO.,LTD</t>
        </is>
      </c>
      <c r="Z136" s="96" t="inlineStr">
        <is>
          <t>SAILUN (VIETNAM) CO.,LTD</t>
        </is>
      </c>
      <c r="AA136" s="97" t="n">
        <v>22308</v>
      </c>
      <c r="AB136" s="96" t="inlineStr">
        <is>
          <t>BKK01</t>
        </is>
      </c>
      <c r="AC136" s="96" t="inlineStr">
        <is>
          <t>SGN03</t>
        </is>
      </c>
    </row>
    <row r="137" ht="12" customHeight="1">
      <c r="A137" s="96" t="inlineStr">
        <is>
          <t>HLHU8531226</t>
        </is>
      </c>
      <c r="B137" s="161" t="inlineStr">
        <is>
          <t>2026-10-16</t>
        </is>
      </c>
      <c r="C137" s="96" t="inlineStr">
        <is>
          <t>SWIC</t>
        </is>
      </c>
      <c r="D137" s="96" t="inlineStr">
        <is>
          <t>2611N</t>
        </is>
      </c>
      <c r="E137" s="96" t="inlineStr">
        <is>
          <t>45GP</t>
        </is>
      </c>
      <c r="F137" s="96" t="inlineStr">
        <is>
          <t>SD</t>
        </is>
      </c>
      <c r="G137" s="96" t="inlineStr">
        <is>
          <t>THBKK</t>
        </is>
      </c>
      <c r="H137" s="96" t="inlineStr">
        <is>
          <t>THBKK</t>
        </is>
      </c>
      <c r="I137" s="96" t="inlineStr">
        <is>
          <t>VNSGN</t>
        </is>
      </c>
      <c r="J137" s="96" t="inlineStr">
        <is>
          <t>VNSGN</t>
        </is>
      </c>
      <c r="K137" s="96" t="inlineStr">
        <is>
          <t>F</t>
        </is>
      </c>
      <c r="L137" s="96" t="inlineStr">
        <is>
          <t>OWN</t>
        </is>
      </c>
      <c r="M137" s="96" t="inlineStr">
        <is>
          <t>VFL</t>
        </is>
      </c>
      <c r="N137" s="96" t="inlineStr">
        <is>
          <t>BKK01</t>
        </is>
      </c>
      <c r="O137" s="96" t="inlineStr">
        <is>
          <t>BKK</t>
        </is>
      </c>
      <c r="P137" s="96" t="inlineStr">
        <is>
          <t>TH</t>
        </is>
      </c>
      <c r="Q137" s="96" t="inlineStr">
        <is>
          <t>HASLS22260901687</t>
        </is>
      </c>
      <c r="R137" s="96" t="inlineStr">
        <is>
          <t>N</t>
        </is>
      </c>
      <c r="S137" s="96" t="inlineStr">
        <is>
          <t>N</t>
        </is>
      </c>
      <c r="T137" s="96" t="inlineStr">
        <is>
          <t>KHS</t>
        </is>
      </c>
      <c r="U137" s="97" t="n"/>
      <c r="V137" s="96" t="inlineStr">
        <is>
          <t>C0125003</t>
        </is>
      </c>
      <c r="W137" s="96" t="inlineStr">
        <is>
          <t>BIRLA CARBON (THAILAND) PUBLIC</t>
        </is>
      </c>
      <c r="X137" s="96" t="inlineStr">
        <is>
          <t>VFD</t>
        </is>
      </c>
      <c r="Y137" s="96" t="inlineStr">
        <is>
          <t>KUMHO TIRE (VIETNAM) CO.,LTD.</t>
        </is>
      </c>
      <c r="Z137" s="96" t="inlineStr">
        <is>
          <t>KUMHO TIRE (VIETNAM) CO.,LTD.</t>
        </is>
      </c>
      <c r="AA137" s="97" t="n">
        <v>20280</v>
      </c>
      <c r="AB137" s="96" t="inlineStr">
        <is>
          <t>BKK01</t>
        </is>
      </c>
      <c r="AC137" s="96" t="inlineStr">
        <is>
          <t>SGN03</t>
        </is>
      </c>
    </row>
    <row r="138" ht="12" customHeight="1">
      <c r="A138" s="96" t="inlineStr">
        <is>
          <t>HLHU8505607</t>
        </is>
      </c>
      <c r="B138" s="161" t="inlineStr">
        <is>
          <t>2026-10-16</t>
        </is>
      </c>
      <c r="C138" s="96" t="inlineStr">
        <is>
          <t>SWIC</t>
        </is>
      </c>
      <c r="D138" s="96" t="inlineStr">
        <is>
          <t>2611N</t>
        </is>
      </c>
      <c r="E138" s="96" t="inlineStr">
        <is>
          <t>45GP</t>
        </is>
      </c>
      <c r="F138" s="96" t="inlineStr">
        <is>
          <t>SD</t>
        </is>
      </c>
      <c r="G138" s="96" t="inlineStr">
        <is>
          <t>THBKK</t>
        </is>
      </c>
      <c r="H138" s="96" t="inlineStr">
        <is>
          <t>THBKK</t>
        </is>
      </c>
      <c r="I138" s="96" t="inlineStr">
        <is>
          <t>KRKAN</t>
        </is>
      </c>
      <c r="J138" s="96" t="inlineStr">
        <is>
          <t>KRKAN</t>
        </is>
      </c>
      <c r="K138" s="96" t="inlineStr">
        <is>
          <t>F</t>
        </is>
      </c>
      <c r="L138" s="96" t="inlineStr">
        <is>
          <t>OWN</t>
        </is>
      </c>
      <c r="M138" s="96" t="inlineStr">
        <is>
          <t>VFL</t>
        </is>
      </c>
      <c r="N138" s="96" t="inlineStr">
        <is>
          <t>BKK01</t>
        </is>
      </c>
      <c r="O138" s="96" t="inlineStr">
        <is>
          <t>BKK</t>
        </is>
      </c>
      <c r="P138" s="96" t="inlineStr">
        <is>
          <t>TH</t>
        </is>
      </c>
      <c r="Q138" s="96" t="inlineStr">
        <is>
          <t>HASLS22260901611</t>
        </is>
      </c>
      <c r="R138" s="96" t="inlineStr">
        <is>
          <t>N</t>
        </is>
      </c>
      <c r="S138" s="96" t="inlineStr">
        <is>
          <t>N</t>
        </is>
      </c>
      <c r="T138" s="96" t="inlineStr">
        <is>
          <t>KHS</t>
        </is>
      </c>
      <c r="U138" s="97" t="n"/>
      <c r="V138" s="96" t="inlineStr">
        <is>
          <t>C0125003</t>
        </is>
      </c>
      <c r="W138" s="96" t="inlineStr">
        <is>
          <t>SAWATPAIBOON AGRICULTURE CO.,LTD.</t>
        </is>
      </c>
      <c r="X138" s="96" t="inlineStr">
        <is>
          <t>VFD</t>
        </is>
      </c>
      <c r="Y138" s="96" t="inlineStr">
        <is>
          <t>TO THE ORDER OF KEB HANA BANK</t>
        </is>
      </c>
      <c r="Z138" s="96" t="inlineStr">
        <is>
          <t>WOORIWA CO.,LTD</t>
        </is>
      </c>
      <c r="AA138" s="97" t="n">
        <v>25000</v>
      </c>
      <c r="AB138" s="96" t="inlineStr">
        <is>
          <t>BKK01</t>
        </is>
      </c>
      <c r="AC138" s="96" t="inlineStr">
        <is>
          <t>KAN06</t>
        </is>
      </c>
    </row>
    <row r="139" ht="12" customHeight="1">
      <c r="A139" s="96" t="inlineStr">
        <is>
          <t>HLHU8503707</t>
        </is>
      </c>
      <c r="B139" s="161" t="inlineStr">
        <is>
          <t>2026-10-16</t>
        </is>
      </c>
      <c r="C139" s="96" t="inlineStr">
        <is>
          <t>SWIC</t>
        </is>
      </c>
      <c r="D139" s="96" t="inlineStr">
        <is>
          <t>2611N</t>
        </is>
      </c>
      <c r="E139" s="96" t="inlineStr">
        <is>
          <t>45GP</t>
        </is>
      </c>
      <c r="F139" s="96" t="inlineStr">
        <is>
          <t>SD</t>
        </is>
      </c>
      <c r="G139" s="96" t="inlineStr">
        <is>
          <t>THBKK</t>
        </is>
      </c>
      <c r="H139" s="96" t="inlineStr">
        <is>
          <t>THBKK</t>
        </is>
      </c>
      <c r="I139" s="96" t="inlineStr">
        <is>
          <t>KRPUS</t>
        </is>
      </c>
      <c r="J139" s="96" t="inlineStr">
        <is>
          <t>KRPUS</t>
        </is>
      </c>
      <c r="K139" s="96" t="inlineStr">
        <is>
          <t>F</t>
        </is>
      </c>
      <c r="L139" s="96" t="inlineStr">
        <is>
          <t>OWN</t>
        </is>
      </c>
      <c r="M139" s="96" t="inlineStr">
        <is>
          <t>VFL</t>
        </is>
      </c>
      <c r="N139" s="96" t="inlineStr">
        <is>
          <t>BKK01</t>
        </is>
      </c>
      <c r="O139" s="96" t="inlineStr">
        <is>
          <t>BKK</t>
        </is>
      </c>
      <c r="P139" s="96" t="inlineStr">
        <is>
          <t>TH</t>
        </is>
      </c>
      <c r="Q139" s="96" t="inlineStr">
        <is>
          <t>HASLS22260900218</t>
        </is>
      </c>
      <c r="R139" s="96" t="inlineStr">
        <is>
          <t>N</t>
        </is>
      </c>
      <c r="S139" s="96" t="inlineStr">
        <is>
          <t>N</t>
        </is>
      </c>
      <c r="T139" s="96" t="inlineStr">
        <is>
          <t>KHS</t>
        </is>
      </c>
      <c r="U139" s="97" t="n"/>
      <c r="V139" s="96" t="inlineStr">
        <is>
          <t>C0125003</t>
        </is>
      </c>
      <c r="W139" s="96" t="inlineStr">
        <is>
          <t>THAI ASAHI CO.,LTD.</t>
        </is>
      </c>
      <c r="X139" s="96" t="inlineStr">
        <is>
          <t>VFD</t>
        </is>
      </c>
      <c r="Y139" s="96" t="inlineStr">
        <is>
          <t>WOO SUNG FEED CO., LTD.</t>
        </is>
      </c>
      <c r="Z139" s="96" t="inlineStr">
        <is>
          <t>WOO SUNG FEED CO., LTD.</t>
        </is>
      </c>
      <c r="AA139" s="97" t="n">
        <v>24332</v>
      </c>
      <c r="AB139" s="96" t="inlineStr">
        <is>
          <t>BKK01</t>
        </is>
      </c>
      <c r="AC139" s="96" t="inlineStr">
        <is>
          <t>PUS05</t>
        </is>
      </c>
    </row>
    <row r="140" ht="12" customHeight="1">
      <c r="A140" s="96" t="inlineStr">
        <is>
          <t>HLHU8512632</t>
        </is>
      </c>
      <c r="B140" s="161" t="inlineStr">
        <is>
          <t>2026-10-16</t>
        </is>
      </c>
      <c r="C140" s="96" t="inlineStr">
        <is>
          <t>SWIC</t>
        </is>
      </c>
      <c r="D140" s="96" t="inlineStr">
        <is>
          <t>2611N</t>
        </is>
      </c>
      <c r="E140" s="96" t="inlineStr">
        <is>
          <t>45GP</t>
        </is>
      </c>
      <c r="F140" s="96" t="inlineStr">
        <is>
          <t>SD</t>
        </is>
      </c>
      <c r="G140" s="96" t="inlineStr">
        <is>
          <t>THBKK</t>
        </is>
      </c>
      <c r="H140" s="96" t="inlineStr">
        <is>
          <t>THBKK</t>
        </is>
      </c>
      <c r="I140" s="96" t="inlineStr">
        <is>
          <t>KRPUS</t>
        </is>
      </c>
      <c r="J140" s="96" t="inlineStr">
        <is>
          <t>KRPUS</t>
        </is>
      </c>
      <c r="K140" s="96" t="inlineStr">
        <is>
          <t>F</t>
        </is>
      </c>
      <c r="L140" s="96" t="inlineStr">
        <is>
          <t>OWN</t>
        </is>
      </c>
      <c r="M140" s="96" t="inlineStr">
        <is>
          <t>VFL</t>
        </is>
      </c>
      <c r="N140" s="96" t="inlineStr">
        <is>
          <t>BKK01</t>
        </is>
      </c>
      <c r="O140" s="96" t="inlineStr">
        <is>
          <t>BKK</t>
        </is>
      </c>
      <c r="P140" s="96" t="inlineStr">
        <is>
          <t>TH</t>
        </is>
      </c>
      <c r="Q140" s="96" t="inlineStr">
        <is>
          <t>HASLS22260900218</t>
        </is>
      </c>
      <c r="R140" s="96" t="inlineStr">
        <is>
          <t>N</t>
        </is>
      </c>
      <c r="S140" s="96" t="inlineStr">
        <is>
          <t>N</t>
        </is>
      </c>
      <c r="T140" s="96" t="inlineStr">
        <is>
          <t>KHS</t>
        </is>
      </c>
      <c r="U140" s="97" t="n"/>
      <c r="V140" s="96" t="inlineStr">
        <is>
          <t>C0125003</t>
        </is>
      </c>
      <c r="W140" s="96" t="inlineStr">
        <is>
          <t>THAI ASAHI CO.,LTD.</t>
        </is>
      </c>
      <c r="X140" s="96" t="inlineStr">
        <is>
          <t>VFD</t>
        </is>
      </c>
      <c r="Y140" s="96" t="inlineStr">
        <is>
          <t>WOO SUNG FEED CO., LTD.</t>
        </is>
      </c>
      <c r="Z140" s="96" t="inlineStr">
        <is>
          <t>WOO SUNG FEED CO., LTD.</t>
        </is>
      </c>
      <c r="AA140" s="97" t="n">
        <v>24332</v>
      </c>
      <c r="AB140" s="96" t="inlineStr">
        <is>
          <t>BKK01</t>
        </is>
      </c>
      <c r="AC140" s="96" t="inlineStr">
        <is>
          <t>PUS05</t>
        </is>
      </c>
    </row>
    <row r="141" ht="12" customHeight="1">
      <c r="A141" s="96" t="inlineStr">
        <is>
          <t>HLHU8531400</t>
        </is>
      </c>
      <c r="B141" s="161" t="inlineStr">
        <is>
          <t>2026-10-16</t>
        </is>
      </c>
      <c r="C141" s="96" t="inlineStr">
        <is>
          <t>SWIC</t>
        </is>
      </c>
      <c r="D141" s="96" t="inlineStr">
        <is>
          <t>2611N</t>
        </is>
      </c>
      <c r="E141" s="96" t="inlineStr">
        <is>
          <t>45GP</t>
        </is>
      </c>
      <c r="F141" s="96" t="inlineStr">
        <is>
          <t>SD</t>
        </is>
      </c>
      <c r="G141" s="96" t="inlineStr">
        <is>
          <t>THBKK</t>
        </is>
      </c>
      <c r="H141" s="96" t="inlineStr">
        <is>
          <t>THBKK</t>
        </is>
      </c>
      <c r="I141" s="96" t="inlineStr">
        <is>
          <t>KRKAN</t>
        </is>
      </c>
      <c r="J141" s="96" t="inlineStr">
        <is>
          <t>KRKAN</t>
        </is>
      </c>
      <c r="K141" s="96" t="inlineStr">
        <is>
          <t>F</t>
        </is>
      </c>
      <c r="L141" s="96" t="inlineStr">
        <is>
          <t>OWN</t>
        </is>
      </c>
      <c r="M141" s="96" t="inlineStr">
        <is>
          <t>VFL</t>
        </is>
      </c>
      <c r="N141" s="96" t="inlineStr">
        <is>
          <t>BKK01</t>
        </is>
      </c>
      <c r="O141" s="96" t="inlineStr">
        <is>
          <t>BKK</t>
        </is>
      </c>
      <c r="P141" s="96" t="inlineStr">
        <is>
          <t>TH</t>
        </is>
      </c>
      <c r="Q141" s="96" t="inlineStr">
        <is>
          <t>HASLS22260901726</t>
        </is>
      </c>
      <c r="R141" s="96" t="inlineStr">
        <is>
          <t>N</t>
        </is>
      </c>
      <c r="S141" s="96" t="inlineStr">
        <is>
          <t>N</t>
        </is>
      </c>
      <c r="T141" s="96" t="inlineStr">
        <is>
          <t>KHS</t>
        </is>
      </c>
      <c r="U141" s="97" t="n"/>
      <c r="V141" s="96" t="inlineStr">
        <is>
          <t>C0125003</t>
        </is>
      </c>
      <c r="W141" s="96" t="inlineStr">
        <is>
          <t>THAI ASAHI CO.,LTD.</t>
        </is>
      </c>
      <c r="X141" s="96" t="inlineStr">
        <is>
          <t>VFD</t>
        </is>
      </c>
      <c r="Y141" s="96" t="inlineStr">
        <is>
          <t>TO THE ORDER OF NONGHYUP BANK</t>
        </is>
      </c>
      <c r="Z141" s="96" t="inlineStr">
        <is>
          <t>KOREA FEED CO.,LTD.</t>
        </is>
      </c>
      <c r="AA141" s="97" t="n">
        <v>24332</v>
      </c>
      <c r="AB141" s="96" t="inlineStr">
        <is>
          <t>BKK01</t>
        </is>
      </c>
      <c r="AC141" s="96" t="inlineStr">
        <is>
          <t>KAN06</t>
        </is>
      </c>
    </row>
    <row r="142" ht="12" customHeight="1">
      <c r="A142" s="96" t="inlineStr">
        <is>
          <t>HLHU8589969</t>
        </is>
      </c>
      <c r="B142" s="161" t="inlineStr">
        <is>
          <t>2026-10-16</t>
        </is>
      </c>
      <c r="C142" s="96" t="inlineStr">
        <is>
          <t>SWIC</t>
        </is>
      </c>
      <c r="D142" s="96" t="inlineStr">
        <is>
          <t>2611N</t>
        </is>
      </c>
      <c r="E142" s="96" t="inlineStr">
        <is>
          <t>45GP</t>
        </is>
      </c>
      <c r="F142" s="96" t="inlineStr">
        <is>
          <t>SD</t>
        </is>
      </c>
      <c r="G142" s="96" t="inlineStr">
        <is>
          <t>THBKK</t>
        </is>
      </c>
      <c r="H142" s="96" t="inlineStr">
        <is>
          <t>THBKK</t>
        </is>
      </c>
      <c r="I142" s="96" t="inlineStr">
        <is>
          <t>KRPUS</t>
        </is>
      </c>
      <c r="J142" s="96" t="inlineStr">
        <is>
          <t>JPIMI</t>
        </is>
      </c>
      <c r="K142" s="96" t="inlineStr">
        <is>
          <t>F</t>
        </is>
      </c>
      <c r="L142" s="96" t="inlineStr">
        <is>
          <t>OWN</t>
        </is>
      </c>
      <c r="M142" s="96" t="inlineStr">
        <is>
          <t>VFL</t>
        </is>
      </c>
      <c r="N142" s="96" t="inlineStr">
        <is>
          <t>BKK01</t>
        </is>
      </c>
      <c r="O142" s="96" t="inlineStr">
        <is>
          <t>BKK</t>
        </is>
      </c>
      <c r="P142" s="96" t="inlineStr">
        <is>
          <t>TH</t>
        </is>
      </c>
      <c r="Q142" s="96" t="inlineStr">
        <is>
          <t>HASLS22260901303</t>
        </is>
      </c>
      <c r="R142" s="96" t="inlineStr">
        <is>
          <t>Y</t>
        </is>
      </c>
      <c r="S142" s="96" t="inlineStr">
        <is>
          <t>N</t>
        </is>
      </c>
      <c r="T142" s="96" t="inlineStr">
        <is>
          <t>KHS</t>
        </is>
      </c>
      <c r="U142" s="97" t="n"/>
      <c r="V142" s="96" t="inlineStr">
        <is>
          <t>C0725001</t>
        </is>
      </c>
      <c r="W142" s="96" t="inlineStr">
        <is>
          <t>WOODWORKS THAI CO.,LTD.(1980)</t>
        </is>
      </c>
      <c r="X142" s="96" t="inlineStr">
        <is>
          <t>VFD</t>
        </is>
      </c>
      <c r="Y142" s="96" t="inlineStr">
        <is>
          <t>DAISHO SANGYO CORPORATION</t>
        </is>
      </c>
      <c r="Z142" s="96" t="inlineStr">
        <is>
          <t>DAISHO SANGYO CORPORATION</t>
        </is>
      </c>
      <c r="AA142" s="97" t="n">
        <v>11305</v>
      </c>
      <c r="AB142" s="96" t="inlineStr">
        <is>
          <t>BKK01</t>
        </is>
      </c>
      <c r="AC142" s="96" t="inlineStr">
        <is>
          <t>IMI01</t>
        </is>
      </c>
    </row>
    <row r="143" ht="12" customHeight="1">
      <c r="A143" s="96" t="inlineStr">
        <is>
          <t>HLHU8589418</t>
        </is>
      </c>
      <c r="B143" s="161" t="inlineStr">
        <is>
          <t>2026-10-16</t>
        </is>
      </c>
      <c r="C143" s="96" t="inlineStr">
        <is>
          <t>SWIC</t>
        </is>
      </c>
      <c r="D143" s="96" t="inlineStr">
        <is>
          <t>2611N</t>
        </is>
      </c>
      <c r="E143" s="96" t="inlineStr">
        <is>
          <t>45GP</t>
        </is>
      </c>
      <c r="F143" s="96" t="inlineStr">
        <is>
          <t>SD</t>
        </is>
      </c>
      <c r="G143" s="96" t="inlineStr">
        <is>
          <t>THBKK</t>
        </is>
      </c>
      <c r="H143" s="96" t="inlineStr">
        <is>
          <t>THBKK</t>
        </is>
      </c>
      <c r="I143" s="96" t="inlineStr">
        <is>
          <t>KRPUS</t>
        </is>
      </c>
      <c r="J143" s="96" t="inlineStr">
        <is>
          <t>KRPUS</t>
        </is>
      </c>
      <c r="K143" s="96" t="inlineStr">
        <is>
          <t>F</t>
        </is>
      </c>
      <c r="L143" s="96" t="inlineStr">
        <is>
          <t>OWN</t>
        </is>
      </c>
      <c r="M143" s="96" t="inlineStr">
        <is>
          <t>VFL</t>
        </is>
      </c>
      <c r="N143" s="96" t="inlineStr">
        <is>
          <t>BKK01</t>
        </is>
      </c>
      <c r="O143" s="96" t="inlineStr">
        <is>
          <t>BKK</t>
        </is>
      </c>
      <c r="P143" s="96" t="inlineStr">
        <is>
          <t>TH</t>
        </is>
      </c>
      <c r="Q143" s="96" t="inlineStr">
        <is>
          <t>HASLS22260900218</t>
        </is>
      </c>
      <c r="R143" s="96" t="inlineStr">
        <is>
          <t>N</t>
        </is>
      </c>
      <c r="S143" s="96" t="inlineStr">
        <is>
          <t>N</t>
        </is>
      </c>
      <c r="T143" s="96" t="inlineStr">
        <is>
          <t>KHS</t>
        </is>
      </c>
      <c r="U143" s="97" t="n"/>
      <c r="V143" s="96" t="inlineStr">
        <is>
          <t>C0725001</t>
        </is>
      </c>
      <c r="W143" s="96" t="inlineStr">
        <is>
          <t>THAI ASAHI CO.,LTD.</t>
        </is>
      </c>
      <c r="X143" s="96" t="inlineStr">
        <is>
          <t>VFD</t>
        </is>
      </c>
      <c r="Y143" s="96" t="inlineStr">
        <is>
          <t>WOO SUNG FEED CO., LTD.</t>
        </is>
      </c>
      <c r="Z143" s="96" t="inlineStr">
        <is>
          <t>WOO SUNG FEED CO., LTD.</t>
        </is>
      </c>
      <c r="AA143" s="97" t="n">
        <v>24332</v>
      </c>
      <c r="AB143" s="96" t="inlineStr">
        <is>
          <t>BKK01</t>
        </is>
      </c>
      <c r="AC143" s="96" t="inlineStr">
        <is>
          <t>PUS05</t>
        </is>
      </c>
    </row>
    <row r="144" ht="12" customHeight="1">
      <c r="A144" s="96" t="inlineStr">
        <is>
          <t>HALU2588276</t>
        </is>
      </c>
      <c r="B144" s="161" t="inlineStr">
        <is>
          <t>2026-10-16</t>
        </is>
      </c>
      <c r="C144" s="96" t="inlineStr">
        <is>
          <t>SWIC</t>
        </is>
      </c>
      <c r="D144" s="96" t="inlineStr">
        <is>
          <t>2611N</t>
        </is>
      </c>
      <c r="E144" s="96" t="inlineStr">
        <is>
          <t>22GP</t>
        </is>
      </c>
      <c r="F144" s="96" t="inlineStr">
        <is>
          <t>SD</t>
        </is>
      </c>
      <c r="G144" s="96" t="inlineStr">
        <is>
          <t>THBKK</t>
        </is>
      </c>
      <c r="H144" s="96" t="inlineStr">
        <is>
          <t>THBKK</t>
        </is>
      </c>
      <c r="I144" s="96" t="inlineStr">
        <is>
          <t>VNSGN</t>
        </is>
      </c>
      <c r="J144" s="96" t="inlineStr">
        <is>
          <t>VNSGN</t>
        </is>
      </c>
      <c r="K144" s="96" t="inlineStr">
        <is>
          <t>F</t>
        </is>
      </c>
      <c r="L144" s="96" t="inlineStr">
        <is>
          <t>OWN</t>
        </is>
      </c>
      <c r="M144" s="96" t="inlineStr">
        <is>
          <t>VFL</t>
        </is>
      </c>
      <c r="N144" s="96" t="inlineStr">
        <is>
          <t>BKK01</t>
        </is>
      </c>
      <c r="O144" s="96" t="inlineStr">
        <is>
          <t>BKK</t>
        </is>
      </c>
      <c r="P144" s="96" t="inlineStr">
        <is>
          <t>TH</t>
        </is>
      </c>
      <c r="Q144" s="96" t="inlineStr">
        <is>
          <t>HASLS22260901595</t>
        </is>
      </c>
      <c r="R144" s="96" t="inlineStr">
        <is>
          <t>N</t>
        </is>
      </c>
      <c r="S144" s="96" t="inlineStr">
        <is>
          <t>N</t>
        </is>
      </c>
      <c r="T144" s="96" t="inlineStr">
        <is>
          <t>KHS</t>
        </is>
      </c>
      <c r="U144" s="97" t="n"/>
      <c r="V144" s="96" t="inlineStr">
        <is>
          <t>C0426001</t>
        </is>
      </c>
      <c r="W144" s="96" t="inlineStr">
        <is>
          <t>CHAROEN POKPHAND PRODUCE CO.,LTD.</t>
        </is>
      </c>
      <c r="X144" s="96" t="inlineStr">
        <is>
          <t>VFD</t>
        </is>
      </c>
      <c r="Y144" s="96" t="inlineStr">
        <is>
          <t>C.P.SEEDS (VIETNAM) CO.,LTD.</t>
        </is>
      </c>
      <c r="Z144" s="96" t="inlineStr">
        <is>
          <t>C.P.SEEDS (VIETNAM) CO.,LTD.</t>
        </is>
      </c>
      <c r="AA144" s="97" t="n">
        <v>20200</v>
      </c>
      <c r="AB144" s="96" t="inlineStr">
        <is>
          <t>BKK01</t>
        </is>
      </c>
      <c r="AC144" s="96" t="inlineStr">
        <is>
          <t>SGN03</t>
        </is>
      </c>
    </row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54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HASLS22260901655</t>
        </is>
      </c>
      <c r="B2" s="96" t="inlineStr">
        <is>
          <t>20'x1</t>
        </is>
      </c>
      <c r="C2" s="97" t="n">
        <v>0</v>
      </c>
      <c r="D2" s="97" t="n">
        <v>0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KHS1</t>
        </is>
      </c>
      <c r="M2" s="96" t="inlineStr">
        <is>
          <t>SWIC</t>
        </is>
      </c>
      <c r="N2" s="96" t="inlineStr">
        <is>
          <t>2611N</t>
        </is>
      </c>
      <c r="O2" s="96" t="inlineStr">
        <is>
          <t>THBKK</t>
        </is>
      </c>
      <c r="P2" s="96" t="inlineStr">
        <is>
          <t>BKK01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VNSGN</t>
        </is>
      </c>
      <c r="T2" s="96" t="inlineStr">
        <is>
          <t>SGN03</t>
        </is>
      </c>
      <c r="U2" s="96" t="inlineStr">
        <is>
          <t>VNSGN</t>
        </is>
      </c>
      <c r="V2" s="161" t="inlineStr">
        <is>
          <t>2026-10-18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EXPEDITORS (THAILAND) LTD.</t>
        </is>
      </c>
      <c r="AB2" s="96" t="inlineStr">
        <is>
          <t>MRD-ECC CO.,LTD.</t>
        </is>
      </c>
      <c r="AC2" s="163" t="n">
        <v>25150</v>
      </c>
      <c r="AD2" s="163" t="n">
        <v>27350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TBKK19</t>
        </is>
      </c>
      <c r="AN2" s="96" t="inlineStr">
        <is>
          <t>Kanokporn</t>
        </is>
      </c>
      <c r="AO2" s="96" t="inlineStr">
        <is>
          <t>"THAICAST S2" BALL CLAY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 xml:space="preserve">STUFFING CARGO @PAT (SPORTLIGHT TOWER NO.2) DD.12/10/26 CLS TIME CFS DD.12/10/26 - 17:00HRS.
</t>
        </is>
      </c>
      <c r="BA2" s="97" t="inlineStr">
        <is>
          <t>SI DD.12/10/26</t>
        </is>
      </c>
      <c r="BB2" s="96" t="inlineStr">
        <is>
          <t>P</t>
        </is>
      </c>
      <c r="BC2" s="161" t="inlineStr">
        <is>
          <t>2026-09-18</t>
        </is>
      </c>
      <c r="BD2" s="161" t="inlineStr">
        <is>
          <t>2026-10-12</t>
        </is>
      </c>
      <c r="BE2" s="96" t="inlineStr">
        <is>
          <t>Y</t>
        </is>
      </c>
      <c r="BF2" s="96" t="inlineStr">
        <is>
          <t>BALL CLAY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BKK01</t>
        </is>
      </c>
      <c r="BL2" s="161" t="inlineStr">
        <is>
          <t>2026-10-12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BKK01</t>
        </is>
      </c>
      <c r="CD2" s="97" t="n"/>
      <c r="CE2" s="97" t="n"/>
      <c r="CF2" s="96" t="inlineStr">
        <is>
          <t>0 Teu</t>
        </is>
      </c>
      <c r="CG2" s="96" t="inlineStr">
        <is>
          <t>CFS/CY</t>
        </is>
      </c>
      <c r="CH2" s="97" t="n"/>
      <c r="CI2" s="96" t="inlineStr">
        <is>
          <t>alina.jantieng@expeditors.com</t>
        </is>
      </c>
      <c r="CJ2" s="96" t="inlineStr">
        <is>
          <t>EXPEDITORS THAILAND LTD.</t>
        </is>
      </c>
      <c r="CK2" s="96" t="inlineStr">
        <is>
          <t>EXPEDITORS VIETNAM COMPANY LIMITED</t>
        </is>
      </c>
      <c r="CL2" s="96" t="inlineStr">
        <is>
          <t>EXPEDITORS VIETNAM COMPANY LIMITED</t>
        </is>
      </c>
      <c r="CM2" s="97" t="inlineStr">
        <is>
          <t>CLOSED</t>
        </is>
      </c>
      <c r="CN2" s="96" t="inlineStr">
        <is>
          <t>202610121200</t>
        </is>
      </c>
      <c r="CO2" s="96" t="inlineStr">
        <is>
          <t>202610131200</t>
        </is>
      </c>
      <c r="CP2" s="97" t="n"/>
      <c r="CQ2" s="96" t="inlineStr">
        <is>
          <t>S22-2408021</t>
        </is>
      </c>
      <c r="CR2" s="96" t="inlineStr">
        <is>
          <t>BB0038</t>
        </is>
      </c>
      <c r="CS2" s="96" t="inlineStr">
        <is>
          <t>EXPEDITORS (THAILAND)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inlineStr">
        <is>
          <t>250840</t>
        </is>
      </c>
      <c r="CY2" s="156" t="n"/>
    </row>
    <row r="3" ht="12" customHeight="1">
      <c r="A3" s="116" t="inlineStr">
        <is>
          <t>HASLS22260701285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KHS1</t>
        </is>
      </c>
      <c r="M3" s="96" t="inlineStr">
        <is>
          <t>SWIC</t>
        </is>
      </c>
      <c r="N3" s="96" t="inlineStr">
        <is>
          <t>2611N</t>
        </is>
      </c>
      <c r="O3" s="96" t="inlineStr">
        <is>
          <t>THBKK</t>
        </is>
      </c>
      <c r="P3" s="96" t="inlineStr">
        <is>
          <t>BKK01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2026-10-18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CNTRANS EXPRESS CO., LTD.</t>
        </is>
      </c>
      <c r="AB3" s="96" t="inlineStr">
        <is>
          <t>SINGHA WORLDWIDE INTERNATIONAL CO., LTD.</t>
        </is>
      </c>
      <c r="AC3" s="163" t="n">
        <v>19152</v>
      </c>
      <c r="AD3" s="163" t="n">
        <v>21352</v>
      </c>
      <c r="AE3" s="96" t="inlineStr">
        <is>
          <t>OK</t>
        </is>
      </c>
      <c r="AF3" s="96" t="inlineStr">
        <is>
          <t>SR</t>
        </is>
      </c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VSGN15</t>
        </is>
      </c>
      <c r="AN3" s="96" t="inlineStr">
        <is>
          <t>Bui Thi Hue</t>
        </is>
      </c>
      <c r="AO3" s="96" t="inlineStr">
        <is>
          <t>LEMON SODA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>Pickup : 2026-10-09, Return : 2026-10-12</t>
        </is>
      </c>
      <c r="BA3" s="97" t="inlineStr">
        <is>
          <t xml:space="preserve">
Contract no.S21-23110098Please show "fragile goods"please put the container on the bottom of the vessel. Please pay careful attention to lift on/lift off at CY1. CY Lat krabang or Bangna Trad not over km.182.RTN at Lat krabang or Pat only3.Request Good&amp;Clean container (Food Grade) </t>
        </is>
      </c>
      <c r="BB3" s="96" t="inlineStr">
        <is>
          <t>P</t>
        </is>
      </c>
      <c r="BC3" s="161" t="inlineStr">
        <is>
          <t>2026-07-16</t>
        </is>
      </c>
      <c r="BD3" s="161" t="inlineStr">
        <is>
          <t>2026-10-15</t>
        </is>
      </c>
      <c r="BE3" s="96" t="inlineStr">
        <is>
          <t>Y</t>
        </is>
      </c>
      <c r="BF3" s="96" t="inlineStr">
        <is>
          <t>LEMON SODA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BKK27</t>
        </is>
      </c>
      <c r="BL3" s="161" t="inlineStr">
        <is>
          <t>2026-10-09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BKK01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export@cntrans.co.th</t>
        </is>
      </c>
      <c r="CJ3" s="96" t="inlineStr">
        <is>
          <t>CNTRANS EXPRESS CO., LTD.</t>
        </is>
      </c>
      <c r="CK3" s="96" t="inlineStr">
        <is>
          <t>0301939555</t>
        </is>
      </c>
      <c r="CL3" s="96" t="inlineStr">
        <is>
          <t>0301939555</t>
        </is>
      </c>
      <c r="CM3" s="97" t="inlineStr">
        <is>
          <t>CLOSED</t>
        </is>
      </c>
      <c r="CN3" s="96" t="inlineStr">
        <is>
          <t>202610121200</t>
        </is>
      </c>
      <c r="CO3" s="96" t="inlineStr">
        <is>
          <t>202610131200</t>
        </is>
      </c>
      <c r="CP3" s="97" t="n"/>
      <c r="CQ3" s="96" t="inlineStr">
        <is>
          <t>S21-2311098</t>
        </is>
      </c>
      <c r="CR3" s="96" t="inlineStr">
        <is>
          <t>TH01XG</t>
        </is>
      </c>
      <c r="CS3" s="96" t="inlineStr">
        <is>
          <t>CNTRANS EXPRESS CO., LTD.</t>
        </is>
      </c>
      <c r="CT3" s="96" t="inlineStr">
        <is>
          <t>N</t>
        </is>
      </c>
      <c r="CU3" s="97" t="n"/>
      <c r="CV3" s="97" t="n"/>
      <c r="CW3" s="161" t="inlineStr">
        <is>
          <t>2026-10-15</t>
        </is>
      </c>
      <c r="CX3" s="97" t="inlineStr">
        <is>
          <t>220210</t>
        </is>
      </c>
      <c r="CY3" s="183" t="n"/>
    </row>
    <row r="4" ht="12" customHeight="1">
      <c r="A4" s="116" t="inlineStr">
        <is>
          <t>HASLS22260902222</t>
        </is>
      </c>
      <c r="B4" s="96" t="inlineStr">
        <is>
          <t>40Hx5</t>
        </is>
      </c>
      <c r="C4" s="97" t="n">
        <v>5</v>
      </c>
      <c r="D4" s="97" t="n">
        <v>5</v>
      </c>
      <c r="E4" s="97" t="n"/>
      <c r="F4" s="97" t="n">
        <v>0</v>
      </c>
      <c r="G4" s="97" t="n">
        <v>0</v>
      </c>
      <c r="H4" s="97" t="n">
        <v>0</v>
      </c>
      <c r="I4" s="97" t="n">
        <v>5</v>
      </c>
      <c r="J4" s="97" t="n">
        <v>10</v>
      </c>
      <c r="K4" s="96" t="inlineStr">
        <is>
          <t>N</t>
        </is>
      </c>
      <c r="L4" s="96" t="inlineStr">
        <is>
          <t>KHS1</t>
        </is>
      </c>
      <c r="M4" s="96" t="inlineStr">
        <is>
          <t>SWIC</t>
        </is>
      </c>
      <c r="N4" s="96" t="inlineStr">
        <is>
          <t>2611N</t>
        </is>
      </c>
      <c r="O4" s="96" t="inlineStr">
        <is>
          <t>THBKK</t>
        </is>
      </c>
      <c r="P4" s="96" t="inlineStr">
        <is>
          <t>BKK01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2026-10-18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CAPRICORN LOGISTICS CO., LTD.</t>
        </is>
      </c>
      <c r="AB4" s="96" t="inlineStr">
        <is>
          <t>SWAN INDUSTRIES (THAILAND) LTD.</t>
        </is>
      </c>
      <c r="AC4" s="163" t="n">
        <v>26352.65</v>
      </c>
      <c r="AD4" s="163" t="n">
        <v>46352.65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VSGN21</t>
        </is>
      </c>
      <c r="AN4" s="96" t="inlineStr">
        <is>
          <t>Nguyen Xuan Toan</t>
        </is>
      </c>
      <c r="AO4" s="96" t="inlineStr">
        <is>
          <t>EMPTY CAN (FOOD CAN)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2026-10-12, Return : 2026-10-12 (1ST RETURN DD.11/10/26)</t>
        </is>
      </c>
      <c r="BA4" s="97" t="inlineStr">
        <is>
          <t>SERVICE NO. S21-2209099//CONTRACT NO. 327/VN26/LQ-SWAN (LOT.3)need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4" s="96" t="inlineStr">
        <is>
          <t>C</t>
        </is>
      </c>
      <c r="BC4" s="161" t="inlineStr">
        <is>
          <t>2026-09-23</t>
        </is>
      </c>
      <c r="BD4" s="161" t="inlineStr">
        <is>
          <t>2026-10-13</t>
        </is>
      </c>
      <c r="BE4" s="96" t="inlineStr">
        <is>
          <t>Y</t>
        </is>
      </c>
      <c r="BF4" s="96" t="inlineStr">
        <is>
          <t>EMPTY CAN (FOOD CAN)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BKK27</t>
        </is>
      </c>
      <c r="BL4" s="161" t="inlineStr">
        <is>
          <t>2026-10-12</t>
        </is>
      </c>
      <c r="BM4" s="127" t="n"/>
      <c r="BN4" s="127" t="n"/>
      <c r="BO4" s="127" t="n"/>
      <c r="BP4" s="127" t="n">
        <v>5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BKK01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bkk@capricornlogistics.co.th</t>
        </is>
      </c>
      <c r="CJ4" s="96" t="inlineStr">
        <is>
          <t>CAPRICORN LOGISTICS CO.,LTD.</t>
        </is>
      </c>
      <c r="CK4" s="96" t="inlineStr">
        <is>
          <t>GIA NGUYEN INT'L LOGISTICS CO., LTD</t>
        </is>
      </c>
      <c r="CL4" s="96" t="inlineStr">
        <is>
          <t>GIA NGUYEN INT'L LOGISTICS CO., LTD</t>
        </is>
      </c>
      <c r="CM4" s="97" t="inlineStr">
        <is>
          <t>CLOSED</t>
        </is>
      </c>
      <c r="CN4" s="96" t="inlineStr">
        <is>
          <t>202610121200</t>
        </is>
      </c>
      <c r="CO4" s="96" t="inlineStr">
        <is>
          <t>202610131200</t>
        </is>
      </c>
      <c r="CP4" s="97" t="n"/>
      <c r="CQ4" s="96" t="inlineStr">
        <is>
          <t>S21-2209099</t>
        </is>
      </c>
      <c r="CR4" s="96" t="inlineStr">
        <is>
          <t>TH045C</t>
        </is>
      </c>
      <c r="CS4" s="96" t="inlineStr">
        <is>
          <t>CAPRICORN LOGISTICS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7" t="inlineStr">
        <is>
          <t>731021</t>
        </is>
      </c>
      <c r="CY4" s="183" t="n"/>
    </row>
    <row r="5" ht="12" customHeight="1">
      <c r="A5" s="116" t="inlineStr">
        <is>
          <t>HASLS22260901726</t>
        </is>
      </c>
      <c r="B5" s="96" t="inlineStr">
        <is>
          <t>40Hx2</t>
        </is>
      </c>
      <c r="C5" s="97" t="n">
        <v>2</v>
      </c>
      <c r="D5" s="97" t="n">
        <v>2</v>
      </c>
      <c r="E5" s="97" t="n"/>
      <c r="F5" s="97" t="n">
        <v>0</v>
      </c>
      <c r="G5" s="97" t="n">
        <v>0</v>
      </c>
      <c r="H5" s="97" t="n">
        <v>0</v>
      </c>
      <c r="I5" s="97" t="n">
        <v>2</v>
      </c>
      <c r="J5" s="97" t="n">
        <v>4</v>
      </c>
      <c r="K5" s="96" t="inlineStr">
        <is>
          <t>N</t>
        </is>
      </c>
      <c r="L5" s="96" t="inlineStr">
        <is>
          <t>KHS1</t>
        </is>
      </c>
      <c r="M5" s="96" t="inlineStr">
        <is>
          <t>SWIC</t>
        </is>
      </c>
      <c r="N5" s="96" t="inlineStr">
        <is>
          <t>2611N</t>
        </is>
      </c>
      <c r="O5" s="96" t="inlineStr">
        <is>
          <t>THBKK</t>
        </is>
      </c>
      <c r="P5" s="96" t="inlineStr">
        <is>
          <t>BKK01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KRKAN</t>
        </is>
      </c>
      <c r="T5" s="96" t="inlineStr">
        <is>
          <t>KAN06</t>
        </is>
      </c>
      <c r="U5" s="96" t="inlineStr">
        <is>
          <t>KRKAN</t>
        </is>
      </c>
      <c r="V5" s="161" t="inlineStr">
        <is>
          <t>2026-10-24</t>
        </is>
      </c>
      <c r="W5" s="96" t="inlineStr">
        <is>
          <t>KR</t>
        </is>
      </c>
      <c r="X5" s="97" t="n"/>
      <c r="Y5" s="97" t="n"/>
      <c r="Z5" s="97" t="n"/>
      <c r="AA5" s="96" t="inlineStr">
        <is>
          <t>HARPERS SEA FREIGHT CO., LTD.</t>
        </is>
      </c>
      <c r="AB5" s="96" t="inlineStr">
        <is>
          <t>THAI ASAHI CO., LTD.</t>
        </is>
      </c>
      <c r="AC5" s="163" t="n">
        <v>48664</v>
      </c>
      <c r="AD5" s="163" t="n">
        <v>56664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TBKK28</t>
        </is>
      </c>
      <c r="AN5" s="96" t="inlineStr">
        <is>
          <t>Nustsireerach</t>
        </is>
      </c>
      <c r="AO5" s="96" t="inlineStr">
        <is>
          <t>ALPHA POTATO STARCH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>Pickup : 2026-10-09, Return : 2026-10-11 // FM PGPO 2612N BY HAL DD.05/10</t>
        </is>
      </c>
      <c r="BA5" s="97" t="inlineStr">
        <is>
          <t xml:space="preserve">FM 5X40HC DD 28/09 
FM PGPO 2612N BY HAL DD.05/10
 </t>
        </is>
      </c>
      <c r="BB5" s="96" t="inlineStr">
        <is>
          <t>P</t>
        </is>
      </c>
      <c r="BC5" s="161" t="inlineStr">
        <is>
          <t>2026-09-18</t>
        </is>
      </c>
      <c r="BD5" s="161" t="inlineStr">
        <is>
          <t>2026-10-14</t>
        </is>
      </c>
      <c r="BE5" s="96" t="inlineStr">
        <is>
          <t>Y</t>
        </is>
      </c>
      <c r="BF5" s="96" t="inlineStr">
        <is>
          <t xml:space="preserve">POTATO STARCH 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BKK27</t>
        </is>
      </c>
      <c r="BL5" s="161" t="inlineStr">
        <is>
          <t>2026-10-09</t>
        </is>
      </c>
      <c r="BM5" s="127" t="n"/>
      <c r="BN5" s="127" t="n"/>
      <c r="BO5" s="127" t="n"/>
      <c r="BP5" s="127" t="n">
        <v>2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BKK01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wannipa@harpers.co.th</t>
        </is>
      </c>
      <c r="CJ5" s="96" t="inlineStr">
        <is>
          <t>THAI ASAHI CO.,LTD.</t>
        </is>
      </c>
      <c r="CK5" s="96" t="inlineStr">
        <is>
          <t>TO THE ORDER OF NONGHYUP BANK</t>
        </is>
      </c>
      <c r="CL5" s="96" t="inlineStr">
        <is>
          <t>KOREA FEED CO.,LTD.</t>
        </is>
      </c>
      <c r="CM5" s="97" t="inlineStr">
        <is>
          <t>CLOSED</t>
        </is>
      </c>
      <c r="CN5" s="96" t="inlineStr">
        <is>
          <t>202610121200</t>
        </is>
      </c>
      <c r="CO5" s="96" t="inlineStr">
        <is>
          <t>202610131200</t>
        </is>
      </c>
      <c r="CP5" s="97" t="n"/>
      <c r="CQ5" s="96" t="inlineStr">
        <is>
          <t>S19-1910171</t>
        </is>
      </c>
      <c r="CR5" s="96" t="inlineStr">
        <is>
          <t>BB0030</t>
        </is>
      </c>
      <c r="CS5" s="96" t="inlineStr">
        <is>
          <t>HARPERS SEA FREIGHT CO., LTD.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7" t="n"/>
      <c r="CY5" s="183" t="n"/>
    </row>
    <row r="6" ht="12" customHeight="1">
      <c r="A6" s="116" t="inlineStr">
        <is>
          <t>HASLS22260902097</t>
        </is>
      </c>
      <c r="B6" s="96" t="inlineStr">
        <is>
          <t>40Hx1</t>
        </is>
      </c>
      <c r="C6" s="97" t="n">
        <v>0</v>
      </c>
      <c r="D6" s="97" t="n">
        <v>0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KHS1</t>
        </is>
      </c>
      <c r="M6" s="96" t="inlineStr">
        <is>
          <t>SWIC</t>
        </is>
      </c>
      <c r="N6" s="96" t="inlineStr">
        <is>
          <t>2611N</t>
        </is>
      </c>
      <c r="O6" s="96" t="inlineStr">
        <is>
          <t>THBKK</t>
        </is>
      </c>
      <c r="P6" s="96" t="inlineStr">
        <is>
          <t>BKK01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VNSGN</t>
        </is>
      </c>
      <c r="T6" s="96" t="inlineStr">
        <is>
          <t>SGN03</t>
        </is>
      </c>
      <c r="U6" s="96" t="inlineStr">
        <is>
          <t>VNSGN</t>
        </is>
      </c>
      <c r="V6" s="161" t="inlineStr">
        <is>
          <t>2026-10-18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QUANTERM LOGISTICS (THAILAND) CO., LTD.</t>
        </is>
      </c>
      <c r="AB6" s="96" t="inlineStr">
        <is>
          <t>QUANTERM LOGISTICS (THAILAND) CO., LTD.</t>
        </is>
      </c>
      <c r="AC6" s="163" t="n">
        <v>22759.52</v>
      </c>
      <c r="AD6" s="163" t="n">
        <v>26759.52</v>
      </c>
      <c r="AE6" s="96" t="inlineStr">
        <is>
          <t>OK</t>
        </is>
      </c>
      <c r="AF6" s="96" t="n"/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TH0013</t>
        </is>
      </c>
      <c r="AN6" s="96" t="inlineStr">
        <is>
          <t>Papavadee Chiengchin</t>
        </is>
      </c>
      <c r="AO6" s="96" t="inlineStr">
        <is>
          <t>POUCH KERNEL SWEET (CONSOL) / AS PER ATTACHED SHEET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2026-10-12, Return : 2026-10-12 CONSOL </t>
        </is>
      </c>
      <c r="BA6" s="97" t="inlineStr">
        <is>
          <t>FM 1X40HC DD 06/10 
FM 2X40'HC DD.09/10CONSOL</t>
        </is>
      </c>
      <c r="BB6" s="96" t="inlineStr">
        <is>
          <t>P</t>
        </is>
      </c>
      <c r="BC6" s="161" t="inlineStr">
        <is>
          <t>2026-09-23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GENERAL CARGO (CONSOL)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BKK01</t>
        </is>
      </c>
      <c r="BL6" s="161" t="inlineStr">
        <is>
          <t>2026-10-12</t>
        </is>
      </c>
      <c r="BM6" s="127" t="n"/>
      <c r="BN6" s="127" t="n"/>
      <c r="BO6" s="127" t="n"/>
      <c r="BP6" s="127" t="n">
        <v>1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BKK01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operation.thai@quanterm.co.th</t>
        </is>
      </c>
      <c r="CJ6" s="96" t="inlineStr">
        <is>
          <t>QUANTERM LOGISTICS THAILAND</t>
        </is>
      </c>
      <c r="CK6" s="96" t="inlineStr">
        <is>
          <t>QUANTERM LOGISTICS  (VIETNAM)</t>
        </is>
      </c>
      <c r="CL6" s="96" t="inlineStr">
        <is>
          <t>QUANTERM LOGISTICS  (VIETNAM)</t>
        </is>
      </c>
      <c r="CM6" s="97" t="inlineStr">
        <is>
          <t>CLOSED</t>
        </is>
      </c>
      <c r="CN6" s="96" t="inlineStr">
        <is>
          <t>202610121200</t>
        </is>
      </c>
      <c r="CO6" s="96" t="inlineStr">
        <is>
          <t>202610131200</t>
        </is>
      </c>
      <c r="CP6" s="97" t="n"/>
      <c r="CQ6" s="96" t="inlineStr">
        <is>
          <t>S22-2607020</t>
        </is>
      </c>
      <c r="CR6" s="96" t="inlineStr">
        <is>
          <t>THTYD6</t>
        </is>
      </c>
      <c r="CS6" s="96" t="inlineStr">
        <is>
          <t>QUANTERM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7" t="inlineStr">
        <is>
          <t>200580</t>
        </is>
      </c>
      <c r="CY6" s="183" t="n"/>
    </row>
    <row r="7" ht="12" customHeight="1">
      <c r="A7" s="116" t="inlineStr">
        <is>
          <t>HASLS22260902367</t>
        </is>
      </c>
      <c r="B7" s="96" t="inlineStr">
        <is>
          <t>20'x1</t>
        </is>
      </c>
      <c r="C7" s="97" t="n">
        <v>1</v>
      </c>
      <c r="D7" s="97" t="n">
        <v>1</v>
      </c>
      <c r="E7" s="97" t="n"/>
      <c r="F7" s="97" t="n">
        <v>0</v>
      </c>
      <c r="G7" s="97" t="n">
        <v>1</v>
      </c>
      <c r="H7" s="97" t="n">
        <v>0</v>
      </c>
      <c r="I7" s="97" t="n">
        <v>0</v>
      </c>
      <c r="J7" s="97" t="n">
        <v>1</v>
      </c>
      <c r="K7" s="96" t="inlineStr">
        <is>
          <t>N</t>
        </is>
      </c>
      <c r="L7" s="96" t="inlineStr">
        <is>
          <t>KHS1</t>
        </is>
      </c>
      <c r="M7" s="96" t="inlineStr">
        <is>
          <t>SWIC</t>
        </is>
      </c>
      <c r="N7" s="96" t="inlineStr">
        <is>
          <t>2611N</t>
        </is>
      </c>
      <c r="O7" s="96" t="inlineStr">
        <is>
          <t>THBKK</t>
        </is>
      </c>
      <c r="P7" s="96" t="inlineStr">
        <is>
          <t>BKK01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2026-10-18</t>
        </is>
      </c>
      <c r="W7" s="96" t="inlineStr">
        <is>
          <t>IA</t>
        </is>
      </c>
      <c r="X7" s="97" t="n"/>
      <c r="Y7" s="97" t="n"/>
      <c r="Z7" s="97" t="n"/>
      <c r="AA7" s="96" t="inlineStr">
        <is>
          <t>PK INTERFREIGHT CO., LTD.</t>
        </is>
      </c>
      <c r="AB7" s="96" t="inlineStr">
        <is>
          <t>HERITAGE SNACKS &amp; FOOD CO., LTD.</t>
        </is>
      </c>
      <c r="AC7" s="163" t="n">
        <v>11024.5</v>
      </c>
      <c r="AD7" s="163" t="n">
        <v>13224.5</v>
      </c>
      <c r="AE7" s="96" t="inlineStr">
        <is>
          <t>OK</t>
        </is>
      </c>
      <c r="AF7" s="96" t="inlineStr">
        <is>
          <t>SR</t>
        </is>
      </c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VSGN33</t>
        </is>
      </c>
      <c r="AN7" s="96" t="inlineStr">
        <is>
          <t>Nguyen Van Nam</t>
        </is>
      </c>
      <c r="AO7" s="96" t="inlineStr">
        <is>
          <t>ALMOND MILK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Pickup : 2026-10-10, Return : 2026-10-12</t>
        </is>
      </c>
      <c r="BA7" s="97" t="inlineStr">
        <is>
          <t xml:space="preserve">Shipper : HERITAGE SNACK &amp; FOOD CO. , LTD.SVC : S21-2305021Request clean and good condition container </t>
        </is>
      </c>
      <c r="BB7" s="96" t="inlineStr">
        <is>
          <t>C</t>
        </is>
      </c>
      <c r="BC7" s="161" t="inlineStr">
        <is>
          <t>2026-09-25</t>
        </is>
      </c>
      <c r="BD7" s="161" t="inlineStr">
        <is>
          <t>2026-10-14</t>
        </is>
      </c>
      <c r="BE7" s="96" t="inlineStr">
        <is>
          <t>Y</t>
        </is>
      </c>
      <c r="BF7" s="96" t="inlineStr">
        <is>
          <t>ALMOND MILK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BKK27</t>
        </is>
      </c>
      <c r="BL7" s="161" t="inlineStr">
        <is>
          <t>2026-10-10</t>
        </is>
      </c>
      <c r="BM7" s="127" t="n"/>
      <c r="BN7" s="127" t="n">
        <v>1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BKK01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export3@pkinterfreight.co.th;sales_co1@pkinterfreight.co.th</t>
        </is>
      </c>
      <c r="CJ7" s="96" t="inlineStr">
        <is>
          <t>PK INTERFREIGHT CO.,LTD.</t>
        </is>
      </c>
      <c r="CK7" s="96" t="inlineStr">
        <is>
          <t>PAM CARGO INTERNATIONAL CO., LTD</t>
        </is>
      </c>
      <c r="CL7" s="96" t="inlineStr">
        <is>
          <t>PAM CARGO INTERNATIONAL CO., LTD</t>
        </is>
      </c>
      <c r="CM7" s="97" t="inlineStr">
        <is>
          <t>CLOSED</t>
        </is>
      </c>
      <c r="CN7" s="96" t="inlineStr">
        <is>
          <t>202610121200</t>
        </is>
      </c>
      <c r="CO7" s="96" t="inlineStr">
        <is>
          <t>202610131200</t>
        </is>
      </c>
      <c r="CP7" s="97" t="n"/>
      <c r="CQ7" s="96" t="inlineStr">
        <is>
          <t>S21-2305021</t>
        </is>
      </c>
      <c r="CR7" s="96" t="inlineStr">
        <is>
          <t>TH0485</t>
        </is>
      </c>
      <c r="CS7" s="96" t="inlineStr">
        <is>
          <t>PK INTERFREIGHT CO., LTD.</t>
        </is>
      </c>
      <c r="CT7" s="96" t="inlineStr">
        <is>
          <t>N</t>
        </is>
      </c>
      <c r="CU7" s="97" t="n"/>
      <c r="CV7" s="97" t="n"/>
      <c r="CW7" s="161" t="inlineStr">
        <is>
          <t>2026-10-15</t>
        </is>
      </c>
      <c r="CX7" s="97" t="inlineStr">
        <is>
          <t>220299</t>
        </is>
      </c>
      <c r="CY7" s="183" t="n"/>
    </row>
    <row r="8" ht="12" customHeight="1">
      <c r="A8" s="116" t="inlineStr">
        <is>
          <t>HASLS22261000476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KHS1</t>
        </is>
      </c>
      <c r="M8" s="96" t="inlineStr">
        <is>
          <t>SWIC</t>
        </is>
      </c>
      <c r="N8" s="96" t="inlineStr">
        <is>
          <t>2611N</t>
        </is>
      </c>
      <c r="O8" s="96" t="inlineStr">
        <is>
          <t>THBKK</t>
        </is>
      </c>
      <c r="P8" s="96" t="inlineStr">
        <is>
          <t>BKK01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VNSGN</t>
        </is>
      </c>
      <c r="T8" s="96" t="inlineStr">
        <is>
          <t>SGN03</t>
        </is>
      </c>
      <c r="U8" s="96" t="inlineStr">
        <is>
          <t>VNSGN</t>
        </is>
      </c>
      <c r="V8" s="161" t="inlineStr">
        <is>
          <t>2026-10-18</t>
        </is>
      </c>
      <c r="W8" s="96" t="inlineStr">
        <is>
          <t>IA</t>
        </is>
      </c>
      <c r="X8" s="97" t="n"/>
      <c r="Y8" s="97" t="n"/>
      <c r="Z8" s="97" t="n"/>
      <c r="AA8" s="96" t="inlineStr">
        <is>
          <t>OASIS LOGISTICS CO., LTD.</t>
        </is>
      </c>
      <c r="AB8" s="96" t="inlineStr">
        <is>
          <t>MING JEAW CO., LTD.</t>
        </is>
      </c>
      <c r="AC8" s="163" t="n">
        <v>3500.2</v>
      </c>
      <c r="AD8" s="163" t="n">
        <v>7500.2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TBKK19</t>
        </is>
      </c>
      <c r="AN8" s="96" t="inlineStr">
        <is>
          <t>Kanokporn</t>
        </is>
      </c>
      <c r="AO8" s="96" t="inlineStr">
        <is>
          <t>SEAWEED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2026-10-10, Return : 2026-10-12</t>
        </is>
      </c>
      <c r="BA8" s="97" t="n"/>
      <c r="BB8" s="96" t="inlineStr">
        <is>
          <t>P</t>
        </is>
      </c>
      <c r="BC8" s="161" t="inlineStr">
        <is>
          <t>2026-10-06</t>
        </is>
      </c>
      <c r="BD8" s="161" t="inlineStr">
        <is>
          <t>2026-10-12</t>
        </is>
      </c>
      <c r="BE8" s="96" t="inlineStr">
        <is>
          <t>Y</t>
        </is>
      </c>
      <c r="BF8" s="96" t="inlineStr">
        <is>
          <t>SEAWEED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BKK27</t>
        </is>
      </c>
      <c r="BL8" s="161" t="inlineStr">
        <is>
          <t>2026-10-10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BKK01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cs2@oasis-logistics.com</t>
        </is>
      </c>
      <c r="CJ8" s="96" t="inlineStr">
        <is>
          <t>OASIS LOGISTICS CO., LTD.</t>
        </is>
      </c>
      <c r="CK8" s="96" t="inlineStr">
        <is>
          <t>FELIX LOGISTICS COMPANY LIMITED</t>
        </is>
      </c>
      <c r="CL8" s="96" t="inlineStr">
        <is>
          <t>FELIX LOGISTICS COMPANY LIMITED</t>
        </is>
      </c>
      <c r="CM8" s="97" t="inlineStr">
        <is>
          <t>CLOSED</t>
        </is>
      </c>
      <c r="CN8" s="96" t="inlineStr">
        <is>
          <t>202610121200</t>
        </is>
      </c>
      <c r="CO8" s="96" t="inlineStr">
        <is>
          <t>202610131200</t>
        </is>
      </c>
      <c r="CP8" s="97" t="n"/>
      <c r="CQ8" s="96" t="inlineStr">
        <is>
          <t>S22-2212010</t>
        </is>
      </c>
      <c r="CR8" s="96" t="inlineStr">
        <is>
          <t>TH04FE</t>
        </is>
      </c>
      <c r="CS8" s="96" t="inlineStr">
        <is>
          <t>OASIS LOGISTICS CO., LTD.</t>
        </is>
      </c>
      <c r="CT8" s="96" t="inlineStr">
        <is>
          <t>N</t>
        </is>
      </c>
      <c r="CU8" s="97" t="n"/>
      <c r="CV8" s="97" t="n"/>
      <c r="CW8" s="161" t="inlineStr">
        <is>
          <t>2026-10-15</t>
        </is>
      </c>
      <c r="CX8" s="97" t="inlineStr">
        <is>
          <t>200899</t>
        </is>
      </c>
      <c r="CY8" s="183" t="n"/>
    </row>
    <row r="9" ht="12" customHeight="1">
      <c r="A9" s="116" t="inlineStr">
        <is>
          <t>HASLS22260901933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KHS1</t>
        </is>
      </c>
      <c r="M9" s="96" t="inlineStr">
        <is>
          <t>SWIC</t>
        </is>
      </c>
      <c r="N9" s="96" t="inlineStr">
        <is>
          <t>2611N</t>
        </is>
      </c>
      <c r="O9" s="96" t="inlineStr">
        <is>
          <t>THBKK</t>
        </is>
      </c>
      <c r="P9" s="96" t="inlineStr">
        <is>
          <t>BKK01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RUVVO</t>
        </is>
      </c>
      <c r="T9" s="96" t="inlineStr">
        <is>
          <t>VVO01</t>
        </is>
      </c>
      <c r="U9" s="96" t="inlineStr">
        <is>
          <t>RUVVO</t>
        </is>
      </c>
      <c r="V9" s="161" t="inlineStr">
        <is>
          <t>2026-11-02</t>
        </is>
      </c>
      <c r="W9" s="96" t="inlineStr">
        <is>
          <t>RU</t>
        </is>
      </c>
      <c r="X9" s="97" t="n"/>
      <c r="Y9" s="97" t="inlineStr">
        <is>
          <t>PUS05</t>
        </is>
      </c>
      <c r="Z9" s="97" t="inlineStr">
        <is>
          <t>KRPUS</t>
        </is>
      </c>
      <c r="AA9" s="96" t="inlineStr">
        <is>
          <t>THAI AGRI FOODS PUBLIC COMPANY LIMITED</t>
        </is>
      </c>
      <c r="AB9" s="96" t="inlineStr">
        <is>
          <t>THAI AGRI FOODS PUBLIC COMPANY LIMITED</t>
        </is>
      </c>
      <c r="AC9" s="163" t="n">
        <v>19814.5</v>
      </c>
      <c r="AD9" s="163" t="n">
        <v>22014.5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RUVO38</t>
        </is>
      </c>
      <c r="AN9" s="96" t="inlineStr">
        <is>
          <t>ANNA MARS</t>
        </is>
      </c>
      <c r="AO9" s="96" t="inlineStr">
        <is>
          <t>SWEET CHILLI SAUCE FOR CHICKEN</t>
        </is>
      </c>
      <c r="AP9" s="96" t="inlineStr">
        <is>
          <t>T/S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>[FIX][FIX]SWIC/2611N/10/24[FIX] Pickup : 2026-10-09, Return : 2026-10-12</t>
        </is>
      </c>
      <c r="BA9" s="97" t="inlineStr">
        <is>
          <t>SI DD.9/10/26
RQST CHANGE VSL NAME FROM KUS 2616N BY HA DD.5/10</t>
        </is>
      </c>
      <c r="BB9" s="96" t="inlineStr">
        <is>
          <t>C</t>
        </is>
      </c>
      <c r="BC9" s="161" t="inlineStr">
        <is>
          <t>2026-09-22</t>
        </is>
      </c>
      <c r="BD9" s="161" t="inlineStr">
        <is>
          <t>2026-10-09</t>
        </is>
      </c>
      <c r="BE9" s="96" t="inlineStr">
        <is>
          <t>Y</t>
        </is>
      </c>
      <c r="BF9" s="96" t="inlineStr">
        <is>
          <t>SWEET CHILLI SAUCE FOR CHICKEN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BKK27</t>
        </is>
      </c>
      <c r="BL9" s="161" t="inlineStr">
        <is>
          <t>2026-10-09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6</v>
      </c>
      <c r="CA9" s="96" t="inlineStr">
        <is>
          <t>Y</t>
        </is>
      </c>
      <c r="CB9" s="97" t="n"/>
      <c r="CC9" s="96" t="inlineStr">
        <is>
          <t>BKK01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inlineStr">
        <is>
          <t>POL: THBKK [SWIC/2611N]; T/S(1st): KRPUS [SWTD/9019N]; POD: RUVVO [/]</t>
        </is>
      </c>
      <c r="CI9" s="96" t="inlineStr">
        <is>
          <t>chalearmporn.pu@thaiagri.com</t>
        </is>
      </c>
      <c r="CJ9" s="96" t="inlineStr">
        <is>
          <t>THAI AGRI FOODS PUBLIC COMPANY</t>
        </is>
      </c>
      <c r="CK9" s="96" t="inlineStr">
        <is>
          <t>EXIM PACIFIC LLC. RUSSIA,</t>
        </is>
      </c>
      <c r="CL9" s="96" t="inlineStr">
        <is>
          <t>EXIM PACIFIC LLC. RUSSIA,</t>
        </is>
      </c>
      <c r="CM9" s="97" t="inlineStr">
        <is>
          <t>CLOSED</t>
        </is>
      </c>
      <c r="CN9" s="96" t="inlineStr">
        <is>
          <t>202610121200</t>
        </is>
      </c>
      <c r="CO9" s="96" t="inlineStr">
        <is>
          <t>202610131200</t>
        </is>
      </c>
      <c r="CP9" s="97" t="n"/>
      <c r="CQ9" s="96" t="inlineStr">
        <is>
          <t>R01-2411002</t>
        </is>
      </c>
      <c r="CR9" s="96" t="inlineStr">
        <is>
          <t>THTLH8</t>
        </is>
      </c>
      <c r="CS9" s="96" t="inlineStr">
        <is>
          <t>THAI AGRI FOODS PUBLIC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2026-10-15</t>
        </is>
      </c>
      <c r="CX9" s="97" t="inlineStr">
        <is>
          <t>210390</t>
        </is>
      </c>
      <c r="CY9" s="183" t="n"/>
    </row>
    <row r="10" ht="12" customHeight="1">
      <c r="A10" s="116" t="inlineStr">
        <is>
          <t>HASLS22260902223</t>
        </is>
      </c>
      <c r="B10" s="96" t="inlineStr">
        <is>
          <t>40Hx5</t>
        </is>
      </c>
      <c r="C10" s="97" t="n">
        <v>5</v>
      </c>
      <c r="D10" s="97" t="n">
        <v>5</v>
      </c>
      <c r="E10" s="97" t="n"/>
      <c r="F10" s="97" t="n">
        <v>0</v>
      </c>
      <c r="G10" s="97" t="n">
        <v>0</v>
      </c>
      <c r="H10" s="97" t="n">
        <v>0</v>
      </c>
      <c r="I10" s="97" t="n">
        <v>5</v>
      </c>
      <c r="J10" s="97" t="n">
        <v>10</v>
      </c>
      <c r="K10" s="96" t="inlineStr">
        <is>
          <t>N</t>
        </is>
      </c>
      <c r="L10" s="96" t="inlineStr">
        <is>
          <t>KHS1</t>
        </is>
      </c>
      <c r="M10" s="96" t="inlineStr">
        <is>
          <t>SWIC</t>
        </is>
      </c>
      <c r="N10" s="96" t="inlineStr">
        <is>
          <t>2611N</t>
        </is>
      </c>
      <c r="O10" s="96" t="inlineStr">
        <is>
          <t>THBKK</t>
        </is>
      </c>
      <c r="P10" s="96" t="inlineStr">
        <is>
          <t>BKK01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2026-10-18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CAPRICORN LOGISTICS CO., LTD.</t>
        </is>
      </c>
      <c r="AB10" s="96" t="inlineStr">
        <is>
          <t>SWAN INDUSTRIES (THAILAND) LTD.</t>
        </is>
      </c>
      <c r="AC10" s="163" t="n">
        <v>26352.65</v>
      </c>
      <c r="AD10" s="163" t="n">
        <v>46352.65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VSGN21</t>
        </is>
      </c>
      <c r="AN10" s="96" t="inlineStr">
        <is>
          <t>Nguyen Xuan Toan</t>
        </is>
      </c>
      <c r="AO10" s="96" t="inlineStr">
        <is>
          <t>EMPTY CAN (FOOD CAN)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>Pickup : 2026-10-12, Return : 2026-10-12 (1ST RETURN 11/10/26)</t>
        </is>
      </c>
      <c r="BA10" s="97" t="inlineStr">
        <is>
          <t>SERVICE NO. S21-2209099//CONTRACT NO. 327/VN26/LQ-SWAN (LOT.4)need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10" s="96" t="inlineStr">
        <is>
          <t>C</t>
        </is>
      </c>
      <c r="BC10" s="161" t="inlineStr">
        <is>
          <t>2026-09-23</t>
        </is>
      </c>
      <c r="BD10" s="161" t="inlineStr">
        <is>
          <t>2026-10-13</t>
        </is>
      </c>
      <c r="BE10" s="96" t="inlineStr">
        <is>
          <t>Y</t>
        </is>
      </c>
      <c r="BF10" s="96" t="inlineStr">
        <is>
          <t>EMPTY CAN (FOOD CAN)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BKK27</t>
        </is>
      </c>
      <c r="BL10" s="161" t="inlineStr">
        <is>
          <t>2026-10-12</t>
        </is>
      </c>
      <c r="BM10" s="127" t="n"/>
      <c r="BN10" s="127" t="n"/>
      <c r="BO10" s="127" t="n"/>
      <c r="BP10" s="127" t="n">
        <v>5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BKK01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bkk@capricornlogistics.co.th</t>
        </is>
      </c>
      <c r="CJ10" s="96" t="inlineStr">
        <is>
          <t>CAPRICORN LOGISTICS CO.,LTD.</t>
        </is>
      </c>
      <c r="CK10" s="96" t="inlineStr">
        <is>
          <t>GIA NGUYEN INT'L LOGISTICS CO., LTD</t>
        </is>
      </c>
      <c r="CL10" s="96" t="inlineStr">
        <is>
          <t>GIA NGUYEN INT'L LOGISTICS CO., LTD</t>
        </is>
      </c>
      <c r="CM10" s="97" t="inlineStr">
        <is>
          <t>CLOSED</t>
        </is>
      </c>
      <c r="CN10" s="96" t="inlineStr">
        <is>
          <t>202610121200</t>
        </is>
      </c>
      <c r="CO10" s="96" t="inlineStr">
        <is>
          <t>202610131200</t>
        </is>
      </c>
      <c r="CP10" s="97" t="n"/>
      <c r="CQ10" s="96" t="inlineStr">
        <is>
          <t>S21-2209099</t>
        </is>
      </c>
      <c r="CR10" s="96" t="inlineStr">
        <is>
          <t>TH045C</t>
        </is>
      </c>
      <c r="CS10" s="96" t="inlineStr">
        <is>
          <t>CAPRICORN LOGISTICS CO., LTD.</t>
        </is>
      </c>
      <c r="CT10" s="96" t="inlineStr">
        <is>
          <t>N</t>
        </is>
      </c>
      <c r="CU10" s="97" t="n"/>
      <c r="CV10" s="97" t="n"/>
      <c r="CW10" s="161" t="inlineStr">
        <is>
          <t>2026-10-15</t>
        </is>
      </c>
      <c r="CX10" s="97" t="inlineStr">
        <is>
          <t>731021</t>
        </is>
      </c>
      <c r="CY10" s="183" t="n"/>
    </row>
    <row r="11" ht="12" customHeight="1">
      <c r="A11" s="116" t="inlineStr">
        <is>
          <t>HASLS22260902833</t>
        </is>
      </c>
      <c r="B11" s="96" t="inlineStr">
        <is>
          <t>20'x1</t>
        </is>
      </c>
      <c r="C11" s="97" t="n">
        <v>0</v>
      </c>
      <c r="D11" s="97" t="n">
        <v>0</v>
      </c>
      <c r="E11" s="97" t="n"/>
      <c r="F11" s="97" t="n">
        <v>0</v>
      </c>
      <c r="G11" s="97" t="n">
        <v>1</v>
      </c>
      <c r="H11" s="97" t="n">
        <v>0</v>
      </c>
      <c r="I11" s="97" t="n">
        <v>0</v>
      </c>
      <c r="J11" s="97" t="n">
        <v>1</v>
      </c>
      <c r="K11" s="96" t="inlineStr">
        <is>
          <t>N</t>
        </is>
      </c>
      <c r="L11" s="96" t="inlineStr">
        <is>
          <t>KHS1</t>
        </is>
      </c>
      <c r="M11" s="96" t="inlineStr">
        <is>
          <t>SWIC</t>
        </is>
      </c>
      <c r="N11" s="96" t="inlineStr">
        <is>
          <t>2611N</t>
        </is>
      </c>
      <c r="O11" s="96" t="inlineStr">
        <is>
          <t>THBKK</t>
        </is>
      </c>
      <c r="P11" s="96" t="inlineStr">
        <is>
          <t>BKK01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VNSGN</t>
        </is>
      </c>
      <c r="T11" s="96" t="inlineStr">
        <is>
          <t>SGN03</t>
        </is>
      </c>
      <c r="U11" s="96" t="inlineStr">
        <is>
          <t>VNSGN</t>
        </is>
      </c>
      <c r="V11" s="161" t="inlineStr">
        <is>
          <t>2026-10-18</t>
        </is>
      </c>
      <c r="W11" s="96" t="inlineStr">
        <is>
          <t>IA</t>
        </is>
      </c>
      <c r="X11" s="97" t="n"/>
      <c r="Y11" s="97" t="n"/>
      <c r="Z11" s="97" t="n"/>
      <c r="AA11" s="96" t="inlineStr">
        <is>
          <t>ALL CARGO SOLUTIONS CO., LTD.</t>
        </is>
      </c>
      <c r="AB11" s="96" t="inlineStr">
        <is>
          <t>SOMPHOL BEDDING AND MATTRESS INDUSTRY CO., LTD.</t>
        </is>
      </c>
      <c r="AC11" s="163" t="n">
        <v>525</v>
      </c>
      <c r="AD11" s="163" t="n">
        <v>2725</v>
      </c>
      <c r="AE11" s="96" t="inlineStr">
        <is>
          <t>OK</t>
        </is>
      </c>
      <c r="AF11" s="96" t="inlineStr">
        <is>
          <t>SR</t>
        </is>
      </c>
      <c r="AG11" s="97" t="n"/>
      <c r="AH11" s="96" t="inlineStr">
        <is>
          <t>CHK</t>
        </is>
      </c>
      <c r="AI11" s="97" t="inlineStr">
        <is>
          <t>OK</t>
        </is>
      </c>
      <c r="AJ11" s="97" t="inlineStr">
        <is>
          <t>PAT TERMINAL 2 (PORT AUTHORITY OF THAILAND) CFS</t>
        </is>
      </c>
      <c r="AK11" s="97" t="n"/>
      <c r="AL11" s="97" t="n"/>
      <c r="AM11" s="96" t="inlineStr">
        <is>
          <t>TBKK97</t>
        </is>
      </c>
      <c r="AN11" s="96" t="inlineStr">
        <is>
          <t>Arunphat W. (Aiw)</t>
        </is>
      </c>
      <c r="AO11" s="96" t="inlineStr">
        <is>
          <t>MATTRESS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inlineStr">
        <is>
          <t>OBL</t>
        </is>
      </c>
      <c r="AZ11" s="96" t="inlineStr">
        <is>
          <t xml:space="preserve">STUFFING CARGO @PAT (SPORTLIGHT TOWER NO.2) DD.09/10/26 CLS TIME CFS DD.12/10/26 - 17:00HRS.
</t>
        </is>
      </c>
      <c r="BA11" s="97" t="n"/>
      <c r="BB11" s="96" t="inlineStr">
        <is>
          <t>P</t>
        </is>
      </c>
      <c r="BC11" s="161" t="inlineStr">
        <is>
          <t>2026-09-30</t>
        </is>
      </c>
      <c r="BD11" s="161" t="inlineStr">
        <is>
          <t>2026-10-14</t>
        </is>
      </c>
      <c r="BE11" s="96" t="inlineStr">
        <is>
          <t>Y</t>
        </is>
      </c>
      <c r="BF11" s="96" t="inlineStr">
        <is>
          <t>MATTRESS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BKK01</t>
        </is>
      </c>
      <c r="BL11" s="161" t="inlineStr">
        <is>
          <t>2026-10-09</t>
        </is>
      </c>
      <c r="BM11" s="127" t="n"/>
      <c r="BN11" s="127" t="n">
        <v>1</v>
      </c>
      <c r="BO11" s="127" t="n"/>
      <c r="BP11" s="127" t="n"/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BKK01</t>
        </is>
      </c>
      <c r="CD11" s="97" t="n"/>
      <c r="CE11" s="97" t="n"/>
      <c r="CF11" s="96" t="inlineStr">
        <is>
          <t>0 Teu</t>
        </is>
      </c>
      <c r="CG11" s="96" t="inlineStr">
        <is>
          <t>CFS/CY</t>
        </is>
      </c>
      <c r="CH11" s="97" t="n"/>
      <c r="CI11" s="96" t="inlineStr">
        <is>
          <t>sea.tha@allcargo4u.com</t>
        </is>
      </c>
      <c r="CJ11" s="96" t="inlineStr">
        <is>
          <t>ALL CARGO SOLUTIONS CO., LTD.</t>
        </is>
      </c>
      <c r="CK11" s="96" t="inlineStr">
        <is>
          <t>PEGASUS GLOBAL LOGISTICS CO.,LTD</t>
        </is>
      </c>
      <c r="CL11" s="96" t="inlineStr">
        <is>
          <t>PEGASUS GLOBAL LOGISTICS CO.,LTD</t>
        </is>
      </c>
      <c r="CM11" s="97" t="inlineStr">
        <is>
          <t>CLOSED</t>
        </is>
      </c>
      <c r="CN11" s="96" t="inlineStr">
        <is>
          <t>202610121200</t>
        </is>
      </c>
      <c r="CO11" s="96" t="inlineStr">
        <is>
          <t>202610131200</t>
        </is>
      </c>
      <c r="CP11" s="97" t="n"/>
      <c r="CQ11" s="96" t="inlineStr">
        <is>
          <t>S22-2603001</t>
        </is>
      </c>
      <c r="CR11" s="96" t="inlineStr">
        <is>
          <t>THTYMT</t>
        </is>
      </c>
      <c r="CS11" s="96" t="inlineStr">
        <is>
          <t>ALL CARGO SOLUTIONS CO., LTD.</t>
        </is>
      </c>
      <c r="CT11" s="96" t="inlineStr">
        <is>
          <t>N</t>
        </is>
      </c>
      <c r="CU11" s="97" t="n"/>
      <c r="CV11" s="97" t="n"/>
      <c r="CW11" s="161" t="inlineStr">
        <is>
          <t>2026-10-15</t>
        </is>
      </c>
      <c r="CX11" s="97" t="inlineStr">
        <is>
          <t>940320</t>
        </is>
      </c>
      <c r="CY11" s="183" t="n"/>
    </row>
    <row r="12" ht="12" customHeight="1">
      <c r="A12" s="116" t="inlineStr">
        <is>
          <t>HASLS22261000615</t>
        </is>
      </c>
      <c r="B12" s="96" t="inlineStr">
        <is>
          <t>40Hx1</t>
        </is>
      </c>
      <c r="C12" s="97" t="n">
        <v>1</v>
      </c>
      <c r="D12" s="97" t="n">
        <v>1</v>
      </c>
      <c r="E12" s="97" t="n"/>
      <c r="F12" s="97" t="n">
        <v>0</v>
      </c>
      <c r="G12" s="97" t="n">
        <v>0</v>
      </c>
      <c r="H12" s="97" t="n">
        <v>0</v>
      </c>
      <c r="I12" s="97" t="n">
        <v>1</v>
      </c>
      <c r="J12" s="97" t="n">
        <v>2</v>
      </c>
      <c r="K12" s="96" t="inlineStr">
        <is>
          <t>N</t>
        </is>
      </c>
      <c r="L12" s="96" t="inlineStr">
        <is>
          <t>KHS1</t>
        </is>
      </c>
      <c r="M12" s="96" t="inlineStr">
        <is>
          <t>SWIC</t>
        </is>
      </c>
      <c r="N12" s="96" t="inlineStr">
        <is>
          <t>2611N</t>
        </is>
      </c>
      <c r="O12" s="96" t="inlineStr">
        <is>
          <t>THBKK</t>
        </is>
      </c>
      <c r="P12" s="96" t="inlineStr">
        <is>
          <t>BKK01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2026-10-18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SDS-ACUTECH CO., LTD.</t>
        </is>
      </c>
      <c r="AB12" s="96" t="inlineStr">
        <is>
          <t>APEX CIRCUIT (THAILAND) CO., LTD.</t>
        </is>
      </c>
      <c r="AC12" s="163" t="n">
        <v>6850.84</v>
      </c>
      <c r="AD12" s="163" t="n">
        <v>10850.84</v>
      </c>
      <c r="AE12" s="96" t="inlineStr">
        <is>
          <t>OK</t>
        </is>
      </c>
      <c r="AF12" s="96" t="inlineStr">
        <is>
          <t>SR</t>
        </is>
      </c>
      <c r="AG12" s="97" t="n"/>
      <c r="AH12" s="96" t="inlineStr">
        <is>
          <t>CHK</t>
        </is>
      </c>
      <c r="AI12" s="97" t="n"/>
      <c r="AJ12" s="97" t="n"/>
      <c r="AK12" s="97" t="n"/>
      <c r="AL12" s="97" t="n"/>
      <c r="AM12" s="96" t="inlineStr">
        <is>
          <t>390011</t>
        </is>
      </c>
      <c r="AN12" s="96" t="inlineStr">
        <is>
          <t>LEE SEUNG MIN</t>
        </is>
      </c>
      <c r="AO12" s="96" t="inlineStr">
        <is>
          <t>PRINTED CIRCUIT BOARD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n"/>
      <c r="AZ12" s="96" t="inlineStr">
        <is>
          <t>Pickup : 2026-10-12, Return : 2026-10-12 
CLS TIME DD.13/10/2026 @ 17.00</t>
        </is>
      </c>
      <c r="BA12" s="97" t="inlineStr">
        <is>
          <t>FM KUS 2616N BY K.MILD 09/10HS code : 853400SC : SDS2026GMT</t>
        </is>
      </c>
      <c r="BB12" s="96" t="inlineStr">
        <is>
          <t>C</t>
        </is>
      </c>
      <c r="BC12" s="161" t="inlineStr">
        <is>
          <t>2026-10-07</t>
        </is>
      </c>
      <c r="BD12" s="161" t="inlineStr">
        <is>
          <t>2026-10-14</t>
        </is>
      </c>
      <c r="BE12" s="96" t="inlineStr">
        <is>
          <t>Y</t>
        </is>
      </c>
      <c r="BF12" s="96" t="inlineStr">
        <is>
          <t>PRINTED CIRCUIT BOARD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BKK27</t>
        </is>
      </c>
      <c r="BL12" s="161" t="inlineStr">
        <is>
          <t>2026-10-12</t>
        </is>
      </c>
      <c r="BM12" s="127" t="n"/>
      <c r="BN12" s="127" t="n"/>
      <c r="BO12" s="127" t="n"/>
      <c r="BP12" s="127" t="n">
        <v>1</v>
      </c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BKK01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sapanna.t@partner.samsung.com;cello-expth@partner.samsung.com</t>
        </is>
      </c>
      <c r="CJ12" s="96" t="inlineStr">
        <is>
          <t>APEX CIRCUIT (THAILAND) CO.,LTD.</t>
        </is>
      </c>
      <c r="CK12" s="96" t="inlineStr">
        <is>
          <t>SAMSUNG ELECTRONICS HCMC CE COMPLEX</t>
        </is>
      </c>
      <c r="CL12" s="96" t="inlineStr">
        <is>
          <t>SAMSUNG SDS VIETNAM CO., LTD -</t>
        </is>
      </c>
      <c r="CM12" s="97" t="n"/>
      <c r="CN12" s="96" t="inlineStr">
        <is>
          <t>202610121200</t>
        </is>
      </c>
      <c r="CO12" s="96" t="inlineStr">
        <is>
          <t>202610131200</t>
        </is>
      </c>
      <c r="CP12" s="97" t="n"/>
      <c r="CQ12" s="96" t="inlineStr">
        <is>
          <t>SDS2026GMT</t>
        </is>
      </c>
      <c r="CR12" s="96" t="inlineStr">
        <is>
          <t>THTIER</t>
        </is>
      </c>
      <c r="CS12" s="96" t="inlineStr">
        <is>
          <t>SDS-ACUTECH CO., LTD.</t>
        </is>
      </c>
      <c r="CT12" s="96" t="inlineStr">
        <is>
          <t>N</t>
        </is>
      </c>
      <c r="CU12" s="97" t="n"/>
      <c r="CV12" s="97" t="n"/>
      <c r="CW12" s="161" t="inlineStr">
        <is>
          <t>2026-10-15</t>
        </is>
      </c>
      <c r="CX12" s="97" t="inlineStr">
        <is>
          <t>853400</t>
        </is>
      </c>
      <c r="CY12" s="183" t="n"/>
    </row>
    <row r="13" ht="12" customHeight="1">
      <c r="A13" s="116" t="inlineStr">
        <is>
          <t>HASLS22260901595</t>
        </is>
      </c>
      <c r="B13" s="96" t="inlineStr">
        <is>
          <t>20'x2</t>
        </is>
      </c>
      <c r="C13" s="97" t="n">
        <v>2</v>
      </c>
      <c r="D13" s="97" t="n">
        <v>2</v>
      </c>
      <c r="E13" s="97" t="n"/>
      <c r="F13" s="97" t="n">
        <v>0</v>
      </c>
      <c r="G13" s="97" t="n">
        <v>2</v>
      </c>
      <c r="H13" s="97" t="n">
        <v>0</v>
      </c>
      <c r="I13" s="97" t="n">
        <v>0</v>
      </c>
      <c r="J13" s="97" t="n">
        <v>2</v>
      </c>
      <c r="K13" s="96" t="inlineStr">
        <is>
          <t>N</t>
        </is>
      </c>
      <c r="L13" s="96" t="inlineStr">
        <is>
          <t>KHS1</t>
        </is>
      </c>
      <c r="M13" s="96" t="inlineStr">
        <is>
          <t>SWIC</t>
        </is>
      </c>
      <c r="N13" s="96" t="inlineStr">
        <is>
          <t>2611N</t>
        </is>
      </c>
      <c r="O13" s="96" t="inlineStr">
        <is>
          <t>THBKK</t>
        </is>
      </c>
      <c r="P13" s="96" t="inlineStr">
        <is>
          <t>BKK01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VNSGN</t>
        </is>
      </c>
      <c r="T13" s="96" t="inlineStr">
        <is>
          <t>SGN03</t>
        </is>
      </c>
      <c r="U13" s="96" t="inlineStr">
        <is>
          <t>VNSGN</t>
        </is>
      </c>
      <c r="V13" s="161" t="inlineStr">
        <is>
          <t>2026-10-18</t>
        </is>
      </c>
      <c r="W13" s="96" t="inlineStr">
        <is>
          <t>IA</t>
        </is>
      </c>
      <c r="X13" s="97" t="n"/>
      <c r="Y13" s="97" t="n"/>
      <c r="Z13" s="97" t="n"/>
      <c r="AA13" s="96" t="inlineStr">
        <is>
          <t>C.P. INTERTRADE CO., LTD.</t>
        </is>
      </c>
      <c r="AB13" s="96" t="inlineStr">
        <is>
          <t>CHAROEN POKPHAND PRODUCE CO., LTD.</t>
        </is>
      </c>
      <c r="AC13" s="163" t="n">
        <v>40400</v>
      </c>
      <c r="AD13" s="163" t="n">
        <v>44800</v>
      </c>
      <c r="AE13" s="96" t="inlineStr">
        <is>
          <t>OK</t>
        </is>
      </c>
      <c r="AF13" s="96" t="inlineStr">
        <is>
          <t>SR</t>
        </is>
      </c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TBKK55</t>
        </is>
      </c>
      <c r="AN13" s="96" t="inlineStr">
        <is>
          <t>Vilaiporn</t>
        </is>
      </c>
      <c r="AO13" s="96" t="inlineStr">
        <is>
          <t>CORN SEEDS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 xml:space="preserve">Pickup : 2026-10-10, Return : 2026-10-12 </t>
        </is>
      </c>
      <c r="BA13" s="97" t="inlineStr">
        <is>
          <t xml:space="preserve">NOT ACCEPT ROLL OVER 
FM 5X20'GP DD 05/10 REDUCE VOL TO BE: 2X20'D (20,200KG) REQ CLEAN AND GOOD CONTAINER GRADE A NOT ACCEPT ROLL OVER </t>
        </is>
      </c>
      <c r="BB13" s="96" t="inlineStr">
        <is>
          <t>P</t>
        </is>
      </c>
      <c r="BC13" s="161" t="inlineStr">
        <is>
          <t>2026-09-17</t>
        </is>
      </c>
      <c r="BD13" s="161" t="inlineStr">
        <is>
          <t>2026-10-05</t>
        </is>
      </c>
      <c r="BE13" s="96" t="inlineStr">
        <is>
          <t>Y</t>
        </is>
      </c>
      <c r="BF13" s="96" t="inlineStr">
        <is>
          <t>CORN SEEDS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BKK25</t>
        </is>
      </c>
      <c r="BL13" s="161" t="inlineStr">
        <is>
          <t>2026-10-10</t>
        </is>
      </c>
      <c r="BM13" s="127" t="n"/>
      <c r="BN13" s="127" t="n">
        <v>2</v>
      </c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/>
      <c r="CA13" s="96" t="inlineStr">
        <is>
          <t>Y</t>
        </is>
      </c>
      <c r="CB13" s="97" t="n"/>
      <c r="CC13" s="96" t="inlineStr">
        <is>
          <t>BKK01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7" t="n"/>
      <c r="CI13" s="96" t="inlineStr">
        <is>
          <t>kanisorn.khu@cpintertrade.com;ornuma.sum@cpintertrade.com;kodchaphon.art@cpintertrade.com</t>
        </is>
      </c>
      <c r="CJ13" s="96" t="inlineStr">
        <is>
          <t>CHAROEN POKPHAND PRODUCE CO.,LTD.</t>
        </is>
      </c>
      <c r="CK13" s="96" t="inlineStr">
        <is>
          <t>C.P.SEEDS (VIETNAM) CO.,LTD.</t>
        </is>
      </c>
      <c r="CL13" s="96" t="inlineStr">
        <is>
          <t>C.P.SEEDS (VIETNAM) CO.,LTD.</t>
        </is>
      </c>
      <c r="CM13" s="97" t="inlineStr">
        <is>
          <t>CLOSED</t>
        </is>
      </c>
      <c r="CN13" s="96" t="inlineStr">
        <is>
          <t>202610121200</t>
        </is>
      </c>
      <c r="CO13" s="96" t="inlineStr">
        <is>
          <t>202610131200</t>
        </is>
      </c>
      <c r="CP13" s="97" t="n"/>
      <c r="CQ13" s="96" t="inlineStr">
        <is>
          <t>S19-2308018</t>
        </is>
      </c>
      <c r="CR13" s="96" t="inlineStr">
        <is>
          <t>THTQ0T</t>
        </is>
      </c>
      <c r="CS13" s="96" t="inlineStr">
        <is>
          <t>C.P. INTERTRADE CO., LTD.</t>
        </is>
      </c>
      <c r="CT13" s="96" t="inlineStr">
        <is>
          <t>N</t>
        </is>
      </c>
      <c r="CU13" s="97" t="n"/>
      <c r="CV13" s="97" t="n"/>
      <c r="CW13" s="161" t="inlineStr">
        <is>
          <t>2026-10-15</t>
        </is>
      </c>
      <c r="CX13" s="97" t="inlineStr">
        <is>
          <t>100510</t>
        </is>
      </c>
      <c r="CY13" s="183" t="n"/>
    </row>
    <row r="14" ht="12" customHeight="1">
      <c r="A14" s="116" t="inlineStr">
        <is>
          <t>HASLS22260902262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KHS1</t>
        </is>
      </c>
      <c r="M14" s="96" t="inlineStr">
        <is>
          <t>SWIC</t>
        </is>
      </c>
      <c r="N14" s="96" t="inlineStr">
        <is>
          <t>2611N</t>
        </is>
      </c>
      <c r="O14" s="96" t="inlineStr">
        <is>
          <t>THBKK</t>
        </is>
      </c>
      <c r="P14" s="96" t="inlineStr">
        <is>
          <t>BKK01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JPSMZ</t>
        </is>
      </c>
      <c r="T14" s="96" t="inlineStr">
        <is>
          <t>SMZ01</t>
        </is>
      </c>
      <c r="U14" s="96" t="inlineStr">
        <is>
          <t>JPSMZ</t>
        </is>
      </c>
      <c r="V14" s="161" t="inlineStr">
        <is>
          <t>2026-10-31</t>
        </is>
      </c>
      <c r="W14" s="96" t="inlineStr">
        <is>
          <t>JP</t>
        </is>
      </c>
      <c r="X14" s="97" t="n"/>
      <c r="Y14" s="97" t="inlineStr">
        <is>
          <t>PUS05</t>
        </is>
      </c>
      <c r="Z14" s="97" t="inlineStr">
        <is>
          <t>KRPUS</t>
        </is>
      </c>
      <c r="AA14" s="96" t="inlineStr">
        <is>
          <t>SCAN GLOBAL LOGISTICS CO., LTD.</t>
        </is>
      </c>
      <c r="AB14" s="96" t="inlineStr">
        <is>
          <t>ASIA STAINLESS STEEL CO.,LTD.</t>
        </is>
      </c>
      <c r="AC14" s="163" t="n">
        <v>3168.64</v>
      </c>
      <c r="AD14" s="163" t="n">
        <v>5368.64</v>
      </c>
      <c r="AE14" s="96" t="inlineStr">
        <is>
          <t>OK</t>
        </is>
      </c>
      <c r="AF14" s="96" t="n"/>
      <c r="AG14" s="97" t="n"/>
      <c r="AH14" s="96" t="inlineStr">
        <is>
          <t>CON</t>
        </is>
      </c>
      <c r="AI14" s="97" t="inlineStr">
        <is>
          <t>OK</t>
        </is>
      </c>
      <c r="AJ14" s="97" t="n"/>
      <c r="AK14" s="97" t="n"/>
      <c r="AL14" s="97" t="n"/>
      <c r="AM14" s="96" t="inlineStr">
        <is>
          <t>TBKK97</t>
        </is>
      </c>
      <c r="AN14" s="96" t="inlineStr">
        <is>
          <t>Arunphat W. (Aiw)</t>
        </is>
      </c>
      <c r="AO14" s="96" t="inlineStr">
        <is>
          <t>CHAMBORD</t>
        </is>
      </c>
      <c r="AP14" s="96" t="inlineStr">
        <is>
          <t>T/S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inlineStr">
        <is>
          <t>OBL</t>
        </is>
      </c>
      <c r="AZ14" s="96" t="inlineStr">
        <is>
          <t xml:space="preserve">Pickup : 2026-10-09, Return : 2026-10-11 </t>
        </is>
      </c>
      <c r="BA14" s="97" t="inlineStr">
        <is>
          <t xml:space="preserve">FM POL LCH DD 24/09 </t>
        </is>
      </c>
      <c r="BB14" s="96" t="inlineStr">
        <is>
          <t>P</t>
        </is>
      </c>
      <c r="BC14" s="161" t="inlineStr">
        <is>
          <t>2026-09-24</t>
        </is>
      </c>
      <c r="BD14" s="161" t="inlineStr">
        <is>
          <t>2026-10-09</t>
        </is>
      </c>
      <c r="BE14" s="96" t="inlineStr">
        <is>
          <t>Y</t>
        </is>
      </c>
      <c r="BF14" s="96" t="inlineStr">
        <is>
          <t>COFFEE MAKER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BKK27</t>
        </is>
      </c>
      <c r="BL14" s="161" t="inlineStr">
        <is>
          <t>2026-10-09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>
        <v>4</v>
      </c>
      <c r="CA14" s="96" t="inlineStr">
        <is>
          <t>Y</t>
        </is>
      </c>
      <c r="CB14" s="97" t="n"/>
      <c r="CC14" s="96" t="inlineStr">
        <is>
          <t>BKK01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inlineStr">
        <is>
          <t>POL: THBKK [SWIC/2611N]; T/S(1st): KRPUS [PCSS/2635E]; POD: JPSMZ [/]</t>
        </is>
      </c>
      <c r="CI14" s="96" t="inlineStr">
        <is>
          <t>seaexp.bkk@scangl.com</t>
        </is>
      </c>
      <c r="CJ14" s="96" t="inlineStr">
        <is>
          <t>SCAN GLOBAL LOGISTICS CO.,LTD</t>
        </is>
      </c>
      <c r="CK14" s="96" t="inlineStr">
        <is>
          <t>SCAN GLOBAL LOGISTICS K.K.</t>
        </is>
      </c>
      <c r="CL14" s="96" t="inlineStr">
        <is>
          <t>SCAN GLOBAL LOGISTICS K.K.</t>
        </is>
      </c>
      <c r="CM14" s="97" t="inlineStr">
        <is>
          <t>CLOSED</t>
        </is>
      </c>
      <c r="CN14" s="96" t="inlineStr">
        <is>
          <t>202610121200</t>
        </is>
      </c>
      <c r="CO14" s="96" t="inlineStr">
        <is>
          <t>202610131200</t>
        </is>
      </c>
      <c r="CP14" s="97" t="n"/>
      <c r="CQ14" s="96" t="inlineStr">
        <is>
          <t>S22-2503004</t>
        </is>
      </c>
      <c r="CR14" s="96" t="inlineStr">
        <is>
          <t>THTIB9</t>
        </is>
      </c>
      <c r="CS14" s="96" t="inlineStr">
        <is>
          <t>SCAN GLOBAL LOGISTICS CO., LTD.</t>
        </is>
      </c>
      <c r="CT14" s="96" t="inlineStr">
        <is>
          <t>N</t>
        </is>
      </c>
      <c r="CU14" s="97" t="n"/>
      <c r="CV14" s="97" t="n"/>
      <c r="CW14" s="161" t="inlineStr">
        <is>
          <t>2026-10-15</t>
        </is>
      </c>
      <c r="CX14" s="97" t="inlineStr">
        <is>
          <t>821000</t>
        </is>
      </c>
      <c r="CY14" s="183" t="n"/>
    </row>
    <row r="15" ht="12" customHeight="1">
      <c r="A15" s="116" t="inlineStr">
        <is>
          <t>HASLS22260900557</t>
        </is>
      </c>
      <c r="B15" s="96" t="inlineStr">
        <is>
          <t>20'x1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1</v>
      </c>
      <c r="H15" s="97" t="n">
        <v>0</v>
      </c>
      <c r="I15" s="97" t="n">
        <v>0</v>
      </c>
      <c r="J15" s="97" t="n">
        <v>1</v>
      </c>
      <c r="K15" s="96" t="inlineStr">
        <is>
          <t>N</t>
        </is>
      </c>
      <c r="L15" s="96" t="inlineStr">
        <is>
          <t>KHS1</t>
        </is>
      </c>
      <c r="M15" s="96" t="inlineStr">
        <is>
          <t>SWIC</t>
        </is>
      </c>
      <c r="N15" s="96" t="inlineStr">
        <is>
          <t>2611N</t>
        </is>
      </c>
      <c r="O15" s="96" t="inlineStr">
        <is>
          <t>THBKK</t>
        </is>
      </c>
      <c r="P15" s="96" t="inlineStr">
        <is>
          <t>BKK01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JPKIJ</t>
        </is>
      </c>
      <c r="T15" s="96" t="inlineStr">
        <is>
          <t>KIJ01</t>
        </is>
      </c>
      <c r="U15" s="96" t="inlineStr">
        <is>
          <t>JPKIJ</t>
        </is>
      </c>
      <c r="V15" s="161" t="inlineStr">
        <is>
          <t>2026-11-02</t>
        </is>
      </c>
      <c r="W15" s="96" t="inlineStr">
        <is>
          <t>JP</t>
        </is>
      </c>
      <c r="X15" s="97" t="n"/>
      <c r="Y15" s="97" t="inlineStr">
        <is>
          <t>PUS05</t>
        </is>
      </c>
      <c r="Z15" s="97" t="inlineStr">
        <is>
          <t>KRPUS</t>
        </is>
      </c>
      <c r="AA15" s="96" t="inlineStr">
        <is>
          <t>GENERAL FOOD PRODUCTS CO., LTD.</t>
        </is>
      </c>
      <c r="AB15" s="96" t="inlineStr">
        <is>
          <t>GENERAL FOOD PRODUCTS CO., LTD.</t>
        </is>
      </c>
      <c r="AC15" s="163" t="n">
        <v>17266</v>
      </c>
      <c r="AD15" s="163" t="n">
        <v>19466</v>
      </c>
      <c r="AE15" s="96" t="inlineStr">
        <is>
          <t>OK</t>
        </is>
      </c>
      <c r="AF15" s="96" t="n"/>
      <c r="AG15" s="97" t="n"/>
      <c r="AH15" s="96" t="inlineStr">
        <is>
          <t>CHK</t>
        </is>
      </c>
      <c r="AI15" s="97" t="inlineStr">
        <is>
          <t>OK</t>
        </is>
      </c>
      <c r="AJ15" s="97" t="n"/>
      <c r="AK15" s="97" t="n"/>
      <c r="AL15" s="97" t="n"/>
      <c r="AM15" s="96" t="inlineStr">
        <is>
          <t>TBKK55</t>
        </is>
      </c>
      <c r="AN15" s="96" t="inlineStr">
        <is>
          <t>Vilaiporn</t>
        </is>
      </c>
      <c r="AO15" s="96" t="inlineStr">
        <is>
          <t>GLUTINOUS RICE MIX FLOUR</t>
        </is>
      </c>
      <c r="AP15" s="96" t="inlineStr">
        <is>
          <t>T/S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2026-10-10, Return : 2026-10-13</t>
        </is>
      </c>
      <c r="BA15" s="97" t="inlineStr">
        <is>
          <t xml:space="preserve">[Split] - HASLS22260901896
FM DJCF 0152N BY HAL DD.28/09
FM 4X20'GP DD 01/10 </t>
        </is>
      </c>
      <c r="BB15" s="96" t="inlineStr">
        <is>
          <t>P</t>
        </is>
      </c>
      <c r="BC15" s="161" t="inlineStr">
        <is>
          <t>2026-09-07</t>
        </is>
      </c>
      <c r="BD15" s="161" t="inlineStr">
        <is>
          <t>2026-10-12</t>
        </is>
      </c>
      <c r="BE15" s="96" t="inlineStr">
        <is>
          <t>Y</t>
        </is>
      </c>
      <c r="BF15" s="96" t="inlineStr">
        <is>
          <t>FLOURS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BKK25</t>
        </is>
      </c>
      <c r="BL15" s="161" t="inlineStr">
        <is>
          <t>2026-10-10</t>
        </is>
      </c>
      <c r="BM15" s="127" t="n"/>
      <c r="BN15" s="127" t="n">
        <v>1</v>
      </c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>
        <v>5</v>
      </c>
      <c r="CA15" s="96" t="inlineStr">
        <is>
          <t>Y</t>
        </is>
      </c>
      <c r="CB15" s="97" t="n"/>
      <c r="CC15" s="96" t="inlineStr">
        <is>
          <t>BKK01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7" t="inlineStr">
        <is>
          <t>POL: THBKK [SWIC/2611N]; T/S(1st): KRPUS [PSUN/2617E]; POD: JPKIJ [/]</t>
        </is>
      </c>
      <c r="CI15" s="96" t="inlineStr">
        <is>
          <t>banyong@generalfood.co.th;usana@generalfood.co.th;export@generalfood.co.th</t>
        </is>
      </c>
      <c r="CJ15" s="96" t="inlineStr">
        <is>
          <t>GENERAL FOOD PRODUCTS CO., LTD.</t>
        </is>
      </c>
      <c r="CK15" s="96" t="inlineStr">
        <is>
          <t>GFM JAPAN CO., LTD.</t>
        </is>
      </c>
      <c r="CL15" s="96" t="inlineStr">
        <is>
          <t>GFM JAPAN CO., LTD.</t>
        </is>
      </c>
      <c r="CM15" s="97" t="inlineStr">
        <is>
          <t>CLOSED</t>
        </is>
      </c>
      <c r="CN15" s="96" t="inlineStr">
        <is>
          <t>202610121200</t>
        </is>
      </c>
      <c r="CO15" s="96" t="inlineStr">
        <is>
          <t>202610131200</t>
        </is>
      </c>
      <c r="CP15" s="97" t="n"/>
      <c r="CQ15" s="96" t="inlineStr">
        <is>
          <t>S19-2512001</t>
        </is>
      </c>
      <c r="CR15" s="96" t="inlineStr">
        <is>
          <t>X0827</t>
        </is>
      </c>
      <c r="CS15" s="96" t="inlineStr">
        <is>
          <t>GENERAL FOOD PRODUCTS CO., LTD.</t>
        </is>
      </c>
      <c r="CT15" s="96" t="inlineStr">
        <is>
          <t>Y</t>
        </is>
      </c>
      <c r="CU15" s="97" t="n"/>
      <c r="CV15" s="97" t="n"/>
      <c r="CW15" s="161" t="inlineStr">
        <is>
          <t>2026-10-15</t>
        </is>
      </c>
      <c r="CX15" s="97" t="inlineStr">
        <is>
          <t>110290</t>
        </is>
      </c>
      <c r="CY15" s="183" t="n"/>
    </row>
    <row r="16" ht="12" customHeight="1">
      <c r="A16" s="116" t="inlineStr">
        <is>
          <t>HASLS22260900218</t>
        </is>
      </c>
      <c r="B16" s="96" t="inlineStr">
        <is>
          <t>40Hx6</t>
        </is>
      </c>
      <c r="C16" s="97" t="n">
        <v>6</v>
      </c>
      <c r="D16" s="97" t="n">
        <v>6</v>
      </c>
      <c r="E16" s="97" t="n"/>
      <c r="F16" s="97" t="n">
        <v>0</v>
      </c>
      <c r="G16" s="97" t="n">
        <v>0</v>
      </c>
      <c r="H16" s="97" t="n">
        <v>0</v>
      </c>
      <c r="I16" s="97" t="n">
        <v>6</v>
      </c>
      <c r="J16" s="97" t="n">
        <v>12</v>
      </c>
      <c r="K16" s="96" t="inlineStr">
        <is>
          <t>N</t>
        </is>
      </c>
      <c r="L16" s="96" t="inlineStr">
        <is>
          <t>KHS1</t>
        </is>
      </c>
      <c r="M16" s="96" t="inlineStr">
        <is>
          <t>SWIC</t>
        </is>
      </c>
      <c r="N16" s="96" t="inlineStr">
        <is>
          <t>2611N</t>
        </is>
      </c>
      <c r="O16" s="96" t="inlineStr">
        <is>
          <t>THBKK</t>
        </is>
      </c>
      <c r="P16" s="96" t="inlineStr">
        <is>
          <t>BKK01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KRPUS</t>
        </is>
      </c>
      <c r="T16" s="96" t="inlineStr">
        <is>
          <t>PUS05</t>
        </is>
      </c>
      <c r="U16" s="96" t="inlineStr">
        <is>
          <t>KRPUS</t>
        </is>
      </c>
      <c r="V16" s="161" t="inlineStr">
        <is>
          <t>2026-10-25</t>
        </is>
      </c>
      <c r="W16" s="96" t="inlineStr">
        <is>
          <t>KR</t>
        </is>
      </c>
      <c r="X16" s="97" t="n"/>
      <c r="Y16" s="97" t="n"/>
      <c r="Z16" s="97" t="n"/>
      <c r="AA16" s="96" t="inlineStr">
        <is>
          <t>HARPERS SEA FREIGHT CO., LTD.</t>
        </is>
      </c>
      <c r="AB16" s="96" t="inlineStr">
        <is>
          <t>THAI ASAHI CO., LTD.</t>
        </is>
      </c>
      <c r="AC16" s="163" t="n">
        <v>145992</v>
      </c>
      <c r="AD16" s="163" t="n">
        <v>169992</v>
      </c>
      <c r="AE16" s="96" t="inlineStr">
        <is>
          <t>OK</t>
        </is>
      </c>
      <c r="AF16" s="96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TBKK28</t>
        </is>
      </c>
      <c r="AN16" s="96" t="inlineStr">
        <is>
          <t>Nustsireerach</t>
        </is>
      </c>
      <c r="AO16" s="96" t="inlineStr">
        <is>
          <t>ALPHA POTATO STARCH</t>
        </is>
      </c>
      <c r="AP16" s="96" t="inlineStr">
        <is>
          <t>Normal</t>
        </is>
      </c>
      <c r="AQ16" s="97" t="n"/>
      <c r="AR16" s="97" t="n"/>
      <c r="AS16" s="97" t="n"/>
      <c r="AT16" s="97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Pickup : 2026-10-03, Return : 2026-10-10</t>
        </is>
      </c>
      <c r="BA16" s="97" t="inlineStr">
        <is>
          <t>FM DJCF 0152N BY HAL DD.25/09
FM KRKAN , 5x40 HQ BY K.NAN DD.25/09</t>
        </is>
      </c>
      <c r="BB16" s="96" t="inlineStr">
        <is>
          <t>P</t>
        </is>
      </c>
      <c r="BC16" s="161" t="inlineStr">
        <is>
          <t>2026-09-02</t>
        </is>
      </c>
      <c r="BD16" s="161" t="inlineStr">
        <is>
          <t>2026-10-14</t>
        </is>
      </c>
      <c r="BE16" s="96" t="inlineStr">
        <is>
          <t>Y</t>
        </is>
      </c>
      <c r="BF16" s="96" t="inlineStr">
        <is>
          <t xml:space="preserve">POTATO STARCH 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BKK27</t>
        </is>
      </c>
      <c r="BL16" s="161" t="inlineStr">
        <is>
          <t>2026-10-03</t>
        </is>
      </c>
      <c r="BM16" s="127" t="n"/>
      <c r="BN16" s="127" t="n"/>
      <c r="BO16" s="127" t="n"/>
      <c r="BP16" s="127" t="n">
        <v>6</v>
      </c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/>
      <c r="CA16" s="96" t="inlineStr">
        <is>
          <t>Y</t>
        </is>
      </c>
      <c r="CB16" s="97" t="n"/>
      <c r="CC16" s="96" t="inlineStr">
        <is>
          <t>BKK01</t>
        </is>
      </c>
      <c r="CD16" s="97" t="n"/>
      <c r="CE16" s="97" t="n"/>
      <c r="CF16" s="96" t="inlineStr">
        <is>
          <t>0 Teu</t>
        </is>
      </c>
      <c r="CG16" s="96" t="inlineStr">
        <is>
          <t>CY/CY</t>
        </is>
      </c>
      <c r="CH16" s="97" t="n"/>
      <c r="CI16" s="96" t="inlineStr">
        <is>
          <t>wannipa@harpers.co.th</t>
        </is>
      </c>
      <c r="CJ16" s="96" t="inlineStr">
        <is>
          <t>THAI ASAHI CO.,LTD.</t>
        </is>
      </c>
      <c r="CK16" s="96" t="inlineStr">
        <is>
          <t>WOO SUNG FEED CO., LTD.</t>
        </is>
      </c>
      <c r="CL16" s="96" t="inlineStr">
        <is>
          <t>WOO SUNG FEED CO., LTD.</t>
        </is>
      </c>
      <c r="CM16" s="97" t="inlineStr">
        <is>
          <t>CLOSED</t>
        </is>
      </c>
      <c r="CN16" s="96" t="inlineStr">
        <is>
          <t>202610121200</t>
        </is>
      </c>
      <c r="CO16" s="96" t="inlineStr">
        <is>
          <t>202610131200</t>
        </is>
      </c>
      <c r="CP16" s="97" t="n"/>
      <c r="CQ16" s="96" t="inlineStr">
        <is>
          <t>S19-1910171</t>
        </is>
      </c>
      <c r="CR16" s="96" t="inlineStr">
        <is>
          <t>BB0030</t>
        </is>
      </c>
      <c r="CS16" s="96" t="inlineStr">
        <is>
          <t>HARPERS SEA FREIGHT CO., LTD.</t>
        </is>
      </c>
      <c r="CT16" s="96" t="inlineStr">
        <is>
          <t>N</t>
        </is>
      </c>
      <c r="CU16" s="97" t="n"/>
      <c r="CV16" s="97" t="n"/>
      <c r="CW16" s="161" t="inlineStr">
        <is>
          <t>2026-10-14</t>
        </is>
      </c>
      <c r="CX16" s="97" t="n"/>
      <c r="CY16" s="183" t="n"/>
    </row>
    <row r="17" ht="12" customHeight="1">
      <c r="A17" s="116" t="inlineStr">
        <is>
          <t>HASLS22260901303</t>
        </is>
      </c>
      <c r="B17" s="96" t="inlineStr">
        <is>
          <t>40Hx2</t>
        </is>
      </c>
      <c r="C17" s="97" t="n">
        <v>2</v>
      </c>
      <c r="D17" s="97" t="n">
        <v>2</v>
      </c>
      <c r="E17" s="97" t="n"/>
      <c r="F17" s="97" t="n">
        <v>0</v>
      </c>
      <c r="G17" s="97" t="n">
        <v>0</v>
      </c>
      <c r="H17" s="97" t="n">
        <v>0</v>
      </c>
      <c r="I17" s="97" t="n">
        <v>2</v>
      </c>
      <c r="J17" s="97" t="n">
        <v>4</v>
      </c>
      <c r="K17" s="96" t="inlineStr">
        <is>
          <t>N</t>
        </is>
      </c>
      <c r="L17" s="96" t="inlineStr">
        <is>
          <t>KHS1</t>
        </is>
      </c>
      <c r="M17" s="96" t="inlineStr">
        <is>
          <t>SWIC</t>
        </is>
      </c>
      <c r="N17" s="96" t="inlineStr">
        <is>
          <t>2611N</t>
        </is>
      </c>
      <c r="O17" s="96" t="inlineStr">
        <is>
          <t>THBKK</t>
        </is>
      </c>
      <c r="P17" s="96" t="inlineStr">
        <is>
          <t>BKK01</t>
        </is>
      </c>
      <c r="Q17" s="96" t="inlineStr">
        <is>
          <t>IA</t>
        </is>
      </c>
      <c r="R17" s="161" t="inlineStr">
        <is>
          <t>2026-10-16</t>
        </is>
      </c>
      <c r="S17" s="96" t="inlineStr">
        <is>
          <t>JPIMI</t>
        </is>
      </c>
      <c r="T17" s="96" t="inlineStr">
        <is>
          <t>IMI01</t>
        </is>
      </c>
      <c r="U17" s="96" t="inlineStr">
        <is>
          <t>JPIMI</t>
        </is>
      </c>
      <c r="V17" s="161" t="inlineStr">
        <is>
          <t>2026-11-05</t>
        </is>
      </c>
      <c r="W17" s="96" t="inlineStr">
        <is>
          <t>JP</t>
        </is>
      </c>
      <c r="X17" s="97" t="n"/>
      <c r="Y17" s="97" t="inlineStr">
        <is>
          <t>PUS05</t>
        </is>
      </c>
      <c r="Z17" s="97" t="inlineStr">
        <is>
          <t>KRPUS</t>
        </is>
      </c>
      <c r="AA17" s="96" t="inlineStr">
        <is>
          <t>WOODWORKS THAI CO., LTD. (1980)</t>
        </is>
      </c>
      <c r="AB17" s="96" t="inlineStr">
        <is>
          <t>WOODWORKS THAI CO., LTD. (1980)</t>
        </is>
      </c>
      <c r="AC17" s="163" t="n">
        <v>21240</v>
      </c>
      <c r="AD17" s="163" t="n">
        <v>29240</v>
      </c>
      <c r="AE17" s="96" t="inlineStr">
        <is>
          <t>OK</t>
        </is>
      </c>
      <c r="AF17" s="96" t="inlineStr">
        <is>
          <t>SR</t>
        </is>
      </c>
      <c r="AG17" s="97" t="n"/>
      <c r="AH17" s="96" t="inlineStr">
        <is>
          <t>CHK</t>
        </is>
      </c>
      <c r="AI17" s="97" t="inlineStr">
        <is>
          <t>OK</t>
        </is>
      </c>
      <c r="AJ17" s="97" t="n"/>
      <c r="AK17" s="97" t="n"/>
      <c r="AL17" s="97" t="n"/>
      <c r="AM17" s="96" t="inlineStr">
        <is>
          <t>JMOJ04</t>
        </is>
      </c>
      <c r="AN17" s="96" t="inlineStr">
        <is>
          <t>Hiroaki Tamura</t>
        </is>
      </c>
      <c r="AO17" s="96" t="inlineStr">
        <is>
          <t>FURNITURE (STUDY DESK)</t>
        </is>
      </c>
      <c r="AP17" s="96" t="inlineStr">
        <is>
          <t>T/S</t>
        </is>
      </c>
      <c r="AQ17" s="97" t="n"/>
      <c r="AR17" s="97" t="n"/>
      <c r="AS17" s="97" t="n"/>
      <c r="AT17" s="97" t="n"/>
      <c r="AU17" s="97" t="n"/>
      <c r="AV17" s="97" t="n"/>
      <c r="AW17" s="97" t="n">
        <v>0</v>
      </c>
      <c r="AX17" s="96" t="inlineStr">
        <is>
          <t>N</t>
        </is>
      </c>
      <c r="AY17" s="97" t="inlineStr">
        <is>
          <t>OBL</t>
        </is>
      </c>
      <c r="AZ17" s="96" t="inlineStr">
        <is>
          <t>Pickup : 2026-10-10, Return : 2026-10-10 = 1X40HQ
Pickup : 2026-10-12, Return : 2026-10-12 = 1X40HQ</t>
        </is>
      </c>
      <c r="BA17" s="97" t="inlineStr">
        <is>
          <t>FM SWMM 2610N 02/10CY-RTN : 10-10/10/2026 = 1X40HCCY-RTN : 12-12/10/2026 = 1X40HC</t>
        </is>
      </c>
      <c r="BB17" s="96" t="inlineStr">
        <is>
          <t>C</t>
        </is>
      </c>
      <c r="BC17" s="161" t="inlineStr">
        <is>
          <t>2026-09-15</t>
        </is>
      </c>
      <c r="BD17" s="161" t="inlineStr">
        <is>
          <t>2026-10-15</t>
        </is>
      </c>
      <c r="BE17" s="96" t="inlineStr">
        <is>
          <t>Y</t>
        </is>
      </c>
      <c r="BF17" s="96" t="inlineStr">
        <is>
          <t>FURNITURE (STUDY DESK)</t>
        </is>
      </c>
      <c r="BG17" s="96" t="inlineStr">
        <is>
          <t>Line</t>
        </is>
      </c>
      <c r="BH17" s="96" t="inlineStr">
        <is>
          <t>S22</t>
        </is>
      </c>
      <c r="BI17" s="97" t="n"/>
      <c r="BJ17" s="97" t="n"/>
      <c r="BK17" s="96" t="inlineStr">
        <is>
          <t>BKK25</t>
        </is>
      </c>
      <c r="BL17" s="161" t="inlineStr">
        <is>
          <t>2026-10-10</t>
        </is>
      </c>
      <c r="BM17" s="127" t="n"/>
      <c r="BN17" s="127" t="n"/>
      <c r="BO17" s="127" t="n"/>
      <c r="BP17" s="127" t="n">
        <v>2</v>
      </c>
      <c r="BQ17" s="127" t="n"/>
      <c r="BR17" s="127" t="n"/>
      <c r="BS17" s="127" t="n"/>
      <c r="BT17" s="127" t="n"/>
      <c r="BU17" s="127" t="n"/>
      <c r="BV17" s="127" t="n"/>
      <c r="BW17" s="127" t="n"/>
      <c r="BX17" s="127" t="n"/>
      <c r="BY17" s="96" t="inlineStr">
        <is>
          <t>FULL</t>
        </is>
      </c>
      <c r="BZ17" s="97" t="n">
        <v>6</v>
      </c>
      <c r="CA17" s="96" t="inlineStr">
        <is>
          <t>Y</t>
        </is>
      </c>
      <c r="CB17" s="97" t="n"/>
      <c r="CC17" s="96" t="inlineStr">
        <is>
          <t>BKK01</t>
        </is>
      </c>
      <c r="CD17" s="97" t="n"/>
      <c r="CE17" s="97" t="n"/>
      <c r="CF17" s="96" t="inlineStr">
        <is>
          <t>0 Teu</t>
        </is>
      </c>
      <c r="CG17" s="96" t="inlineStr">
        <is>
          <t>CY/CY</t>
        </is>
      </c>
      <c r="CH17" s="97" t="inlineStr">
        <is>
          <t>POL: THBKK [SWIC/2611N]; T/S(1st): KRPUS [SKNT/2644E]; POD: JPIMI [/]</t>
        </is>
      </c>
      <c r="CI17" s="96" t="inlineStr">
        <is>
          <t>sunee.wwtrc@gmail.com</t>
        </is>
      </c>
      <c r="CJ17" s="96" t="inlineStr">
        <is>
          <t>WOODWORKS THAI CO.,LTD.(1980)</t>
        </is>
      </c>
      <c r="CK17" s="96" t="inlineStr">
        <is>
          <t>DAISHO SANGYO CORPORATION</t>
        </is>
      </c>
      <c r="CL17" s="96" t="inlineStr">
        <is>
          <t>DAISHO SANGYO CORPORATION</t>
        </is>
      </c>
      <c r="CM17" s="97" t="inlineStr">
        <is>
          <t>CLOSED</t>
        </is>
      </c>
      <c r="CN17" s="96" t="inlineStr">
        <is>
          <t>202610121200</t>
        </is>
      </c>
      <c r="CO17" s="96" t="inlineStr">
        <is>
          <t>202610131200</t>
        </is>
      </c>
      <c r="CP17" s="97" t="n"/>
      <c r="CQ17" s="96" t="inlineStr">
        <is>
          <t>MOJ15A0329-1</t>
        </is>
      </c>
      <c r="CR17" s="96" t="inlineStr">
        <is>
          <t>X0897</t>
        </is>
      </c>
      <c r="CS17" s="96" t="inlineStr">
        <is>
          <t>WOODWORKS THAI CO., LTD. (1980)</t>
        </is>
      </c>
      <c r="CT17" s="96" t="inlineStr">
        <is>
          <t>N</t>
        </is>
      </c>
      <c r="CU17" s="97" t="n"/>
      <c r="CV17" s="97" t="n"/>
      <c r="CW17" s="161" t="inlineStr">
        <is>
          <t>2026-10-15</t>
        </is>
      </c>
      <c r="CX17" s="97" t="inlineStr">
        <is>
          <t>940360</t>
        </is>
      </c>
      <c r="CY17" s="183" t="n"/>
    </row>
    <row r="18" ht="12" customHeight="1">
      <c r="A18" s="116" t="inlineStr">
        <is>
          <t>HASLS22260900657</t>
        </is>
      </c>
      <c r="B18" s="96" t="inlineStr">
        <is>
          <t>20'x5</t>
        </is>
      </c>
      <c r="C18" s="97" t="n">
        <v>5</v>
      </c>
      <c r="D18" s="97" t="n">
        <v>5</v>
      </c>
      <c r="E18" s="97" t="n"/>
      <c r="F18" s="97" t="n">
        <v>0</v>
      </c>
      <c r="G18" s="97" t="n">
        <v>5</v>
      </c>
      <c r="H18" s="97" t="n">
        <v>0</v>
      </c>
      <c r="I18" s="97" t="n">
        <v>0</v>
      </c>
      <c r="J18" s="97" t="n">
        <v>5</v>
      </c>
      <c r="K18" s="96" t="inlineStr">
        <is>
          <t>N</t>
        </is>
      </c>
      <c r="L18" s="96" t="inlineStr">
        <is>
          <t>KHS1</t>
        </is>
      </c>
      <c r="M18" s="96" t="inlineStr">
        <is>
          <t>SWIC</t>
        </is>
      </c>
      <c r="N18" s="96" t="inlineStr">
        <is>
          <t>2611N</t>
        </is>
      </c>
      <c r="O18" s="96" t="inlineStr">
        <is>
          <t>THBKK</t>
        </is>
      </c>
      <c r="P18" s="96" t="inlineStr">
        <is>
          <t>BKK01</t>
        </is>
      </c>
      <c r="Q18" s="96" t="inlineStr">
        <is>
          <t>IA</t>
        </is>
      </c>
      <c r="R18" s="161" t="inlineStr">
        <is>
          <t>2026-10-16</t>
        </is>
      </c>
      <c r="S18" s="96" t="inlineStr">
        <is>
          <t>KRPUS</t>
        </is>
      </c>
      <c r="T18" s="96" t="inlineStr">
        <is>
          <t>PUS05</t>
        </is>
      </c>
      <c r="U18" s="96" t="inlineStr">
        <is>
          <t>KRPUS</t>
        </is>
      </c>
      <c r="V18" s="161" t="inlineStr">
        <is>
          <t>2026-10-25</t>
        </is>
      </c>
      <c r="W18" s="96" t="inlineStr">
        <is>
          <t>KR</t>
        </is>
      </c>
      <c r="X18" s="97" t="n"/>
      <c r="Y18" s="97" t="n"/>
      <c r="Z18" s="97" t="n"/>
      <c r="AA18" s="96" t="inlineStr">
        <is>
          <t>ORIENT STAR INTERNATIONAL LOGISTICS CO., LTD.</t>
        </is>
      </c>
      <c r="AB18" s="96" t="inlineStr">
        <is>
          <t>WIDE WATER GATE CO.,LTD</t>
        </is>
      </c>
      <c r="AC18" s="163" t="n">
        <v>85025</v>
      </c>
      <c r="AD18" s="163" t="n">
        <v>96025</v>
      </c>
      <c r="AE18" s="96" t="inlineStr">
        <is>
          <t>OK</t>
        </is>
      </c>
      <c r="AF18" s="96" t="inlineStr">
        <is>
          <t>SR</t>
        </is>
      </c>
      <c r="AG18" s="97" t="n"/>
      <c r="AH18" s="96" t="inlineStr">
        <is>
          <t>CON</t>
        </is>
      </c>
      <c r="AI18" s="97" t="inlineStr">
        <is>
          <t>OK</t>
        </is>
      </c>
      <c r="AJ18" s="97" t="n"/>
      <c r="AK18" s="97" t="n"/>
      <c r="AL18" s="97" t="n"/>
      <c r="AM18" s="96" t="inlineStr">
        <is>
          <t>H2602</t>
        </is>
      </c>
      <c r="AN18" s="96" t="inlineStr">
        <is>
          <t>Kim jaewon</t>
        </is>
      </c>
      <c r="AO18" s="96" t="inlineStr">
        <is>
          <t>ALOE VERA GEL SAPS</t>
        </is>
      </c>
      <c r="AP18" s="96" t="inlineStr">
        <is>
          <t>Normal</t>
        </is>
      </c>
      <c r="AQ18" s="97" t="n"/>
      <c r="AR18" s="97" t="n"/>
      <c r="AS18" s="97" t="n"/>
      <c r="AT18" s="97" t="n"/>
      <c r="AU18" s="97" t="n"/>
      <c r="AV18" s="97" t="n"/>
      <c r="AW18" s="97" t="n">
        <v>0</v>
      </c>
      <c r="AX18" s="96" t="inlineStr">
        <is>
          <t>N</t>
        </is>
      </c>
      <c r="AY18" s="97" t="inlineStr">
        <is>
          <t>OBL</t>
        </is>
      </c>
      <c r="AZ18" s="96" t="inlineStr">
        <is>
          <t>Pickup : 2026-10-09, Return : 2026-10-11 // FM DJCF 0152N BY HAL DD.28/09
(1ST RETURN 11/10 W/O RENT)</t>
        </is>
      </c>
      <c r="BA18" s="97" t="inlineStr">
        <is>
          <t>SHIPPER : WIDE WATER GATECOMMODITY : ALOE VERA GEL SAPS H.S.CODE 2008.99
FM DJCF 0152N BY HAL DD.28/09</t>
        </is>
      </c>
      <c r="BB18" s="96" t="inlineStr">
        <is>
          <t>C</t>
        </is>
      </c>
      <c r="BC18" s="161" t="inlineStr">
        <is>
          <t>2026-09-08</t>
        </is>
      </c>
      <c r="BD18" s="161" t="inlineStr">
        <is>
          <t>2026-10-12</t>
        </is>
      </c>
      <c r="BE18" s="96" t="inlineStr">
        <is>
          <t>Y</t>
        </is>
      </c>
      <c r="BF18" s="96" t="inlineStr">
        <is>
          <t>ALOE VERA GEL SAPS</t>
        </is>
      </c>
      <c r="BG18" s="96" t="inlineStr">
        <is>
          <t>Line</t>
        </is>
      </c>
      <c r="BH18" s="96" t="inlineStr">
        <is>
          <t>S22</t>
        </is>
      </c>
      <c r="BI18" s="97" t="n"/>
      <c r="BJ18" s="97" t="n"/>
      <c r="BK18" s="96" t="inlineStr">
        <is>
          <t>BKK25</t>
        </is>
      </c>
      <c r="BL18" s="161" t="inlineStr">
        <is>
          <t>2026-10-09</t>
        </is>
      </c>
      <c r="BM18" s="127" t="n"/>
      <c r="BN18" s="127" t="n">
        <v>5</v>
      </c>
      <c r="BO18" s="127" t="n"/>
      <c r="BP18" s="127" t="n"/>
      <c r="BQ18" s="127" t="n"/>
      <c r="BR18" s="127" t="n"/>
      <c r="BS18" s="127" t="n"/>
      <c r="BT18" s="127" t="n"/>
      <c r="BU18" s="127" t="n"/>
      <c r="BV18" s="127" t="n"/>
      <c r="BW18" s="127" t="n"/>
      <c r="BX18" s="127" t="n"/>
      <c r="BY18" s="96" t="inlineStr">
        <is>
          <t>FULL</t>
        </is>
      </c>
      <c r="BZ18" s="97" t="n"/>
      <c r="CA18" s="96" t="inlineStr">
        <is>
          <t>Y</t>
        </is>
      </c>
      <c r="CB18" s="97" t="n"/>
      <c r="CC18" s="96" t="inlineStr">
        <is>
          <t>BKK01</t>
        </is>
      </c>
      <c r="CD18" s="97" t="n"/>
      <c r="CE18" s="97" t="n"/>
      <c r="CF18" s="96" t="inlineStr">
        <is>
          <t>0 Teu</t>
        </is>
      </c>
      <c r="CG18" s="96" t="inlineStr">
        <is>
          <t>CY/CY</t>
        </is>
      </c>
      <c r="CH18" s="97" t="n"/>
      <c r="CI18" s="96" t="inlineStr">
        <is>
          <t>ostbkk_biz@orientstar.co.th</t>
        </is>
      </c>
      <c r="CJ18" s="96" t="inlineStr">
        <is>
          <t>ORIENT STAR INTERNATIONAL</t>
        </is>
      </c>
      <c r="CK18" s="96" t="inlineStr">
        <is>
          <t>EXIM LOGISTICS CO., LTD.</t>
        </is>
      </c>
      <c r="CL18" s="96" t="inlineStr">
        <is>
          <t>EXIM LOGISTICS CO., LTD.</t>
        </is>
      </c>
      <c r="CM18" s="97" t="inlineStr">
        <is>
          <t>CLOSED</t>
        </is>
      </c>
      <c r="CN18" s="96" t="inlineStr">
        <is>
          <t>202610121200</t>
        </is>
      </c>
      <c r="CO18" s="96" t="inlineStr">
        <is>
          <t>202610131200</t>
        </is>
      </c>
      <c r="CP18" s="97" t="n"/>
      <c r="CQ18" s="96" t="inlineStr">
        <is>
          <t>K01-2312055</t>
        </is>
      </c>
      <c r="CR18" s="96" t="inlineStr">
        <is>
          <t>BB0319</t>
        </is>
      </c>
      <c r="CS18" s="96" t="inlineStr">
        <is>
          <t>ORIENT STAR INTERNATIONAL LOGISTICS CO., LTD.</t>
        </is>
      </c>
      <c r="CT18" s="96" t="inlineStr">
        <is>
          <t>N</t>
        </is>
      </c>
      <c r="CU18" s="97" t="n"/>
      <c r="CV18" s="97" t="n"/>
      <c r="CW18" s="161" t="inlineStr">
        <is>
          <t>2026-10-15</t>
        </is>
      </c>
      <c r="CX18" s="97" t="n"/>
      <c r="CY18" s="183" t="n"/>
    </row>
    <row r="19" ht="12" customHeight="1">
      <c r="A19" s="116" t="inlineStr">
        <is>
          <t>HASLS22260801364</t>
        </is>
      </c>
      <c r="B19" s="96" t="inlineStr">
        <is>
          <t>20'x1</t>
        </is>
      </c>
      <c r="C19" s="97" t="n">
        <v>1</v>
      </c>
      <c r="D19" s="97" t="n">
        <v>1</v>
      </c>
      <c r="E19" s="97" t="n"/>
      <c r="F19" s="97" t="n">
        <v>0</v>
      </c>
      <c r="G19" s="97" t="n">
        <v>1</v>
      </c>
      <c r="H19" s="97" t="n">
        <v>0</v>
      </c>
      <c r="I19" s="97" t="n">
        <v>0</v>
      </c>
      <c r="J19" s="97" t="n">
        <v>1</v>
      </c>
      <c r="K19" s="96" t="inlineStr">
        <is>
          <t>N</t>
        </is>
      </c>
      <c r="L19" s="96" t="inlineStr">
        <is>
          <t>KHS1</t>
        </is>
      </c>
      <c r="M19" s="96" t="inlineStr">
        <is>
          <t>SWIC</t>
        </is>
      </c>
      <c r="N19" s="96" t="inlineStr">
        <is>
          <t>2611N</t>
        </is>
      </c>
      <c r="O19" s="96" t="inlineStr">
        <is>
          <t>THBKK</t>
        </is>
      </c>
      <c r="P19" s="96" t="inlineStr">
        <is>
          <t>BKK01</t>
        </is>
      </c>
      <c r="Q19" s="96" t="inlineStr">
        <is>
          <t>IA</t>
        </is>
      </c>
      <c r="R19" s="161" t="inlineStr">
        <is>
          <t>2026-10-16</t>
        </is>
      </c>
      <c r="S19" s="96" t="inlineStr">
        <is>
          <t>VNSGN</t>
        </is>
      </c>
      <c r="T19" s="96" t="inlineStr">
        <is>
          <t>SGN03</t>
        </is>
      </c>
      <c r="U19" s="96" t="inlineStr">
        <is>
          <t>VNSGN</t>
        </is>
      </c>
      <c r="V19" s="161" t="inlineStr">
        <is>
          <t>2026-10-18</t>
        </is>
      </c>
      <c r="W19" s="96" t="inlineStr">
        <is>
          <t>IA</t>
        </is>
      </c>
      <c r="X19" s="97" t="n"/>
      <c r="Y19" s="97" t="n"/>
      <c r="Z19" s="97" t="n"/>
      <c r="AA19" s="96" t="inlineStr">
        <is>
          <t>ACCORD PILOT LOGISTICS (THAILAND) CO., LTD.</t>
        </is>
      </c>
      <c r="AB19" s="96" t="inlineStr">
        <is>
          <t>CROWN FOOD PACKAGING (THAILAND) PUBLIC COMPANY LIMITED</t>
        </is>
      </c>
      <c r="AC19" s="163" t="n">
        <v>16960</v>
      </c>
      <c r="AD19" s="163" t="n">
        <v>19160</v>
      </c>
      <c r="AE19" s="96" t="inlineStr">
        <is>
          <t>OK</t>
        </is>
      </c>
      <c r="AF19" s="96" t="inlineStr">
        <is>
          <t>SR</t>
        </is>
      </c>
      <c r="AG19" s="97" t="n"/>
      <c r="AH19" s="96" t="inlineStr">
        <is>
          <t>CHK</t>
        </is>
      </c>
      <c r="AI19" s="97" t="inlineStr">
        <is>
          <t>OK</t>
        </is>
      </c>
      <c r="AJ19" s="97" t="n"/>
      <c r="AK19" s="97" t="n"/>
      <c r="AL19" s="97" t="n"/>
      <c r="AM19" s="96" t="inlineStr">
        <is>
          <t>TBKK19</t>
        </is>
      </c>
      <c r="AN19" s="96" t="inlineStr">
        <is>
          <t>Kanokporn</t>
        </is>
      </c>
      <c r="AO19" s="96" t="inlineStr">
        <is>
          <t>EMPTY CAN</t>
        </is>
      </c>
      <c r="AP19" s="96" t="inlineStr">
        <is>
          <t>Normal</t>
        </is>
      </c>
      <c r="AQ19" s="97" t="n"/>
      <c r="AR19" s="97" t="n"/>
      <c r="AS19" s="97" t="n"/>
      <c r="AT19" s="97" t="n"/>
      <c r="AU19" s="97" t="n"/>
      <c r="AV19" s="97" t="n"/>
      <c r="AW19" s="97" t="n">
        <v>0</v>
      </c>
      <c r="AX19" s="96" t="inlineStr">
        <is>
          <t>N</t>
        </is>
      </c>
      <c r="AY19" s="97" t="inlineStr">
        <is>
          <t>OBL</t>
        </is>
      </c>
      <c r="AZ19" s="96" t="inlineStr">
        <is>
          <t>Pickup : 2026-10-12, Return : 2026-10-12</t>
        </is>
      </c>
      <c r="BA19" s="97" t="inlineStr">
        <is>
          <t>FM SWIC 2610N DD 14/09 REVISED VESSEL NAME REQUEST CLEAN CONTAINER</t>
        </is>
      </c>
      <c r="BB19" s="96" t="inlineStr">
        <is>
          <t>P</t>
        </is>
      </c>
      <c r="BC19" s="161" t="inlineStr">
        <is>
          <t>2026-08-17</t>
        </is>
      </c>
      <c r="BD19" s="161" t="inlineStr">
        <is>
          <t>2026-10-13</t>
        </is>
      </c>
      <c r="BE19" s="96" t="inlineStr">
        <is>
          <t>Y</t>
        </is>
      </c>
      <c r="BF19" s="96" t="inlineStr">
        <is>
          <t>EMPTY CAN</t>
        </is>
      </c>
      <c r="BG19" s="96" t="inlineStr">
        <is>
          <t>Line</t>
        </is>
      </c>
      <c r="BH19" s="96" t="inlineStr">
        <is>
          <t>S22</t>
        </is>
      </c>
      <c r="BI19" s="97" t="n"/>
      <c r="BJ19" s="97" t="n"/>
      <c r="BK19" s="96" t="inlineStr">
        <is>
          <t>BKK27</t>
        </is>
      </c>
      <c r="BL19" s="161" t="inlineStr">
        <is>
          <t>2026-10-12</t>
        </is>
      </c>
      <c r="BM19" s="127" t="n"/>
      <c r="BN19" s="127" t="n">
        <v>1</v>
      </c>
      <c r="BO19" s="127" t="n"/>
      <c r="BP19" s="127" t="n"/>
      <c r="BQ19" s="127" t="n"/>
      <c r="BR19" s="127" t="n"/>
      <c r="BS19" s="127" t="n"/>
      <c r="BT19" s="127" t="n"/>
      <c r="BU19" s="127" t="n"/>
      <c r="BV19" s="127" t="n"/>
      <c r="BW19" s="127" t="n"/>
      <c r="BX19" s="127" t="n"/>
      <c r="BY19" s="96" t="inlineStr">
        <is>
          <t>FULL</t>
        </is>
      </c>
      <c r="BZ19" s="97" t="n"/>
      <c r="CA19" s="96" t="inlineStr">
        <is>
          <t>Y</t>
        </is>
      </c>
      <c r="CB19" s="97" t="n"/>
      <c r="CC19" s="96" t="inlineStr">
        <is>
          <t>BKK01</t>
        </is>
      </c>
      <c r="CD19" s="97" t="n"/>
      <c r="CE19" s="97" t="n"/>
      <c r="CF19" s="96" t="inlineStr">
        <is>
          <t>0 Teu</t>
        </is>
      </c>
      <c r="CG19" s="96" t="inlineStr">
        <is>
          <t>CY/CY</t>
        </is>
      </c>
      <c r="CH19" s="97" t="n"/>
      <c r="CI19" s="96" t="inlineStr">
        <is>
          <t>krongkarn@pilot.co.th</t>
        </is>
      </c>
      <c r="CJ19" s="96" t="inlineStr">
        <is>
          <t>CROWN FOOD PACKAGING (THAILAND)</t>
        </is>
      </c>
      <c r="CK19" s="96" t="inlineStr">
        <is>
          <t>FOODTECH JOINT STOCK COMPANY</t>
        </is>
      </c>
      <c r="CL19" s="96" t="inlineStr">
        <is>
          <t>FOODTECH JOINT STOCK COMPANY</t>
        </is>
      </c>
      <c r="CM19" s="97" t="inlineStr">
        <is>
          <t>CLOSED</t>
        </is>
      </c>
      <c r="CN19" s="96" t="inlineStr">
        <is>
          <t>202610121200</t>
        </is>
      </c>
      <c r="CO19" s="96" t="inlineStr">
        <is>
          <t>202610131200</t>
        </is>
      </c>
      <c r="CP19" s="97" t="n"/>
      <c r="CQ19" s="96" t="inlineStr">
        <is>
          <t>S19-2308037</t>
        </is>
      </c>
      <c r="CR19" s="96" t="inlineStr">
        <is>
          <t>THTIPI</t>
        </is>
      </c>
      <c r="CS19" s="96" t="inlineStr">
        <is>
          <t>ACCORD PILOT LOGISTICS (THAILAND) CO., LTD.</t>
        </is>
      </c>
      <c r="CT19" s="96" t="inlineStr">
        <is>
          <t>N</t>
        </is>
      </c>
      <c r="CU19" s="97" t="n"/>
      <c r="CV19" s="97" t="n"/>
      <c r="CW19" s="161" t="inlineStr">
        <is>
          <t>2026-10-15</t>
        </is>
      </c>
      <c r="CX19" s="97" t="inlineStr">
        <is>
          <t>830990</t>
        </is>
      </c>
      <c r="CY19" s="183" t="n"/>
    </row>
    <row r="20" ht="12" customHeight="1">
      <c r="A20" s="116" t="inlineStr">
        <is>
          <t>HASLS22260801161</t>
        </is>
      </c>
      <c r="B20" s="96" t="inlineStr">
        <is>
          <t>20'x13</t>
        </is>
      </c>
      <c r="C20" s="97" t="n">
        <v>13</v>
      </c>
      <c r="D20" s="97" t="n">
        <v>13</v>
      </c>
      <c r="E20" s="97" t="n"/>
      <c r="F20" s="97" t="n">
        <v>0</v>
      </c>
      <c r="G20" s="97" t="n">
        <v>13</v>
      </c>
      <c r="H20" s="97" t="n">
        <v>0</v>
      </c>
      <c r="I20" s="97" t="n">
        <v>0</v>
      </c>
      <c r="J20" s="97" t="n">
        <v>13</v>
      </c>
      <c r="K20" s="96" t="inlineStr">
        <is>
          <t>N</t>
        </is>
      </c>
      <c r="L20" s="96" t="inlineStr">
        <is>
          <t>KHS1</t>
        </is>
      </c>
      <c r="M20" s="96" t="inlineStr">
        <is>
          <t>SWIC</t>
        </is>
      </c>
      <c r="N20" s="96" t="inlineStr">
        <is>
          <t>2611N</t>
        </is>
      </c>
      <c r="O20" s="96" t="inlineStr">
        <is>
          <t>THBKK</t>
        </is>
      </c>
      <c r="P20" s="96" t="inlineStr">
        <is>
          <t>BKK01</t>
        </is>
      </c>
      <c r="Q20" s="96" t="inlineStr">
        <is>
          <t>IA</t>
        </is>
      </c>
      <c r="R20" s="161" t="inlineStr">
        <is>
          <t>2026-10-16</t>
        </is>
      </c>
      <c r="S20" s="96" t="inlineStr">
        <is>
          <t>JPKSM</t>
        </is>
      </c>
      <c r="T20" s="96" t="inlineStr">
        <is>
          <t>KSM01</t>
        </is>
      </c>
      <c r="U20" s="96" t="inlineStr">
        <is>
          <t>JPKSM</t>
        </is>
      </c>
      <c r="V20" s="161" t="inlineStr">
        <is>
          <t>2026-11-19</t>
        </is>
      </c>
      <c r="W20" s="96" t="inlineStr">
        <is>
          <t>JP</t>
        </is>
      </c>
      <c r="X20" s="97" t="n"/>
      <c r="Y20" s="97" t="inlineStr">
        <is>
          <t>PUS05</t>
        </is>
      </c>
      <c r="Z20" s="97" t="inlineStr">
        <is>
          <t>KRPUS</t>
        </is>
      </c>
      <c r="AA20" s="96" t="inlineStr">
        <is>
          <t>MEGALOAD DEVELOPMENT LOGISTICS CO., LTD.</t>
        </is>
      </c>
      <c r="AB20" s="96" t="inlineStr">
        <is>
          <t>FISHMEAL MARKETING DEVELOPMENT CO., LTD.</t>
        </is>
      </c>
      <c r="AC20" s="163" t="n">
        <v>260520</v>
      </c>
      <c r="AD20" s="163" t="n">
        <v>289120</v>
      </c>
      <c r="AE20" s="96" t="inlineStr">
        <is>
          <t>OK</t>
        </is>
      </c>
      <c r="AF20" s="96" t="inlineStr">
        <is>
          <t>SR</t>
        </is>
      </c>
      <c r="AG20" s="97" t="n"/>
      <c r="AH20" s="96" t="inlineStr">
        <is>
          <t>CHK</t>
        </is>
      </c>
      <c r="AI20" s="97" t="inlineStr">
        <is>
          <t>OK</t>
        </is>
      </c>
      <c r="AJ20" s="97" t="n"/>
      <c r="AK20" s="97" t="n"/>
      <c r="AL20" s="97" t="n"/>
      <c r="AM20" s="96" t="inlineStr">
        <is>
          <t>TBKK47</t>
        </is>
      </c>
      <c r="AN20" s="96" t="inlineStr">
        <is>
          <t>Tarn(Supaporn)</t>
        </is>
      </c>
      <c r="AO20" s="96" t="inlineStr">
        <is>
          <t>THAILAND STEAM DRIED RED FISHMEAL</t>
        </is>
      </c>
      <c r="AP20" s="96" t="inlineStr">
        <is>
          <t>T/S</t>
        </is>
      </c>
      <c r="AQ20" s="97" t="inlineStr">
        <is>
          <t>2216/9-III</t>
        </is>
      </c>
      <c r="AR20" s="97" t="inlineStr">
        <is>
          <t xml:space="preserve">22GPx13 </t>
        </is>
      </c>
      <c r="AS20" s="97" t="n"/>
      <c r="AT20" s="97" t="n"/>
      <c r="AU20" s="97" t="n"/>
      <c r="AV20" s="97" t="n"/>
      <c r="AW20" s="97" t="n">
        <v>0</v>
      </c>
      <c r="AX20" s="96" t="inlineStr">
        <is>
          <t>N</t>
        </is>
      </c>
      <c r="AY20" s="97" t="inlineStr">
        <is>
          <t>OBL</t>
        </is>
      </c>
      <c r="AZ20" s="96" t="inlineStr">
        <is>
          <t>[FIX][FIX]** APPROVAL DG BY MR.M.J CHANG DD.30/09/2026 ** DG22GPx13 (CLS 9 / UN 2216)  
Pickup : 2026-10-10, Return : 2026-09-10 
EXTEND  CLS TIME 13/23.59 FIRST DATE CAN RETURN CNTR DD.13/10</t>
        </is>
      </c>
      <c r="BA20" s="97" t="inlineStr">
        <is>
          <t xml:space="preserve">RQST CHANGE VSL NAME FROM SWSP 2609N BY HA DD.25/09
</t>
        </is>
      </c>
      <c r="BB20" s="96" t="inlineStr">
        <is>
          <t>P</t>
        </is>
      </c>
      <c r="BC20" s="161" t="inlineStr">
        <is>
          <t>2026-08-14</t>
        </is>
      </c>
      <c r="BD20" s="161" t="inlineStr">
        <is>
          <t>2026-10-14</t>
        </is>
      </c>
      <c r="BE20" s="96" t="inlineStr">
        <is>
          <t>Y</t>
        </is>
      </c>
      <c r="BF20" s="96" t="inlineStr">
        <is>
          <t>THAILAND STEAM DRIED FISHMEAL</t>
        </is>
      </c>
      <c r="BG20" s="96" t="inlineStr">
        <is>
          <t>Line</t>
        </is>
      </c>
      <c r="BH20" s="96" t="inlineStr">
        <is>
          <t>S22</t>
        </is>
      </c>
      <c r="BI20" s="97" t="n"/>
      <c r="BJ20" s="97" t="n"/>
      <c r="BK20" s="96" t="inlineStr">
        <is>
          <t>BKK27</t>
        </is>
      </c>
      <c r="BL20" s="161" t="inlineStr">
        <is>
          <t>2026-10-10</t>
        </is>
      </c>
      <c r="BM20" s="127" t="n"/>
      <c r="BN20" s="127" t="n">
        <v>13</v>
      </c>
      <c r="BO20" s="127" t="n"/>
      <c r="BP20" s="127" t="n"/>
      <c r="BQ20" s="127" t="n"/>
      <c r="BR20" s="127" t="n"/>
      <c r="BS20" s="127" t="n"/>
      <c r="BT20" s="127" t="n"/>
      <c r="BU20" s="127" t="n"/>
      <c r="BV20" s="127" t="n"/>
      <c r="BW20" s="127" t="n"/>
      <c r="BX20" s="127" t="n"/>
      <c r="BY20" s="96" t="inlineStr">
        <is>
          <t>FULL</t>
        </is>
      </c>
      <c r="BZ20" s="97" t="n">
        <v>22</v>
      </c>
      <c r="CA20" s="96" t="inlineStr">
        <is>
          <t>Y</t>
        </is>
      </c>
      <c r="CB20" s="97" t="n"/>
      <c r="CC20" s="96" t="inlineStr">
        <is>
          <t>BKK01</t>
        </is>
      </c>
      <c r="CD20" s="97" t="n"/>
      <c r="CE20" s="97" t="n"/>
      <c r="CF20" s="96" t="inlineStr">
        <is>
          <t>9 Class x 13 Teu (Approval),</t>
        </is>
      </c>
      <c r="CG20" s="96" t="inlineStr">
        <is>
          <t>CY/CY</t>
        </is>
      </c>
      <c r="CH20" s="97" t="inlineStr">
        <is>
          <t>POL: THBKK [SWIC/2611N]; T/S(1st): KRPUS [HAHP/2641E]; POD: JPKSM [/]</t>
        </is>
      </c>
      <c r="CI20" s="96" t="inlineStr">
        <is>
          <t>expadm1_mdlth@outlook.com</t>
        </is>
      </c>
      <c r="CJ20" s="96" t="inlineStr">
        <is>
          <t>FISHMEAL MARKETING DEVELOPMENT</t>
        </is>
      </c>
      <c r="CK20" s="96" t="inlineStr">
        <is>
          <t>SANSHO CO., LTD.</t>
        </is>
      </c>
      <c r="CL20" s="96" t="inlineStr">
        <is>
          <t>SANSHO CO., LTD.</t>
        </is>
      </c>
      <c r="CM20" s="97" t="inlineStr">
        <is>
          <t>CLOSED</t>
        </is>
      </c>
      <c r="CN20" s="96" t="inlineStr">
        <is>
          <t>202610121200</t>
        </is>
      </c>
      <c r="CO20" s="96" t="inlineStr">
        <is>
          <t>202610131200</t>
        </is>
      </c>
      <c r="CP20" s="97" t="inlineStr">
        <is>
          <t>22GP x13: DG(UNNo.:2216/ Class:9)</t>
        </is>
      </c>
      <c r="CQ20" s="96" t="inlineStr">
        <is>
          <t>S22-2601024</t>
        </is>
      </c>
      <c r="CR20" s="96" t="inlineStr">
        <is>
          <t>THTWYA</t>
        </is>
      </c>
      <c r="CS20" s="96" t="inlineStr">
        <is>
          <t>MEGALOAD DEVELOPMENT LOGISTICS CO., LTD.</t>
        </is>
      </c>
      <c r="CT20" s="96" t="inlineStr">
        <is>
          <t>N</t>
        </is>
      </c>
      <c r="CU20" s="97" t="n"/>
      <c r="CV20" s="97" t="n"/>
      <c r="CW20" s="161" t="inlineStr">
        <is>
          <t>2026-10-12</t>
        </is>
      </c>
      <c r="CX20" s="97" t="inlineStr">
        <is>
          <t>230120</t>
        </is>
      </c>
      <c r="CY20" s="183" t="n"/>
    </row>
    <row r="21" ht="12" customHeight="1">
      <c r="A21" s="116" t="inlineStr">
        <is>
          <t>HASLS22260901935</t>
        </is>
      </c>
      <c r="B21" s="96" t="inlineStr">
        <is>
          <t>20'x1</t>
        </is>
      </c>
      <c r="C21" s="97" t="n">
        <v>1</v>
      </c>
      <c r="D21" s="97" t="n">
        <v>1</v>
      </c>
      <c r="E21" s="97" t="n"/>
      <c r="F21" s="97" t="n">
        <v>0</v>
      </c>
      <c r="G21" s="97" t="n">
        <v>1</v>
      </c>
      <c r="H21" s="97" t="n">
        <v>0</v>
      </c>
      <c r="I21" s="97" t="n">
        <v>0</v>
      </c>
      <c r="J21" s="97" t="n">
        <v>1</v>
      </c>
      <c r="K21" s="96" t="inlineStr">
        <is>
          <t>N</t>
        </is>
      </c>
      <c r="L21" s="96" t="inlineStr">
        <is>
          <t>KHS1</t>
        </is>
      </c>
      <c r="M21" s="96" t="inlineStr">
        <is>
          <t>SWIC</t>
        </is>
      </c>
      <c r="N21" s="96" t="inlineStr">
        <is>
          <t>2611N</t>
        </is>
      </c>
      <c r="O21" s="96" t="inlineStr">
        <is>
          <t>THBKK</t>
        </is>
      </c>
      <c r="P21" s="96" t="inlineStr">
        <is>
          <t>BKK01</t>
        </is>
      </c>
      <c r="Q21" s="96" t="inlineStr">
        <is>
          <t>IA</t>
        </is>
      </c>
      <c r="R21" s="161" t="inlineStr">
        <is>
          <t>2026-10-16</t>
        </is>
      </c>
      <c r="S21" s="96" t="inlineStr">
        <is>
          <t>RUVVO</t>
        </is>
      </c>
      <c r="T21" s="96" t="inlineStr">
        <is>
          <t>VVO01</t>
        </is>
      </c>
      <c r="U21" s="96" t="inlineStr">
        <is>
          <t>RUVVO</t>
        </is>
      </c>
      <c r="V21" s="161" t="inlineStr">
        <is>
          <t>2026-11-02</t>
        </is>
      </c>
      <c r="W21" s="96" t="inlineStr">
        <is>
          <t>RU</t>
        </is>
      </c>
      <c r="X21" s="97" t="n"/>
      <c r="Y21" s="97" t="inlineStr">
        <is>
          <t>PUS05</t>
        </is>
      </c>
      <c r="Z21" s="97" t="inlineStr">
        <is>
          <t>KRPUS</t>
        </is>
      </c>
      <c r="AA21" s="96" t="inlineStr">
        <is>
          <t>THAI AGRI FOODS PUBLIC COMPANY LIMITED</t>
        </is>
      </c>
      <c r="AB21" s="96" t="inlineStr">
        <is>
          <t>THAI AGRI FOODS PUBLIC COMPANY LIMITED</t>
        </is>
      </c>
      <c r="AC21" s="163" t="n">
        <v>19814.5</v>
      </c>
      <c r="AD21" s="163" t="n">
        <v>22014.5</v>
      </c>
      <c r="AE21" s="96" t="inlineStr">
        <is>
          <t>OK</t>
        </is>
      </c>
      <c r="AF21" s="96" t="n"/>
      <c r="AG21" s="97" t="n"/>
      <c r="AH21" s="96" t="inlineStr">
        <is>
          <t>CHK</t>
        </is>
      </c>
      <c r="AI21" s="97" t="inlineStr">
        <is>
          <t>OK</t>
        </is>
      </c>
      <c r="AJ21" s="97" t="n"/>
      <c r="AK21" s="97" t="n"/>
      <c r="AL21" s="97" t="n"/>
      <c r="AM21" s="96" t="inlineStr">
        <is>
          <t>RUVO38</t>
        </is>
      </c>
      <c r="AN21" s="96" t="inlineStr">
        <is>
          <t>ANNA MARS</t>
        </is>
      </c>
      <c r="AO21" s="96" t="inlineStr">
        <is>
          <t>SWEET CHILLI SAUCE FOR CHICKEN</t>
        </is>
      </c>
      <c r="AP21" s="96" t="inlineStr">
        <is>
          <t>T/S</t>
        </is>
      </c>
      <c r="AQ21" s="97" t="n"/>
      <c r="AR21" s="97" t="n"/>
      <c r="AS21" s="97" t="n"/>
      <c r="AT21" s="97" t="n"/>
      <c r="AU21" s="97" t="n"/>
      <c r="AV21" s="97" t="n"/>
      <c r="AW21" s="97" t="n">
        <v>0</v>
      </c>
      <c r="AX21" s="96" t="inlineStr">
        <is>
          <t>N</t>
        </is>
      </c>
      <c r="AY21" s="97" t="inlineStr">
        <is>
          <t>OBL</t>
        </is>
      </c>
      <c r="AZ21" s="96" t="inlineStr">
        <is>
          <t>[FIX][FIX]SWIC/2611N/10/24[FIX] Pickup : 2026-10-09, Return : 2026-10-12</t>
        </is>
      </c>
      <c r="BA21" s="97" t="inlineStr">
        <is>
          <t>SI DD.9/10/26
RQST CHANGE VSL NAME FROM KUS 2616N BY HA DD.5/10</t>
        </is>
      </c>
      <c r="BB21" s="96" t="inlineStr">
        <is>
          <t>C</t>
        </is>
      </c>
      <c r="BC21" s="161" t="inlineStr">
        <is>
          <t>2026-09-22</t>
        </is>
      </c>
      <c r="BD21" s="161" t="inlineStr">
        <is>
          <t>2026-10-09</t>
        </is>
      </c>
      <c r="BE21" s="96" t="inlineStr">
        <is>
          <t>Y</t>
        </is>
      </c>
      <c r="BF21" s="96" t="inlineStr">
        <is>
          <t>SWEET CHILLI SAUCE FOR CHICKEN</t>
        </is>
      </c>
      <c r="BG21" s="96" t="inlineStr">
        <is>
          <t>Line</t>
        </is>
      </c>
      <c r="BH21" s="96" t="inlineStr">
        <is>
          <t>S22</t>
        </is>
      </c>
      <c r="BI21" s="97" t="n"/>
      <c r="BJ21" s="97" t="n"/>
      <c r="BK21" s="96" t="inlineStr">
        <is>
          <t>BKK27</t>
        </is>
      </c>
      <c r="BL21" s="161" t="inlineStr">
        <is>
          <t>2026-10-09</t>
        </is>
      </c>
      <c r="BM21" s="127" t="n"/>
      <c r="BN21" s="127" t="n">
        <v>1</v>
      </c>
      <c r="BO21" s="127" t="n"/>
      <c r="BP21" s="127" t="n"/>
      <c r="BQ21" s="127" t="n"/>
      <c r="BR21" s="127" t="n"/>
      <c r="BS21" s="127" t="n"/>
      <c r="BT21" s="127" t="n"/>
      <c r="BU21" s="127" t="n"/>
      <c r="BV21" s="127" t="n"/>
      <c r="BW21" s="127" t="n"/>
      <c r="BX21" s="127" t="n"/>
      <c r="BY21" s="96" t="inlineStr">
        <is>
          <t>FULL</t>
        </is>
      </c>
      <c r="BZ21" s="97" t="n">
        <v>6</v>
      </c>
      <c r="CA21" s="96" t="inlineStr">
        <is>
          <t>Y</t>
        </is>
      </c>
      <c r="CB21" s="97" t="n"/>
      <c r="CC21" s="96" t="inlineStr">
        <is>
          <t>BKK01</t>
        </is>
      </c>
      <c r="CD21" s="97" t="n"/>
      <c r="CE21" s="97" t="n"/>
      <c r="CF21" s="96" t="inlineStr">
        <is>
          <t>0 Teu</t>
        </is>
      </c>
      <c r="CG21" s="96" t="inlineStr">
        <is>
          <t>CY/CY</t>
        </is>
      </c>
      <c r="CH21" s="97" t="inlineStr">
        <is>
          <t>POL: THBKK [SWIC/2611N]; T/S(1st): KRPUS [SWTD/9019N]; POD: RUVVO [/]</t>
        </is>
      </c>
      <c r="CI21" s="96" t="inlineStr">
        <is>
          <t>chalearmporn.pu@thaiagri.com</t>
        </is>
      </c>
      <c r="CJ21" s="96" t="inlineStr">
        <is>
          <t>THAI AGRI FOODS PUBLIC COMPANY</t>
        </is>
      </c>
      <c r="CK21" s="96" t="inlineStr">
        <is>
          <t>EXIM PACIFIC LLC. RUSSIA,</t>
        </is>
      </c>
      <c r="CL21" s="96" t="inlineStr">
        <is>
          <t>EXIM PACIFIC LLC. RUSSIA,</t>
        </is>
      </c>
      <c r="CM21" s="97" t="inlineStr">
        <is>
          <t>CLOSED</t>
        </is>
      </c>
      <c r="CN21" s="96" t="inlineStr">
        <is>
          <t>202610121200</t>
        </is>
      </c>
      <c r="CO21" s="96" t="inlineStr">
        <is>
          <t>202610131200</t>
        </is>
      </c>
      <c r="CP21" s="97" t="n"/>
      <c r="CQ21" s="96" t="inlineStr">
        <is>
          <t>R01-2411002</t>
        </is>
      </c>
      <c r="CR21" s="96" t="inlineStr">
        <is>
          <t>THTLH8</t>
        </is>
      </c>
      <c r="CS21" s="96" t="inlineStr">
        <is>
          <t>THAI AGRI FOODS PUBLIC COMPANY LIMITED</t>
        </is>
      </c>
      <c r="CT21" s="96" t="inlineStr">
        <is>
          <t>N</t>
        </is>
      </c>
      <c r="CU21" s="97" t="n"/>
      <c r="CV21" s="97" t="n"/>
      <c r="CW21" s="161" t="inlineStr">
        <is>
          <t>2026-10-15</t>
        </is>
      </c>
      <c r="CX21" s="97" t="inlineStr">
        <is>
          <t>210390</t>
        </is>
      </c>
      <c r="CY21" s="183" t="n"/>
    </row>
    <row r="22" ht="12" customHeight="1">
      <c r="A22" s="116" t="inlineStr">
        <is>
          <t>HASLS22261000002</t>
        </is>
      </c>
      <c r="B22" s="96" t="inlineStr">
        <is>
          <t>20'x1</t>
        </is>
      </c>
      <c r="C22" s="97" t="n">
        <v>1</v>
      </c>
      <c r="D22" s="97" t="n">
        <v>1</v>
      </c>
      <c r="E22" s="97" t="n"/>
      <c r="F22" s="97" t="n">
        <v>0</v>
      </c>
      <c r="G22" s="97" t="n">
        <v>1</v>
      </c>
      <c r="H22" s="97" t="n">
        <v>0</v>
      </c>
      <c r="I22" s="97" t="n">
        <v>0</v>
      </c>
      <c r="J22" s="97" t="n">
        <v>1</v>
      </c>
      <c r="K22" s="96" t="inlineStr">
        <is>
          <t>N</t>
        </is>
      </c>
      <c r="L22" s="96" t="inlineStr">
        <is>
          <t>KHS1</t>
        </is>
      </c>
      <c r="M22" s="96" t="inlineStr">
        <is>
          <t>SWIC</t>
        </is>
      </c>
      <c r="N22" s="96" t="inlineStr">
        <is>
          <t>2611N</t>
        </is>
      </c>
      <c r="O22" s="96" t="inlineStr">
        <is>
          <t>THBKK</t>
        </is>
      </c>
      <c r="P22" s="96" t="inlineStr">
        <is>
          <t>BKK01</t>
        </is>
      </c>
      <c r="Q22" s="96" t="inlineStr">
        <is>
          <t>IA</t>
        </is>
      </c>
      <c r="R22" s="161" t="inlineStr">
        <is>
          <t>2026-10-16</t>
        </is>
      </c>
      <c r="S22" s="96" t="inlineStr">
        <is>
          <t>JPKNZ</t>
        </is>
      </c>
      <c r="T22" s="96" t="inlineStr">
        <is>
          <t>KNZ01</t>
        </is>
      </c>
      <c r="U22" s="96" t="inlineStr">
        <is>
          <t>JPKNZ</t>
        </is>
      </c>
      <c r="V22" s="161" t="inlineStr">
        <is>
          <t>2026-10-30</t>
        </is>
      </c>
      <c r="W22" s="96" t="inlineStr">
        <is>
          <t>JP</t>
        </is>
      </c>
      <c r="X22" s="97" t="n"/>
      <c r="Y22" s="97" t="inlineStr">
        <is>
          <t>PUS05</t>
        </is>
      </c>
      <c r="Z22" s="97" t="inlineStr">
        <is>
          <t>KRPUS</t>
        </is>
      </c>
      <c r="AA22" s="96" t="inlineStr">
        <is>
          <t>THAI TORAY SYNTHETICS  CO., LTD.</t>
        </is>
      </c>
      <c r="AB22" s="96" t="inlineStr">
        <is>
          <t>THAI TORAY SYNTHETICS  CO., LTD.</t>
        </is>
      </c>
      <c r="AC22" s="163" t="n">
        <v>8742</v>
      </c>
      <c r="AD22" s="163" t="n">
        <v>10942</v>
      </c>
      <c r="AE22" s="96" t="inlineStr">
        <is>
          <t>OK</t>
        </is>
      </c>
      <c r="AF22" s="96" t="n"/>
      <c r="AG22" s="97" t="n"/>
      <c r="AH22" s="96" t="inlineStr">
        <is>
          <t>CHK</t>
        </is>
      </c>
      <c r="AI22" s="97" t="inlineStr">
        <is>
          <t>OK</t>
        </is>
      </c>
      <c r="AJ22" s="97" t="n"/>
      <c r="AK22" s="97" t="n"/>
      <c r="AL22" s="97" t="n"/>
      <c r="AM22" s="96" t="inlineStr">
        <is>
          <t>TBKK47</t>
        </is>
      </c>
      <c r="AN22" s="96" t="inlineStr">
        <is>
          <t>Tarn(Supaporn)</t>
        </is>
      </c>
      <c r="AO22" s="96" t="inlineStr">
        <is>
          <t>POLYESTER FILAMENT YARN , POLYESTER TEXTURED YARN</t>
        </is>
      </c>
      <c r="AP22" s="96" t="inlineStr">
        <is>
          <t>Normal</t>
        </is>
      </c>
      <c r="AQ22" s="97" t="n"/>
      <c r="AR22" s="97" t="n"/>
      <c r="AS22" s="97" t="n"/>
      <c r="AT22" s="97" t="n"/>
      <c r="AU22" s="97" t="n"/>
      <c r="AV22" s="97" t="n"/>
      <c r="AW22" s="97" t="n">
        <v>0</v>
      </c>
      <c r="AX22" s="96" t="inlineStr">
        <is>
          <t>N</t>
        </is>
      </c>
      <c r="AY22" s="97" t="inlineStr">
        <is>
          <t>OBL</t>
        </is>
      </c>
      <c r="AZ22" s="96" t="inlineStr">
        <is>
          <t xml:space="preserve">CY-RTN : 10-12/10/2026 
</t>
        </is>
      </c>
      <c r="BA22" s="97" t="inlineStr">
        <is>
          <t>SI DD.12/10/26
FM KJT 2611N BY K'SUKANYA DD.06/10/2026</t>
        </is>
      </c>
      <c r="BB22" s="96" t="inlineStr">
        <is>
          <t>P</t>
        </is>
      </c>
      <c r="BC22" s="161" t="inlineStr">
        <is>
          <t>2026-10-01</t>
        </is>
      </c>
      <c r="BD22" s="161" t="inlineStr">
        <is>
          <t>2026-10-12</t>
        </is>
      </c>
      <c r="BE22" s="96" t="inlineStr">
        <is>
          <t>Y</t>
        </is>
      </c>
      <c r="BF22" s="96" t="inlineStr">
        <is>
          <t>YARN</t>
        </is>
      </c>
      <c r="BG22" s="96" t="inlineStr">
        <is>
          <t>Line</t>
        </is>
      </c>
      <c r="BH22" s="96" t="inlineStr">
        <is>
          <t>S22</t>
        </is>
      </c>
      <c r="BI22" s="97" t="n"/>
      <c r="BJ22" s="97" t="n"/>
      <c r="BK22" s="96" t="inlineStr">
        <is>
          <t>BKK27</t>
        </is>
      </c>
      <c r="BL22" s="161" t="inlineStr">
        <is>
          <t>2026-10-10</t>
        </is>
      </c>
      <c r="BM22" s="127" t="n"/>
      <c r="BN22" s="127" t="n">
        <v>1</v>
      </c>
      <c r="BO22" s="127" t="n"/>
      <c r="BP22" s="127" t="n"/>
      <c r="BQ22" s="127" t="n"/>
      <c r="BR22" s="127" t="n"/>
      <c r="BS22" s="127" t="n"/>
      <c r="BT22" s="127" t="n"/>
      <c r="BU22" s="127" t="n"/>
      <c r="BV22" s="127" t="n"/>
      <c r="BW22" s="127" t="n"/>
      <c r="BX22" s="127" t="n"/>
      <c r="BY22" s="96" t="inlineStr">
        <is>
          <t>FULL</t>
        </is>
      </c>
      <c r="BZ22" s="97" t="n">
        <v>2</v>
      </c>
      <c r="CA22" s="96" t="n"/>
      <c r="CB22" s="97" t="n"/>
      <c r="CC22" s="96" t="inlineStr">
        <is>
          <t>BKK01</t>
        </is>
      </c>
      <c r="CD22" s="97" t="n"/>
      <c r="CE22" s="97" t="n"/>
      <c r="CF22" s="96" t="inlineStr">
        <is>
          <t>0 Teu</t>
        </is>
      </c>
      <c r="CG22" s="96" t="inlineStr">
        <is>
          <t>CY/CY</t>
        </is>
      </c>
      <c r="CH22" s="97" t="inlineStr">
        <is>
          <t>POL: THBKK [SWIC/2611N]; T/S(1st): KRPUS [PCNB/2643E]; POD: JPKNZ [/]</t>
        </is>
      </c>
      <c r="CI22" s="96" t="inlineStr">
        <is>
          <t>sukanya.phongla.u2@mail.toray;bussaya@mitsui-soko.co.th</t>
        </is>
      </c>
      <c r="CJ22" s="96" t="inlineStr">
        <is>
          <t>THAI TORAY SYNTHETICS CO.,LTD.</t>
        </is>
      </c>
      <c r="CK22" s="96" t="inlineStr">
        <is>
          <t>TORAY INTERNATIONAL, INC.</t>
        </is>
      </c>
      <c r="CL22" s="96" t="inlineStr">
        <is>
          <t>TORAY INTERNATIONAL, INC.</t>
        </is>
      </c>
      <c r="CM22" s="97" t="inlineStr">
        <is>
          <t>CLOSED</t>
        </is>
      </c>
      <c r="CN22" s="96" t="inlineStr">
        <is>
          <t>202610121200</t>
        </is>
      </c>
      <c r="CO22" s="96" t="inlineStr">
        <is>
          <t>202610131200</t>
        </is>
      </c>
      <c r="CP22" s="97" t="n"/>
      <c r="CQ22" s="96" t="inlineStr">
        <is>
          <t>BKK15A0846-1</t>
        </is>
      </c>
      <c r="CR22" s="96" t="inlineStr">
        <is>
          <t>BB0491</t>
        </is>
      </c>
      <c r="CS22" s="96" t="inlineStr">
        <is>
          <t>THAI TORAY SYNTHETICS  CO., LTD.</t>
        </is>
      </c>
      <c r="CT22" s="96" t="inlineStr">
        <is>
          <t>N</t>
        </is>
      </c>
      <c r="CU22" s="97" t="n"/>
      <c r="CV22" s="97" t="n"/>
      <c r="CW22" s="161" t="inlineStr">
        <is>
          <t>2026-10-15</t>
        </is>
      </c>
      <c r="CX22" s="97" t="inlineStr">
        <is>
          <t>540247</t>
        </is>
      </c>
      <c r="CY22" s="183" t="n"/>
    </row>
    <row r="23" ht="12" customHeight="1">
      <c r="A23" s="116" t="inlineStr">
        <is>
          <t>HASLS22260902196</t>
        </is>
      </c>
      <c r="B23" s="96" t="inlineStr">
        <is>
          <t>40Hx2</t>
        </is>
      </c>
      <c r="C23" s="97" t="n">
        <v>2</v>
      </c>
      <c r="D23" s="97" t="n">
        <v>2</v>
      </c>
      <c r="E23" s="97" t="n"/>
      <c r="F23" s="97" t="n">
        <v>0</v>
      </c>
      <c r="G23" s="97" t="n">
        <v>0</v>
      </c>
      <c r="H23" s="97" t="n">
        <v>0</v>
      </c>
      <c r="I23" s="97" t="n">
        <v>2</v>
      </c>
      <c r="J23" s="97" t="n">
        <v>4</v>
      </c>
      <c r="K23" s="96" t="inlineStr">
        <is>
          <t>N</t>
        </is>
      </c>
      <c r="L23" s="96" t="inlineStr">
        <is>
          <t>KHS1</t>
        </is>
      </c>
      <c r="M23" s="96" t="inlineStr">
        <is>
          <t>SWIC</t>
        </is>
      </c>
      <c r="N23" s="96" t="inlineStr">
        <is>
          <t>2611N</t>
        </is>
      </c>
      <c r="O23" s="96" t="inlineStr">
        <is>
          <t>THBKK</t>
        </is>
      </c>
      <c r="P23" s="96" t="inlineStr">
        <is>
          <t>BKK01</t>
        </is>
      </c>
      <c r="Q23" s="96" t="inlineStr">
        <is>
          <t>IA</t>
        </is>
      </c>
      <c r="R23" s="161" t="inlineStr">
        <is>
          <t>2026-10-16</t>
        </is>
      </c>
      <c r="S23" s="96" t="inlineStr">
        <is>
          <t>VNSGN</t>
        </is>
      </c>
      <c r="T23" s="96" t="inlineStr">
        <is>
          <t>SGN03</t>
        </is>
      </c>
      <c r="U23" s="96" t="inlineStr">
        <is>
          <t>VNSGN</t>
        </is>
      </c>
      <c r="V23" s="161" t="inlineStr">
        <is>
          <t>2026-10-18</t>
        </is>
      </c>
      <c r="W23" s="96" t="inlineStr">
        <is>
          <t>IA</t>
        </is>
      </c>
      <c r="X23" s="97" t="n"/>
      <c r="Y23" s="97" t="n"/>
      <c r="Z23" s="97" t="n"/>
      <c r="AA23" s="96" t="inlineStr">
        <is>
          <t>PRIME LOGISTICS INTERNATIONAL CO., LTD.</t>
        </is>
      </c>
      <c r="AB23" s="96" t="inlineStr">
        <is>
          <t>ASIAN GLOBAL HOLDING CO.,LTD</t>
        </is>
      </c>
      <c r="AC23" s="163" t="n">
        <v>10975</v>
      </c>
      <c r="AD23" s="163" t="n">
        <v>18975</v>
      </c>
      <c r="AE23" s="96" t="inlineStr">
        <is>
          <t>OK</t>
        </is>
      </c>
      <c r="AF23" s="96" t="inlineStr">
        <is>
          <t>SR</t>
        </is>
      </c>
      <c r="AG23" s="97" t="n"/>
      <c r="AH23" s="96" t="inlineStr">
        <is>
          <t>CHK</t>
        </is>
      </c>
      <c r="AI23" s="97" t="inlineStr">
        <is>
          <t>OK</t>
        </is>
      </c>
      <c r="AJ23" s="97" t="n"/>
      <c r="AK23" s="97" t="n"/>
      <c r="AL23" s="97" t="n"/>
      <c r="AM23" s="96" t="inlineStr">
        <is>
          <t>TH0011</t>
        </is>
      </c>
      <c r="AN23" s="96" t="inlineStr">
        <is>
          <t>Nannaapust Sukporntaweewat</t>
        </is>
      </c>
      <c r="AO23" s="96" t="inlineStr">
        <is>
          <t>EMPTY CAN</t>
        </is>
      </c>
      <c r="AP23" s="96" t="inlineStr">
        <is>
          <t>Normal</t>
        </is>
      </c>
      <c r="AQ23" s="97" t="n"/>
      <c r="AR23" s="97" t="n"/>
      <c r="AS23" s="97" t="n"/>
      <c r="AT23" s="97" t="n"/>
      <c r="AU23" s="97" t="n"/>
      <c r="AV23" s="97" t="n"/>
      <c r="AW23" s="97" t="n">
        <v>0</v>
      </c>
      <c r="AX23" s="96" t="inlineStr">
        <is>
          <t>N</t>
        </is>
      </c>
      <c r="AY23" s="97" t="inlineStr">
        <is>
          <t>OBL</t>
        </is>
      </c>
      <c r="AZ23" s="96" t="inlineStr">
        <is>
          <t>Pickup : 2026-10-10, Return : 2026-09-12</t>
        </is>
      </c>
      <c r="BA23" s="97" t="inlineStr">
        <is>
          <t>PLS SHOW AGENT AT DESTINATION ON B/L</t>
        </is>
      </c>
      <c r="BB23" s="96" t="inlineStr">
        <is>
          <t>P</t>
        </is>
      </c>
      <c r="BC23" s="161" t="inlineStr">
        <is>
          <t>2026-09-23</t>
        </is>
      </c>
      <c r="BD23" s="161" t="inlineStr">
        <is>
          <t>2026-10-09</t>
        </is>
      </c>
      <c r="BE23" s="96" t="inlineStr">
        <is>
          <t>Y</t>
        </is>
      </c>
      <c r="BF23" s="96" t="inlineStr">
        <is>
          <t>EMPTY CAN</t>
        </is>
      </c>
      <c r="BG23" s="96" t="inlineStr">
        <is>
          <t>Line</t>
        </is>
      </c>
      <c r="BH23" s="96" t="inlineStr">
        <is>
          <t>S22</t>
        </is>
      </c>
      <c r="BI23" s="97" t="n"/>
      <c r="BJ23" s="97" t="n"/>
      <c r="BK23" s="96" t="inlineStr">
        <is>
          <t>BKK27</t>
        </is>
      </c>
      <c r="BL23" s="161" t="inlineStr">
        <is>
          <t>2026-10-10</t>
        </is>
      </c>
      <c r="BM23" s="127" t="n"/>
      <c r="BN23" s="127" t="n"/>
      <c r="BO23" s="127" t="n"/>
      <c r="BP23" s="127" t="n">
        <v>2</v>
      </c>
      <c r="BQ23" s="127" t="n"/>
      <c r="BR23" s="127" t="n"/>
      <c r="BS23" s="127" t="n"/>
      <c r="BT23" s="127" t="n"/>
      <c r="BU23" s="127" t="n"/>
      <c r="BV23" s="127" t="n"/>
      <c r="BW23" s="127" t="n"/>
      <c r="BX23" s="127" t="n"/>
      <c r="BY23" s="96" t="inlineStr">
        <is>
          <t>FULL</t>
        </is>
      </c>
      <c r="BZ23" s="97" t="n"/>
      <c r="CA23" s="96" t="inlineStr">
        <is>
          <t>Y</t>
        </is>
      </c>
      <c r="CB23" s="97" t="n"/>
      <c r="CC23" s="96" t="inlineStr">
        <is>
          <t>BKK01</t>
        </is>
      </c>
      <c r="CD23" s="97" t="n"/>
      <c r="CE23" s="97" t="n"/>
      <c r="CF23" s="96" t="inlineStr">
        <is>
          <t>0 Teu</t>
        </is>
      </c>
      <c r="CG23" s="96" t="inlineStr">
        <is>
          <t>CY/CY</t>
        </is>
      </c>
      <c r="CH23" s="97" t="n"/>
      <c r="CI23" s="96" t="inlineStr">
        <is>
          <t>noppasorn.a@primeloginter.com</t>
        </is>
      </c>
      <c r="CJ23" s="96" t="inlineStr">
        <is>
          <t>ASIAN GLOBAL HOLDING CO ., LTD.</t>
        </is>
      </c>
      <c r="CK23" s="96" t="inlineStr">
        <is>
          <t>FOODTECH JSC</t>
        </is>
      </c>
      <c r="CL23" s="96" t="inlineStr">
        <is>
          <t>FOODTECH JSC</t>
        </is>
      </c>
      <c r="CM23" s="97" t="inlineStr">
        <is>
          <t>CLOSED</t>
        </is>
      </c>
      <c r="CN23" s="96" t="inlineStr">
        <is>
          <t>202610121200</t>
        </is>
      </c>
      <c r="CO23" s="96" t="inlineStr">
        <is>
          <t>202610131200</t>
        </is>
      </c>
      <c r="CP23" s="97" t="n"/>
      <c r="CQ23" s="96" t="inlineStr">
        <is>
          <t>S22-2411029</t>
        </is>
      </c>
      <c r="CR23" s="96" t="inlineStr">
        <is>
          <t>THTRZB</t>
        </is>
      </c>
      <c r="CS23" s="96" t="inlineStr">
        <is>
          <t>PRIME LOGISTICS INTERNATIONAL CO., LTD.</t>
        </is>
      </c>
      <c r="CT23" s="96" t="inlineStr">
        <is>
          <t>N</t>
        </is>
      </c>
      <c r="CU23" s="97" t="n"/>
      <c r="CV23" s="97" t="n"/>
      <c r="CW23" s="161" t="inlineStr">
        <is>
          <t>2026-10-15</t>
        </is>
      </c>
      <c r="CX23" s="97" t="inlineStr">
        <is>
          <t>731021</t>
        </is>
      </c>
      <c r="CY23" s="183" t="n"/>
    </row>
    <row r="24" ht="12" customHeight="1">
      <c r="A24" s="116" t="inlineStr">
        <is>
          <t>HASLS22260901687</t>
        </is>
      </c>
      <c r="B24" s="96" t="inlineStr">
        <is>
          <t>40Hx5</t>
        </is>
      </c>
      <c r="C24" s="97" t="n">
        <v>5</v>
      </c>
      <c r="D24" s="97" t="n">
        <v>5</v>
      </c>
      <c r="E24" s="97" t="n"/>
      <c r="F24" s="97" t="n">
        <v>0</v>
      </c>
      <c r="G24" s="97" t="n">
        <v>0</v>
      </c>
      <c r="H24" s="97" t="n">
        <v>0</v>
      </c>
      <c r="I24" s="97" t="n">
        <v>5</v>
      </c>
      <c r="J24" s="97" t="n">
        <v>10</v>
      </c>
      <c r="K24" s="96" t="inlineStr">
        <is>
          <t>N</t>
        </is>
      </c>
      <c r="L24" s="96" t="inlineStr">
        <is>
          <t>KHS1</t>
        </is>
      </c>
      <c r="M24" s="96" t="inlineStr">
        <is>
          <t>SWIC</t>
        </is>
      </c>
      <c r="N24" s="96" t="inlineStr">
        <is>
          <t>2611N</t>
        </is>
      </c>
      <c r="O24" s="96" t="inlineStr">
        <is>
          <t>THBKK</t>
        </is>
      </c>
      <c r="P24" s="96" t="inlineStr">
        <is>
          <t>BKK01</t>
        </is>
      </c>
      <c r="Q24" s="96" t="inlineStr">
        <is>
          <t>IA</t>
        </is>
      </c>
      <c r="R24" s="161" t="inlineStr">
        <is>
          <t>2026-10-16</t>
        </is>
      </c>
      <c r="S24" s="96" t="inlineStr">
        <is>
          <t>VNSGN</t>
        </is>
      </c>
      <c r="T24" s="96" t="inlineStr">
        <is>
          <t>SGN03</t>
        </is>
      </c>
      <c r="U24" s="96" t="inlineStr">
        <is>
          <t>VNSGN</t>
        </is>
      </c>
      <c r="V24" s="161" t="inlineStr">
        <is>
          <t>2026-10-18</t>
        </is>
      </c>
      <c r="W24" s="96" t="inlineStr">
        <is>
          <t>IA</t>
        </is>
      </c>
      <c r="X24" s="97" t="n"/>
      <c r="Y24" s="97" t="n"/>
      <c r="Z24" s="97" t="n"/>
      <c r="AA24" s="96" t="inlineStr">
        <is>
          <t>BIRLA CARBON (THAILAND) PUBLIC COMPANY LIMITED</t>
        </is>
      </c>
      <c r="AB24" s="96" t="inlineStr">
        <is>
          <t>BIRLA CARBON (THAILAND) PUBLIC COMPANY LIMITED</t>
        </is>
      </c>
      <c r="AC24" s="163" t="n">
        <v>101400</v>
      </c>
      <c r="AD24" s="163" t="n">
        <v>121400</v>
      </c>
      <c r="AE24" s="96" t="inlineStr">
        <is>
          <t>OK</t>
        </is>
      </c>
      <c r="AF24" s="96" t="n"/>
      <c r="AG24" s="97" t="n"/>
      <c r="AH24" s="96" t="inlineStr">
        <is>
          <t>CHK</t>
        </is>
      </c>
      <c r="AI24" s="97" t="inlineStr">
        <is>
          <t>OK</t>
        </is>
      </c>
      <c r="AJ24" s="97" t="n"/>
      <c r="AK24" s="97" t="n"/>
      <c r="AL24" s="97" t="n"/>
      <c r="AM24" s="96" t="inlineStr">
        <is>
          <t>TBKK13</t>
        </is>
      </c>
      <c r="AN24" s="96" t="inlineStr">
        <is>
          <t>Dharaporn</t>
        </is>
      </c>
      <c r="AO24" s="96" t="inlineStr">
        <is>
          <t>CARBON BLACK</t>
        </is>
      </c>
      <c r="AP24" s="96" t="inlineStr">
        <is>
          <t>Normal</t>
        </is>
      </c>
      <c r="AQ24" s="97" t="n"/>
      <c r="AR24" s="97" t="n"/>
      <c r="AS24" s="97" t="n"/>
      <c r="AT24" s="97" t="n"/>
      <c r="AU24" s="97" t="n"/>
      <c r="AV24" s="97" t="n"/>
      <c r="AW24" s="97" t="n">
        <v>0</v>
      </c>
      <c r="AX24" s="96" t="inlineStr">
        <is>
          <t>N</t>
        </is>
      </c>
      <c r="AY24" s="97" t="inlineStr">
        <is>
          <t>OBL</t>
        </is>
      </c>
      <c r="AZ24" s="96" t="inlineStr">
        <is>
          <t>Pickup : 2026-10-08, Return : 2026-10-09
CLS TIME DD.13/10/2026 @ 23.59</t>
        </is>
      </c>
      <c r="BA24" s="97" t="inlineStr">
        <is>
          <t>FM 10X40'HQ MOVE 5 CNTR TO NEW BKG  HASLS22261000948 =4X40'HQ, HASLS22261000949 =1X40'HQ</t>
        </is>
      </c>
      <c r="BB24" s="96" t="inlineStr">
        <is>
          <t>P</t>
        </is>
      </c>
      <c r="BC24" s="161" t="inlineStr">
        <is>
          <t>2026-09-18</t>
        </is>
      </c>
      <c r="BD24" s="161" t="inlineStr">
        <is>
          <t>2026-10-13</t>
        </is>
      </c>
      <c r="BE24" s="96" t="inlineStr">
        <is>
          <t>Y</t>
        </is>
      </c>
      <c r="BF24" s="96" t="inlineStr">
        <is>
          <t>CABON BLACK</t>
        </is>
      </c>
      <c r="BG24" s="96" t="inlineStr">
        <is>
          <t>Line</t>
        </is>
      </c>
      <c r="BH24" s="96" t="inlineStr">
        <is>
          <t>S22</t>
        </is>
      </c>
      <c r="BI24" s="97" t="n"/>
      <c r="BJ24" s="97" t="n"/>
      <c r="BK24" s="96" t="inlineStr">
        <is>
          <t>BKK27</t>
        </is>
      </c>
      <c r="BL24" s="161" t="inlineStr">
        <is>
          <t>2026-10-08</t>
        </is>
      </c>
      <c r="BM24" s="127" t="n"/>
      <c r="BN24" s="127" t="n"/>
      <c r="BO24" s="127" t="n"/>
      <c r="BP24" s="127" t="n">
        <v>5</v>
      </c>
      <c r="BQ24" s="127" t="n"/>
      <c r="BR24" s="127" t="n"/>
      <c r="BS24" s="127" t="n"/>
      <c r="BT24" s="127" t="n"/>
      <c r="BU24" s="127" t="n"/>
      <c r="BV24" s="127" t="n"/>
      <c r="BW24" s="127" t="n"/>
      <c r="BX24" s="127" t="n"/>
      <c r="BY24" s="96" t="inlineStr">
        <is>
          <t>FULL</t>
        </is>
      </c>
      <c r="BZ24" s="97" t="n"/>
      <c r="CA24" s="96" t="inlineStr">
        <is>
          <t>Y</t>
        </is>
      </c>
      <c r="CB24" s="97" t="n"/>
      <c r="CC24" s="96" t="inlineStr">
        <is>
          <t>BKK01</t>
        </is>
      </c>
      <c r="CD24" s="97" t="n"/>
      <c r="CE24" s="97" t="n"/>
      <c r="CF24" s="96" t="inlineStr">
        <is>
          <t>0 Teu</t>
        </is>
      </c>
      <c r="CG24" s="96" t="inlineStr">
        <is>
          <t>CY/CY</t>
        </is>
      </c>
      <c r="CH24" s="97" t="n"/>
      <c r="CI24" s="96" t="inlineStr">
        <is>
          <t>siriphan.hom@adityabirla.com</t>
        </is>
      </c>
      <c r="CJ24" s="96" t="inlineStr">
        <is>
          <t>BIRLA CARBON (THAILAND) PUBLIC</t>
        </is>
      </c>
      <c r="CK24" s="96" t="inlineStr">
        <is>
          <t>KUMHO TIRE (VIETNAM) CO.,LTD.</t>
        </is>
      </c>
      <c r="CL24" s="96" t="inlineStr">
        <is>
          <t>KUMHO TIRE (VIETNAM) CO.,LTD.</t>
        </is>
      </c>
      <c r="CM24" s="97" t="inlineStr">
        <is>
          <t>CLOSED</t>
        </is>
      </c>
      <c r="CN24" s="96" t="inlineStr">
        <is>
          <t>202610121200</t>
        </is>
      </c>
      <c r="CO24" s="96" t="inlineStr">
        <is>
          <t>202610131200</t>
        </is>
      </c>
      <c r="CP24" s="97" t="n"/>
      <c r="CQ24" s="96" t="inlineStr">
        <is>
          <t>S22-2508024</t>
        </is>
      </c>
      <c r="CR24" s="96" t="inlineStr">
        <is>
          <t>THTKYV</t>
        </is>
      </c>
      <c r="CS24" s="96" t="inlineStr">
        <is>
          <t>BIRLA CARBON (THAILAND) PUBLIC COMPANY LIMITED</t>
        </is>
      </c>
      <c r="CT24" s="96" t="inlineStr">
        <is>
          <t>N</t>
        </is>
      </c>
      <c r="CU24" s="97" t="n"/>
      <c r="CV24" s="97" t="n"/>
      <c r="CW24" s="161" t="inlineStr">
        <is>
          <t>2026-10-13</t>
        </is>
      </c>
      <c r="CX24" s="97" t="inlineStr">
        <is>
          <t>280300</t>
        </is>
      </c>
      <c r="CY24" s="183" t="n"/>
    </row>
    <row r="25" ht="12" customHeight="1">
      <c r="A25" s="116" t="inlineStr">
        <is>
          <t>HASLS22260902383</t>
        </is>
      </c>
      <c r="B25" s="96" t="inlineStr">
        <is>
          <t>40Hx1</t>
        </is>
      </c>
      <c r="C25" s="97" t="n">
        <v>1</v>
      </c>
      <c r="D25" s="97" t="n">
        <v>1</v>
      </c>
      <c r="E25" s="97" t="n"/>
      <c r="F25" s="97" t="n">
        <v>0</v>
      </c>
      <c r="G25" s="97" t="n">
        <v>0</v>
      </c>
      <c r="H25" s="97" t="n">
        <v>0</v>
      </c>
      <c r="I25" s="97" t="n">
        <v>1</v>
      </c>
      <c r="J25" s="97" t="n">
        <v>2</v>
      </c>
      <c r="K25" s="96" t="inlineStr">
        <is>
          <t>N</t>
        </is>
      </c>
      <c r="L25" s="96" t="inlineStr">
        <is>
          <t>KHS1</t>
        </is>
      </c>
      <c r="M25" s="96" t="inlineStr">
        <is>
          <t>SWIC</t>
        </is>
      </c>
      <c r="N25" s="96" t="inlineStr">
        <is>
          <t>2611N</t>
        </is>
      </c>
      <c r="O25" s="96" t="inlineStr">
        <is>
          <t>THBKK</t>
        </is>
      </c>
      <c r="P25" s="96" t="inlineStr">
        <is>
          <t>BKK01</t>
        </is>
      </c>
      <c r="Q25" s="96" t="inlineStr">
        <is>
          <t>IA</t>
        </is>
      </c>
      <c r="R25" s="161" t="inlineStr">
        <is>
          <t>2026-10-16</t>
        </is>
      </c>
      <c r="S25" s="96" t="inlineStr">
        <is>
          <t>VNSGN</t>
        </is>
      </c>
      <c r="T25" s="96" t="inlineStr">
        <is>
          <t>SGN03</t>
        </is>
      </c>
      <c r="U25" s="96" t="inlineStr">
        <is>
          <t>VNSGN</t>
        </is>
      </c>
      <c r="V25" s="161" t="inlineStr">
        <is>
          <t>2026-10-18</t>
        </is>
      </c>
      <c r="W25" s="96" t="inlineStr">
        <is>
          <t>IA</t>
        </is>
      </c>
      <c r="X25" s="97" t="n"/>
      <c r="Y25" s="97" t="n"/>
      <c r="Z25" s="97" t="n"/>
      <c r="AA25" s="96" t="inlineStr">
        <is>
          <t>MARINE EXPRESS CO., LTD.</t>
        </is>
      </c>
      <c r="AB25" s="96" t="inlineStr">
        <is>
          <t>R.J. LONDON CHEMICAL INDUSTRIES CO., LTD.</t>
        </is>
      </c>
      <c r="AC25" s="163" t="n">
        <v>21172.4</v>
      </c>
      <c r="AD25" s="163" t="n">
        <v>25172.4</v>
      </c>
      <c r="AE25" s="96" t="inlineStr">
        <is>
          <t>OK</t>
        </is>
      </c>
      <c r="AF25" s="96" t="inlineStr">
        <is>
          <t>SR</t>
        </is>
      </c>
      <c r="AG25" s="97" t="n"/>
      <c r="AH25" s="96" t="inlineStr">
        <is>
          <t>CHK</t>
        </is>
      </c>
      <c r="AI25" s="97" t="inlineStr">
        <is>
          <t>OK</t>
        </is>
      </c>
      <c r="AJ25" s="97" t="n"/>
      <c r="AK25" s="97" t="n"/>
      <c r="AL25" s="97" t="n"/>
      <c r="AM25" s="96" t="inlineStr">
        <is>
          <t>TBKK55</t>
        </is>
      </c>
      <c r="AN25" s="96" t="inlineStr">
        <is>
          <t>Vilaiporn</t>
        </is>
      </c>
      <c r="AO25" s="96" t="inlineStr">
        <is>
          <t>AUTO ACCESSORIES (HOUSEHOLD PRODUCT)</t>
        </is>
      </c>
      <c r="AP25" s="96" t="inlineStr">
        <is>
          <t>Normal</t>
        </is>
      </c>
      <c r="AQ25" s="97" t="n"/>
      <c r="AR25" s="97" t="n"/>
      <c r="AS25" s="97" t="n"/>
      <c r="AT25" s="97" t="n"/>
      <c r="AU25" s="97" t="n"/>
      <c r="AV25" s="97" t="n"/>
      <c r="AW25" s="97" t="n">
        <v>0</v>
      </c>
      <c r="AX25" s="96" t="inlineStr">
        <is>
          <t>N</t>
        </is>
      </c>
      <c r="AY25" s="97" t="inlineStr">
        <is>
          <t>OBL</t>
        </is>
      </c>
      <c r="AZ25" s="96" t="inlineStr">
        <is>
          <t>Pickup : 2026-10-09, Return : 2026-10-11</t>
        </is>
      </c>
      <c r="BA25" s="97" t="inlineStr">
        <is>
          <t>CY 07/10/2026 AT BANGNARE 08/10/2026 AT PATREQUEST GOOD CONTAINER NO.LEAK,NO RUST,NO SCRATCHES,NO OIL, BECAUSE PRODUCT IN CARTON NO PALLET.</t>
        </is>
      </c>
      <c r="BB25" s="96" t="inlineStr">
        <is>
          <t>P</t>
        </is>
      </c>
      <c r="BC25" s="161" t="inlineStr">
        <is>
          <t>2026-09-25</t>
        </is>
      </c>
      <c r="BD25" s="161" t="inlineStr">
        <is>
          <t>2026-10-12</t>
        </is>
      </c>
      <c r="BE25" s="96" t="inlineStr">
        <is>
          <t>Y</t>
        </is>
      </c>
      <c r="BF25" s="96" t="inlineStr">
        <is>
          <t>AUTO ACCESSORIES</t>
        </is>
      </c>
      <c r="BG25" s="96" t="inlineStr">
        <is>
          <t>Line</t>
        </is>
      </c>
      <c r="BH25" s="96" t="inlineStr">
        <is>
          <t>S22</t>
        </is>
      </c>
      <c r="BI25" s="97" t="n"/>
      <c r="BJ25" s="97" t="n"/>
      <c r="BK25" s="96" t="inlineStr">
        <is>
          <t>BKK27</t>
        </is>
      </c>
      <c r="BL25" s="161" t="inlineStr">
        <is>
          <t>2026-10-09</t>
        </is>
      </c>
      <c r="BM25" s="127" t="n"/>
      <c r="BN25" s="127" t="n"/>
      <c r="BO25" s="127" t="n"/>
      <c r="BP25" s="127" t="n">
        <v>1</v>
      </c>
      <c r="BQ25" s="127" t="n"/>
      <c r="BR25" s="127" t="n"/>
      <c r="BS25" s="127" t="n"/>
      <c r="BT25" s="127" t="n"/>
      <c r="BU25" s="127" t="n"/>
      <c r="BV25" s="127" t="n"/>
      <c r="BW25" s="127" t="n"/>
      <c r="BX25" s="127" t="n"/>
      <c r="BY25" s="96" t="inlineStr">
        <is>
          <t>FULL</t>
        </is>
      </c>
      <c r="BZ25" s="97" t="n"/>
      <c r="CA25" s="96" t="inlineStr">
        <is>
          <t>Y</t>
        </is>
      </c>
      <c r="CB25" s="97" t="n"/>
      <c r="CC25" s="96" t="inlineStr">
        <is>
          <t>BKK01</t>
        </is>
      </c>
      <c r="CD25" s="97" t="n"/>
      <c r="CE25" s="97" t="n"/>
      <c r="CF25" s="96" t="inlineStr">
        <is>
          <t>0 Teu</t>
        </is>
      </c>
      <c r="CG25" s="96" t="inlineStr">
        <is>
          <t>CY/CY</t>
        </is>
      </c>
      <c r="CH25" s="97" t="n"/>
      <c r="CI25" s="96" t="inlineStr">
        <is>
          <t>koraphan@marine-express.co.th</t>
        </is>
      </c>
      <c r="CJ25" s="96" t="inlineStr">
        <is>
          <t>R.J.LONDON CHEMICALS INDUSTRIES</t>
        </is>
      </c>
      <c r="CK25" s="96" t="inlineStr">
        <is>
          <t>TO ORDER OF</t>
        </is>
      </c>
      <c r="CL25" s="96" t="inlineStr">
        <is>
          <t>TUYET MAI TRADE-SERVICE COMPANY</t>
        </is>
      </c>
      <c r="CM25" s="97" t="inlineStr">
        <is>
          <t>CLOSED</t>
        </is>
      </c>
      <c r="CN25" s="96" t="inlineStr">
        <is>
          <t>202610121200</t>
        </is>
      </c>
      <c r="CO25" s="96" t="inlineStr">
        <is>
          <t>202610131200</t>
        </is>
      </c>
      <c r="CP25" s="97" t="n"/>
      <c r="CQ25" s="96" t="inlineStr">
        <is>
          <t>S19-2112036</t>
        </is>
      </c>
      <c r="CR25" s="96" t="inlineStr">
        <is>
          <t>THTKUW</t>
        </is>
      </c>
      <c r="CS25" s="96" t="inlineStr">
        <is>
          <t>MARINE EXPRESS CO., LTD.</t>
        </is>
      </c>
      <c r="CT25" s="96" t="inlineStr">
        <is>
          <t>N</t>
        </is>
      </c>
      <c r="CU25" s="97" t="n"/>
      <c r="CV25" s="97" t="n"/>
      <c r="CW25" s="161" t="inlineStr">
        <is>
          <t>2026-10-15</t>
        </is>
      </c>
      <c r="CX25" s="97" t="inlineStr">
        <is>
          <t>321490</t>
        </is>
      </c>
      <c r="CY25" s="183" t="n"/>
    </row>
    <row r="26" ht="12" customHeight="1">
      <c r="A26" s="116" t="inlineStr">
        <is>
          <t>HASLS22260902658</t>
        </is>
      </c>
      <c r="B26" s="96" t="inlineStr">
        <is>
          <t>20'x4</t>
        </is>
      </c>
      <c r="C26" s="97" t="n">
        <v>4</v>
      </c>
      <c r="D26" s="97" t="n">
        <v>4</v>
      </c>
      <c r="E26" s="97" t="n"/>
      <c r="F26" s="97" t="n">
        <v>0</v>
      </c>
      <c r="G26" s="97" t="n">
        <v>4</v>
      </c>
      <c r="H26" s="97" t="n">
        <v>0</v>
      </c>
      <c r="I26" s="97" t="n">
        <v>0</v>
      </c>
      <c r="J26" s="97" t="n">
        <v>4</v>
      </c>
      <c r="K26" s="96" t="inlineStr">
        <is>
          <t>N</t>
        </is>
      </c>
      <c r="L26" s="96" t="inlineStr">
        <is>
          <t>KHS1</t>
        </is>
      </c>
      <c r="M26" s="96" t="inlineStr">
        <is>
          <t>SWIC</t>
        </is>
      </c>
      <c r="N26" s="96" t="inlineStr">
        <is>
          <t>2611N</t>
        </is>
      </c>
      <c r="O26" s="96" t="inlineStr">
        <is>
          <t>THBKK</t>
        </is>
      </c>
      <c r="P26" s="96" t="inlineStr">
        <is>
          <t>BKK01</t>
        </is>
      </c>
      <c r="Q26" s="96" t="inlineStr">
        <is>
          <t>IA</t>
        </is>
      </c>
      <c r="R26" s="161" t="inlineStr">
        <is>
          <t>2026-10-16</t>
        </is>
      </c>
      <c r="S26" s="96" t="inlineStr">
        <is>
          <t>VNSGN</t>
        </is>
      </c>
      <c r="T26" s="96" t="inlineStr">
        <is>
          <t>SGN03</t>
        </is>
      </c>
      <c r="U26" s="96" t="inlineStr">
        <is>
          <t>VNSGN</t>
        </is>
      </c>
      <c r="V26" s="161" t="inlineStr">
        <is>
          <t>2026-10-18</t>
        </is>
      </c>
      <c r="W26" s="96" t="inlineStr">
        <is>
          <t>IA</t>
        </is>
      </c>
      <c r="X26" s="97" t="n"/>
      <c r="Y26" s="97" t="n"/>
      <c r="Z26" s="97" t="n"/>
      <c r="AA26" s="96" t="inlineStr">
        <is>
          <t>GOLDEN WORLD LOGISTICS CO., LTD.</t>
        </is>
      </c>
      <c r="AB26" s="96" t="inlineStr">
        <is>
          <t>LAM SOON (THAILAND) PUBLIC COMPANY LIMITED</t>
        </is>
      </c>
      <c r="AC26" s="163" t="n">
        <v>74398.92</v>
      </c>
      <c r="AD26" s="163" t="n">
        <v>83198.92</v>
      </c>
      <c r="AE26" s="96" t="inlineStr">
        <is>
          <t>OK</t>
        </is>
      </c>
      <c r="AF26" s="96" t="inlineStr">
        <is>
          <t>SR</t>
        </is>
      </c>
      <c r="AG26" s="97" t="n"/>
      <c r="AH26" s="96" t="inlineStr">
        <is>
          <t>CHK</t>
        </is>
      </c>
      <c r="AI26" s="97" t="inlineStr">
        <is>
          <t>OK</t>
        </is>
      </c>
      <c r="AJ26" s="97" t="n"/>
      <c r="AK26" s="97" t="n"/>
      <c r="AL26" s="97" t="n"/>
      <c r="AM26" s="96" t="inlineStr">
        <is>
          <t>TBKK97</t>
        </is>
      </c>
      <c r="AN26" s="96" t="inlineStr">
        <is>
          <t>Arunphat W. (Aiw)</t>
        </is>
      </c>
      <c r="AO26" s="96" t="inlineStr">
        <is>
          <t>WHEAT FLOUR</t>
        </is>
      </c>
      <c r="AP26" s="96" t="inlineStr">
        <is>
          <t>Normal</t>
        </is>
      </c>
      <c r="AQ26" s="97" t="n"/>
      <c r="AR26" s="97" t="n"/>
      <c r="AS26" s="97" t="n"/>
      <c r="AT26" s="97" t="n"/>
      <c r="AU26" s="97" t="n"/>
      <c r="AV26" s="97" t="n"/>
      <c r="AW26" s="97" t="n">
        <v>0</v>
      </c>
      <c r="AX26" s="96" t="inlineStr">
        <is>
          <t>N</t>
        </is>
      </c>
      <c r="AY26" s="97" t="inlineStr">
        <is>
          <t>OBL</t>
        </is>
      </c>
      <c r="AZ26" s="96" t="inlineStr">
        <is>
          <t xml:space="preserve">Pickup : 2026-10-08, Return : 2026-10-12 (1ST RTN DD: 11/10/26 WO/RENT)
</t>
        </is>
      </c>
      <c r="BA26" s="97" t="inlineStr">
        <is>
          <t>ACCEPT RETURN W/O RENT 10/10 ONLY 1X20'GPCommodity is Wheat Flour Hs Code 110100Cargo weight is 23MT per containeractual shipper is LAM SOON (THAILAND) PUBLIC COMPANY LIMITED</t>
        </is>
      </c>
      <c r="BB26" s="96" t="inlineStr">
        <is>
          <t>P</t>
        </is>
      </c>
      <c r="BC26" s="161" t="inlineStr">
        <is>
          <t>2026-09-29</t>
        </is>
      </c>
      <c r="BD26" s="161" t="inlineStr">
        <is>
          <t>2026-10-06</t>
        </is>
      </c>
      <c r="BE26" s="96" t="inlineStr">
        <is>
          <t>Y</t>
        </is>
      </c>
      <c r="BF26" s="96" t="inlineStr">
        <is>
          <t>WHEAT FLOUR</t>
        </is>
      </c>
      <c r="BG26" s="96" t="inlineStr">
        <is>
          <t>Line</t>
        </is>
      </c>
      <c r="BH26" s="96" t="inlineStr">
        <is>
          <t>S22</t>
        </is>
      </c>
      <c r="BI26" s="97" t="n"/>
      <c r="BJ26" s="97" t="n"/>
      <c r="BK26" s="96" t="inlineStr">
        <is>
          <t>BKK27</t>
        </is>
      </c>
      <c r="BL26" s="161" t="inlineStr">
        <is>
          <t>2026-10-08</t>
        </is>
      </c>
      <c r="BM26" s="127" t="n"/>
      <c r="BN26" s="127" t="n">
        <v>4</v>
      </c>
      <c r="BO26" s="127" t="n"/>
      <c r="BP26" s="127" t="n"/>
      <c r="BQ26" s="127" t="n"/>
      <c r="BR26" s="127" t="n"/>
      <c r="BS26" s="127" t="n"/>
      <c r="BT26" s="127" t="n"/>
      <c r="BU26" s="127" t="n"/>
      <c r="BV26" s="127" t="n"/>
      <c r="BW26" s="127" t="n"/>
      <c r="BX26" s="127" t="n"/>
      <c r="BY26" s="96" t="inlineStr">
        <is>
          <t>FULL</t>
        </is>
      </c>
      <c r="BZ26" s="97" t="n"/>
      <c r="CA26" s="96" t="inlineStr">
        <is>
          <t>Y</t>
        </is>
      </c>
      <c r="CB26" s="97" t="n"/>
      <c r="CC26" s="96" t="inlineStr">
        <is>
          <t>BKK01</t>
        </is>
      </c>
      <c r="CD26" s="97" t="n"/>
      <c r="CE26" s="97" t="n"/>
      <c r="CF26" s="96" t="inlineStr">
        <is>
          <t>0 Teu</t>
        </is>
      </c>
      <c r="CG26" s="96" t="inlineStr">
        <is>
          <t>CY/CY</t>
        </is>
      </c>
      <c r="CH26" s="97" t="n"/>
      <c r="CI26" s="96" t="inlineStr">
        <is>
          <t>cscenter@goldenworldlogistics.com</t>
        </is>
      </c>
      <c r="CJ26" s="96" t="inlineStr">
        <is>
          <t>LAM SOON (THAILAND) PUBLIC COMPANY</t>
        </is>
      </c>
      <c r="CK26" s="96" t="inlineStr">
        <is>
          <t>UNI-PRESIDENT VIETNAM CO.,LTD</t>
        </is>
      </c>
      <c r="CL26" s="96" t="inlineStr">
        <is>
          <t>UNI-PRESIDENT VIETNAM CO.,LTD</t>
        </is>
      </c>
      <c r="CM26" s="97" t="inlineStr">
        <is>
          <t>CLOSED</t>
        </is>
      </c>
      <c r="CN26" s="96" t="inlineStr">
        <is>
          <t>202610121200</t>
        </is>
      </c>
      <c r="CO26" s="96" t="inlineStr">
        <is>
          <t>202610131200</t>
        </is>
      </c>
      <c r="CP26" s="97" t="n"/>
      <c r="CQ26" s="96" t="inlineStr">
        <is>
          <t>S22-2609022</t>
        </is>
      </c>
      <c r="CR26" s="96" t="inlineStr">
        <is>
          <t>THTRWK</t>
        </is>
      </c>
      <c r="CS26" s="96" t="inlineStr">
        <is>
          <t>GOLDEN WORLD LOGISTICS CO., LTD.</t>
        </is>
      </c>
      <c r="CT26" s="96" t="inlineStr">
        <is>
          <t>N</t>
        </is>
      </c>
      <c r="CU26" s="97" t="n"/>
      <c r="CV26" s="97" t="n"/>
      <c r="CW26" s="161" t="inlineStr">
        <is>
          <t>2026-10-15</t>
        </is>
      </c>
      <c r="CX26" s="97" t="inlineStr">
        <is>
          <t>110100</t>
        </is>
      </c>
      <c r="CY26" s="183" t="n"/>
    </row>
    <row r="27" ht="12" customHeight="1">
      <c r="A27" s="116" t="inlineStr">
        <is>
          <t>HASLS22260901930</t>
        </is>
      </c>
      <c r="B27" s="96" t="inlineStr">
        <is>
          <t>20'x1</t>
        </is>
      </c>
      <c r="C27" s="97" t="n">
        <v>1</v>
      </c>
      <c r="D27" s="97" t="n">
        <v>1</v>
      </c>
      <c r="E27" s="97" t="n"/>
      <c r="F27" s="97" t="n">
        <v>0</v>
      </c>
      <c r="G27" s="97" t="n">
        <v>1</v>
      </c>
      <c r="H27" s="97" t="n">
        <v>0</v>
      </c>
      <c r="I27" s="97" t="n">
        <v>0</v>
      </c>
      <c r="J27" s="97" t="n">
        <v>1</v>
      </c>
      <c r="K27" s="96" t="inlineStr">
        <is>
          <t>N</t>
        </is>
      </c>
      <c r="L27" s="96" t="inlineStr">
        <is>
          <t>KHS1</t>
        </is>
      </c>
      <c r="M27" s="96" t="inlineStr">
        <is>
          <t>SWIC</t>
        </is>
      </c>
      <c r="N27" s="96" t="inlineStr">
        <is>
          <t>2611N</t>
        </is>
      </c>
      <c r="O27" s="96" t="inlineStr">
        <is>
          <t>THBKK</t>
        </is>
      </c>
      <c r="P27" s="96" t="inlineStr">
        <is>
          <t>BKK01</t>
        </is>
      </c>
      <c r="Q27" s="96" t="inlineStr">
        <is>
          <t>IA</t>
        </is>
      </c>
      <c r="R27" s="161" t="inlineStr">
        <is>
          <t>2026-10-16</t>
        </is>
      </c>
      <c r="S27" s="96" t="inlineStr">
        <is>
          <t>RUVVO</t>
        </is>
      </c>
      <c r="T27" s="96" t="inlineStr">
        <is>
          <t>VVO01</t>
        </is>
      </c>
      <c r="U27" s="96" t="inlineStr">
        <is>
          <t>RUVVO</t>
        </is>
      </c>
      <c r="V27" s="161" t="inlineStr">
        <is>
          <t>2026-11-02</t>
        </is>
      </c>
      <c r="W27" s="96" t="inlineStr">
        <is>
          <t>RU</t>
        </is>
      </c>
      <c r="X27" s="97" t="n"/>
      <c r="Y27" s="97" t="inlineStr">
        <is>
          <t>PUS05</t>
        </is>
      </c>
      <c r="Z27" s="97" t="inlineStr">
        <is>
          <t>KRPUS</t>
        </is>
      </c>
      <c r="AA27" s="96" t="inlineStr">
        <is>
          <t>THAI AGRI FOODS PUBLIC COMPANY LIMITED</t>
        </is>
      </c>
      <c r="AB27" s="96" t="inlineStr">
        <is>
          <t>THAI AGRI FOODS PUBLIC COMPANY LIMITED</t>
        </is>
      </c>
      <c r="AC27" s="163" t="n">
        <v>19239</v>
      </c>
      <c r="AD27" s="163" t="n">
        <v>21439</v>
      </c>
      <c r="AE27" s="96" t="inlineStr">
        <is>
          <t>OK</t>
        </is>
      </c>
      <c r="AF27" s="96" t="n"/>
      <c r="AG27" s="97" t="n"/>
      <c r="AH27" s="96" t="inlineStr">
        <is>
          <t>CHK</t>
        </is>
      </c>
      <c r="AI27" s="97" t="inlineStr">
        <is>
          <t>OK</t>
        </is>
      </c>
      <c r="AJ27" s="97" t="n"/>
      <c r="AK27" s="97" t="n"/>
      <c r="AL27" s="97" t="n"/>
      <c r="AM27" s="96" t="inlineStr">
        <is>
          <t>RUVO38</t>
        </is>
      </c>
      <c r="AN27" s="96" t="inlineStr">
        <is>
          <t>ANNA MARS</t>
        </is>
      </c>
      <c r="AO27" s="96" t="inlineStr">
        <is>
          <t>SWEET CHILLI SAUCE FOR CHICKEN</t>
        </is>
      </c>
      <c r="AP27" s="96" t="inlineStr">
        <is>
          <t>T/S</t>
        </is>
      </c>
      <c r="AQ27" s="97" t="n"/>
      <c r="AR27" s="97" t="n"/>
      <c r="AS27" s="97" t="n"/>
      <c r="AT27" s="97" t="n"/>
      <c r="AU27" s="97" t="n"/>
      <c r="AV27" s="97" t="n"/>
      <c r="AW27" s="97" t="n">
        <v>0</v>
      </c>
      <c r="AX27" s="96" t="inlineStr">
        <is>
          <t>N</t>
        </is>
      </c>
      <c r="AY27" s="97" t="inlineStr">
        <is>
          <t>OBL</t>
        </is>
      </c>
      <c r="AZ27" s="96" t="inlineStr">
        <is>
          <t>[FIX][FIX]SWIC/2611N/10/24[FIX] Pickup : 2026-10-09, Return : 2026-10-12</t>
        </is>
      </c>
      <c r="BA27" s="97" t="inlineStr">
        <is>
          <t>SI DD.9/10/26
RQST CHANGE VSL NAME FROM KUS 2616N BY HA DD.5/10</t>
        </is>
      </c>
      <c r="BB27" s="96" t="inlineStr">
        <is>
          <t>C</t>
        </is>
      </c>
      <c r="BC27" s="161" t="inlineStr">
        <is>
          <t>2026-09-22</t>
        </is>
      </c>
      <c r="BD27" s="161" t="inlineStr">
        <is>
          <t>2026-10-09</t>
        </is>
      </c>
      <c r="BE27" s="96" t="inlineStr">
        <is>
          <t>Y</t>
        </is>
      </c>
      <c r="BF27" s="96" t="inlineStr">
        <is>
          <t>SWEET CHILLI SAUCE FOR CHICKEN</t>
        </is>
      </c>
      <c r="BG27" s="96" t="inlineStr">
        <is>
          <t>Line</t>
        </is>
      </c>
      <c r="BH27" s="96" t="inlineStr">
        <is>
          <t>S22</t>
        </is>
      </c>
      <c r="BI27" s="97" t="n"/>
      <c r="BJ27" s="97" t="n"/>
      <c r="BK27" s="96" t="inlineStr">
        <is>
          <t>BKK27</t>
        </is>
      </c>
      <c r="BL27" s="161" t="inlineStr">
        <is>
          <t>2026-10-09</t>
        </is>
      </c>
      <c r="BM27" s="127" t="n"/>
      <c r="BN27" s="127" t="n">
        <v>1</v>
      </c>
      <c r="BO27" s="127" t="n"/>
      <c r="BP27" s="127" t="n"/>
      <c r="BQ27" s="127" t="n"/>
      <c r="BR27" s="127" t="n"/>
      <c r="BS27" s="127" t="n"/>
      <c r="BT27" s="127" t="n"/>
      <c r="BU27" s="127" t="n"/>
      <c r="BV27" s="127" t="n"/>
      <c r="BW27" s="127" t="n"/>
      <c r="BX27" s="127" t="n"/>
      <c r="BY27" s="96" t="inlineStr">
        <is>
          <t>FULL</t>
        </is>
      </c>
      <c r="BZ27" s="97" t="n">
        <v>6</v>
      </c>
      <c r="CA27" s="96" t="inlineStr">
        <is>
          <t>Y</t>
        </is>
      </c>
      <c r="CB27" s="97" t="n"/>
      <c r="CC27" s="96" t="inlineStr">
        <is>
          <t>BKK01</t>
        </is>
      </c>
      <c r="CD27" s="97" t="n"/>
      <c r="CE27" s="97" t="n"/>
      <c r="CF27" s="96" t="inlineStr">
        <is>
          <t>0 Teu</t>
        </is>
      </c>
      <c r="CG27" s="96" t="inlineStr">
        <is>
          <t>CY/CY</t>
        </is>
      </c>
      <c r="CH27" s="97" t="inlineStr">
        <is>
          <t>POL: THBKK [SWIC/2611N]; T/S(1st): KRPUS [SWTD/9019N]; POD: RUVVO [/]</t>
        </is>
      </c>
      <c r="CI27" s="96" t="inlineStr">
        <is>
          <t>chalearmporn.pu@thaiagri.com</t>
        </is>
      </c>
      <c r="CJ27" s="96" t="inlineStr">
        <is>
          <t>THAI AGRI FOODS PUBLIC COMPANY</t>
        </is>
      </c>
      <c r="CK27" s="96" t="inlineStr">
        <is>
          <t>EXIM PACIFIC LLC. RUSSIA,</t>
        </is>
      </c>
      <c r="CL27" s="96" t="inlineStr">
        <is>
          <t>EXIM PACIFIC LLC. RUSSIA,</t>
        </is>
      </c>
      <c r="CM27" s="97" t="inlineStr">
        <is>
          <t>CLOSED</t>
        </is>
      </c>
      <c r="CN27" s="96" t="inlineStr">
        <is>
          <t>202610121200</t>
        </is>
      </c>
      <c r="CO27" s="96" t="inlineStr">
        <is>
          <t>202610131200</t>
        </is>
      </c>
      <c r="CP27" s="97" t="n"/>
      <c r="CQ27" s="96" t="inlineStr">
        <is>
          <t>R01-2411002</t>
        </is>
      </c>
      <c r="CR27" s="96" t="inlineStr">
        <is>
          <t>THTLH8</t>
        </is>
      </c>
      <c r="CS27" s="96" t="inlineStr">
        <is>
          <t>THAI AGRI FOODS PUBLIC COMPANY LIMITED</t>
        </is>
      </c>
      <c r="CT27" s="96" t="inlineStr">
        <is>
          <t>N</t>
        </is>
      </c>
      <c r="CU27" s="97" t="n"/>
      <c r="CV27" s="97" t="n"/>
      <c r="CW27" s="161" t="inlineStr">
        <is>
          <t>2026-10-15</t>
        </is>
      </c>
      <c r="CX27" s="97" t="inlineStr">
        <is>
          <t>210390</t>
        </is>
      </c>
      <c r="CY27" s="183" t="n"/>
    </row>
    <row r="28" ht="12" customHeight="1">
      <c r="A28" s="116" t="inlineStr">
        <is>
          <t>HASLS22260901669</t>
        </is>
      </c>
      <c r="B28" s="96" t="inlineStr">
        <is>
          <t>20'x7</t>
        </is>
      </c>
      <c r="C28" s="97" t="n">
        <v>7</v>
      </c>
      <c r="D28" s="97" t="n">
        <v>7</v>
      </c>
      <c r="E28" s="97" t="n"/>
      <c r="F28" s="97" t="n">
        <v>0</v>
      </c>
      <c r="G28" s="97" t="n">
        <v>7</v>
      </c>
      <c r="H28" s="97" t="n">
        <v>0</v>
      </c>
      <c r="I28" s="97" t="n">
        <v>0</v>
      </c>
      <c r="J28" s="97" t="n">
        <v>7</v>
      </c>
      <c r="K28" s="96" t="inlineStr">
        <is>
          <t>N</t>
        </is>
      </c>
      <c r="L28" s="96" t="inlineStr">
        <is>
          <t>KHS1</t>
        </is>
      </c>
      <c r="M28" s="96" t="inlineStr">
        <is>
          <t>SWIC</t>
        </is>
      </c>
      <c r="N28" s="96" t="inlineStr">
        <is>
          <t>2611N</t>
        </is>
      </c>
      <c r="O28" s="96" t="inlineStr">
        <is>
          <t>THBKK</t>
        </is>
      </c>
      <c r="P28" s="96" t="inlineStr">
        <is>
          <t>BKK01</t>
        </is>
      </c>
      <c r="Q28" s="96" t="inlineStr">
        <is>
          <t>IA</t>
        </is>
      </c>
      <c r="R28" s="161" t="inlineStr">
        <is>
          <t>2026-10-16</t>
        </is>
      </c>
      <c r="S28" s="96" t="inlineStr">
        <is>
          <t>VNSGN</t>
        </is>
      </c>
      <c r="T28" s="96" t="inlineStr">
        <is>
          <t>SGN03</t>
        </is>
      </c>
      <c r="U28" s="96" t="inlineStr">
        <is>
          <t>VNSGN</t>
        </is>
      </c>
      <c r="V28" s="161" t="inlineStr">
        <is>
          <t>2026-10-18</t>
        </is>
      </c>
      <c r="W28" s="96" t="inlineStr">
        <is>
          <t>IA</t>
        </is>
      </c>
      <c r="X28" s="97" t="n"/>
      <c r="Y28" s="97" t="n"/>
      <c r="Z28" s="97" t="n"/>
      <c r="AA28" s="96" t="inlineStr">
        <is>
          <t>SEA FLEXI LOGISTICS CO.,LTD.</t>
        </is>
      </c>
      <c r="AB28" s="96" t="inlineStr">
        <is>
          <t>THANAKORN VEGETABLE OIL PRODUCTS CO., LTD.</t>
        </is>
      </c>
      <c r="AC28" s="163" t="n">
        <v>147700</v>
      </c>
      <c r="AD28" s="163" t="n">
        <v>163100</v>
      </c>
      <c r="AE28" s="96" t="inlineStr">
        <is>
          <t>OK</t>
        </is>
      </c>
      <c r="AF28" s="96" t="n"/>
      <c r="AG28" s="97" t="n"/>
      <c r="AH28" s="96" t="inlineStr">
        <is>
          <t>CHK</t>
        </is>
      </c>
      <c r="AI28" s="97" t="inlineStr">
        <is>
          <t>OK</t>
        </is>
      </c>
      <c r="AJ28" s="97" t="n"/>
      <c r="AK28" s="97" t="n"/>
      <c r="AL28" s="97" t="n"/>
      <c r="AM28" s="96" t="inlineStr">
        <is>
          <t>TH0011</t>
        </is>
      </c>
      <c r="AN28" s="96" t="inlineStr">
        <is>
          <t>Nannaapust Sukporntaweewat</t>
        </is>
      </c>
      <c r="AO28" s="96" t="inlineStr">
        <is>
          <t>CRUDE DEGUMMED SOYBEAN OIL</t>
        </is>
      </c>
      <c r="AP28" s="96" t="inlineStr">
        <is>
          <t>Normal</t>
        </is>
      </c>
      <c r="AQ28" s="97" t="n"/>
      <c r="AR28" s="97" t="n"/>
      <c r="AS28" s="97" t="n"/>
      <c r="AT28" s="97" t="n"/>
      <c r="AU28" s="97" t="n"/>
      <c r="AV28" s="97" t="n"/>
      <c r="AW28" s="97" t="n">
        <v>0</v>
      </c>
      <c r="AX28" s="96" t="inlineStr">
        <is>
          <t>Y</t>
        </is>
      </c>
      <c r="AY28" s="97" t="inlineStr">
        <is>
          <t>OBL</t>
        </is>
      </c>
      <c r="AZ28" s="96" t="inlineStr">
        <is>
          <t>**APPROVAL BY MR.M.J CHANG DD.30/09/2026* *FLEXIBAG ONDECK*
Survey : 2026-10-09 , Pickup : 2026-10-10, Return : 2026-10-12
EXTEND CLOSING DD.13/10/26 @12.00</t>
        </is>
      </c>
      <c r="BA28" s="97" t="inlineStr">
        <is>
          <t>CFM BY P'KUNG DD 19/09 
FM SWBT 2616N / 5X20GP 25/09</t>
        </is>
      </c>
      <c r="BB28" s="96" t="inlineStr">
        <is>
          <t>P</t>
        </is>
      </c>
      <c r="BC28" s="161" t="inlineStr">
        <is>
          <t>2026-09-18</t>
        </is>
      </c>
      <c r="BD28" s="161" t="inlineStr">
        <is>
          <t>2026-10-02</t>
        </is>
      </c>
      <c r="BE28" s="96" t="inlineStr">
        <is>
          <t>Y</t>
        </is>
      </c>
      <c r="BF28" s="96" t="inlineStr">
        <is>
          <t>SOYBEAN OIL</t>
        </is>
      </c>
      <c r="BG28" s="96" t="inlineStr">
        <is>
          <t>Line</t>
        </is>
      </c>
      <c r="BH28" s="96" t="inlineStr">
        <is>
          <t>S22</t>
        </is>
      </c>
      <c r="BI28" s="97" t="n"/>
      <c r="BJ28" s="97" t="n"/>
      <c r="BK28" s="96" t="inlineStr">
        <is>
          <t>BKK27</t>
        </is>
      </c>
      <c r="BL28" s="161" t="inlineStr">
        <is>
          <t>2026-10-09</t>
        </is>
      </c>
      <c r="BM28" s="127" t="n"/>
      <c r="BN28" s="127" t="n">
        <v>7</v>
      </c>
      <c r="BO28" s="127" t="n"/>
      <c r="BP28" s="127" t="n"/>
      <c r="BQ28" s="127" t="n"/>
      <c r="BR28" s="127" t="n"/>
      <c r="BS28" s="127" t="n"/>
      <c r="BT28" s="127" t="n"/>
      <c r="BU28" s="127" t="n"/>
      <c r="BV28" s="127" t="n"/>
      <c r="BW28" s="127" t="n"/>
      <c r="BX28" s="127" t="n"/>
      <c r="BY28" s="96" t="inlineStr">
        <is>
          <t>FULL</t>
        </is>
      </c>
      <c r="BZ28" s="97" t="n"/>
      <c r="CA28" s="96" t="inlineStr">
        <is>
          <t>Y</t>
        </is>
      </c>
      <c r="CB28" s="97" t="n"/>
      <c r="CC28" s="96" t="inlineStr">
        <is>
          <t>BKK01</t>
        </is>
      </c>
      <c r="CD28" s="97" t="n"/>
      <c r="CE28" s="97" t="n"/>
      <c r="CF28" s="96" t="inlineStr">
        <is>
          <t>0 Teu</t>
        </is>
      </c>
      <c r="CG28" s="96" t="inlineStr">
        <is>
          <t>CY/CY</t>
        </is>
      </c>
      <c r="CH28" s="97" t="n"/>
      <c r="CI28" s="96" t="inlineStr">
        <is>
          <t>export@seaflexi.com</t>
        </is>
      </c>
      <c r="CJ28" s="96" t="inlineStr">
        <is>
          <t>THANAKORN VEGETABLE OIL PRODUCTS</t>
        </is>
      </c>
      <c r="CK28" s="96" t="inlineStr">
        <is>
          <t>MEKONG COMMODITIES JSC</t>
        </is>
      </c>
      <c r="CL28" s="96" t="inlineStr">
        <is>
          <t>AUSTRALASIAN COMMODITIES PTY LTD.</t>
        </is>
      </c>
      <c r="CM28" s="97" t="inlineStr">
        <is>
          <t>CLOSED</t>
        </is>
      </c>
      <c r="CN28" s="96" t="inlineStr">
        <is>
          <t>202610121200</t>
        </is>
      </c>
      <c r="CO28" s="96" t="inlineStr">
        <is>
          <t>202610131200</t>
        </is>
      </c>
      <c r="CP28" s="97" t="n"/>
      <c r="CQ28" s="96" t="inlineStr">
        <is>
          <t>S22-2407002</t>
        </is>
      </c>
      <c r="CR28" s="96" t="inlineStr">
        <is>
          <t>THTUAQ</t>
        </is>
      </c>
      <c r="CS28" s="96" t="inlineStr">
        <is>
          <t>SEA FLEXI LOGISTICS CO.,LTD.</t>
        </is>
      </c>
      <c r="CT28" s="96" t="inlineStr">
        <is>
          <t>N</t>
        </is>
      </c>
      <c r="CU28" s="97" t="n"/>
      <c r="CV28" s="97" t="n"/>
      <c r="CW28" s="161" t="inlineStr">
        <is>
          <t>2026-10-15</t>
        </is>
      </c>
      <c r="CX28" s="97" t="inlineStr">
        <is>
          <t>150710</t>
        </is>
      </c>
      <c r="CY28" s="183" t="n"/>
    </row>
    <row r="29" ht="12" customHeight="1">
      <c r="A29" s="116" t="inlineStr">
        <is>
          <t>HASLS22260902184</t>
        </is>
      </c>
      <c r="B29" s="96" t="inlineStr">
        <is>
          <t>20'x4</t>
        </is>
      </c>
      <c r="C29" s="97" t="n">
        <v>4</v>
      </c>
      <c r="D29" s="97" t="n">
        <v>4</v>
      </c>
      <c r="E29" s="97" t="n"/>
      <c r="F29" s="97" t="n">
        <v>0</v>
      </c>
      <c r="G29" s="97" t="n">
        <v>4</v>
      </c>
      <c r="H29" s="97" t="n">
        <v>0</v>
      </c>
      <c r="I29" s="97" t="n">
        <v>0</v>
      </c>
      <c r="J29" s="97" t="n">
        <v>4</v>
      </c>
      <c r="K29" s="96" t="inlineStr">
        <is>
          <t>N</t>
        </is>
      </c>
      <c r="L29" s="96" t="inlineStr">
        <is>
          <t>KHS1</t>
        </is>
      </c>
      <c r="M29" s="96" t="inlineStr">
        <is>
          <t>SWIC</t>
        </is>
      </c>
      <c r="N29" s="96" t="inlineStr">
        <is>
          <t>2611N</t>
        </is>
      </c>
      <c r="O29" s="96" t="inlineStr">
        <is>
          <t>THBKK</t>
        </is>
      </c>
      <c r="P29" s="96" t="inlineStr">
        <is>
          <t>BKK01</t>
        </is>
      </c>
      <c r="Q29" s="96" t="inlineStr">
        <is>
          <t>IA</t>
        </is>
      </c>
      <c r="R29" s="161" t="inlineStr">
        <is>
          <t>2026-10-16</t>
        </is>
      </c>
      <c r="S29" s="96" t="inlineStr">
        <is>
          <t>JPUKB</t>
        </is>
      </c>
      <c r="T29" s="96" t="inlineStr">
        <is>
          <t>UKB03</t>
        </is>
      </c>
      <c r="U29" s="96" t="inlineStr">
        <is>
          <t>JPUKB</t>
        </is>
      </c>
      <c r="V29" s="161" t="inlineStr">
        <is>
          <t>2026-11-04</t>
        </is>
      </c>
      <c r="W29" s="96" t="inlineStr">
        <is>
          <t>JP</t>
        </is>
      </c>
      <c r="X29" s="97" t="n"/>
      <c r="Y29" s="97" t="inlineStr">
        <is>
          <t>PUS05</t>
        </is>
      </c>
      <c r="Z29" s="97" t="inlineStr">
        <is>
          <t>KRPUS</t>
        </is>
      </c>
      <c r="AA29" s="96" t="inlineStr">
        <is>
          <t>BIRLA CARBON (THAILAND) PUBLIC COMPANY LIMITED</t>
        </is>
      </c>
      <c r="AB29" s="96" t="inlineStr">
        <is>
          <t>BIRLA CARBON (THAILAND) PUBLIC COMPANY LIMITED</t>
        </is>
      </c>
      <c r="AC29" s="163" t="n">
        <v>46126</v>
      </c>
      <c r="AD29" s="163" t="n">
        <v>54926</v>
      </c>
      <c r="AE29" s="96" t="inlineStr">
        <is>
          <t>OK</t>
        </is>
      </c>
      <c r="AF29" s="96" t="n"/>
      <c r="AG29" s="97" t="n"/>
      <c r="AH29" s="96" t="inlineStr">
        <is>
          <t>CHK</t>
        </is>
      </c>
      <c r="AI29" s="97" t="inlineStr">
        <is>
          <t>OK</t>
        </is>
      </c>
      <c r="AJ29" s="97" t="n"/>
      <c r="AK29" s="97" t="n"/>
      <c r="AL29" s="97" t="n"/>
      <c r="AM29" s="96" t="inlineStr">
        <is>
          <t>TBKK13</t>
        </is>
      </c>
      <c r="AN29" s="96" t="inlineStr">
        <is>
          <t>Dharaporn</t>
        </is>
      </c>
      <c r="AO29" s="96" t="inlineStr">
        <is>
          <t>CARBON BLACK</t>
        </is>
      </c>
      <c r="AP29" s="96" t="inlineStr">
        <is>
          <t>T/S</t>
        </is>
      </c>
      <c r="AQ29" s="97" t="n"/>
      <c r="AR29" s="97" t="n"/>
      <c r="AS29" s="97" t="n"/>
      <c r="AT29" s="97" t="n"/>
      <c r="AU29" s="97" t="n"/>
      <c r="AV29" s="97" t="n"/>
      <c r="AW29" s="97" t="n">
        <v>0</v>
      </c>
      <c r="AX29" s="96" t="inlineStr">
        <is>
          <t>N</t>
        </is>
      </c>
      <c r="AY29" s="97" t="inlineStr">
        <is>
          <t>OBL</t>
        </is>
      </c>
      <c r="AZ29" s="96" t="inlineStr">
        <is>
          <t>[FIX]Pickup : 2026-10-10, Return : 2026-10-12
CLS TIME DD.13/10/2026 @ 23.59</t>
        </is>
      </c>
      <c r="BA29" s="97" t="n"/>
      <c r="BB29" s="96" t="inlineStr">
        <is>
          <t>P</t>
        </is>
      </c>
      <c r="BC29" s="161" t="inlineStr">
        <is>
          <t>2026-09-23</t>
        </is>
      </c>
      <c r="BD29" s="161" t="inlineStr">
        <is>
          <t>2026-10-13</t>
        </is>
      </c>
      <c r="BE29" s="96" t="inlineStr">
        <is>
          <t>Y</t>
        </is>
      </c>
      <c r="BF29" s="96" t="inlineStr">
        <is>
          <t>CABON BLACK</t>
        </is>
      </c>
      <c r="BG29" s="96" t="inlineStr">
        <is>
          <t>Line</t>
        </is>
      </c>
      <c r="BH29" s="96" t="inlineStr">
        <is>
          <t>S22</t>
        </is>
      </c>
      <c r="BI29" s="97" t="n"/>
      <c r="BJ29" s="97" t="n"/>
      <c r="BK29" s="96" t="inlineStr">
        <is>
          <t>BKK27</t>
        </is>
      </c>
      <c r="BL29" s="161" t="inlineStr">
        <is>
          <t>2026-10-10</t>
        </is>
      </c>
      <c r="BM29" s="127" t="n"/>
      <c r="BN29" s="127" t="n">
        <v>4</v>
      </c>
      <c r="BO29" s="127" t="n"/>
      <c r="BP29" s="127" t="n"/>
      <c r="BQ29" s="127" t="n"/>
      <c r="BR29" s="127" t="n"/>
      <c r="BS29" s="127" t="n"/>
      <c r="BT29" s="127" t="n"/>
      <c r="BU29" s="127" t="n"/>
      <c r="BV29" s="127" t="n"/>
      <c r="BW29" s="127" t="n"/>
      <c r="BX29" s="127" t="n"/>
      <c r="BY29" s="96" t="inlineStr">
        <is>
          <t>FULL</t>
        </is>
      </c>
      <c r="BZ29" s="97" t="n">
        <v>8</v>
      </c>
      <c r="CA29" s="96" t="inlineStr">
        <is>
          <t>Y</t>
        </is>
      </c>
      <c r="CB29" s="97" t="n"/>
      <c r="CC29" s="96" t="inlineStr">
        <is>
          <t>BKK01</t>
        </is>
      </c>
      <c r="CD29" s="97" t="n"/>
      <c r="CE29" s="97" t="n"/>
      <c r="CF29" s="96" t="inlineStr">
        <is>
          <t>0 Teu</t>
        </is>
      </c>
      <c r="CG29" s="96" t="inlineStr">
        <is>
          <t>CY/CY</t>
        </is>
      </c>
      <c r="CH29" s="97" t="inlineStr">
        <is>
          <t>POL: THBKK [SWIC/2611N]; T/S(1st): KRPUS [HRGL/2651E]; POD: JPUKB [/]</t>
        </is>
      </c>
      <c r="CI29" s="96" t="inlineStr">
        <is>
          <t>siriphan.hom@adityabirla.com</t>
        </is>
      </c>
      <c r="CJ29" s="96" t="inlineStr">
        <is>
          <t>BIRLA CARBON (THAILAND) PUBLIC</t>
        </is>
      </c>
      <c r="CK29" s="96" t="inlineStr">
        <is>
          <t>NIPPON GIANT TIRE CO.,LTD.</t>
        </is>
      </c>
      <c r="CL29" s="96" t="inlineStr">
        <is>
          <t>NIPPON GIANT TIRE CO.,LTD.</t>
        </is>
      </c>
      <c r="CM29" s="97" t="inlineStr">
        <is>
          <t>CLOSED</t>
        </is>
      </c>
      <c r="CN29" s="96" t="inlineStr">
        <is>
          <t>202610121200</t>
        </is>
      </c>
      <c r="CO29" s="96" t="inlineStr">
        <is>
          <t>202610131200</t>
        </is>
      </c>
      <c r="CP29" s="97" t="n"/>
      <c r="CQ29" s="96" t="inlineStr">
        <is>
          <t>S22-2508024</t>
        </is>
      </c>
      <c r="CR29" s="96" t="inlineStr">
        <is>
          <t>THTKYV</t>
        </is>
      </c>
      <c r="CS29" s="96" t="inlineStr">
        <is>
          <t>BIRLA CARBON (THAILAND) PUBLIC COMPANY LIMITED</t>
        </is>
      </c>
      <c r="CT29" s="96" t="inlineStr">
        <is>
          <t>N</t>
        </is>
      </c>
      <c r="CU29" s="97" t="n"/>
      <c r="CV29" s="97" t="n"/>
      <c r="CW29" s="161" t="inlineStr">
        <is>
          <t>2026-10-15</t>
        </is>
      </c>
      <c r="CX29" s="97" t="inlineStr">
        <is>
          <t>280300</t>
        </is>
      </c>
      <c r="CY29" s="183" t="n"/>
    </row>
    <row r="30" ht="12" customHeight="1">
      <c r="A30" s="116" t="inlineStr">
        <is>
          <t>HASLS22260902365</t>
        </is>
      </c>
      <c r="B30" s="96" t="inlineStr">
        <is>
          <t>R40Hx1</t>
        </is>
      </c>
      <c r="C30" s="97" t="n">
        <v>1</v>
      </c>
      <c r="D30" s="97" t="n">
        <v>1</v>
      </c>
      <c r="E30" s="97" t="n"/>
      <c r="F30" s="97" t="n">
        <v>0</v>
      </c>
      <c r="G30" s="97" t="n">
        <v>0</v>
      </c>
      <c r="H30" s="97" t="n">
        <v>0</v>
      </c>
      <c r="I30" s="97" t="n">
        <v>1</v>
      </c>
      <c r="J30" s="97" t="n">
        <v>2</v>
      </c>
      <c r="K30" s="96" t="inlineStr">
        <is>
          <t>N</t>
        </is>
      </c>
      <c r="L30" s="96" t="inlineStr">
        <is>
          <t>KHS1</t>
        </is>
      </c>
      <c r="M30" s="96" t="inlineStr">
        <is>
          <t>SWIC</t>
        </is>
      </c>
      <c r="N30" s="96" t="inlineStr">
        <is>
          <t>2611N</t>
        </is>
      </c>
      <c r="O30" s="96" t="inlineStr">
        <is>
          <t>THBKK</t>
        </is>
      </c>
      <c r="P30" s="96" t="inlineStr">
        <is>
          <t>BKK01</t>
        </is>
      </c>
      <c r="Q30" s="96" t="inlineStr">
        <is>
          <t>IA</t>
        </is>
      </c>
      <c r="R30" s="161" t="inlineStr">
        <is>
          <t>2026-10-16</t>
        </is>
      </c>
      <c r="S30" s="96" t="inlineStr">
        <is>
          <t>RUVVO</t>
        </is>
      </c>
      <c r="T30" s="96" t="inlineStr">
        <is>
          <t>VVO01</t>
        </is>
      </c>
      <c r="U30" s="96" t="inlineStr">
        <is>
          <t>RUVVO</t>
        </is>
      </c>
      <c r="V30" s="161" t="inlineStr">
        <is>
          <t>2026-10-27</t>
        </is>
      </c>
      <c r="W30" s="96" t="inlineStr">
        <is>
          <t>RU</t>
        </is>
      </c>
      <c r="X30" s="97" t="n"/>
      <c r="Y30" s="97" t="inlineStr">
        <is>
          <t>PUS05</t>
        </is>
      </c>
      <c r="Z30" s="97" t="inlineStr">
        <is>
          <t>KRPUS</t>
        </is>
      </c>
      <c r="AA30" s="96" t="inlineStr">
        <is>
          <t>THAI AGRI FOODS PUBLIC COMPANY LIMITED</t>
        </is>
      </c>
      <c r="AB30" s="96" t="inlineStr">
        <is>
          <t>THAI AGRI FOODS PUBLIC COMPANY LIMITED</t>
        </is>
      </c>
      <c r="AC30" s="163" t="n">
        <v>26722.5</v>
      </c>
      <c r="AD30" s="163" t="n">
        <v>30722.5</v>
      </c>
      <c r="AE30" s="96" t="inlineStr">
        <is>
          <t>OK</t>
        </is>
      </c>
      <c r="AF30" s="96" t="n"/>
      <c r="AG30" s="97" t="n"/>
      <c r="AH30" s="96" t="inlineStr">
        <is>
          <t>CHK</t>
        </is>
      </c>
      <c r="AI30" s="97" t="inlineStr">
        <is>
          <t>OK</t>
        </is>
      </c>
      <c r="AJ30" s="97" t="n"/>
      <c r="AK30" s="97" t="n"/>
      <c r="AL30" s="97" t="n"/>
      <c r="AM30" s="96" t="inlineStr">
        <is>
          <t>RUVO17</t>
        </is>
      </c>
      <c r="AN30" s="96" t="inlineStr">
        <is>
          <t>Insuk Heo</t>
        </is>
      </c>
      <c r="AO30" s="96" t="inlineStr">
        <is>
          <t>RED CURRY PASTE AROY-D</t>
        </is>
      </c>
      <c r="AP30" s="96" t="inlineStr">
        <is>
          <t>T/S</t>
        </is>
      </c>
      <c r="AQ30" s="97" t="n"/>
      <c r="AR30" s="97" t="n"/>
      <c r="AS30" s="97" t="inlineStr">
        <is>
          <t>RF// MIN:+10.0 MAX:+10.0 [COVER:CLOSE]</t>
        </is>
      </c>
      <c r="AT30" s="97" t="inlineStr">
        <is>
          <t xml:space="preserve">45REx1 </t>
        </is>
      </c>
      <c r="AU30" s="97" t="n"/>
      <c r="AV30" s="97" t="n"/>
      <c r="AW30" s="97" t="n">
        <v>0</v>
      </c>
      <c r="AX30" s="96" t="inlineStr">
        <is>
          <t>N</t>
        </is>
      </c>
      <c r="AY30" s="97" t="inlineStr">
        <is>
          <t>OBL</t>
        </is>
      </c>
      <c r="AZ30" s="96" t="inlineStr">
        <is>
          <t>[FIX][FIX]Pickup : 2026-10-10, Return : 2026-10-12 (Temp +10.0 / Vent Close) 
CLS TIME 13/10/26 @23.59</t>
        </is>
      </c>
      <c r="BA30" s="97" t="inlineStr">
        <is>
          <t>SI DD.12/10/26</t>
        </is>
      </c>
      <c r="BB30" s="96" t="inlineStr">
        <is>
          <t>C</t>
        </is>
      </c>
      <c r="BC30" s="161" t="inlineStr">
        <is>
          <t>2026-09-25</t>
        </is>
      </c>
      <c r="BD30" s="161" t="inlineStr">
        <is>
          <t>2026-10-12</t>
        </is>
      </c>
      <c r="BE30" s="96" t="inlineStr">
        <is>
          <t>Y</t>
        </is>
      </c>
      <c r="BF30" s="96" t="inlineStr">
        <is>
          <t>CURRY PASTE</t>
        </is>
      </c>
      <c r="BG30" s="96" t="inlineStr">
        <is>
          <t>Line</t>
        </is>
      </c>
      <c r="BH30" s="96" t="inlineStr">
        <is>
          <t>S22</t>
        </is>
      </c>
      <c r="BI30" s="97" t="n"/>
      <c r="BJ30" s="97" t="n"/>
      <c r="BK30" s="96" t="inlineStr">
        <is>
          <t>BKK27</t>
        </is>
      </c>
      <c r="BL30" s="161" t="inlineStr">
        <is>
          <t>2026-10-10</t>
        </is>
      </c>
      <c r="BM30" s="127" t="n"/>
      <c r="BN30" s="127" t="n"/>
      <c r="BO30" s="127" t="n"/>
      <c r="BP30" s="127" t="n"/>
      <c r="BQ30" s="127" t="n"/>
      <c r="BR30" s="127" t="n">
        <v>1</v>
      </c>
      <c r="BS30" s="127" t="n"/>
      <c r="BT30" s="127" t="n"/>
      <c r="BU30" s="127" t="n"/>
      <c r="BV30" s="127" t="n"/>
      <c r="BW30" s="127" t="n"/>
      <c r="BX30" s="127" t="n"/>
      <c r="BY30" s="96" t="inlineStr">
        <is>
          <t>FULL</t>
        </is>
      </c>
      <c r="BZ30" s="97" t="n">
        <v>0</v>
      </c>
      <c r="CA30" s="96" t="inlineStr">
        <is>
          <t>Y</t>
        </is>
      </c>
      <c r="CB30" s="97" t="n"/>
      <c r="CC30" s="96" t="inlineStr">
        <is>
          <t>BKK01</t>
        </is>
      </c>
      <c r="CD30" s="97" t="n"/>
      <c r="CE30" s="97" t="n"/>
      <c r="CF30" s="96" t="inlineStr">
        <is>
          <t>0 Teu</t>
        </is>
      </c>
      <c r="CG30" s="96" t="inlineStr">
        <is>
          <t>CY/CY</t>
        </is>
      </c>
      <c r="CH30" s="97" t="inlineStr">
        <is>
          <t>POL: THBKK [SWIC/2611N]; T/S(1st): KRPUS [SDTR/2630N]; POD: RUVVO [/]</t>
        </is>
      </c>
      <c r="CI30" s="96" t="inlineStr">
        <is>
          <t>chalearmporn.pu@thaiagri.com</t>
        </is>
      </c>
      <c r="CJ30" s="96" t="inlineStr">
        <is>
          <t>THAI AGRI FOODS PUBLIC COMPANY</t>
        </is>
      </c>
      <c r="CK30" s="96" t="inlineStr">
        <is>
          <t>EXIM PACIFIC LLC. RUSSIA,</t>
        </is>
      </c>
      <c r="CL30" s="96" t="inlineStr">
        <is>
          <t>EXIM PACIFIC LLC. RUSSIA,</t>
        </is>
      </c>
      <c r="CM30" s="97" t="inlineStr">
        <is>
          <t>CLOSED</t>
        </is>
      </c>
      <c r="CN30" s="96" t="inlineStr">
        <is>
          <t>202610121200</t>
        </is>
      </c>
      <c r="CO30" s="96" t="inlineStr">
        <is>
          <t>202610131200</t>
        </is>
      </c>
      <c r="CP30" s="97" t="inlineStr">
        <is>
          <t>45RE x1: RF(Temp:+10.0' / Cover:CLOSE)</t>
        </is>
      </c>
      <c r="CQ30" s="96" t="inlineStr">
        <is>
          <t>R01-2604022</t>
        </is>
      </c>
      <c r="CR30" s="96" t="inlineStr">
        <is>
          <t>THTLH8</t>
        </is>
      </c>
      <c r="CS30" s="96" t="inlineStr">
        <is>
          <t>THAI AGRI FOODS PUBLIC COMPANY LIMITED</t>
        </is>
      </c>
      <c r="CT30" s="96" t="inlineStr">
        <is>
          <t>N</t>
        </is>
      </c>
      <c r="CU30" s="97" t="n"/>
      <c r="CV30" s="97" t="n"/>
      <c r="CW30" s="161" t="inlineStr">
        <is>
          <t>2026-10-15</t>
        </is>
      </c>
      <c r="CX30" s="97" t="inlineStr">
        <is>
          <t>210390</t>
        </is>
      </c>
      <c r="CY30" s="183" t="n"/>
    </row>
    <row r="31" ht="12" customHeight="1">
      <c r="A31" s="116" t="inlineStr">
        <is>
          <t>HASLS22260901365</t>
        </is>
      </c>
      <c r="B31" s="96" t="inlineStr">
        <is>
          <t>40Hx5</t>
        </is>
      </c>
      <c r="C31" s="97" t="n">
        <v>5</v>
      </c>
      <c r="D31" s="97" t="n">
        <v>5</v>
      </c>
      <c r="E31" s="97" t="n"/>
      <c r="F31" s="97" t="n">
        <v>0</v>
      </c>
      <c r="G31" s="97" t="n">
        <v>0</v>
      </c>
      <c r="H31" s="97" t="n">
        <v>0</v>
      </c>
      <c r="I31" s="97" t="n">
        <v>5</v>
      </c>
      <c r="J31" s="97" t="n">
        <v>10</v>
      </c>
      <c r="K31" s="96" t="inlineStr">
        <is>
          <t>N</t>
        </is>
      </c>
      <c r="L31" s="96" t="inlineStr">
        <is>
          <t>KHS1</t>
        </is>
      </c>
      <c r="M31" s="96" t="inlineStr">
        <is>
          <t>SWIC</t>
        </is>
      </c>
      <c r="N31" s="96" t="inlineStr">
        <is>
          <t>2611N</t>
        </is>
      </c>
      <c r="O31" s="96" t="inlineStr">
        <is>
          <t>THBKK</t>
        </is>
      </c>
      <c r="P31" s="96" t="inlineStr">
        <is>
          <t>BKK01</t>
        </is>
      </c>
      <c r="Q31" s="96" t="inlineStr">
        <is>
          <t>IA</t>
        </is>
      </c>
      <c r="R31" s="161" t="inlineStr">
        <is>
          <t>2026-10-16</t>
        </is>
      </c>
      <c r="S31" s="96" t="inlineStr">
        <is>
          <t>VNSGN</t>
        </is>
      </c>
      <c r="T31" s="96" t="inlineStr">
        <is>
          <t>SGN03</t>
        </is>
      </c>
      <c r="U31" s="96" t="inlineStr">
        <is>
          <t>VNSGN</t>
        </is>
      </c>
      <c r="V31" s="161" t="inlineStr">
        <is>
          <t>2026-10-18</t>
        </is>
      </c>
      <c r="W31" s="96" t="inlineStr">
        <is>
          <t>IA</t>
        </is>
      </c>
      <c r="X31" s="97" t="n"/>
      <c r="Y31" s="97" t="n"/>
      <c r="Z31" s="97" t="n"/>
      <c r="AA31" s="96" t="inlineStr">
        <is>
          <t>LOTUS FREIGHT AND SERVICES CORP.,LTD.</t>
        </is>
      </c>
      <c r="AB31" s="96" t="inlineStr">
        <is>
          <t>EXCEL ENTECH CO.,LTD.</t>
        </is>
      </c>
      <c r="AC31" s="163" t="n">
        <v>89555</v>
      </c>
      <c r="AD31" s="163" t="n">
        <v>109555</v>
      </c>
      <c r="AE31" s="96" t="inlineStr">
        <is>
          <t>OK</t>
        </is>
      </c>
      <c r="AF31" s="96" t="inlineStr">
        <is>
          <t>SR</t>
        </is>
      </c>
      <c r="AG31" s="97" t="n"/>
      <c r="AH31" s="96" t="inlineStr">
        <is>
          <t>CHK</t>
        </is>
      </c>
      <c r="AI31" s="97" t="inlineStr">
        <is>
          <t>OK</t>
        </is>
      </c>
      <c r="AJ31" s="97" t="n"/>
      <c r="AK31" s="97" t="n"/>
      <c r="AL31" s="97" t="n"/>
      <c r="AM31" s="96" t="inlineStr">
        <is>
          <t>TH0042</t>
        </is>
      </c>
      <c r="AN31" s="96" t="inlineStr">
        <is>
          <t>Sukunpoj Damrongying</t>
        </is>
      </c>
      <c r="AO31" s="96" t="inlineStr">
        <is>
          <t>SCREW FEEDER</t>
        </is>
      </c>
      <c r="AP31" s="96" t="inlineStr">
        <is>
          <t>Normal</t>
        </is>
      </c>
      <c r="AQ31" s="97" t="n"/>
      <c r="AR31" s="97" t="n"/>
      <c r="AS31" s="97" t="n"/>
      <c r="AT31" s="97" t="n"/>
      <c r="AU31" s="97" t="n"/>
      <c r="AV31" s="97" t="n"/>
      <c r="AW31" s="97" t="n">
        <v>0</v>
      </c>
      <c r="AX31" s="96" t="inlineStr">
        <is>
          <t>N</t>
        </is>
      </c>
      <c r="AY31" s="97" t="inlineStr">
        <is>
          <t>OBL</t>
        </is>
      </c>
      <c r="AZ31" s="96" t="inlineStr">
        <is>
          <t>Pickup : 2026-10-09, Return : 2026-10-13</t>
        </is>
      </c>
      <c r="BA31" s="97" t="inlineStr">
        <is>
          <t>FM 6X40'HC DD.06/10/26
FM BKK25</t>
        </is>
      </c>
      <c r="BB31" s="96" t="inlineStr">
        <is>
          <t>P</t>
        </is>
      </c>
      <c r="BC31" s="161" t="inlineStr">
        <is>
          <t>2026-09-16</t>
        </is>
      </c>
      <c r="BD31" s="161" t="inlineStr">
        <is>
          <t>2026-10-09</t>
        </is>
      </c>
      <c r="BE31" s="96" t="inlineStr">
        <is>
          <t>Y</t>
        </is>
      </c>
      <c r="BF31" s="96" t="inlineStr">
        <is>
          <t>PARTS OF MACHINERY</t>
        </is>
      </c>
      <c r="BG31" s="96" t="inlineStr">
        <is>
          <t>Line</t>
        </is>
      </c>
      <c r="BH31" s="96" t="inlineStr">
        <is>
          <t>S22</t>
        </is>
      </c>
      <c r="BI31" s="97" t="n"/>
      <c r="BJ31" s="97" t="n"/>
      <c r="BK31" s="96" t="inlineStr">
        <is>
          <t>BKK27</t>
        </is>
      </c>
      <c r="BL31" s="161" t="inlineStr">
        <is>
          <t>2026-10-09</t>
        </is>
      </c>
      <c r="BM31" s="127" t="n"/>
      <c r="BN31" s="127" t="n"/>
      <c r="BO31" s="127" t="n"/>
      <c r="BP31" s="127" t="n">
        <v>5</v>
      </c>
      <c r="BQ31" s="127" t="n"/>
      <c r="BR31" s="127" t="n"/>
      <c r="BS31" s="127" t="n"/>
      <c r="BT31" s="127" t="n"/>
      <c r="BU31" s="127" t="n"/>
      <c r="BV31" s="127" t="n"/>
      <c r="BW31" s="127" t="n"/>
      <c r="BX31" s="127" t="n"/>
      <c r="BY31" s="96" t="inlineStr">
        <is>
          <t>FULL</t>
        </is>
      </c>
      <c r="BZ31" s="97" t="n"/>
      <c r="CA31" s="96" t="inlineStr">
        <is>
          <t>Y</t>
        </is>
      </c>
      <c r="CB31" s="97" t="n"/>
      <c r="CC31" s="96" t="inlineStr">
        <is>
          <t>BKK01</t>
        </is>
      </c>
      <c r="CD31" s="97" t="n"/>
      <c r="CE31" s="97" t="n"/>
      <c r="CF31" s="96" t="inlineStr">
        <is>
          <t>0 Teu</t>
        </is>
      </c>
      <c r="CG31" s="96" t="inlineStr">
        <is>
          <t>CY/CY</t>
        </is>
      </c>
      <c r="CH31" s="97" t="n"/>
      <c r="CI31" s="96" t="inlineStr">
        <is>
          <t>export@lotusfrt.co.th</t>
        </is>
      </c>
      <c r="CJ31" s="96" t="inlineStr">
        <is>
          <t>LOTUS FREIGHT AND SERVICES CORP.,</t>
        </is>
      </c>
      <c r="CK31" s="96" t="inlineStr">
        <is>
          <t>TP GLOBAL LOGISTICS</t>
        </is>
      </c>
      <c r="CL31" s="96" t="inlineStr">
        <is>
          <t>TP GLOBAL LOGISTICS</t>
        </is>
      </c>
      <c r="CM31" s="97" t="inlineStr">
        <is>
          <t>CLOSED</t>
        </is>
      </c>
      <c r="CN31" s="96" t="inlineStr">
        <is>
          <t>202610121200</t>
        </is>
      </c>
      <c r="CO31" s="96" t="inlineStr">
        <is>
          <t>202610131200</t>
        </is>
      </c>
      <c r="CP31" s="97" t="n"/>
      <c r="CQ31" s="96" t="inlineStr">
        <is>
          <t>S19-2403003</t>
        </is>
      </c>
      <c r="CR31" s="96" t="inlineStr">
        <is>
          <t>BB1033</t>
        </is>
      </c>
      <c r="CS31" s="96" t="inlineStr">
        <is>
          <t>LOTUS FREIGHT AND SERVICES CORP.,LTD.</t>
        </is>
      </c>
      <c r="CT31" s="96" t="inlineStr">
        <is>
          <t>N</t>
        </is>
      </c>
      <c r="CU31" s="97" t="n"/>
      <c r="CV31" s="97" t="n"/>
      <c r="CW31" s="161" t="inlineStr">
        <is>
          <t>2026-10-15</t>
        </is>
      </c>
      <c r="CX31" s="97" t="inlineStr">
        <is>
          <t>843610</t>
        </is>
      </c>
      <c r="CY31" s="183" t="n"/>
    </row>
    <row r="32" ht="12" customHeight="1">
      <c r="A32" s="116" t="inlineStr">
        <is>
          <t>HASLS22260902182</t>
        </is>
      </c>
      <c r="B32" s="96" t="inlineStr">
        <is>
          <t>40Hx10</t>
        </is>
      </c>
      <c r="C32" s="97" t="n">
        <v>10</v>
      </c>
      <c r="D32" s="97" t="n">
        <v>10</v>
      </c>
      <c r="E32" s="97" t="n"/>
      <c r="F32" s="97" t="n">
        <v>0</v>
      </c>
      <c r="G32" s="97" t="n">
        <v>0</v>
      </c>
      <c r="H32" s="97" t="n">
        <v>0</v>
      </c>
      <c r="I32" s="97" t="n">
        <v>10</v>
      </c>
      <c r="J32" s="97" t="n">
        <v>20</v>
      </c>
      <c r="K32" s="96" t="inlineStr">
        <is>
          <t>N</t>
        </is>
      </c>
      <c r="L32" s="96" t="inlineStr">
        <is>
          <t>KHS1</t>
        </is>
      </c>
      <c r="M32" s="96" t="inlineStr">
        <is>
          <t>SWIC</t>
        </is>
      </c>
      <c r="N32" s="96" t="inlineStr">
        <is>
          <t>2611N</t>
        </is>
      </c>
      <c r="O32" s="96" t="inlineStr">
        <is>
          <t>THBKK</t>
        </is>
      </c>
      <c r="P32" s="96" t="inlineStr">
        <is>
          <t>BKK01</t>
        </is>
      </c>
      <c r="Q32" s="96" t="inlineStr">
        <is>
          <t>IA</t>
        </is>
      </c>
      <c r="R32" s="161" t="inlineStr">
        <is>
          <t>2026-10-16</t>
        </is>
      </c>
      <c r="S32" s="96" t="inlineStr">
        <is>
          <t>VNSGN</t>
        </is>
      </c>
      <c r="T32" s="96" t="inlineStr">
        <is>
          <t>SGN03</t>
        </is>
      </c>
      <c r="U32" s="96" t="inlineStr">
        <is>
          <t>VNSGN</t>
        </is>
      </c>
      <c r="V32" s="161" t="inlineStr">
        <is>
          <t>2026-10-18</t>
        </is>
      </c>
      <c r="W32" s="96" t="inlineStr">
        <is>
          <t>IA</t>
        </is>
      </c>
      <c r="X32" s="97" t="n"/>
      <c r="Y32" s="97" t="n"/>
      <c r="Z32" s="97" t="n"/>
      <c r="AA32" s="96" t="inlineStr">
        <is>
          <t>BIRLA CARBON (THAILAND) PUBLIC COMPANY LIMITED</t>
        </is>
      </c>
      <c r="AB32" s="96" t="inlineStr">
        <is>
          <t>BIRLA CARBON (THAILAND) PUBLIC COMPANY LIMITED</t>
        </is>
      </c>
      <c r="AC32" s="163" t="n">
        <v>223080</v>
      </c>
      <c r="AD32" s="163" t="n">
        <v>263080</v>
      </c>
      <c r="AE32" s="96" t="inlineStr">
        <is>
          <t>OK</t>
        </is>
      </c>
      <c r="AF32" s="96" t="n"/>
      <c r="AG32" s="97" t="n"/>
      <c r="AH32" s="96" t="inlineStr">
        <is>
          <t>CHK</t>
        </is>
      </c>
      <c r="AI32" s="97" t="inlineStr">
        <is>
          <t>OK</t>
        </is>
      </c>
      <c r="AJ32" s="97" t="n"/>
      <c r="AK32" s="97" t="n"/>
      <c r="AL32" s="97" t="n"/>
      <c r="AM32" s="96" t="inlineStr">
        <is>
          <t>TBKK13</t>
        </is>
      </c>
      <c r="AN32" s="96" t="inlineStr">
        <is>
          <t>Dharaporn</t>
        </is>
      </c>
      <c r="AO32" s="96" t="inlineStr">
        <is>
          <t>CARBON BLACK</t>
        </is>
      </c>
      <c r="AP32" s="96" t="inlineStr">
        <is>
          <t>Normal</t>
        </is>
      </c>
      <c r="AQ32" s="97" t="n"/>
      <c r="AR32" s="97" t="n"/>
      <c r="AS32" s="97" t="n"/>
      <c r="AT32" s="97" t="n"/>
      <c r="AU32" s="97" t="n"/>
      <c r="AV32" s="97" t="n"/>
      <c r="AW32" s="97" t="n">
        <v>0</v>
      </c>
      <c r="AX32" s="96" t="inlineStr">
        <is>
          <t>N</t>
        </is>
      </c>
      <c r="AY32" s="97" t="inlineStr">
        <is>
          <t>OBL</t>
        </is>
      </c>
      <c r="AZ32" s="96" t="inlineStr">
        <is>
          <t>Pickup : 2026-10-10, Return : 2026-10-11
CLS TIME DD.13/10/2026 @ 23.59</t>
        </is>
      </c>
      <c r="BA32" s="97" t="inlineStr">
        <is>
          <t>RQST CHANGE VSL NAME FROM SWBT 2616N BY HA DD.25/09</t>
        </is>
      </c>
      <c r="BB32" s="96" t="inlineStr">
        <is>
          <t>P</t>
        </is>
      </c>
      <c r="BC32" s="161" t="inlineStr">
        <is>
          <t>2026-09-23</t>
        </is>
      </c>
      <c r="BD32" s="161" t="inlineStr">
        <is>
          <t>2026-10-14</t>
        </is>
      </c>
      <c r="BE32" s="96" t="inlineStr">
        <is>
          <t>Y</t>
        </is>
      </c>
      <c r="BF32" s="96" t="inlineStr">
        <is>
          <t>CABON BLACK</t>
        </is>
      </c>
      <c r="BG32" s="96" t="inlineStr">
        <is>
          <t>Line</t>
        </is>
      </c>
      <c r="BH32" s="96" t="inlineStr">
        <is>
          <t>S22</t>
        </is>
      </c>
      <c r="BI32" s="97" t="n"/>
      <c r="BJ32" s="97" t="n"/>
      <c r="BK32" s="96" t="inlineStr">
        <is>
          <t>BKK27</t>
        </is>
      </c>
      <c r="BL32" s="161" t="inlineStr">
        <is>
          <t>2026-10-10</t>
        </is>
      </c>
      <c r="BM32" s="127" t="n"/>
      <c r="BN32" s="127" t="n"/>
      <c r="BO32" s="127" t="n"/>
      <c r="BP32" s="127" t="n">
        <v>10</v>
      </c>
      <c r="BQ32" s="127" t="n"/>
      <c r="BR32" s="127" t="n"/>
      <c r="BS32" s="127" t="n"/>
      <c r="BT32" s="127" t="n"/>
      <c r="BU32" s="127" t="n"/>
      <c r="BV32" s="127" t="n"/>
      <c r="BW32" s="127" t="n"/>
      <c r="BX32" s="127" t="n"/>
      <c r="BY32" s="96" t="inlineStr">
        <is>
          <t>FULL</t>
        </is>
      </c>
      <c r="BZ32" s="97" t="n"/>
      <c r="CA32" s="96" t="inlineStr">
        <is>
          <t>Y</t>
        </is>
      </c>
      <c r="CB32" s="97" t="n"/>
      <c r="CC32" s="96" t="inlineStr">
        <is>
          <t>BKK01</t>
        </is>
      </c>
      <c r="CD32" s="97" t="n"/>
      <c r="CE32" s="97" t="n"/>
      <c r="CF32" s="96" t="inlineStr">
        <is>
          <t>0 Teu</t>
        </is>
      </c>
      <c r="CG32" s="96" t="inlineStr">
        <is>
          <t>CY/CY</t>
        </is>
      </c>
      <c r="CH32" s="97" t="n"/>
      <c r="CI32" s="96" t="inlineStr">
        <is>
          <t>siriphan.hom@adityabirla.com</t>
        </is>
      </c>
      <c r="CJ32" s="96" t="inlineStr">
        <is>
          <t>BIRLA CARBON (THAILAND) PUBLIC</t>
        </is>
      </c>
      <c r="CK32" s="96" t="inlineStr">
        <is>
          <t>CART TIRE CO., LTD</t>
        </is>
      </c>
      <c r="CL32" s="96" t="inlineStr">
        <is>
          <t>NTL GROUP CO.,LTD</t>
        </is>
      </c>
      <c r="CM32" s="97" t="inlineStr">
        <is>
          <t>CLOSED</t>
        </is>
      </c>
      <c r="CN32" s="96" t="inlineStr">
        <is>
          <t>202610121200</t>
        </is>
      </c>
      <c r="CO32" s="96" t="inlineStr">
        <is>
          <t>202610131200</t>
        </is>
      </c>
      <c r="CP32" s="97" t="n"/>
      <c r="CQ32" s="96" t="inlineStr">
        <is>
          <t>S22-2508024</t>
        </is>
      </c>
      <c r="CR32" s="96" t="inlineStr">
        <is>
          <t>THTKYV</t>
        </is>
      </c>
      <c r="CS32" s="96" t="inlineStr">
        <is>
          <t>BIRLA CARBON (THAILAND) PUBLIC COMPANY LIMITED</t>
        </is>
      </c>
      <c r="CT32" s="96" t="inlineStr">
        <is>
          <t>N</t>
        </is>
      </c>
      <c r="CU32" s="97" t="n"/>
      <c r="CV32" s="97" t="n"/>
      <c r="CW32" s="161" t="inlineStr">
        <is>
          <t>2026-10-15</t>
        </is>
      </c>
      <c r="CX32" s="97" t="inlineStr">
        <is>
          <t>280300</t>
        </is>
      </c>
      <c r="CY32" s="183" t="n"/>
    </row>
    <row r="33" ht="12" customHeight="1">
      <c r="A33" s="116" t="inlineStr">
        <is>
          <t>HASLS22260901782</t>
        </is>
      </c>
      <c r="B33" s="96" t="inlineStr">
        <is>
          <t>20'x1</t>
        </is>
      </c>
      <c r="C33" s="97" t="n">
        <v>1</v>
      </c>
      <c r="D33" s="97" t="n">
        <v>1</v>
      </c>
      <c r="E33" s="97" t="n"/>
      <c r="F33" s="97" t="n">
        <v>0</v>
      </c>
      <c r="G33" s="97" t="n">
        <v>1</v>
      </c>
      <c r="H33" s="97" t="n">
        <v>0</v>
      </c>
      <c r="I33" s="97" t="n">
        <v>0</v>
      </c>
      <c r="J33" s="97" t="n">
        <v>1</v>
      </c>
      <c r="K33" s="96" t="inlineStr">
        <is>
          <t>N</t>
        </is>
      </c>
      <c r="L33" s="96" t="inlineStr">
        <is>
          <t>KHS1</t>
        </is>
      </c>
      <c r="M33" s="96" t="inlineStr">
        <is>
          <t>SWIC</t>
        </is>
      </c>
      <c r="N33" s="96" t="inlineStr">
        <is>
          <t>2611N</t>
        </is>
      </c>
      <c r="O33" s="96" t="inlineStr">
        <is>
          <t>THBKK</t>
        </is>
      </c>
      <c r="P33" s="96" t="inlineStr">
        <is>
          <t>BKK01</t>
        </is>
      </c>
      <c r="Q33" s="96" t="inlineStr">
        <is>
          <t>IA</t>
        </is>
      </c>
      <c r="R33" s="161" t="inlineStr">
        <is>
          <t>2026-10-16</t>
        </is>
      </c>
      <c r="S33" s="96" t="inlineStr">
        <is>
          <t>JPHHE</t>
        </is>
      </c>
      <c r="T33" s="96" t="inlineStr">
        <is>
          <t>HHE01</t>
        </is>
      </c>
      <c r="U33" s="96" t="inlineStr">
        <is>
          <t>JPHHE</t>
        </is>
      </c>
      <c r="V33" s="161" t="inlineStr">
        <is>
          <t>2026-11-05</t>
        </is>
      </c>
      <c r="W33" s="96" t="inlineStr">
        <is>
          <t>JP</t>
        </is>
      </c>
      <c r="X33" s="97" t="n"/>
      <c r="Y33" s="97" t="inlineStr">
        <is>
          <t>PUS05</t>
        </is>
      </c>
      <c r="Z33" s="97" t="inlineStr">
        <is>
          <t>KRPUS</t>
        </is>
      </c>
      <c r="AA33" s="96" t="inlineStr">
        <is>
          <t>BORNEO LOGISTICS CO., LTD.</t>
        </is>
      </c>
      <c r="AB33" s="96" t="inlineStr">
        <is>
          <t>UNICORD PUBLIC COMPANY LIMITED</t>
        </is>
      </c>
      <c r="AC33" s="163" t="n">
        <v>18847.04</v>
      </c>
      <c r="AD33" s="163" t="n">
        <v>21047.04</v>
      </c>
      <c r="AE33" s="96" t="inlineStr">
        <is>
          <t>OK</t>
        </is>
      </c>
      <c r="AF33" s="96" t="inlineStr">
        <is>
          <t>SR</t>
        </is>
      </c>
      <c r="AG33" s="97" t="n"/>
      <c r="AH33" s="96" t="inlineStr">
        <is>
          <t>CHK</t>
        </is>
      </c>
      <c r="AI33" s="97" t="inlineStr">
        <is>
          <t>OK</t>
        </is>
      </c>
      <c r="AJ33" s="97" t="n"/>
      <c r="AK33" s="97" t="n"/>
      <c r="AL33" s="97" t="n"/>
      <c r="AM33" s="96" t="inlineStr">
        <is>
          <t>TBKK28</t>
        </is>
      </c>
      <c r="AN33" s="96" t="inlineStr">
        <is>
          <t>Nustsireerach</t>
        </is>
      </c>
      <c r="AO33" s="96" t="inlineStr">
        <is>
          <t>TUNA CANNED GOODS</t>
        </is>
      </c>
      <c r="AP33" s="96" t="inlineStr">
        <is>
          <t>T/S</t>
        </is>
      </c>
      <c r="AQ33" s="97" t="n"/>
      <c r="AR33" s="97" t="n"/>
      <c r="AS33" s="97" t="n"/>
      <c r="AT33" s="97" t="n"/>
      <c r="AU33" s="97" t="n"/>
      <c r="AV33" s="97" t="n"/>
      <c r="AW33" s="97" t="n">
        <v>0</v>
      </c>
      <c r="AX33" s="96" t="inlineStr">
        <is>
          <t>N</t>
        </is>
      </c>
      <c r="AY33" s="97" t="inlineStr">
        <is>
          <t>OBL</t>
        </is>
      </c>
      <c r="AZ33" s="96" t="inlineStr">
        <is>
          <t xml:space="preserve">[FIX]Pickup : 2026-10-06, Return : 2026-10-08 [1ST RTN 08/10/2026 W/O RENT] </t>
        </is>
      </c>
      <c r="BA33" s="97" t="inlineStr">
        <is>
          <t>REQUEST : CONTAINER GRADE A AND STRONG FOR BOARD (NO EXTRA CHARGE)REQUEST: FREE SURRENDER B/L OR SEAWAY BILLCY RETURN : CY - RTN AT BKK OR LKB AREACONTACT PERSON : SUWIMOL POPCORNI.O : 2126080045-1</t>
        </is>
      </c>
      <c r="BB33" s="96" t="inlineStr">
        <is>
          <t>P</t>
        </is>
      </c>
      <c r="BC33" s="161" t="inlineStr">
        <is>
          <t>2026-09-21</t>
        </is>
      </c>
      <c r="BD33" s="161" t="inlineStr">
        <is>
          <t>2026-10-14</t>
        </is>
      </c>
      <c r="BE33" s="96" t="inlineStr">
        <is>
          <t>Y</t>
        </is>
      </c>
      <c r="BF33" s="96" t="inlineStr">
        <is>
          <t>TUNA CANNED GOODS</t>
        </is>
      </c>
      <c r="BG33" s="96" t="inlineStr">
        <is>
          <t>Line</t>
        </is>
      </c>
      <c r="BH33" s="96" t="inlineStr">
        <is>
          <t>S22</t>
        </is>
      </c>
      <c r="BI33" s="97" t="n"/>
      <c r="BJ33" s="97" t="n"/>
      <c r="BK33" s="96" t="inlineStr">
        <is>
          <t>BKK27</t>
        </is>
      </c>
      <c r="BL33" s="161" t="inlineStr">
        <is>
          <t>2026-10-06</t>
        </is>
      </c>
      <c r="BM33" s="127" t="n"/>
      <c r="BN33" s="127" t="n">
        <v>1</v>
      </c>
      <c r="BO33" s="127" t="n"/>
      <c r="BP33" s="127" t="n"/>
      <c r="BQ33" s="127" t="n"/>
      <c r="BR33" s="127" t="n"/>
      <c r="BS33" s="127" t="n"/>
      <c r="BT33" s="127" t="n"/>
      <c r="BU33" s="127" t="n"/>
      <c r="BV33" s="127" t="n"/>
      <c r="BW33" s="127" t="n"/>
      <c r="BX33" s="127" t="n"/>
      <c r="BY33" s="96" t="inlineStr">
        <is>
          <t>FULL</t>
        </is>
      </c>
      <c r="BZ33" s="97" t="n">
        <v>6</v>
      </c>
      <c r="CA33" s="96" t="inlineStr">
        <is>
          <t>Y</t>
        </is>
      </c>
      <c r="CB33" s="97" t="n"/>
      <c r="CC33" s="96" t="inlineStr">
        <is>
          <t>BKK01</t>
        </is>
      </c>
      <c r="CD33" s="97" t="n"/>
      <c r="CE33" s="97" t="n"/>
      <c r="CF33" s="96" t="inlineStr">
        <is>
          <t>0 Teu</t>
        </is>
      </c>
      <c r="CG33" s="96" t="inlineStr">
        <is>
          <t>CY/CY</t>
        </is>
      </c>
      <c r="CH33" s="97" t="inlineStr">
        <is>
          <t>POL: THBKK [SWIC/2611N]; T/S(1st): KRPUS [HAHP/2639E]; POD: JPHHE [/]</t>
        </is>
      </c>
      <c r="CI33" s="96" t="inlineStr">
        <is>
          <t>cs@borneologistics.com</t>
        </is>
      </c>
      <c r="CJ33" s="96" t="inlineStr">
        <is>
          <t>UNICORD PUBLIC COMPANY LIMITED.</t>
        </is>
      </c>
      <c r="CK33" s="96" t="inlineStr">
        <is>
          <t>VOX TRADING CO.,LTD.</t>
        </is>
      </c>
      <c r="CL33" s="96" t="inlineStr">
        <is>
          <t>1) VOX TRADING CO.,LTD.</t>
        </is>
      </c>
      <c r="CM33" s="97" t="inlineStr">
        <is>
          <t>CLOSED</t>
        </is>
      </c>
      <c r="CN33" s="96" t="inlineStr">
        <is>
          <t>202610121200</t>
        </is>
      </c>
      <c r="CO33" s="96" t="inlineStr">
        <is>
          <t>202610131200</t>
        </is>
      </c>
      <c r="CP33" s="97" t="n"/>
      <c r="CQ33" s="96" t="inlineStr">
        <is>
          <t>S19-2301005</t>
        </is>
      </c>
      <c r="CR33" s="96" t="inlineStr">
        <is>
          <t>TH000P</t>
        </is>
      </c>
      <c r="CS33" s="96" t="inlineStr">
        <is>
          <t>BORNEO LOGISTICS CO., LTD.</t>
        </is>
      </c>
      <c r="CT33" s="96" t="inlineStr">
        <is>
          <t>N</t>
        </is>
      </c>
      <c r="CU33" s="97" t="n"/>
      <c r="CV33" s="97" t="n"/>
      <c r="CW33" s="161" t="inlineStr">
        <is>
          <t>2026-10-12</t>
        </is>
      </c>
      <c r="CX33" s="97" t="inlineStr">
        <is>
          <t>230910</t>
        </is>
      </c>
      <c r="CY33" s="183" t="n"/>
    </row>
    <row r="34" ht="12" customHeight="1">
      <c r="A34" s="116" t="inlineStr">
        <is>
          <t>HASLS22260901974</t>
        </is>
      </c>
      <c r="B34" s="96" t="inlineStr">
        <is>
          <t>20'x2</t>
        </is>
      </c>
      <c r="C34" s="97" t="n">
        <v>2</v>
      </c>
      <c r="D34" s="97" t="n">
        <v>2</v>
      </c>
      <c r="E34" s="97" t="n"/>
      <c r="F34" s="97" t="n">
        <v>0</v>
      </c>
      <c r="G34" s="97" t="n">
        <v>2</v>
      </c>
      <c r="H34" s="97" t="n">
        <v>0</v>
      </c>
      <c r="I34" s="97" t="n">
        <v>0</v>
      </c>
      <c r="J34" s="97" t="n">
        <v>2</v>
      </c>
      <c r="K34" s="96" t="inlineStr">
        <is>
          <t>N</t>
        </is>
      </c>
      <c r="L34" s="96" t="inlineStr">
        <is>
          <t>KHS1</t>
        </is>
      </c>
      <c r="M34" s="96" t="inlineStr">
        <is>
          <t>SWIC</t>
        </is>
      </c>
      <c r="N34" s="96" t="inlineStr">
        <is>
          <t>2611N</t>
        </is>
      </c>
      <c r="O34" s="96" t="inlineStr">
        <is>
          <t>THBKK</t>
        </is>
      </c>
      <c r="P34" s="96" t="inlineStr">
        <is>
          <t>BKK01</t>
        </is>
      </c>
      <c r="Q34" s="96" t="inlineStr">
        <is>
          <t>IA</t>
        </is>
      </c>
      <c r="R34" s="161" t="inlineStr">
        <is>
          <t>2026-10-16</t>
        </is>
      </c>
      <c r="S34" s="96" t="inlineStr">
        <is>
          <t>JPIYM</t>
        </is>
      </c>
      <c r="T34" s="96" t="inlineStr">
        <is>
          <t>IYM02</t>
        </is>
      </c>
      <c r="U34" s="96" t="inlineStr">
        <is>
          <t>JPIYM</t>
        </is>
      </c>
      <c r="V34" s="161" t="inlineStr">
        <is>
          <t>2026-10-31</t>
        </is>
      </c>
      <c r="W34" s="96" t="inlineStr">
        <is>
          <t>JP</t>
        </is>
      </c>
      <c r="X34" s="97" t="n"/>
      <c r="Y34" s="97" t="inlineStr">
        <is>
          <t>PUS05</t>
        </is>
      </c>
      <c r="Z34" s="97" t="inlineStr">
        <is>
          <t>KRPUS</t>
        </is>
      </c>
      <c r="AA34" s="96" t="inlineStr">
        <is>
          <t>SCGJWD LOGISTICS PUBLIC COMPANY LIMITED</t>
        </is>
      </c>
      <c r="AB34" s="96" t="inlineStr">
        <is>
          <t>SCG INTERNATIONAL CORPORATION CO., LTD.</t>
        </is>
      </c>
      <c r="AC34" s="163" t="n">
        <v>40360</v>
      </c>
      <c r="AD34" s="163" t="n">
        <v>44760</v>
      </c>
      <c r="AE34" s="96" t="inlineStr">
        <is>
          <t>OK</t>
        </is>
      </c>
      <c r="AF34" s="96" t="inlineStr">
        <is>
          <t>SR</t>
        </is>
      </c>
      <c r="AG34" s="97" t="n"/>
      <c r="AH34" s="96" t="inlineStr">
        <is>
          <t>CHK</t>
        </is>
      </c>
      <c r="AI34" s="97" t="inlineStr">
        <is>
          <t>OK</t>
        </is>
      </c>
      <c r="AJ34" s="97" t="n"/>
      <c r="AK34" s="97" t="n"/>
      <c r="AL34" s="97" t="n"/>
      <c r="AM34" s="96" t="inlineStr">
        <is>
          <t>TBKK19</t>
        </is>
      </c>
      <c r="AN34" s="96" t="inlineStr">
        <is>
          <t>Kanokporn</t>
        </is>
      </c>
      <c r="AO34" s="96" t="inlineStr">
        <is>
          <t>COPPER SCRAP BIRCH CLIFF</t>
        </is>
      </c>
      <c r="AP34" s="96" t="inlineStr">
        <is>
          <t>Normal</t>
        </is>
      </c>
      <c r="AQ34" s="97" t="n"/>
      <c r="AR34" s="97" t="n"/>
      <c r="AS34" s="97" t="n"/>
      <c r="AT34" s="97" t="n"/>
      <c r="AU34" s="97" t="n"/>
      <c r="AV34" s="97" t="n"/>
      <c r="AW34" s="97" t="n">
        <v>0</v>
      </c>
      <c r="AX34" s="96" t="inlineStr">
        <is>
          <t>N</t>
        </is>
      </c>
      <c r="AY34" s="97" t="inlineStr">
        <is>
          <t>OBL</t>
        </is>
      </c>
      <c r="AZ34" s="96" t="inlineStr">
        <is>
          <t>[FIX]CY 01/10/26 , RTN 03/10/26 (JB2609183605 )1ST RETURN 03/10/26</t>
        </is>
      </c>
      <c r="BA34" s="97" t="inlineStr">
        <is>
          <t>ROLL OVER FROM PREVIOUS VSL SWSP 2609N BY ALLOCATION TEAM MS.TARN APPROVED COST IS UNDER HA DD.4/10
REQUEST SURRENDER BL ISSUE INVOICE NAME : SCGJWD FREIGHT COMPANY LIMITED TAX ID :   0105567233336REQUEST SURRENDER BL ISSUE INVOICE NAME : SCGJWD FREIGHT COMPANY LIMITED 36 KRUNGTHEP KREETHA ROAD, HUAMARK, BANGKAPI, BANGKOK 10240 (HEAD OFFICE) TAX ID :   0105567233336</t>
        </is>
      </c>
      <c r="BB34" s="96" t="inlineStr">
        <is>
          <t>P</t>
        </is>
      </c>
      <c r="BC34" s="161" t="inlineStr">
        <is>
          <t>2026-09-22</t>
        </is>
      </c>
      <c r="BD34" s="161" t="inlineStr">
        <is>
          <t>2026-10-05</t>
        </is>
      </c>
      <c r="BE34" s="96" t="inlineStr">
        <is>
          <t>Y</t>
        </is>
      </c>
      <c r="BF34" s="96" t="inlineStr">
        <is>
          <t>COPPER SCRAP</t>
        </is>
      </c>
      <c r="BG34" s="96" t="inlineStr">
        <is>
          <t>Line</t>
        </is>
      </c>
      <c r="BH34" s="96" t="inlineStr">
        <is>
          <t>S22</t>
        </is>
      </c>
      <c r="BI34" s="97" t="n"/>
      <c r="BJ34" s="97" t="n"/>
      <c r="BK34" s="96" t="inlineStr">
        <is>
          <t>BKK27</t>
        </is>
      </c>
      <c r="BL34" s="161" t="inlineStr">
        <is>
          <t>2026-10-01</t>
        </is>
      </c>
      <c r="BM34" s="127" t="n"/>
      <c r="BN34" s="127" t="n">
        <v>2</v>
      </c>
      <c r="BO34" s="127" t="n"/>
      <c r="BP34" s="127" t="n"/>
      <c r="BQ34" s="127" t="n"/>
      <c r="BR34" s="127" t="n"/>
      <c r="BS34" s="127" t="n"/>
      <c r="BT34" s="127" t="n"/>
      <c r="BU34" s="127" t="n"/>
      <c r="BV34" s="127" t="n"/>
      <c r="BW34" s="127" t="n"/>
      <c r="BX34" s="127" t="n"/>
      <c r="BY34" s="96" t="inlineStr">
        <is>
          <t>FULL</t>
        </is>
      </c>
      <c r="BZ34" s="97" t="n">
        <v>3</v>
      </c>
      <c r="CA34" s="96" t="n"/>
      <c r="CB34" s="97" t="n"/>
      <c r="CC34" s="96" t="inlineStr">
        <is>
          <t>BKK01</t>
        </is>
      </c>
      <c r="CD34" s="97" t="n"/>
      <c r="CE34" s="97" t="n"/>
      <c r="CF34" s="96" t="inlineStr">
        <is>
          <t>0 Teu</t>
        </is>
      </c>
      <c r="CG34" s="96" t="inlineStr">
        <is>
          <t>CY/CY</t>
        </is>
      </c>
      <c r="CH34" s="97" t="inlineStr">
        <is>
          <t>POL: THBKK [SWIC/2611N]; T/S(1st): KRPUS [HSWH/2661E]; POD: JPIYM [/]</t>
        </is>
      </c>
      <c r="CI34" s="96" t="inlineStr">
        <is>
          <t>witchaai@scgjwd.com</t>
        </is>
      </c>
      <c r="CJ34" s="96" t="inlineStr">
        <is>
          <t>SCG INTERNATIONAL CORPORATION CO.,</t>
        </is>
      </c>
      <c r="CK34" s="96" t="inlineStr">
        <is>
          <t>USUI METALS CORPORATION</t>
        </is>
      </c>
      <c r="CL34" s="96" t="inlineStr">
        <is>
          <t>USUI METALS CORPORATION</t>
        </is>
      </c>
      <c r="CM34" s="97" t="inlineStr">
        <is>
          <t>CLOSED</t>
        </is>
      </c>
      <c r="CN34" s="96" t="inlineStr">
        <is>
          <t>202610121200</t>
        </is>
      </c>
      <c r="CO34" s="96" t="inlineStr">
        <is>
          <t>202610131200</t>
        </is>
      </c>
      <c r="CP34" s="97" t="n"/>
      <c r="CQ34" s="96" t="inlineStr">
        <is>
          <t>S19-2308040</t>
        </is>
      </c>
      <c r="CR34" s="96" t="inlineStr">
        <is>
          <t>TH0235</t>
        </is>
      </c>
      <c r="CS34" s="96" t="inlineStr">
        <is>
          <t>SCGJWD LOGISTICS PUBLIC COMPANY LIMITED</t>
        </is>
      </c>
      <c r="CT34" s="96" t="inlineStr">
        <is>
          <t>N</t>
        </is>
      </c>
      <c r="CU34" s="97" t="n"/>
      <c r="CV34" s="97" t="n"/>
      <c r="CW34" s="161" t="inlineStr">
        <is>
          <t>2026-10-15</t>
        </is>
      </c>
      <c r="CX34" s="97" t="inlineStr">
        <is>
          <t>740400</t>
        </is>
      </c>
      <c r="CY34" s="183" t="inlineStr">
        <is>
          <t>ROLL OVER FROM PREVIOUS VSL SWSP 2609N BY ALLOCATION TEAM MS.TARN APPROVED COST IS UNDER HA DD.4/10</t>
        </is>
      </c>
    </row>
    <row r="35" ht="12" customHeight="1">
      <c r="A35" s="116" t="inlineStr">
        <is>
          <t>HASLS22260901932</t>
        </is>
      </c>
      <c r="B35" s="96" t="inlineStr">
        <is>
          <t>20'x1</t>
        </is>
      </c>
      <c r="C35" s="97" t="n">
        <v>1</v>
      </c>
      <c r="D35" s="97" t="n">
        <v>1</v>
      </c>
      <c r="E35" s="97" t="n"/>
      <c r="F35" s="97" t="n">
        <v>0</v>
      </c>
      <c r="G35" s="97" t="n">
        <v>1</v>
      </c>
      <c r="H35" s="97" t="n">
        <v>0</v>
      </c>
      <c r="I35" s="97" t="n">
        <v>0</v>
      </c>
      <c r="J35" s="97" t="n">
        <v>1</v>
      </c>
      <c r="K35" s="96" t="inlineStr">
        <is>
          <t>N</t>
        </is>
      </c>
      <c r="L35" s="96" t="inlineStr">
        <is>
          <t>KHS1</t>
        </is>
      </c>
      <c r="M35" s="96" t="inlineStr">
        <is>
          <t>SWIC</t>
        </is>
      </c>
      <c r="N35" s="96" t="inlineStr">
        <is>
          <t>2611N</t>
        </is>
      </c>
      <c r="O35" s="96" t="inlineStr">
        <is>
          <t>THBKK</t>
        </is>
      </c>
      <c r="P35" s="96" t="inlineStr">
        <is>
          <t>BKK01</t>
        </is>
      </c>
      <c r="Q35" s="96" t="inlineStr">
        <is>
          <t>IA</t>
        </is>
      </c>
      <c r="R35" s="161" t="inlineStr">
        <is>
          <t>2026-10-16</t>
        </is>
      </c>
      <c r="S35" s="96" t="inlineStr">
        <is>
          <t>RUVVO</t>
        </is>
      </c>
      <c r="T35" s="96" t="inlineStr">
        <is>
          <t>VVO01</t>
        </is>
      </c>
      <c r="U35" s="96" t="inlineStr">
        <is>
          <t>RUVVO</t>
        </is>
      </c>
      <c r="V35" s="161" t="inlineStr">
        <is>
          <t>2026-11-02</t>
        </is>
      </c>
      <c r="W35" s="96" t="inlineStr">
        <is>
          <t>RU</t>
        </is>
      </c>
      <c r="X35" s="97" t="n"/>
      <c r="Y35" s="97" t="inlineStr">
        <is>
          <t>PUS05</t>
        </is>
      </c>
      <c r="Z35" s="97" t="inlineStr">
        <is>
          <t>KRPUS</t>
        </is>
      </c>
      <c r="AA35" s="96" t="inlineStr">
        <is>
          <t>THAI AGRI FOODS PUBLIC COMPANY LIMITED</t>
        </is>
      </c>
      <c r="AB35" s="96" t="inlineStr">
        <is>
          <t>THAI AGRI FOODS PUBLIC COMPANY LIMITED</t>
        </is>
      </c>
      <c r="AC35" s="163" t="n">
        <v>22227</v>
      </c>
      <c r="AD35" s="163" t="n">
        <v>24427</v>
      </c>
      <c r="AE35" s="96" t="inlineStr">
        <is>
          <t>OK</t>
        </is>
      </c>
      <c r="AF35" s="96" t="n"/>
      <c r="AG35" s="97" t="n"/>
      <c r="AH35" s="96" t="inlineStr">
        <is>
          <t>CHK</t>
        </is>
      </c>
      <c r="AI35" s="97" t="inlineStr">
        <is>
          <t>OK</t>
        </is>
      </c>
      <c r="AJ35" s="97" t="n"/>
      <c r="AK35" s="97" t="n"/>
      <c r="AL35" s="97" t="n"/>
      <c r="AM35" s="96" t="inlineStr">
        <is>
          <t>RUVO38</t>
        </is>
      </c>
      <c r="AN35" s="96" t="inlineStr">
        <is>
          <t>ANNA MARS</t>
        </is>
      </c>
      <c r="AO35" s="96" t="inlineStr">
        <is>
          <t>SWEET CHILLI SAUCE FOR CHICKEN</t>
        </is>
      </c>
      <c r="AP35" s="96" t="inlineStr">
        <is>
          <t>T/S</t>
        </is>
      </c>
      <c r="AQ35" s="97" t="n"/>
      <c r="AR35" s="97" t="n"/>
      <c r="AS35" s="97" t="n"/>
      <c r="AT35" s="97" t="n"/>
      <c r="AU35" s="97" t="n"/>
      <c r="AV35" s="97" t="n"/>
      <c r="AW35" s="97" t="n">
        <v>0</v>
      </c>
      <c r="AX35" s="96" t="inlineStr">
        <is>
          <t>N</t>
        </is>
      </c>
      <c r="AY35" s="97" t="inlineStr">
        <is>
          <t>OBL</t>
        </is>
      </c>
      <c r="AZ35" s="96" t="inlineStr">
        <is>
          <t>[FIX][FIX]SWIC/2611N/10/24[FIX] Pickup : 2026-10-09, Return : 2026-10-12</t>
        </is>
      </c>
      <c r="BA35" s="97" t="inlineStr">
        <is>
          <t>SI DD.9/140/26
RQST CHANGE VSL NAME FROM KUS 2616N BY HA DD.5/10</t>
        </is>
      </c>
      <c r="BB35" s="96" t="inlineStr">
        <is>
          <t>C</t>
        </is>
      </c>
      <c r="BC35" s="161" t="inlineStr">
        <is>
          <t>2026-09-22</t>
        </is>
      </c>
      <c r="BD35" s="161" t="inlineStr">
        <is>
          <t>2026-10-09</t>
        </is>
      </c>
      <c r="BE35" s="96" t="inlineStr">
        <is>
          <t>Y</t>
        </is>
      </c>
      <c r="BF35" s="96" t="inlineStr">
        <is>
          <t>SWEET CHILLI SAUCE FOR CHICKEN</t>
        </is>
      </c>
      <c r="BG35" s="96" t="inlineStr">
        <is>
          <t>Line</t>
        </is>
      </c>
      <c r="BH35" s="96" t="inlineStr">
        <is>
          <t>S22</t>
        </is>
      </c>
      <c r="BI35" s="97" t="n"/>
      <c r="BJ35" s="97" t="n"/>
      <c r="BK35" s="96" t="inlineStr">
        <is>
          <t>BKK27</t>
        </is>
      </c>
      <c r="BL35" s="161" t="inlineStr">
        <is>
          <t>2026-10-09</t>
        </is>
      </c>
      <c r="BM35" s="127" t="n"/>
      <c r="BN35" s="127" t="n">
        <v>1</v>
      </c>
      <c r="BO35" s="127" t="n"/>
      <c r="BP35" s="127" t="n"/>
      <c r="BQ35" s="127" t="n"/>
      <c r="BR35" s="127" t="n"/>
      <c r="BS35" s="127" t="n"/>
      <c r="BT35" s="127" t="n"/>
      <c r="BU35" s="127" t="n"/>
      <c r="BV35" s="127" t="n"/>
      <c r="BW35" s="127" t="n"/>
      <c r="BX35" s="127" t="n"/>
      <c r="BY35" s="96" t="inlineStr">
        <is>
          <t>FULL</t>
        </is>
      </c>
      <c r="BZ35" s="97" t="n">
        <v>6</v>
      </c>
      <c r="CA35" s="96" t="inlineStr">
        <is>
          <t>Y</t>
        </is>
      </c>
      <c r="CB35" s="97" t="n"/>
      <c r="CC35" s="96" t="inlineStr">
        <is>
          <t>BKK01</t>
        </is>
      </c>
      <c r="CD35" s="97" t="n"/>
      <c r="CE35" s="97" t="n"/>
      <c r="CF35" s="96" t="inlineStr">
        <is>
          <t>0 Teu</t>
        </is>
      </c>
      <c r="CG35" s="96" t="inlineStr">
        <is>
          <t>CY/CY</t>
        </is>
      </c>
      <c r="CH35" s="97" t="inlineStr">
        <is>
          <t>POL: THBKK [SWIC/2611N]; T/S(1st): KRPUS [SWTD/9019N]; POD: RUVVO [/]</t>
        </is>
      </c>
      <c r="CI35" s="96" t="inlineStr">
        <is>
          <t>chalearmporn.pu@thaiagri.com</t>
        </is>
      </c>
      <c r="CJ35" s="96" t="inlineStr">
        <is>
          <t>THAI AGRI FOODS PUBLIC COMPANY</t>
        </is>
      </c>
      <c r="CK35" s="96" t="inlineStr">
        <is>
          <t>EXIM PACIFIC LLC. RUSSIA,</t>
        </is>
      </c>
      <c r="CL35" s="96" t="inlineStr">
        <is>
          <t>EXIM PACIFIC LLC. RUSSIA,</t>
        </is>
      </c>
      <c r="CM35" s="97" t="inlineStr">
        <is>
          <t>CLOSED</t>
        </is>
      </c>
      <c r="CN35" s="96" t="inlineStr">
        <is>
          <t>202610121200</t>
        </is>
      </c>
      <c r="CO35" s="96" t="inlineStr">
        <is>
          <t>202610131200</t>
        </is>
      </c>
      <c r="CP35" s="97" t="n"/>
      <c r="CQ35" s="96" t="inlineStr">
        <is>
          <t>R01-2411002</t>
        </is>
      </c>
      <c r="CR35" s="96" t="inlineStr">
        <is>
          <t>THTLH8</t>
        </is>
      </c>
      <c r="CS35" s="96" t="inlineStr">
        <is>
          <t>THAI AGRI FOODS PUBLIC COMPANY LIMITED</t>
        </is>
      </c>
      <c r="CT35" s="96" t="inlineStr">
        <is>
          <t>N</t>
        </is>
      </c>
      <c r="CU35" s="97" t="n"/>
      <c r="CV35" s="97" t="n"/>
      <c r="CW35" s="161" t="inlineStr">
        <is>
          <t>2026-10-15</t>
        </is>
      </c>
      <c r="CX35" s="97" t="inlineStr">
        <is>
          <t>210390</t>
        </is>
      </c>
      <c r="CY35" s="183" t="n"/>
    </row>
    <row r="36" ht="12" customHeight="1">
      <c r="A36" s="116" t="inlineStr">
        <is>
          <t>HASLS22260902582</t>
        </is>
      </c>
      <c r="B36" s="96" t="inlineStr">
        <is>
          <t>40Hx1</t>
        </is>
      </c>
      <c r="C36" s="97" t="n">
        <v>1</v>
      </c>
      <c r="D36" s="97" t="n">
        <v>1</v>
      </c>
      <c r="E36" s="97" t="n"/>
      <c r="F36" s="97" t="n">
        <v>0</v>
      </c>
      <c r="G36" s="97" t="n">
        <v>0</v>
      </c>
      <c r="H36" s="97" t="n">
        <v>0</v>
      </c>
      <c r="I36" s="97" t="n">
        <v>1</v>
      </c>
      <c r="J36" s="97" t="n">
        <v>2</v>
      </c>
      <c r="K36" s="96" t="inlineStr">
        <is>
          <t>N</t>
        </is>
      </c>
      <c r="L36" s="96" t="inlineStr">
        <is>
          <t>KHS1</t>
        </is>
      </c>
      <c r="M36" s="96" t="inlineStr">
        <is>
          <t>SWIC</t>
        </is>
      </c>
      <c r="N36" s="96" t="inlineStr">
        <is>
          <t>2611N</t>
        </is>
      </c>
      <c r="O36" s="96" t="inlineStr">
        <is>
          <t>THBKK</t>
        </is>
      </c>
      <c r="P36" s="96" t="inlineStr">
        <is>
          <t>BKK01</t>
        </is>
      </c>
      <c r="Q36" s="96" t="inlineStr">
        <is>
          <t>IA</t>
        </is>
      </c>
      <c r="R36" s="161" t="inlineStr">
        <is>
          <t>2026-10-16</t>
        </is>
      </c>
      <c r="S36" s="96" t="inlineStr">
        <is>
          <t>KRPUS</t>
        </is>
      </c>
      <c r="T36" s="96" t="inlineStr">
        <is>
          <t>PUS05</t>
        </is>
      </c>
      <c r="U36" s="96" t="inlineStr">
        <is>
          <t>KRPUS</t>
        </is>
      </c>
      <c r="V36" s="161" t="inlineStr">
        <is>
          <t>2026-10-25</t>
        </is>
      </c>
      <c r="W36" s="96" t="inlineStr">
        <is>
          <t>KR</t>
        </is>
      </c>
      <c r="X36" s="97" t="n"/>
      <c r="Y36" s="97" t="n"/>
      <c r="Z36" s="97" t="n"/>
      <c r="AA36" s="96" t="inlineStr">
        <is>
          <t>FM GLOBAL LOGISTICS CO., LTD.</t>
        </is>
      </c>
      <c r="AB36" s="96" t="inlineStr">
        <is>
          <t>JSS.TEAMS CO.,LTD.</t>
        </is>
      </c>
      <c r="AC36" s="163" t="n">
        <v>21050</v>
      </c>
      <c r="AD36" s="163" t="n">
        <v>25050</v>
      </c>
      <c r="AE36" s="96" t="inlineStr">
        <is>
          <t>OK</t>
        </is>
      </c>
      <c r="AF36" s="96" t="n"/>
      <c r="AG36" s="97" t="n"/>
      <c r="AH36" s="96" t="inlineStr">
        <is>
          <t>CON</t>
        </is>
      </c>
      <c r="AI36" s="97" t="n"/>
      <c r="AJ36" s="97" t="n"/>
      <c r="AK36" s="97" t="n"/>
      <c r="AL36" s="97" t="n"/>
      <c r="AM36" s="96" t="inlineStr">
        <is>
          <t>TH0031</t>
        </is>
      </c>
      <c r="AN36" s="96" t="inlineStr">
        <is>
          <t>Pattarapong Saengthong</t>
        </is>
      </c>
      <c r="AO36" s="96" t="inlineStr">
        <is>
          <t>CORRUGATOR ADDITIVES</t>
        </is>
      </c>
      <c r="AP36" s="96" t="inlineStr">
        <is>
          <t>Normal</t>
        </is>
      </c>
      <c r="AQ36" s="97" t="n"/>
      <c r="AR36" s="97" t="n"/>
      <c r="AS36" s="97" t="n"/>
      <c r="AT36" s="97" t="n"/>
      <c r="AU36" s="97" t="n"/>
      <c r="AV36" s="97" t="n"/>
      <c r="AW36" s="97" t="n">
        <v>0</v>
      </c>
      <c r="AX36" s="96" t="inlineStr">
        <is>
          <t>N</t>
        </is>
      </c>
      <c r="AY36" s="97" t="n"/>
      <c r="AZ36" s="96" t="inlineStr">
        <is>
          <t xml:space="preserve">Pickup : 2026-10-03, Return : 2026-10-05 (1ST RTN 10/10 W/O RENT) 
 </t>
        </is>
      </c>
      <c r="BA36" s="97" t="n"/>
      <c r="BB36" s="96" t="inlineStr">
        <is>
          <t>P</t>
        </is>
      </c>
      <c r="BC36" s="161" t="inlineStr">
        <is>
          <t>2026-09-28</t>
        </is>
      </c>
      <c r="BD36" s="161" t="inlineStr">
        <is>
          <t>2026-10-15</t>
        </is>
      </c>
      <c r="BE36" s="96" t="inlineStr">
        <is>
          <t>Y</t>
        </is>
      </c>
      <c r="BF36" s="96" t="inlineStr">
        <is>
          <t>CORRUGATOR ADDITIVES</t>
        </is>
      </c>
      <c r="BG36" s="96" t="inlineStr">
        <is>
          <t>Line</t>
        </is>
      </c>
      <c r="BH36" s="96" t="inlineStr">
        <is>
          <t>S22</t>
        </is>
      </c>
      <c r="BI36" s="97" t="n"/>
      <c r="BJ36" s="97" t="n"/>
      <c r="BK36" s="96" t="inlineStr">
        <is>
          <t>BKK27</t>
        </is>
      </c>
      <c r="BL36" s="161" t="inlineStr">
        <is>
          <t>2026-10-03</t>
        </is>
      </c>
      <c r="BM36" s="127" t="n"/>
      <c r="BN36" s="127" t="n"/>
      <c r="BO36" s="127" t="n"/>
      <c r="BP36" s="127" t="n">
        <v>1</v>
      </c>
      <c r="BQ36" s="127" t="n"/>
      <c r="BR36" s="127" t="n"/>
      <c r="BS36" s="127" t="n"/>
      <c r="BT36" s="127" t="n"/>
      <c r="BU36" s="127" t="n"/>
      <c r="BV36" s="127" t="n"/>
      <c r="BW36" s="127" t="n"/>
      <c r="BX36" s="127" t="n"/>
      <c r="BY36" s="96" t="inlineStr">
        <is>
          <t>FULL</t>
        </is>
      </c>
      <c r="BZ36" s="97" t="n"/>
      <c r="CA36" s="96" t="inlineStr">
        <is>
          <t>Y</t>
        </is>
      </c>
      <c r="CB36" s="97" t="n"/>
      <c r="CC36" s="96" t="inlineStr">
        <is>
          <t>BKK01</t>
        </is>
      </c>
      <c r="CD36" s="97" t="n"/>
      <c r="CE36" s="97" t="n"/>
      <c r="CF36" s="96" t="inlineStr">
        <is>
          <t>0 Teu</t>
        </is>
      </c>
      <c r="CG36" s="96" t="inlineStr">
        <is>
          <t>CY/CY</t>
        </is>
      </c>
      <c r="CH36" s="97" t="n"/>
      <c r="CI36" s="96" t="inlineStr">
        <is>
          <t>seaexport-bkk@fmgloballogistics.com</t>
        </is>
      </c>
      <c r="CJ36" s="96" t="inlineStr">
        <is>
          <t>FM GLOBAL LOGISTICS CO LTD</t>
        </is>
      </c>
      <c r="CK36" s="96" t="inlineStr">
        <is>
          <t>UNI LOGISTICS CO.,LTD</t>
        </is>
      </c>
      <c r="CL36" s="96" t="inlineStr">
        <is>
          <t>UNI LOGISTICS CO.,LTD</t>
        </is>
      </c>
      <c r="CM36" s="97" t="n"/>
      <c r="CN36" s="96" t="inlineStr">
        <is>
          <t>202610121200</t>
        </is>
      </c>
      <c r="CO36" s="96" t="inlineStr">
        <is>
          <t>202610131200</t>
        </is>
      </c>
      <c r="CP36" s="97" t="n"/>
      <c r="CQ36" s="96" t="inlineStr">
        <is>
          <t>S22-2601009</t>
        </is>
      </c>
      <c r="CR36" s="96" t="inlineStr">
        <is>
          <t>TH04CP</t>
        </is>
      </c>
      <c r="CS36" s="96" t="inlineStr">
        <is>
          <t>FM GLOBAL LOGISTICS CO., LTD.</t>
        </is>
      </c>
      <c r="CT36" s="96" t="inlineStr">
        <is>
          <t>N</t>
        </is>
      </c>
      <c r="CU36" s="97" t="n"/>
      <c r="CV36" s="97" t="n"/>
      <c r="CW36" s="161" t="inlineStr">
        <is>
          <t>2026-10-15</t>
        </is>
      </c>
      <c r="CX36" s="97" t="n"/>
      <c r="CY36" s="183" t="n"/>
    </row>
    <row r="37" ht="12" customHeight="1">
      <c r="A37" s="116" t="inlineStr">
        <is>
          <t>HASLS22260902525</t>
        </is>
      </c>
      <c r="B37" s="96" t="inlineStr">
        <is>
          <t>20'x1</t>
        </is>
      </c>
      <c r="C37" s="97" t="n">
        <v>1</v>
      </c>
      <c r="D37" s="97" t="n">
        <v>1</v>
      </c>
      <c r="E37" s="97" t="n"/>
      <c r="F37" s="97" t="n">
        <v>0</v>
      </c>
      <c r="G37" s="97" t="n">
        <v>1</v>
      </c>
      <c r="H37" s="97" t="n">
        <v>0</v>
      </c>
      <c r="I37" s="97" t="n">
        <v>0</v>
      </c>
      <c r="J37" s="97" t="n">
        <v>1</v>
      </c>
      <c r="K37" s="96" t="inlineStr">
        <is>
          <t>N</t>
        </is>
      </c>
      <c r="L37" s="96" t="inlineStr">
        <is>
          <t>KHS1</t>
        </is>
      </c>
      <c r="M37" s="96" t="inlineStr">
        <is>
          <t>SWIC</t>
        </is>
      </c>
      <c r="N37" s="96" t="inlineStr">
        <is>
          <t>2611N</t>
        </is>
      </c>
      <c r="O37" s="96" t="inlineStr">
        <is>
          <t>THBKK</t>
        </is>
      </c>
      <c r="P37" s="96" t="inlineStr">
        <is>
          <t>BKK01</t>
        </is>
      </c>
      <c r="Q37" s="96" t="inlineStr">
        <is>
          <t>IA</t>
        </is>
      </c>
      <c r="R37" s="161" t="inlineStr">
        <is>
          <t>2026-10-16</t>
        </is>
      </c>
      <c r="S37" s="96" t="inlineStr">
        <is>
          <t>JPOSA</t>
        </is>
      </c>
      <c r="T37" s="96" t="inlineStr">
        <is>
          <t>OSA01</t>
        </is>
      </c>
      <c r="U37" s="96" t="inlineStr">
        <is>
          <t>JPOSA</t>
        </is>
      </c>
      <c r="V37" s="161" t="inlineStr">
        <is>
          <t>2026-11-04</t>
        </is>
      </c>
      <c r="W37" s="96" t="inlineStr">
        <is>
          <t>JP</t>
        </is>
      </c>
      <c r="X37" s="97" t="n"/>
      <c r="Y37" s="97" t="inlineStr">
        <is>
          <t>PUS05</t>
        </is>
      </c>
      <c r="Z37" s="97" t="inlineStr">
        <is>
          <t>KRPUS</t>
        </is>
      </c>
      <c r="AA37" s="96" t="inlineStr">
        <is>
          <t>LPK GLOBAL TRADE CO.,LTD.</t>
        </is>
      </c>
      <c r="AB37" s="96" t="inlineStr">
        <is>
          <t>NEW SOLUTION CO.,LTD</t>
        </is>
      </c>
      <c r="AC37" s="163" t="n">
        <v>19979</v>
      </c>
      <c r="AD37" s="163" t="n">
        <v>22179</v>
      </c>
      <c r="AE37" s="96" t="inlineStr">
        <is>
          <t>OK</t>
        </is>
      </c>
      <c r="AF37" s="96" t="n"/>
      <c r="AG37" s="97" t="n"/>
      <c r="AH37" s="96" t="inlineStr">
        <is>
          <t>CHK</t>
        </is>
      </c>
      <c r="AI37" s="97" t="inlineStr">
        <is>
          <t>OK</t>
        </is>
      </c>
      <c r="AJ37" s="97" t="n"/>
      <c r="AK37" s="97" t="n"/>
      <c r="AL37" s="97" t="n"/>
      <c r="AM37" s="96" t="inlineStr">
        <is>
          <t>TH0031</t>
        </is>
      </c>
      <c r="AN37" s="96" t="inlineStr">
        <is>
          <t>Pattarapong Saengthong</t>
        </is>
      </c>
      <c r="AO37" s="96" t="inlineStr">
        <is>
          <t>RECYCLING MATERIALS FOR COPPER</t>
        </is>
      </c>
      <c r="AP37" s="96" t="inlineStr">
        <is>
          <t>T/S</t>
        </is>
      </c>
      <c r="AQ37" s="97" t="n"/>
      <c r="AR37" s="97" t="n"/>
      <c r="AS37" s="97" t="n"/>
      <c r="AT37" s="97" t="n"/>
      <c r="AU37" s="97" t="n"/>
      <c r="AV37" s="97" t="n"/>
      <c r="AW37" s="97" t="n">
        <v>0</v>
      </c>
      <c r="AX37" s="96" t="inlineStr">
        <is>
          <t>N</t>
        </is>
      </c>
      <c r="AY37" s="97" t="inlineStr">
        <is>
          <t>OBL</t>
        </is>
      </c>
      <c r="AZ37" s="96" t="inlineStr">
        <is>
          <t>[FIX][FIX]Pickup : 2026-10-09, Return : 2026-10-10 (1ST RETURN 10/10/26)</t>
        </is>
      </c>
      <c r="BA37" s="97" t="inlineStr">
        <is>
          <t xml:space="preserve">CLEAN AND DRY CONTAINER  // Please extend closing time 13/10/2026 ( 12.00 ) </t>
        </is>
      </c>
      <c r="BB37" s="96" t="inlineStr">
        <is>
          <t>P</t>
        </is>
      </c>
      <c r="BC37" s="161" t="inlineStr">
        <is>
          <t>2026-09-28</t>
        </is>
      </c>
      <c r="BD37" s="161" t="inlineStr">
        <is>
          <t>2026-10-15</t>
        </is>
      </c>
      <c r="BE37" s="96" t="inlineStr">
        <is>
          <t>Y</t>
        </is>
      </c>
      <c r="BF37" s="96" t="inlineStr">
        <is>
          <t>COPPER SCRAP</t>
        </is>
      </c>
      <c r="BG37" s="96" t="inlineStr">
        <is>
          <t>Line</t>
        </is>
      </c>
      <c r="BH37" s="96" t="inlineStr">
        <is>
          <t>S22</t>
        </is>
      </c>
      <c r="BI37" s="97" t="n"/>
      <c r="BJ37" s="97" t="n"/>
      <c r="BK37" s="96" t="inlineStr">
        <is>
          <t>BKK27</t>
        </is>
      </c>
      <c r="BL37" s="161" t="inlineStr">
        <is>
          <t>2026-10-09</t>
        </is>
      </c>
      <c r="BM37" s="127" t="n"/>
      <c r="BN37" s="127" t="n">
        <v>1</v>
      </c>
      <c r="BO37" s="127" t="n"/>
      <c r="BP37" s="127" t="n"/>
      <c r="BQ37" s="127" t="n"/>
      <c r="BR37" s="127" t="n"/>
      <c r="BS37" s="127" t="n"/>
      <c r="BT37" s="127" t="n"/>
      <c r="BU37" s="127" t="n"/>
      <c r="BV37" s="127" t="n"/>
      <c r="BW37" s="127" t="n"/>
      <c r="BX37" s="127" t="n"/>
      <c r="BY37" s="96" t="inlineStr">
        <is>
          <t>FULL</t>
        </is>
      </c>
      <c r="BZ37" s="97" t="n">
        <v>8</v>
      </c>
      <c r="CA37" s="96" t="inlineStr">
        <is>
          <t>Y</t>
        </is>
      </c>
      <c r="CB37" s="97" t="n"/>
      <c r="CC37" s="96" t="inlineStr">
        <is>
          <t>BKK01</t>
        </is>
      </c>
      <c r="CD37" s="97" t="n"/>
      <c r="CE37" s="97" t="n"/>
      <c r="CF37" s="96" t="inlineStr">
        <is>
          <t>0 Teu</t>
        </is>
      </c>
      <c r="CG37" s="96" t="inlineStr">
        <is>
          <t>CY/CY</t>
        </is>
      </c>
      <c r="CH37" s="97" t="inlineStr">
        <is>
          <t>POL: THBKK [SWIC/2611N]; T/S(1st): KRPUS [HRGL/2651E]; POD: JPOSA [/]</t>
        </is>
      </c>
      <c r="CI37" s="96" t="inlineStr">
        <is>
          <t>snow@lpk-global.com</t>
        </is>
      </c>
      <c r="CJ37" s="96" t="inlineStr">
        <is>
          <t>NEW SOLUTIONS (THAILAND) CO., LTD.</t>
        </is>
      </c>
      <c r="CK37" s="96" t="inlineStr">
        <is>
          <t>WAKOH METAL CO., LTD</t>
        </is>
      </c>
      <c r="CL37" s="96" t="inlineStr">
        <is>
          <t>WAKOH METAL CO., LTD</t>
        </is>
      </c>
      <c r="CM37" s="97" t="inlineStr">
        <is>
          <t>CLOSED</t>
        </is>
      </c>
      <c r="CN37" s="96" t="inlineStr">
        <is>
          <t>202610121200</t>
        </is>
      </c>
      <c r="CO37" s="96" t="inlineStr">
        <is>
          <t>202610131200</t>
        </is>
      </c>
      <c r="CP37" s="97" t="n"/>
      <c r="CQ37" s="96" t="inlineStr">
        <is>
          <t>S19-2303009</t>
        </is>
      </c>
      <c r="CR37" s="96" t="inlineStr">
        <is>
          <t>TH02NP</t>
        </is>
      </c>
      <c r="CS37" s="96" t="inlineStr">
        <is>
          <t>LPK GLOBAL TRADE CO.,LTD.</t>
        </is>
      </c>
      <c r="CT37" s="96" t="inlineStr">
        <is>
          <t>N</t>
        </is>
      </c>
      <c r="CU37" s="97" t="n"/>
      <c r="CV37" s="97" t="n"/>
      <c r="CW37" s="161" t="inlineStr">
        <is>
          <t>2026-10-15</t>
        </is>
      </c>
      <c r="CX37" s="97" t="inlineStr">
        <is>
          <t>740400</t>
        </is>
      </c>
      <c r="CY37" s="183" t="n"/>
    </row>
    <row r="38" ht="12" customHeight="1">
      <c r="A38" s="116" t="inlineStr">
        <is>
          <t>HASLS22261000692</t>
        </is>
      </c>
      <c r="B38" s="96" t="inlineStr">
        <is>
          <t>40Hx5</t>
        </is>
      </c>
      <c r="C38" s="97" t="n">
        <v>5</v>
      </c>
      <c r="D38" s="97" t="n">
        <v>5</v>
      </c>
      <c r="E38" s="97" t="n"/>
      <c r="F38" s="97" t="n">
        <v>0</v>
      </c>
      <c r="G38" s="97" t="n">
        <v>0</v>
      </c>
      <c r="H38" s="97" t="n">
        <v>0</v>
      </c>
      <c r="I38" s="97" t="n">
        <v>5</v>
      </c>
      <c r="J38" s="97" t="n">
        <v>10</v>
      </c>
      <c r="K38" s="96" t="inlineStr">
        <is>
          <t>N</t>
        </is>
      </c>
      <c r="L38" s="96" t="inlineStr">
        <is>
          <t>KHS1</t>
        </is>
      </c>
      <c r="M38" s="96" t="inlineStr">
        <is>
          <t>SWIC</t>
        </is>
      </c>
      <c r="N38" s="96" t="inlineStr">
        <is>
          <t>2611N</t>
        </is>
      </c>
      <c r="O38" s="96" t="inlineStr">
        <is>
          <t>THBKK</t>
        </is>
      </c>
      <c r="P38" s="96" t="inlineStr">
        <is>
          <t>BKK01</t>
        </is>
      </c>
      <c r="Q38" s="96" t="inlineStr">
        <is>
          <t>IA</t>
        </is>
      </c>
      <c r="R38" s="161" t="inlineStr">
        <is>
          <t>2026-10-16</t>
        </is>
      </c>
      <c r="S38" s="96" t="inlineStr">
        <is>
          <t>VNSGN</t>
        </is>
      </c>
      <c r="T38" s="96" t="inlineStr">
        <is>
          <t>SGN03</t>
        </is>
      </c>
      <c r="U38" s="96" t="inlineStr">
        <is>
          <t>VNSGN</t>
        </is>
      </c>
      <c r="V38" s="161" t="inlineStr">
        <is>
          <t>2026-10-18</t>
        </is>
      </c>
      <c r="W38" s="96" t="inlineStr">
        <is>
          <t>IA</t>
        </is>
      </c>
      <c r="X38" s="97" t="n"/>
      <c r="Y38" s="97" t="n"/>
      <c r="Z38" s="97" t="n"/>
      <c r="AA38" s="96" t="inlineStr">
        <is>
          <t>BIRLA CARBON (THAILAND) PUBLIC COMPANY LIMITED</t>
        </is>
      </c>
      <c r="AB38" s="96" t="inlineStr">
        <is>
          <t>BIRLA CARBON (THAILAND) PUBLIC COMPANY LIMITED</t>
        </is>
      </c>
      <c r="AC38" s="163" t="n">
        <v>111540</v>
      </c>
      <c r="AD38" s="163" t="n">
        <v>131540</v>
      </c>
      <c r="AE38" s="96" t="inlineStr">
        <is>
          <t>OK</t>
        </is>
      </c>
      <c r="AF38" s="96" t="n"/>
      <c r="AG38" s="97" t="n"/>
      <c r="AH38" s="96" t="inlineStr">
        <is>
          <t>CHK</t>
        </is>
      </c>
      <c r="AI38" s="97" t="inlineStr">
        <is>
          <t>OK</t>
        </is>
      </c>
      <c r="AJ38" s="97" t="n"/>
      <c r="AK38" s="97" t="n"/>
      <c r="AL38" s="97" t="n"/>
      <c r="AM38" s="96" t="inlineStr">
        <is>
          <t>TBKK13</t>
        </is>
      </c>
      <c r="AN38" s="96" t="inlineStr">
        <is>
          <t>Dharaporn</t>
        </is>
      </c>
      <c r="AO38" s="96" t="inlineStr">
        <is>
          <t>CARBON BLACK</t>
        </is>
      </c>
      <c r="AP38" s="96" t="inlineStr">
        <is>
          <t>Normal</t>
        </is>
      </c>
      <c r="AQ38" s="97" t="n"/>
      <c r="AR38" s="97" t="n"/>
      <c r="AS38" s="97" t="n"/>
      <c r="AT38" s="97" t="n"/>
      <c r="AU38" s="97" t="n"/>
      <c r="AV38" s="97" t="n"/>
      <c r="AW38" s="97" t="n">
        <v>0</v>
      </c>
      <c r="AX38" s="96" t="inlineStr">
        <is>
          <t>N</t>
        </is>
      </c>
      <c r="AY38" s="97" t="inlineStr">
        <is>
          <t>OBL</t>
        </is>
      </c>
      <c r="AZ38" s="96" t="inlineStr">
        <is>
          <t xml:space="preserve">Pickup : 2026-10-10, Return : 2026-10-11 
CLS TIME DD.13/10/2026 @ 23.59
</t>
        </is>
      </c>
      <c r="BA38" s="97" t="n"/>
      <c r="BB38" s="96" t="inlineStr">
        <is>
          <t>P</t>
        </is>
      </c>
      <c r="BC38" s="161" t="inlineStr">
        <is>
          <t>2026-10-08</t>
        </is>
      </c>
      <c r="BD38" s="161" t="inlineStr">
        <is>
          <t>2026-10-14</t>
        </is>
      </c>
      <c r="BE38" s="96" t="inlineStr">
        <is>
          <t>Y</t>
        </is>
      </c>
      <c r="BF38" s="96" t="inlineStr">
        <is>
          <t>CABON BLACK</t>
        </is>
      </c>
      <c r="BG38" s="96" t="inlineStr">
        <is>
          <t>Line</t>
        </is>
      </c>
      <c r="BH38" s="96" t="inlineStr">
        <is>
          <t>S22</t>
        </is>
      </c>
      <c r="BI38" s="97" t="n"/>
      <c r="BJ38" s="97" t="n"/>
      <c r="BK38" s="96" t="inlineStr">
        <is>
          <t>BKK27</t>
        </is>
      </c>
      <c r="BL38" s="161" t="inlineStr">
        <is>
          <t>2026-10-10</t>
        </is>
      </c>
      <c r="BM38" s="127" t="n"/>
      <c r="BN38" s="127" t="n"/>
      <c r="BO38" s="127" t="n"/>
      <c r="BP38" s="127" t="n">
        <v>5</v>
      </c>
      <c r="BQ38" s="127" t="n"/>
      <c r="BR38" s="127" t="n"/>
      <c r="BS38" s="127" t="n"/>
      <c r="BT38" s="127" t="n"/>
      <c r="BU38" s="127" t="n"/>
      <c r="BV38" s="127" t="n"/>
      <c r="BW38" s="127" t="n"/>
      <c r="BX38" s="127" t="n"/>
      <c r="BY38" s="96" t="inlineStr">
        <is>
          <t>FULL</t>
        </is>
      </c>
      <c r="BZ38" s="97" t="n"/>
      <c r="CA38" s="96" t="inlineStr">
        <is>
          <t>Y</t>
        </is>
      </c>
      <c r="CB38" s="97" t="n"/>
      <c r="CC38" s="96" t="inlineStr">
        <is>
          <t>BKK01</t>
        </is>
      </c>
      <c r="CD38" s="97" t="n"/>
      <c r="CE38" s="97" t="n"/>
      <c r="CF38" s="96" t="inlineStr">
        <is>
          <t>0 Teu</t>
        </is>
      </c>
      <c r="CG38" s="96" t="inlineStr">
        <is>
          <t>CY/CY</t>
        </is>
      </c>
      <c r="CH38" s="97" t="n"/>
      <c r="CI38" s="96" t="inlineStr">
        <is>
          <t>siriphan.hom@adityabirla.com</t>
        </is>
      </c>
      <c r="CJ38" s="96" t="inlineStr">
        <is>
          <t>BIRLA CARBON (THAILAND) PUBLIC</t>
        </is>
      </c>
      <c r="CK38" s="96" t="inlineStr">
        <is>
          <t>ACTR COMPANY LIMITED</t>
        </is>
      </c>
      <c r="CL38" s="96" t="inlineStr">
        <is>
          <t>ACTR COMPANY LIMITED</t>
        </is>
      </c>
      <c r="CM38" s="97" t="inlineStr">
        <is>
          <t>CLOSED</t>
        </is>
      </c>
      <c r="CN38" s="96" t="inlineStr">
        <is>
          <t>202610121200</t>
        </is>
      </c>
      <c r="CO38" s="96" t="inlineStr">
        <is>
          <t>202610131200</t>
        </is>
      </c>
      <c r="CP38" s="97" t="n"/>
      <c r="CQ38" s="96" t="inlineStr">
        <is>
          <t>S22-2508024</t>
        </is>
      </c>
      <c r="CR38" s="96" t="inlineStr">
        <is>
          <t>THTKYV</t>
        </is>
      </c>
      <c r="CS38" s="96" t="inlineStr">
        <is>
          <t>BIRLA CARBON (THAILAND) PUBLIC COMPANY LIMITED</t>
        </is>
      </c>
      <c r="CT38" s="96" t="inlineStr">
        <is>
          <t>N</t>
        </is>
      </c>
      <c r="CU38" s="97" t="n"/>
      <c r="CV38" s="97" t="n"/>
      <c r="CW38" s="161" t="inlineStr">
        <is>
          <t>2026-10-15</t>
        </is>
      </c>
      <c r="CX38" s="97" t="inlineStr">
        <is>
          <t>280300</t>
        </is>
      </c>
      <c r="CY38" s="183" t="n"/>
    </row>
    <row r="39" ht="12" customHeight="1">
      <c r="A39" s="116" t="inlineStr">
        <is>
          <t>HASLS22261000949</t>
        </is>
      </c>
      <c r="B39" s="96" t="inlineStr">
        <is>
          <t>40Hx1</t>
        </is>
      </c>
      <c r="C39" s="97" t="n">
        <v>1</v>
      </c>
      <c r="D39" s="97" t="n">
        <v>1</v>
      </c>
      <c r="E39" s="97" t="n"/>
      <c r="F39" s="97" t="n">
        <v>0</v>
      </c>
      <c r="G39" s="97" t="n">
        <v>0</v>
      </c>
      <c r="H39" s="97" t="n">
        <v>0</v>
      </c>
      <c r="I39" s="97" t="n">
        <v>1</v>
      </c>
      <c r="J39" s="97" t="n">
        <v>2</v>
      </c>
      <c r="K39" s="96" t="inlineStr">
        <is>
          <t>N</t>
        </is>
      </c>
      <c r="L39" s="96" t="inlineStr">
        <is>
          <t>KHS1</t>
        </is>
      </c>
      <c r="M39" s="96" t="inlineStr">
        <is>
          <t>SWIC</t>
        </is>
      </c>
      <c r="N39" s="96" t="inlineStr">
        <is>
          <t>2611N</t>
        </is>
      </c>
      <c r="O39" s="96" t="inlineStr">
        <is>
          <t>THBKK</t>
        </is>
      </c>
      <c r="P39" s="96" t="inlineStr">
        <is>
          <t>BKK01</t>
        </is>
      </c>
      <c r="Q39" s="96" t="inlineStr">
        <is>
          <t>IA</t>
        </is>
      </c>
      <c r="R39" s="161" t="inlineStr">
        <is>
          <t>2026-10-16</t>
        </is>
      </c>
      <c r="S39" s="96" t="inlineStr">
        <is>
          <t>VNSGN</t>
        </is>
      </c>
      <c r="T39" s="96" t="inlineStr">
        <is>
          <t>SGN03</t>
        </is>
      </c>
      <c r="U39" s="96" t="inlineStr">
        <is>
          <t>VNSGN</t>
        </is>
      </c>
      <c r="V39" s="161" t="inlineStr">
        <is>
          <t>2026-10-18</t>
        </is>
      </c>
      <c r="W39" s="96" t="inlineStr">
        <is>
          <t>IA</t>
        </is>
      </c>
      <c r="X39" s="97" t="n"/>
      <c r="Y39" s="97" t="n"/>
      <c r="Z39" s="97" t="n"/>
      <c r="AA39" s="96" t="inlineStr">
        <is>
          <t>BIRLA CARBON (THAILAND) PUBLIC COMPANY LIMITED</t>
        </is>
      </c>
      <c r="AB39" s="96" t="inlineStr">
        <is>
          <t>BIRLA CARBON (THAILAND) PUBLIC COMPANY LIMITED</t>
        </is>
      </c>
      <c r="AC39" s="163" t="n">
        <v>22308</v>
      </c>
      <c r="AD39" s="163" t="n">
        <v>26308</v>
      </c>
      <c r="AE39" s="96" t="inlineStr">
        <is>
          <t>OK</t>
        </is>
      </c>
      <c r="AF39" s="96" t="n"/>
      <c r="AG39" s="97" t="n"/>
      <c r="AH39" s="96" t="inlineStr">
        <is>
          <t>CHK</t>
        </is>
      </c>
      <c r="AI39" s="97" t="inlineStr">
        <is>
          <t>OK</t>
        </is>
      </c>
      <c r="AJ39" s="97" t="n"/>
      <c r="AK39" s="97" t="n"/>
      <c r="AL39" s="97" t="n"/>
      <c r="AM39" s="96" t="inlineStr">
        <is>
          <t>TBKK13</t>
        </is>
      </c>
      <c r="AN39" s="96" t="inlineStr">
        <is>
          <t>Dharaporn</t>
        </is>
      </c>
      <c r="AO39" s="96" t="inlineStr">
        <is>
          <t>CARBON BLACK</t>
        </is>
      </c>
      <c r="AP39" s="96" t="inlineStr">
        <is>
          <t>Normal</t>
        </is>
      </c>
      <c r="AQ39" s="97" t="n"/>
      <c r="AR39" s="97" t="n"/>
      <c r="AS39" s="97" t="n"/>
      <c r="AT39" s="97" t="n"/>
      <c r="AU39" s="97" t="n"/>
      <c r="AV39" s="97" t="n"/>
      <c r="AW39" s="97" t="n">
        <v>0</v>
      </c>
      <c r="AX39" s="96" t="inlineStr">
        <is>
          <t>N</t>
        </is>
      </c>
      <c r="AY39" s="97" t="inlineStr">
        <is>
          <t>OBL</t>
        </is>
      </c>
      <c r="AZ39" s="96" t="inlineStr">
        <is>
          <t>Pickup : 2026-10-13, Return : 2026-10-13</t>
        </is>
      </c>
      <c r="BA39" s="97" t="n"/>
      <c r="BB39" s="96" t="inlineStr">
        <is>
          <t>P</t>
        </is>
      </c>
      <c r="BC39" s="161" t="inlineStr">
        <is>
          <t>2026-10-13</t>
        </is>
      </c>
      <c r="BD39" s="161" t="inlineStr">
        <is>
          <t>2026-10-13</t>
        </is>
      </c>
      <c r="BE39" s="96" t="inlineStr">
        <is>
          <t>Y</t>
        </is>
      </c>
      <c r="BF39" s="96" t="inlineStr">
        <is>
          <t>CABON BLACK</t>
        </is>
      </c>
      <c r="BG39" s="96" t="inlineStr">
        <is>
          <t>Line</t>
        </is>
      </c>
      <c r="BH39" s="96" t="inlineStr">
        <is>
          <t>S22</t>
        </is>
      </c>
      <c r="BI39" s="97" t="n"/>
      <c r="BJ39" s="97" t="n"/>
      <c r="BK39" s="96" t="inlineStr">
        <is>
          <t>BKK27</t>
        </is>
      </c>
      <c r="BL39" s="161" t="inlineStr">
        <is>
          <t>2026-10-13</t>
        </is>
      </c>
      <c r="BM39" s="127" t="n"/>
      <c r="BN39" s="127" t="n"/>
      <c r="BO39" s="127" t="n"/>
      <c r="BP39" s="127" t="n">
        <v>1</v>
      </c>
      <c r="BQ39" s="127" t="n"/>
      <c r="BR39" s="127" t="n"/>
      <c r="BS39" s="127" t="n"/>
      <c r="BT39" s="127" t="n"/>
      <c r="BU39" s="127" t="n"/>
      <c r="BV39" s="127" t="n"/>
      <c r="BW39" s="127" t="n"/>
      <c r="BX39" s="127" t="n"/>
      <c r="BY39" s="96" t="inlineStr">
        <is>
          <t>FULL</t>
        </is>
      </c>
      <c r="BZ39" s="97" t="n"/>
      <c r="CA39" s="96" t="inlineStr">
        <is>
          <t>Y</t>
        </is>
      </c>
      <c r="CB39" s="97" t="n"/>
      <c r="CC39" s="96" t="inlineStr">
        <is>
          <t>BKK01</t>
        </is>
      </c>
      <c r="CD39" s="97" t="n"/>
      <c r="CE39" s="97" t="n"/>
      <c r="CF39" s="96" t="inlineStr">
        <is>
          <t>0 Teu</t>
        </is>
      </c>
      <c r="CG39" s="96" t="inlineStr">
        <is>
          <t>CY/CY</t>
        </is>
      </c>
      <c r="CH39" s="97" t="n"/>
      <c r="CI39" s="96" t="inlineStr">
        <is>
          <t>siriphan.hom@adityabirla.com</t>
        </is>
      </c>
      <c r="CJ39" s="96" t="inlineStr">
        <is>
          <t>BIRLA CARBON (THAILAND) PUBLIC</t>
        </is>
      </c>
      <c r="CK39" s="96" t="inlineStr">
        <is>
          <t>YOKOHAMA TYRE VIETNAM INC.</t>
        </is>
      </c>
      <c r="CL39" s="96" t="inlineStr">
        <is>
          <t>YOKOHAMA TYRE VIETNAM INC.</t>
        </is>
      </c>
      <c r="CM39" s="97" t="inlineStr">
        <is>
          <t>CLOSED</t>
        </is>
      </c>
      <c r="CN39" s="96" t="inlineStr">
        <is>
          <t>202610121200</t>
        </is>
      </c>
      <c r="CO39" s="96" t="inlineStr">
        <is>
          <t>202610131200</t>
        </is>
      </c>
      <c r="CP39" s="97" t="n"/>
      <c r="CQ39" s="96" t="inlineStr">
        <is>
          <t>S22-2508024</t>
        </is>
      </c>
      <c r="CR39" s="96" t="inlineStr">
        <is>
          <t>THTKYV</t>
        </is>
      </c>
      <c r="CS39" s="96" t="inlineStr">
        <is>
          <t>BIRLA CARBON (THAILAND) PUBLIC COMPANY LIMITED</t>
        </is>
      </c>
      <c r="CT39" s="96" t="inlineStr">
        <is>
          <t>N</t>
        </is>
      </c>
      <c r="CU39" s="97" t="n"/>
      <c r="CV39" s="97" t="n"/>
      <c r="CW39" s="161" t="inlineStr">
        <is>
          <t>2026-10-15</t>
        </is>
      </c>
      <c r="CX39" s="97" t="inlineStr">
        <is>
          <t>280300</t>
        </is>
      </c>
      <c r="CY39" s="183" t="n"/>
    </row>
    <row r="40" ht="12" customHeight="1">
      <c r="A40" s="116" t="inlineStr">
        <is>
          <t>HASLS22261000948</t>
        </is>
      </c>
      <c r="B40" s="96" t="inlineStr">
        <is>
          <t>40Hx4</t>
        </is>
      </c>
      <c r="C40" s="97" t="n">
        <v>4</v>
      </c>
      <c r="D40" s="97" t="n">
        <v>4</v>
      </c>
      <c r="E40" s="97" t="n"/>
      <c r="F40" s="97" t="n">
        <v>0</v>
      </c>
      <c r="G40" s="97" t="n">
        <v>0</v>
      </c>
      <c r="H40" s="97" t="n">
        <v>0</v>
      </c>
      <c r="I40" s="97" t="n">
        <v>4</v>
      </c>
      <c r="J40" s="97" t="n">
        <v>8</v>
      </c>
      <c r="K40" s="96" t="inlineStr">
        <is>
          <t>N</t>
        </is>
      </c>
      <c r="L40" s="96" t="inlineStr">
        <is>
          <t>KHS1</t>
        </is>
      </c>
      <c r="M40" s="96" t="inlineStr">
        <is>
          <t>SWIC</t>
        </is>
      </c>
      <c r="N40" s="96" t="inlineStr">
        <is>
          <t>2611N</t>
        </is>
      </c>
      <c r="O40" s="96" t="inlineStr">
        <is>
          <t>THBKK</t>
        </is>
      </c>
      <c r="P40" s="96" t="inlineStr">
        <is>
          <t>BKK01</t>
        </is>
      </c>
      <c r="Q40" s="96" t="inlineStr">
        <is>
          <t>IA</t>
        </is>
      </c>
      <c r="R40" s="161" t="inlineStr">
        <is>
          <t>2026-10-16</t>
        </is>
      </c>
      <c r="S40" s="96" t="inlineStr">
        <is>
          <t>VNSGN</t>
        </is>
      </c>
      <c r="T40" s="96" t="inlineStr">
        <is>
          <t>SGN03</t>
        </is>
      </c>
      <c r="U40" s="96" t="inlineStr">
        <is>
          <t>VNSGN</t>
        </is>
      </c>
      <c r="V40" s="161" t="inlineStr">
        <is>
          <t>2026-10-18</t>
        </is>
      </c>
      <c r="W40" s="96" t="inlineStr">
        <is>
          <t>IA</t>
        </is>
      </c>
      <c r="X40" s="97" t="n"/>
      <c r="Y40" s="97" t="n"/>
      <c r="Z40" s="97" t="n"/>
      <c r="AA40" s="96" t="inlineStr">
        <is>
          <t>BIRLA CARBON (THAILAND) PUBLIC COMPANY LIMITED</t>
        </is>
      </c>
      <c r="AB40" s="96" t="inlineStr">
        <is>
          <t>BIRLA CARBON (THAILAND) PUBLIC COMPANY LIMITED</t>
        </is>
      </c>
      <c r="AC40" s="163" t="n">
        <v>89232</v>
      </c>
      <c r="AD40" s="163" t="n">
        <v>105232</v>
      </c>
      <c r="AE40" s="96" t="inlineStr">
        <is>
          <t>OK</t>
        </is>
      </c>
      <c r="AF40" s="96" t="n"/>
      <c r="AG40" s="97" t="n"/>
      <c r="AH40" s="96" t="inlineStr">
        <is>
          <t>CHK</t>
        </is>
      </c>
      <c r="AI40" s="97" t="inlineStr">
        <is>
          <t>OK</t>
        </is>
      </c>
      <c r="AJ40" s="97" t="n"/>
      <c r="AK40" s="97" t="n"/>
      <c r="AL40" s="97" t="n"/>
      <c r="AM40" s="96" t="inlineStr">
        <is>
          <t>TBKK13</t>
        </is>
      </c>
      <c r="AN40" s="96" t="inlineStr">
        <is>
          <t>Dharaporn</t>
        </is>
      </c>
      <c r="AO40" s="96" t="inlineStr">
        <is>
          <t>CARBON BLACK</t>
        </is>
      </c>
      <c r="AP40" s="96" t="inlineStr">
        <is>
          <t>Normal</t>
        </is>
      </c>
      <c r="AQ40" s="97" t="n"/>
      <c r="AR40" s="97" t="n"/>
      <c r="AS40" s="97" t="n"/>
      <c r="AT40" s="97" t="n"/>
      <c r="AU40" s="97" t="n"/>
      <c r="AV40" s="97" t="n"/>
      <c r="AW40" s="97" t="n">
        <v>0</v>
      </c>
      <c r="AX40" s="96" t="inlineStr">
        <is>
          <t>N</t>
        </is>
      </c>
      <c r="AY40" s="97" t="inlineStr">
        <is>
          <t>OBL</t>
        </is>
      </c>
      <c r="AZ40" s="96" t="inlineStr">
        <is>
          <t>Pickup : 2026-10-13, Return : 2026-10-13</t>
        </is>
      </c>
      <c r="BA40" s="97" t="n"/>
      <c r="BB40" s="96" t="inlineStr">
        <is>
          <t>P</t>
        </is>
      </c>
      <c r="BC40" s="161" t="inlineStr">
        <is>
          <t>2026-10-13</t>
        </is>
      </c>
      <c r="BD40" s="161" t="inlineStr">
        <is>
          <t>2026-10-14</t>
        </is>
      </c>
      <c r="BE40" s="96" t="inlineStr">
        <is>
          <t>Y</t>
        </is>
      </c>
      <c r="BF40" s="96" t="inlineStr">
        <is>
          <t>CABON BLACK</t>
        </is>
      </c>
      <c r="BG40" s="96" t="inlineStr">
        <is>
          <t>Line</t>
        </is>
      </c>
      <c r="BH40" s="96" t="inlineStr">
        <is>
          <t>S22</t>
        </is>
      </c>
      <c r="BI40" s="97" t="n"/>
      <c r="BJ40" s="97" t="n"/>
      <c r="BK40" s="96" t="inlineStr">
        <is>
          <t>BKK27</t>
        </is>
      </c>
      <c r="BL40" s="161" t="inlineStr">
        <is>
          <t>2026-10-13</t>
        </is>
      </c>
      <c r="BM40" s="127" t="n"/>
      <c r="BN40" s="127" t="n"/>
      <c r="BO40" s="127" t="n"/>
      <c r="BP40" s="127" t="n">
        <v>4</v>
      </c>
      <c r="BQ40" s="127" t="n"/>
      <c r="BR40" s="127" t="n"/>
      <c r="BS40" s="127" t="n"/>
      <c r="BT40" s="127" t="n"/>
      <c r="BU40" s="127" t="n"/>
      <c r="BV40" s="127" t="n"/>
      <c r="BW40" s="127" t="n"/>
      <c r="BX40" s="127" t="n"/>
      <c r="BY40" s="96" t="inlineStr">
        <is>
          <t>FULL</t>
        </is>
      </c>
      <c r="BZ40" s="97" t="n"/>
      <c r="CA40" s="96" t="inlineStr">
        <is>
          <t>Y</t>
        </is>
      </c>
      <c r="CB40" s="97" t="n"/>
      <c r="CC40" s="96" t="inlineStr">
        <is>
          <t>BKK01</t>
        </is>
      </c>
      <c r="CD40" s="97" t="n"/>
      <c r="CE40" s="97" t="n"/>
      <c r="CF40" s="96" t="inlineStr">
        <is>
          <t>0 Teu</t>
        </is>
      </c>
      <c r="CG40" s="96" t="inlineStr">
        <is>
          <t>CY/CY</t>
        </is>
      </c>
      <c r="CH40" s="97" t="n"/>
      <c r="CI40" s="96" t="inlineStr">
        <is>
          <t>siriphan.hom@adityabirla.com</t>
        </is>
      </c>
      <c r="CJ40" s="96" t="inlineStr">
        <is>
          <t>BIRLA CARBON (THAILAND) PUBLIC</t>
        </is>
      </c>
      <c r="CK40" s="96" t="inlineStr">
        <is>
          <t>SAILUN (VIETNAM) CO.,LTD</t>
        </is>
      </c>
      <c r="CL40" s="96" t="inlineStr">
        <is>
          <t>SAILUN (VIETNAM) CO.,LTD</t>
        </is>
      </c>
      <c r="CM40" s="97" t="inlineStr">
        <is>
          <t>CLOSED</t>
        </is>
      </c>
      <c r="CN40" s="96" t="inlineStr">
        <is>
          <t>202610121200</t>
        </is>
      </c>
      <c r="CO40" s="96" t="inlineStr">
        <is>
          <t>202610131200</t>
        </is>
      </c>
      <c r="CP40" s="97" t="n"/>
      <c r="CQ40" s="96" t="inlineStr">
        <is>
          <t>S22-2508024</t>
        </is>
      </c>
      <c r="CR40" s="96" t="inlineStr">
        <is>
          <t>THTKYV</t>
        </is>
      </c>
      <c r="CS40" s="96" t="inlineStr">
        <is>
          <t>BIRLA CARBON (THAILAND) PUBLIC COMPANY LIMITED</t>
        </is>
      </c>
      <c r="CT40" s="96" t="inlineStr">
        <is>
          <t>N</t>
        </is>
      </c>
      <c r="CU40" s="97" t="n"/>
      <c r="CV40" s="97" t="n"/>
      <c r="CW40" s="161" t="inlineStr">
        <is>
          <t>2026-10-15</t>
        </is>
      </c>
      <c r="CX40" s="97" t="inlineStr">
        <is>
          <t>280300</t>
        </is>
      </c>
      <c r="CY40" s="183" t="n"/>
    </row>
    <row r="41" ht="12" customHeight="1">
      <c r="A41" s="116" t="inlineStr">
        <is>
          <t>HASLS22260901611</t>
        </is>
      </c>
      <c r="B41" s="96" t="inlineStr">
        <is>
          <t>40Hx3</t>
        </is>
      </c>
      <c r="C41" s="97" t="n">
        <v>3</v>
      </c>
      <c r="D41" s="97" t="n">
        <v>3</v>
      </c>
      <c r="E41" s="97" t="n"/>
      <c r="F41" s="97" t="n">
        <v>0</v>
      </c>
      <c r="G41" s="97" t="n">
        <v>0</v>
      </c>
      <c r="H41" s="97" t="n">
        <v>0</v>
      </c>
      <c r="I41" s="97" t="n">
        <v>3</v>
      </c>
      <c r="J41" s="97" t="n">
        <v>6</v>
      </c>
      <c r="K41" s="96" t="inlineStr">
        <is>
          <t>N</t>
        </is>
      </c>
      <c r="L41" s="96" t="inlineStr">
        <is>
          <t>KHS1</t>
        </is>
      </c>
      <c r="M41" s="96" t="inlineStr">
        <is>
          <t>SWIC</t>
        </is>
      </c>
      <c r="N41" s="96" t="inlineStr">
        <is>
          <t>2611N</t>
        </is>
      </c>
      <c r="O41" s="96" t="inlineStr">
        <is>
          <t>THBKK</t>
        </is>
      </c>
      <c r="P41" s="96" t="inlineStr">
        <is>
          <t>BKK01</t>
        </is>
      </c>
      <c r="Q41" s="96" t="inlineStr">
        <is>
          <t>IA</t>
        </is>
      </c>
      <c r="R41" s="161" t="inlineStr">
        <is>
          <t>2026-10-16</t>
        </is>
      </c>
      <c r="S41" s="96" t="inlineStr">
        <is>
          <t>KRKAN</t>
        </is>
      </c>
      <c r="T41" s="96" t="inlineStr">
        <is>
          <t>KAN06</t>
        </is>
      </c>
      <c r="U41" s="96" t="inlineStr">
        <is>
          <t>KRKAN</t>
        </is>
      </c>
      <c r="V41" s="161" t="inlineStr">
        <is>
          <t>2026-10-24</t>
        </is>
      </c>
      <c r="W41" s="96" t="inlineStr">
        <is>
          <t>KR</t>
        </is>
      </c>
      <c r="X41" s="97" t="n"/>
      <c r="Y41" s="97" t="n"/>
      <c r="Z41" s="97" t="n"/>
      <c r="AA41" s="96" t="inlineStr">
        <is>
          <t>CNT STAR CO., LTD.</t>
        </is>
      </c>
      <c r="AB41" s="96" t="inlineStr">
        <is>
          <t>SAWATPAIBOON AGRICULTURE CO., LTD</t>
        </is>
      </c>
      <c r="AC41" s="163" t="n">
        <v>75000</v>
      </c>
      <c r="AD41" s="163" t="n">
        <v>87000</v>
      </c>
      <c r="AE41" s="96" t="inlineStr">
        <is>
          <t>OK</t>
        </is>
      </c>
      <c r="AF41" s="96" t="n"/>
      <c r="AG41" s="97" t="n"/>
      <c r="AH41" s="96" t="inlineStr">
        <is>
          <t>CHK</t>
        </is>
      </c>
      <c r="AI41" s="97" t="inlineStr">
        <is>
          <t>OK</t>
        </is>
      </c>
      <c r="AJ41" s="97" t="n"/>
      <c r="AK41" s="97" t="n"/>
      <c r="AL41" s="97" t="n"/>
      <c r="AM41" s="96" t="inlineStr">
        <is>
          <t>TBKK19</t>
        </is>
      </c>
      <c r="AN41" s="96" t="inlineStr">
        <is>
          <t>Kanokporn</t>
        </is>
      </c>
      <c r="AO41" s="96" t="inlineStr">
        <is>
          <t>TAPIOCA HARD PELLETS IN BULK</t>
        </is>
      </c>
      <c r="AP41" s="96" t="inlineStr">
        <is>
          <t>Normal</t>
        </is>
      </c>
      <c r="AQ41" s="97" t="n"/>
      <c r="AR41" s="97" t="n"/>
      <c r="AS41" s="97" t="n"/>
      <c r="AT41" s="97" t="n"/>
      <c r="AU41" s="97" t="n"/>
      <c r="AV41" s="97" t="n"/>
      <c r="AW41" s="97" t="n">
        <v>0</v>
      </c>
      <c r="AX41" s="96" t="inlineStr">
        <is>
          <t>N</t>
        </is>
      </c>
      <c r="AY41" s="97" t="inlineStr">
        <is>
          <t>OBL</t>
        </is>
      </c>
      <c r="AZ41" s="96" t="inlineStr">
        <is>
          <t>CY-RTN : 10-11/10/2026</t>
        </is>
      </c>
      <c r="BA41" s="97" t="inlineStr">
        <is>
          <t xml:space="preserve">SI 02/10 </t>
        </is>
      </c>
      <c r="BB41" s="96" t="inlineStr">
        <is>
          <t>P</t>
        </is>
      </c>
      <c r="BC41" s="161" t="inlineStr">
        <is>
          <t>2026-09-17</t>
        </is>
      </c>
      <c r="BD41" s="161" t="inlineStr">
        <is>
          <t>2026-10-09</t>
        </is>
      </c>
      <c r="BE41" s="96" t="inlineStr">
        <is>
          <t>Y</t>
        </is>
      </c>
      <c r="BF41" s="96" t="inlineStr">
        <is>
          <t>TAPIOCA HARD PELLET</t>
        </is>
      </c>
      <c r="BG41" s="96" t="inlineStr">
        <is>
          <t>Line</t>
        </is>
      </c>
      <c r="BH41" s="96" t="inlineStr">
        <is>
          <t>S22</t>
        </is>
      </c>
      <c r="BI41" s="97" t="n"/>
      <c r="BJ41" s="97" t="n"/>
      <c r="BK41" s="96" t="inlineStr">
        <is>
          <t>BKK27</t>
        </is>
      </c>
      <c r="BL41" s="161" t="inlineStr">
        <is>
          <t>2026-10-10</t>
        </is>
      </c>
      <c r="BM41" s="127" t="n"/>
      <c r="BN41" s="127" t="n"/>
      <c r="BO41" s="127" t="n"/>
      <c r="BP41" s="127" t="n">
        <v>3</v>
      </c>
      <c r="BQ41" s="127" t="n"/>
      <c r="BR41" s="127" t="n"/>
      <c r="BS41" s="127" t="n"/>
      <c r="BT41" s="127" t="n"/>
      <c r="BU41" s="127" t="n"/>
      <c r="BV41" s="127" t="n"/>
      <c r="BW41" s="127" t="n"/>
      <c r="BX41" s="127" t="n"/>
      <c r="BY41" s="96" t="inlineStr">
        <is>
          <t>FULL</t>
        </is>
      </c>
      <c r="BZ41" s="97" t="n"/>
      <c r="CA41" s="96" t="inlineStr">
        <is>
          <t>Y</t>
        </is>
      </c>
      <c r="CB41" s="97" t="n"/>
      <c r="CC41" s="96" t="inlineStr">
        <is>
          <t>BKK01</t>
        </is>
      </c>
      <c r="CD41" s="97" t="n"/>
      <c r="CE41" s="97" t="n"/>
      <c r="CF41" s="96" t="inlineStr">
        <is>
          <t>0 Teu</t>
        </is>
      </c>
      <c r="CG41" s="96" t="inlineStr">
        <is>
          <t>CY/CY</t>
        </is>
      </c>
      <c r="CH41" s="97" t="n"/>
      <c r="CI41" s="96" t="inlineStr">
        <is>
          <t>cnt@cntsco.com</t>
        </is>
      </c>
      <c r="CJ41" s="96" t="inlineStr">
        <is>
          <t>SAWATPAIBOON AGRICULTURE CO.,LTD.</t>
        </is>
      </c>
      <c r="CK41" s="96" t="inlineStr">
        <is>
          <t>TO THE ORDER OF KEB HANA BANK</t>
        </is>
      </c>
      <c r="CL41" s="96" t="inlineStr">
        <is>
          <t>WOORIWA CO.,LTD</t>
        </is>
      </c>
      <c r="CM41" s="97" t="inlineStr">
        <is>
          <t>CLOSED</t>
        </is>
      </c>
      <c r="CN41" s="96" t="inlineStr">
        <is>
          <t>202610121200</t>
        </is>
      </c>
      <c r="CO41" s="96" t="inlineStr">
        <is>
          <t>202610131200</t>
        </is>
      </c>
      <c r="CP41" s="97" t="n"/>
      <c r="CQ41" s="96" t="inlineStr">
        <is>
          <t>S19-2111010</t>
        </is>
      </c>
      <c r="CR41" s="96" t="inlineStr">
        <is>
          <t>THTOV2</t>
        </is>
      </c>
      <c r="CS41" s="96" t="inlineStr">
        <is>
          <t>CNT STAR CO., LTD.</t>
        </is>
      </c>
      <c r="CT41" s="96" t="inlineStr">
        <is>
          <t>N</t>
        </is>
      </c>
      <c r="CU41" s="97" t="n"/>
      <c r="CV41" s="97" t="n"/>
      <c r="CW41" s="161" t="inlineStr">
        <is>
          <t>2026-10-15</t>
        </is>
      </c>
      <c r="CX41" s="97" t="n"/>
      <c r="CY41" s="183" t="n"/>
    </row>
    <row r="42" ht="12" customHeight="1">
      <c r="A42" s="116" t="inlineStr">
        <is>
          <t>HASLS22260902791</t>
        </is>
      </c>
      <c r="B42" s="96" t="inlineStr">
        <is>
          <t>R40Hx7</t>
        </is>
      </c>
      <c r="C42" s="97" t="n">
        <v>7</v>
      </c>
      <c r="D42" s="97" t="n">
        <v>7</v>
      </c>
      <c r="E42" s="97" t="n"/>
      <c r="F42" s="97" t="n">
        <v>0</v>
      </c>
      <c r="G42" s="97" t="n">
        <v>0</v>
      </c>
      <c r="H42" s="97" t="n">
        <v>0</v>
      </c>
      <c r="I42" s="97" t="n">
        <v>7</v>
      </c>
      <c r="J42" s="97" t="n">
        <v>14</v>
      </c>
      <c r="K42" s="96" t="inlineStr">
        <is>
          <t>N</t>
        </is>
      </c>
      <c r="L42" s="96" t="inlineStr">
        <is>
          <t>KHS1</t>
        </is>
      </c>
      <c r="M42" s="96" t="inlineStr">
        <is>
          <t>SWIC</t>
        </is>
      </c>
      <c r="N42" s="96" t="inlineStr">
        <is>
          <t>2611N</t>
        </is>
      </c>
      <c r="O42" s="96" t="inlineStr">
        <is>
          <t>THBKK</t>
        </is>
      </c>
      <c r="P42" s="96" t="inlineStr">
        <is>
          <t>BKK01</t>
        </is>
      </c>
      <c r="Q42" s="96" t="inlineStr">
        <is>
          <t>IA</t>
        </is>
      </c>
      <c r="R42" s="161" t="inlineStr">
        <is>
          <t>2026-10-16</t>
        </is>
      </c>
      <c r="S42" s="96" t="inlineStr">
        <is>
          <t>RUVVO</t>
        </is>
      </c>
      <c r="T42" s="96" t="inlineStr">
        <is>
          <t>VVO01</t>
        </is>
      </c>
      <c r="U42" s="96" t="inlineStr">
        <is>
          <t>RUVVO</t>
        </is>
      </c>
      <c r="V42" s="161" t="inlineStr">
        <is>
          <t>2026-10-27</t>
        </is>
      </c>
      <c r="W42" s="96" t="inlineStr">
        <is>
          <t>RU</t>
        </is>
      </c>
      <c r="X42" s="97" t="n"/>
      <c r="Y42" s="97" t="inlineStr">
        <is>
          <t>PUS05</t>
        </is>
      </c>
      <c r="Z42" s="97" t="inlineStr">
        <is>
          <t>KRPUS</t>
        </is>
      </c>
      <c r="AA42" s="96" t="inlineStr">
        <is>
          <t>VENTE TRADE CO.,LTD.</t>
        </is>
      </c>
      <c r="AB42" s="96" t="inlineStr">
        <is>
          <t>VENTE TRADE CO.,LTD.</t>
        </is>
      </c>
      <c r="AC42" s="163" t="n">
        <v>174997.2</v>
      </c>
      <c r="AD42" s="163" t="n">
        <v>202997.2</v>
      </c>
      <c r="AE42" s="96" t="inlineStr">
        <is>
          <t>OK</t>
        </is>
      </c>
      <c r="AF42" s="96" t="n"/>
      <c r="AG42" s="97" t="n"/>
      <c r="AH42" s="96" t="inlineStr">
        <is>
          <t>CHK</t>
        </is>
      </c>
      <c r="AI42" s="97" t="n"/>
      <c r="AJ42" s="97" t="n"/>
      <c r="AK42" s="97" t="n"/>
      <c r="AL42" s="97" t="n"/>
      <c r="AM42" s="96" t="inlineStr">
        <is>
          <t>RUVO17</t>
        </is>
      </c>
      <c r="AN42" s="96" t="inlineStr">
        <is>
          <t>Insuk Heo</t>
        </is>
      </c>
      <c r="AO42" s="96" t="inlineStr">
        <is>
          <t>CANNED PINEAPPLE SLICES IN LIGHT SYRUP</t>
        </is>
      </c>
      <c r="AP42" s="96" t="inlineStr">
        <is>
          <t>Normal</t>
        </is>
      </c>
      <c r="AQ42" s="97" t="n"/>
      <c r="AR42" s="97" t="n"/>
      <c r="AS42" s="97" t="inlineStr">
        <is>
          <t>RF// MIN:+18.0 MAX:+18.0 [COVER:CLOSE]</t>
        </is>
      </c>
      <c r="AT42" s="97" t="inlineStr">
        <is>
          <t xml:space="preserve">45REx7 </t>
        </is>
      </c>
      <c r="AU42" s="97" t="n"/>
      <c r="AV42" s="97" t="n"/>
      <c r="AW42" s="97" t="n">
        <v>0</v>
      </c>
      <c r="AX42" s="96" t="inlineStr">
        <is>
          <t>N</t>
        </is>
      </c>
      <c r="AY42" s="97" t="n"/>
      <c r="AZ42" s="96" t="inlineStr">
        <is>
          <t>[FIX][FIX]CY-RTN : 09-11/10/2026 (TEMP : +18'C / VENT CLOSE)
CLS TIME DD.13/10/2026 @ 18.00 *1ST RETURN CNTR DD.12/10/2026*</t>
        </is>
      </c>
      <c r="BA42" s="97" t="inlineStr">
        <is>
          <t>SI DD.14/10/26</t>
        </is>
      </c>
      <c r="BB42" s="96" t="inlineStr">
        <is>
          <t>C</t>
        </is>
      </c>
      <c r="BC42" s="161" t="inlineStr">
        <is>
          <t>2026-09-30</t>
        </is>
      </c>
      <c r="BD42" s="161" t="inlineStr">
        <is>
          <t>2026-10-14</t>
        </is>
      </c>
      <c r="BE42" s="96" t="inlineStr">
        <is>
          <t>Y</t>
        </is>
      </c>
      <c r="BF42" s="96" t="inlineStr">
        <is>
          <t>CANNED PINEAPPLES</t>
        </is>
      </c>
      <c r="BG42" s="96" t="inlineStr">
        <is>
          <t>Line</t>
        </is>
      </c>
      <c r="BH42" s="96" t="inlineStr">
        <is>
          <t>S22</t>
        </is>
      </c>
      <c r="BI42" s="97" t="n"/>
      <c r="BJ42" s="97" t="n"/>
      <c r="BK42" s="96" t="inlineStr">
        <is>
          <t>BKK27</t>
        </is>
      </c>
      <c r="BL42" s="161" t="inlineStr">
        <is>
          <t>2026-10-09</t>
        </is>
      </c>
      <c r="BM42" s="127" t="n"/>
      <c r="BN42" s="127" t="n"/>
      <c r="BO42" s="127" t="n"/>
      <c r="BP42" s="127" t="n"/>
      <c r="BQ42" s="127" t="n"/>
      <c r="BR42" s="127" t="n">
        <v>7</v>
      </c>
      <c r="BS42" s="127" t="n"/>
      <c r="BT42" s="127" t="n"/>
      <c r="BU42" s="127" t="n"/>
      <c r="BV42" s="127" t="n"/>
      <c r="BW42" s="127" t="n"/>
      <c r="BX42" s="127" t="n"/>
      <c r="BY42" s="96" t="inlineStr">
        <is>
          <t>FULL</t>
        </is>
      </c>
      <c r="BZ42" s="97" t="n">
        <v>0</v>
      </c>
      <c r="CA42" s="96" t="n"/>
      <c r="CB42" s="97" t="n"/>
      <c r="CC42" s="96" t="inlineStr">
        <is>
          <t>BKK01</t>
        </is>
      </c>
      <c r="CD42" s="97" t="n"/>
      <c r="CE42" s="97" t="n"/>
      <c r="CF42" s="96" t="inlineStr">
        <is>
          <t>0 Teu</t>
        </is>
      </c>
      <c r="CG42" s="96" t="inlineStr">
        <is>
          <t>CY/CY</t>
        </is>
      </c>
      <c r="CH42" s="97" t="inlineStr">
        <is>
          <t>POL: THBKK [SWIC/2611N]; T/S(1st): KRPUS [SDTR/2630N]; POD: RUVVO [/]</t>
        </is>
      </c>
      <c r="CI42" s="96" t="inlineStr">
        <is>
          <t>document1@vente.co.th</t>
        </is>
      </c>
      <c r="CJ42" s="96" t="inlineStr">
        <is>
          <t>VENTE TRADE CO.,LTD.</t>
        </is>
      </c>
      <c r="CK42" s="96" t="inlineStr">
        <is>
          <t>RVI (RUSSIAN VENTURE INVESTMENTS)</t>
        </is>
      </c>
      <c r="CL42" s="96" t="inlineStr">
        <is>
          <t>RVI (RUSSIAN VENTURE INVESTMENTS)</t>
        </is>
      </c>
      <c r="CM42" s="97" t="n"/>
      <c r="CN42" s="96" t="inlineStr">
        <is>
          <t>202610121200</t>
        </is>
      </c>
      <c r="CO42" s="96" t="inlineStr">
        <is>
          <t>202610131200</t>
        </is>
      </c>
      <c r="CP42" s="97" t="inlineStr">
        <is>
          <t>45RE x7: RF(Temp:+18.0' / Cover:CLOSE)</t>
        </is>
      </c>
      <c r="CQ42" s="96" t="inlineStr">
        <is>
          <t>R01-2604022</t>
        </is>
      </c>
      <c r="CR42" s="96" t="inlineStr">
        <is>
          <t>THTI5U</t>
        </is>
      </c>
      <c r="CS42" s="96" t="inlineStr">
        <is>
          <t>VENTE TRADE CO.,LTD.</t>
        </is>
      </c>
      <c r="CT42" s="96" t="inlineStr">
        <is>
          <t>N</t>
        </is>
      </c>
      <c r="CU42" s="97" t="n"/>
      <c r="CV42" s="97" t="n"/>
      <c r="CW42" s="161" t="inlineStr">
        <is>
          <t>2026-10-15</t>
        </is>
      </c>
      <c r="CX42" s="97" t="inlineStr">
        <is>
          <t>200820</t>
        </is>
      </c>
      <c r="CY42" s="183" t="n"/>
    </row>
    <row r="43" ht="12" customHeight="1">
      <c r="A43" s="116" t="inlineStr">
        <is>
          <t>HASLS22260901896</t>
        </is>
      </c>
      <c r="B43" s="96" t="inlineStr">
        <is>
          <t>20'x1</t>
        </is>
      </c>
      <c r="C43" s="97" t="n">
        <v>1</v>
      </c>
      <c r="D43" s="97" t="n">
        <v>1</v>
      </c>
      <c r="E43" s="97" t="n"/>
      <c r="F43" s="97" t="n">
        <v>0</v>
      </c>
      <c r="G43" s="97" t="n">
        <v>1</v>
      </c>
      <c r="H43" s="97" t="n">
        <v>0</v>
      </c>
      <c r="I43" s="97" t="n">
        <v>0</v>
      </c>
      <c r="J43" s="97" t="n">
        <v>1</v>
      </c>
      <c r="K43" s="96" t="inlineStr">
        <is>
          <t>N</t>
        </is>
      </c>
      <c r="L43" s="96" t="inlineStr">
        <is>
          <t>KHS1</t>
        </is>
      </c>
      <c r="M43" s="96" t="inlineStr">
        <is>
          <t>SWIC</t>
        </is>
      </c>
      <c r="N43" s="96" t="inlineStr">
        <is>
          <t>2611N</t>
        </is>
      </c>
      <c r="O43" s="96" t="inlineStr">
        <is>
          <t>THBKK</t>
        </is>
      </c>
      <c r="P43" s="96" t="inlineStr">
        <is>
          <t>BKK01</t>
        </is>
      </c>
      <c r="Q43" s="96" t="inlineStr">
        <is>
          <t>IA</t>
        </is>
      </c>
      <c r="R43" s="161" t="inlineStr">
        <is>
          <t>2026-10-16</t>
        </is>
      </c>
      <c r="S43" s="96" t="inlineStr">
        <is>
          <t>JPKIJ</t>
        </is>
      </c>
      <c r="T43" s="96" t="inlineStr">
        <is>
          <t>KIJ01</t>
        </is>
      </c>
      <c r="U43" s="96" t="inlineStr">
        <is>
          <t>JPKIJ</t>
        </is>
      </c>
      <c r="V43" s="161" t="inlineStr">
        <is>
          <t>2026-11-02</t>
        </is>
      </c>
      <c r="W43" s="96" t="inlineStr">
        <is>
          <t>JP</t>
        </is>
      </c>
      <c r="X43" s="97" t="n"/>
      <c r="Y43" s="97" t="inlineStr">
        <is>
          <t>PUS05</t>
        </is>
      </c>
      <c r="Z43" s="97" t="inlineStr">
        <is>
          <t>KRPUS</t>
        </is>
      </c>
      <c r="AA43" s="96" t="inlineStr">
        <is>
          <t>GENERAL FOOD PRODUCTS CO., LTD.</t>
        </is>
      </c>
      <c r="AB43" s="96" t="inlineStr">
        <is>
          <t>GFM CO., LTD.</t>
        </is>
      </c>
      <c r="AC43" s="163" t="n">
        <v>17176</v>
      </c>
      <c r="AD43" s="163" t="n">
        <v>19376</v>
      </c>
      <c r="AE43" s="96" t="inlineStr">
        <is>
          <t>OK</t>
        </is>
      </c>
      <c r="AF43" s="96" t="n"/>
      <c r="AG43" s="97" t="n"/>
      <c r="AH43" s="96" t="inlineStr">
        <is>
          <t>CHK</t>
        </is>
      </c>
      <c r="AI43" s="97" t="inlineStr">
        <is>
          <t>OK</t>
        </is>
      </c>
      <c r="AJ43" s="97" t="n"/>
      <c r="AK43" s="97" t="n"/>
      <c r="AL43" s="97" t="n"/>
      <c r="AM43" s="96" t="inlineStr">
        <is>
          <t>TBKK55</t>
        </is>
      </c>
      <c r="AN43" s="96" t="inlineStr">
        <is>
          <t>Vilaiporn</t>
        </is>
      </c>
      <c r="AO43" s="96" t="inlineStr">
        <is>
          <t>MODIFIED TAPIOCA STARCH</t>
        </is>
      </c>
      <c r="AP43" s="96" t="inlineStr">
        <is>
          <t>T/S</t>
        </is>
      </c>
      <c r="AQ43" s="97" t="n"/>
      <c r="AR43" s="97" t="n"/>
      <c r="AS43" s="97" t="n"/>
      <c r="AT43" s="97" t="n"/>
      <c r="AU43" s="97" t="n"/>
      <c r="AV43" s="97" t="n"/>
      <c r="AW43" s="97" t="n">
        <v>0</v>
      </c>
      <c r="AX43" s="96" t="inlineStr">
        <is>
          <t>N</t>
        </is>
      </c>
      <c r="AY43" s="97" t="inlineStr">
        <is>
          <t>OBL</t>
        </is>
      </c>
      <c r="AZ43" s="96" t="inlineStr">
        <is>
          <t>Pickup : 2026-10-10, Return : 2026-10-13</t>
        </is>
      </c>
      <c r="BA43" s="97" t="inlineStr">
        <is>
          <t>FM DJCF 0152N DD.30/09</t>
        </is>
      </c>
      <c r="BB43" s="96" t="inlineStr">
        <is>
          <t>P</t>
        </is>
      </c>
      <c r="BC43" s="161" t="inlineStr">
        <is>
          <t>2026-09-21</t>
        </is>
      </c>
      <c r="BD43" s="161" t="inlineStr">
        <is>
          <t>2026-10-12</t>
        </is>
      </c>
      <c r="BE43" s="96" t="inlineStr">
        <is>
          <t>Y</t>
        </is>
      </c>
      <c r="BF43" s="96" t="inlineStr">
        <is>
          <t>FLOURS</t>
        </is>
      </c>
      <c r="BG43" s="96" t="inlineStr">
        <is>
          <t>Line</t>
        </is>
      </c>
      <c r="BH43" s="96" t="inlineStr">
        <is>
          <t>S22</t>
        </is>
      </c>
      <c r="BI43" s="97" t="n"/>
      <c r="BJ43" s="97" t="n"/>
      <c r="BK43" s="96" t="inlineStr">
        <is>
          <t>BKK25</t>
        </is>
      </c>
      <c r="BL43" s="161" t="inlineStr">
        <is>
          <t>2026-10-10</t>
        </is>
      </c>
      <c r="BM43" s="127" t="n"/>
      <c r="BN43" s="127" t="n">
        <v>1</v>
      </c>
      <c r="BO43" s="127" t="n"/>
      <c r="BP43" s="127" t="n"/>
      <c r="BQ43" s="127" t="n"/>
      <c r="BR43" s="127" t="n"/>
      <c r="BS43" s="127" t="n"/>
      <c r="BT43" s="127" t="n"/>
      <c r="BU43" s="127" t="n"/>
      <c r="BV43" s="127" t="n"/>
      <c r="BW43" s="127" t="n"/>
      <c r="BX43" s="127" t="n"/>
      <c r="BY43" s="96" t="inlineStr">
        <is>
          <t>FULL</t>
        </is>
      </c>
      <c r="BZ43" s="97" t="n">
        <v>5</v>
      </c>
      <c r="CA43" s="96" t="inlineStr">
        <is>
          <t>Y</t>
        </is>
      </c>
      <c r="CB43" s="97" t="n"/>
      <c r="CC43" s="96" t="inlineStr">
        <is>
          <t>BKK01</t>
        </is>
      </c>
      <c r="CD43" s="97" t="n"/>
      <c r="CE43" s="97" t="n"/>
      <c r="CF43" s="96" t="inlineStr">
        <is>
          <t>0 Teu</t>
        </is>
      </c>
      <c r="CG43" s="96" t="inlineStr">
        <is>
          <t>CY/CY</t>
        </is>
      </c>
      <c r="CH43" s="97" t="inlineStr">
        <is>
          <t>POL: THBKK [SWIC/2611N]; T/S(1st): KRPUS [PSUN/2617E]; POD: JPKIJ [/]</t>
        </is>
      </c>
      <c r="CI43" s="96" t="inlineStr">
        <is>
          <t>banyong@generalfood.co.th;usana@generalfood.co.th;export@generalfood.co.th</t>
        </is>
      </c>
      <c r="CJ43" s="96" t="inlineStr">
        <is>
          <t>GFM CO., LTD.</t>
        </is>
      </c>
      <c r="CK43" s="96" t="inlineStr">
        <is>
          <t>GFM JAPAN CO., LTD.</t>
        </is>
      </c>
      <c r="CL43" s="96" t="inlineStr">
        <is>
          <t>GFM JAPAN CO., LTD.</t>
        </is>
      </c>
      <c r="CM43" s="97" t="inlineStr">
        <is>
          <t>CLOSED</t>
        </is>
      </c>
      <c r="CN43" s="96" t="inlineStr">
        <is>
          <t>202610121200</t>
        </is>
      </c>
      <c r="CO43" s="96" t="inlineStr">
        <is>
          <t>202610131200</t>
        </is>
      </c>
      <c r="CP43" s="97" t="n"/>
      <c r="CQ43" s="96" t="inlineStr">
        <is>
          <t>S19-2512001</t>
        </is>
      </c>
      <c r="CR43" s="96" t="inlineStr">
        <is>
          <t>X0827</t>
        </is>
      </c>
      <c r="CS43" s="96" t="inlineStr">
        <is>
          <t>GENERAL FOOD PRODUCTS CO., LTD.</t>
        </is>
      </c>
      <c r="CT43" s="96" t="inlineStr">
        <is>
          <t>N</t>
        </is>
      </c>
      <c r="CU43" s="97" t="n"/>
      <c r="CV43" s="97" t="n"/>
      <c r="CW43" s="161" t="inlineStr">
        <is>
          <t>2026-10-15</t>
        </is>
      </c>
      <c r="CX43" s="97" t="inlineStr">
        <is>
          <t>350510</t>
        </is>
      </c>
      <c r="CY43" s="183" t="n"/>
    </row>
    <row r="44" ht="12" customHeight="1">
      <c r="A44" s="116" t="inlineStr">
        <is>
          <t>HASLS22260902368</t>
        </is>
      </c>
      <c r="B44" s="96" t="inlineStr">
        <is>
          <t>R40Hx1</t>
        </is>
      </c>
      <c r="C44" s="97" t="n">
        <v>1</v>
      </c>
      <c r="D44" s="97" t="n">
        <v>1</v>
      </c>
      <c r="E44" s="97" t="n"/>
      <c r="F44" s="97" t="n">
        <v>0</v>
      </c>
      <c r="G44" s="97" t="n">
        <v>0</v>
      </c>
      <c r="H44" s="97" t="n">
        <v>0</v>
      </c>
      <c r="I44" s="97" t="n">
        <v>1</v>
      </c>
      <c r="J44" s="97" t="n">
        <v>2</v>
      </c>
      <c r="K44" s="96" t="inlineStr">
        <is>
          <t>N</t>
        </is>
      </c>
      <c r="L44" s="96" t="inlineStr">
        <is>
          <t>KHS1</t>
        </is>
      </c>
      <c r="M44" s="96" t="inlineStr">
        <is>
          <t>SWIC</t>
        </is>
      </c>
      <c r="N44" s="96" t="inlineStr">
        <is>
          <t>2611N</t>
        </is>
      </c>
      <c r="O44" s="96" t="inlineStr">
        <is>
          <t>THBKK</t>
        </is>
      </c>
      <c r="P44" s="96" t="inlineStr">
        <is>
          <t>BKK01</t>
        </is>
      </c>
      <c r="Q44" s="96" t="inlineStr">
        <is>
          <t>IA</t>
        </is>
      </c>
      <c r="R44" s="161" t="inlineStr">
        <is>
          <t>2026-10-16</t>
        </is>
      </c>
      <c r="S44" s="96" t="inlineStr">
        <is>
          <t>RUVVO</t>
        </is>
      </c>
      <c r="T44" s="96" t="inlineStr">
        <is>
          <t>VVO01</t>
        </is>
      </c>
      <c r="U44" s="96" t="inlineStr">
        <is>
          <t>RUVVO</t>
        </is>
      </c>
      <c r="V44" s="161" t="inlineStr">
        <is>
          <t>2026-10-27</t>
        </is>
      </c>
      <c r="W44" s="96" t="inlineStr">
        <is>
          <t>RU</t>
        </is>
      </c>
      <c r="X44" s="97" t="n"/>
      <c r="Y44" s="97" t="inlineStr">
        <is>
          <t>PUS05</t>
        </is>
      </c>
      <c r="Z44" s="97" t="inlineStr">
        <is>
          <t>KRPUS</t>
        </is>
      </c>
      <c r="AA44" s="96" t="inlineStr">
        <is>
          <t>THAI AGRI FOODS PUBLIC COMPANY LIMITED</t>
        </is>
      </c>
      <c r="AB44" s="96" t="inlineStr">
        <is>
          <t>THAI AGRI FOODS PUBLIC COMPANY LIMITED</t>
        </is>
      </c>
      <c r="AC44" s="163" t="n">
        <v>26214.5</v>
      </c>
      <c r="AD44" s="163" t="n">
        <v>30214.5</v>
      </c>
      <c r="AE44" s="96" t="inlineStr">
        <is>
          <t>OK</t>
        </is>
      </c>
      <c r="AF44" s="96" t="n"/>
      <c r="AG44" s="97" t="n"/>
      <c r="AH44" s="96" t="inlineStr">
        <is>
          <t>CHK</t>
        </is>
      </c>
      <c r="AI44" s="97" t="inlineStr">
        <is>
          <t>OK</t>
        </is>
      </c>
      <c r="AJ44" s="97" t="n"/>
      <c r="AK44" s="97" t="n"/>
      <c r="AL44" s="97" t="n"/>
      <c r="AM44" s="96" t="inlineStr">
        <is>
          <t>RUVO17</t>
        </is>
      </c>
      <c r="AN44" s="96" t="inlineStr">
        <is>
          <t>Insuk Heo</t>
        </is>
      </c>
      <c r="AO44" s="96" t="inlineStr">
        <is>
          <t>SRIRACHA HOT CHILLI SAUCE</t>
        </is>
      </c>
      <c r="AP44" s="96" t="inlineStr">
        <is>
          <t>T/S</t>
        </is>
      </c>
      <c r="AQ44" s="97" t="n"/>
      <c r="AR44" s="97" t="n"/>
      <c r="AS44" s="97" t="inlineStr">
        <is>
          <t>RF// MIN:+10.0 MAX:+10.0 [COVER:CLOSE]</t>
        </is>
      </c>
      <c r="AT44" s="97" t="inlineStr">
        <is>
          <t xml:space="preserve">45REx1 </t>
        </is>
      </c>
      <c r="AU44" s="97" t="n"/>
      <c r="AV44" s="97" t="n"/>
      <c r="AW44" s="97" t="n">
        <v>0</v>
      </c>
      <c r="AX44" s="96" t="inlineStr">
        <is>
          <t>N</t>
        </is>
      </c>
      <c r="AY44" s="97" t="inlineStr">
        <is>
          <t>OBL</t>
        </is>
      </c>
      <c r="AZ44" s="96" t="inlineStr">
        <is>
          <t>[FIX][FIX]Pickup : 2026-10-10, Return : 2026-10-12 (Temp +10.0 / Vent Close) 
CLS TIME 13/10/26 @23.59</t>
        </is>
      </c>
      <c r="BA44" s="97" t="inlineStr">
        <is>
          <t>SI DD.12/10/26</t>
        </is>
      </c>
      <c r="BB44" s="96" t="inlineStr">
        <is>
          <t>C</t>
        </is>
      </c>
      <c r="BC44" s="161" t="inlineStr">
        <is>
          <t>2026-09-25</t>
        </is>
      </c>
      <c r="BD44" s="161" t="inlineStr">
        <is>
          <t>2026-10-12</t>
        </is>
      </c>
      <c r="BE44" s="96" t="inlineStr">
        <is>
          <t>Y</t>
        </is>
      </c>
      <c r="BF44" s="96" t="inlineStr">
        <is>
          <t xml:space="preserve">SRIRACHA HOT CHILLI SAUCE </t>
        </is>
      </c>
      <c r="BG44" s="96" t="inlineStr">
        <is>
          <t>Line</t>
        </is>
      </c>
      <c r="BH44" s="96" t="inlineStr">
        <is>
          <t>S22</t>
        </is>
      </c>
      <c r="BI44" s="97" t="n"/>
      <c r="BJ44" s="97" t="n"/>
      <c r="BK44" s="96" t="inlineStr">
        <is>
          <t>BKK27</t>
        </is>
      </c>
      <c r="BL44" s="161" t="inlineStr">
        <is>
          <t>2026-10-10</t>
        </is>
      </c>
      <c r="BM44" s="127" t="n"/>
      <c r="BN44" s="127" t="n"/>
      <c r="BO44" s="127" t="n"/>
      <c r="BP44" s="127" t="n"/>
      <c r="BQ44" s="127" t="n"/>
      <c r="BR44" s="127" t="n">
        <v>1</v>
      </c>
      <c r="BS44" s="127" t="n"/>
      <c r="BT44" s="127" t="n"/>
      <c r="BU44" s="127" t="n"/>
      <c r="BV44" s="127" t="n"/>
      <c r="BW44" s="127" t="n"/>
      <c r="BX44" s="127" t="n"/>
      <c r="BY44" s="96" t="inlineStr">
        <is>
          <t>FULL</t>
        </is>
      </c>
      <c r="BZ44" s="97" t="n">
        <v>0</v>
      </c>
      <c r="CA44" s="96" t="inlineStr">
        <is>
          <t>Y</t>
        </is>
      </c>
      <c r="CB44" s="97" t="n"/>
      <c r="CC44" s="96" t="inlineStr">
        <is>
          <t>BKK01</t>
        </is>
      </c>
      <c r="CD44" s="97" t="n"/>
      <c r="CE44" s="97" t="n"/>
      <c r="CF44" s="96" t="inlineStr">
        <is>
          <t>0 Teu</t>
        </is>
      </c>
      <c r="CG44" s="96" t="inlineStr">
        <is>
          <t>CY/CY</t>
        </is>
      </c>
      <c r="CH44" s="97" t="inlineStr">
        <is>
          <t>POL: THBKK [SWIC/2611N]; T/S(1st): KRPUS [SDTR/2630N]; POD: RUVVO [/]</t>
        </is>
      </c>
      <c r="CI44" s="96" t="inlineStr">
        <is>
          <t>chalearmporn.pu@thaiagri.com</t>
        </is>
      </c>
      <c r="CJ44" s="96" t="inlineStr">
        <is>
          <t>THAI AGRI FOODS PUBLIC COMPANY</t>
        </is>
      </c>
      <c r="CK44" s="96" t="inlineStr">
        <is>
          <t>EXIM PACIFIC LLC. RUSSIA,</t>
        </is>
      </c>
      <c r="CL44" s="96" t="inlineStr">
        <is>
          <t>EXIM PACIFIC LLC. RUSSIA,</t>
        </is>
      </c>
      <c r="CM44" s="97" t="inlineStr">
        <is>
          <t>CLOSED</t>
        </is>
      </c>
      <c r="CN44" s="96" t="inlineStr">
        <is>
          <t>202610121200</t>
        </is>
      </c>
      <c r="CO44" s="96" t="inlineStr">
        <is>
          <t>202610131200</t>
        </is>
      </c>
      <c r="CP44" s="97" t="inlineStr">
        <is>
          <t>45RE x1: RF(Temp:+10.0' / Cover:CLOSE)</t>
        </is>
      </c>
      <c r="CQ44" s="96" t="inlineStr">
        <is>
          <t>R01-2604022</t>
        </is>
      </c>
      <c r="CR44" s="96" t="inlineStr">
        <is>
          <t>THTLH8</t>
        </is>
      </c>
      <c r="CS44" s="96" t="inlineStr">
        <is>
          <t>THAI AGRI FOODS PUBLIC COMPANY LIMITED</t>
        </is>
      </c>
      <c r="CT44" s="96" t="inlineStr">
        <is>
          <t>N</t>
        </is>
      </c>
      <c r="CU44" s="97" t="n"/>
      <c r="CV44" s="97" t="n"/>
      <c r="CW44" s="161" t="inlineStr">
        <is>
          <t>2026-10-15</t>
        </is>
      </c>
      <c r="CX44" s="97" t="inlineStr">
        <is>
          <t>210390</t>
        </is>
      </c>
      <c r="CY44" s="183" t="n"/>
    </row>
    <row r="45" ht="12" customHeight="1">
      <c r="A45" s="116" t="inlineStr">
        <is>
          <t>HASLS22260902209</t>
        </is>
      </c>
      <c r="B45" s="96" t="inlineStr">
        <is>
          <t>20'x1</t>
        </is>
      </c>
      <c r="C45" s="97" t="n">
        <v>1</v>
      </c>
      <c r="D45" s="97" t="n">
        <v>1</v>
      </c>
      <c r="E45" s="97" t="n"/>
      <c r="F45" s="97" t="n">
        <v>0</v>
      </c>
      <c r="G45" s="97" t="n">
        <v>1</v>
      </c>
      <c r="H45" s="97" t="n">
        <v>0</v>
      </c>
      <c r="I45" s="97" t="n">
        <v>0</v>
      </c>
      <c r="J45" s="97" t="n">
        <v>1</v>
      </c>
      <c r="K45" s="96" t="inlineStr">
        <is>
          <t>N</t>
        </is>
      </c>
      <c r="L45" s="96" t="inlineStr">
        <is>
          <t>KHS1</t>
        </is>
      </c>
      <c r="M45" s="96" t="inlineStr">
        <is>
          <t>SWIC</t>
        </is>
      </c>
      <c r="N45" s="96" t="inlineStr">
        <is>
          <t>2611N</t>
        </is>
      </c>
      <c r="O45" s="96" t="inlineStr">
        <is>
          <t>THBKK</t>
        </is>
      </c>
      <c r="P45" s="96" t="inlineStr">
        <is>
          <t>BKK01</t>
        </is>
      </c>
      <c r="Q45" s="96" t="inlineStr">
        <is>
          <t>IA</t>
        </is>
      </c>
      <c r="R45" s="161" t="inlineStr">
        <is>
          <t>2026-10-16</t>
        </is>
      </c>
      <c r="S45" s="96" t="inlineStr">
        <is>
          <t>KRPUS</t>
        </is>
      </c>
      <c r="T45" s="96" t="inlineStr">
        <is>
          <t>PUS05</t>
        </is>
      </c>
      <c r="U45" s="96" t="inlineStr">
        <is>
          <t>KRPUS</t>
        </is>
      </c>
      <c r="V45" s="161" t="inlineStr">
        <is>
          <t>2026-10-25</t>
        </is>
      </c>
      <c r="W45" s="96" t="inlineStr">
        <is>
          <t>KR</t>
        </is>
      </c>
      <c r="X45" s="97" t="n"/>
      <c r="Y45" s="97" t="n"/>
      <c r="Z45" s="97" t="n"/>
      <c r="AA45" s="96" t="inlineStr">
        <is>
          <t>SUNFLOWER AGRO CO LTD</t>
        </is>
      </c>
      <c r="AB45" s="96" t="inlineStr">
        <is>
          <t>PONGLARP CO.,LTD.</t>
        </is>
      </c>
      <c r="AC45" s="163" t="n">
        <v>22581</v>
      </c>
      <c r="AD45" s="163" t="n">
        <v>24781</v>
      </c>
      <c r="AE45" s="96" t="inlineStr">
        <is>
          <t>OK</t>
        </is>
      </c>
      <c r="AF45" s="96" t="n"/>
      <c r="AG45" s="97" t="n"/>
      <c r="AH45" s="96" t="inlineStr">
        <is>
          <t>CHK</t>
        </is>
      </c>
      <c r="AI45" s="97" t="inlineStr">
        <is>
          <t>OK</t>
        </is>
      </c>
      <c r="AJ45" s="97" t="n"/>
      <c r="AK45" s="97" t="n"/>
      <c r="AL45" s="97" t="n"/>
      <c r="AM45" s="96" t="inlineStr">
        <is>
          <t>TBKK97</t>
        </is>
      </c>
      <c r="AN45" s="96" t="inlineStr">
        <is>
          <t>Arunphat W. (Aiw)</t>
        </is>
      </c>
      <c r="AO45" s="96" t="inlineStr">
        <is>
          <t>THAI FRAGRANT RICE PATHUMTHANI</t>
        </is>
      </c>
      <c r="AP45" s="96" t="inlineStr">
        <is>
          <t>Normal</t>
        </is>
      </c>
      <c r="AQ45" s="97" t="n"/>
      <c r="AR45" s="97" t="n"/>
      <c r="AS45" s="97" t="n"/>
      <c r="AT45" s="97" t="n"/>
      <c r="AU45" s="97" t="n"/>
      <c r="AV45" s="97" t="n"/>
      <c r="AW45" s="97" t="n">
        <v>0</v>
      </c>
      <c r="AX45" s="96" t="inlineStr">
        <is>
          <t>N</t>
        </is>
      </c>
      <c r="AY45" s="97" t="inlineStr">
        <is>
          <t>OBL</t>
        </is>
      </c>
      <c r="AZ45" s="96" t="inlineStr">
        <is>
          <t>Pickup : 2026-10-01, Return : 2026-10-02</t>
        </is>
      </c>
      <c r="BA45" s="97" t="inlineStr">
        <is>
          <t>ROLL OVER FORM PREVIOUS VSL SWAT 2610N BY ALLOCATION TEAM MS.TARN APPROVED COST IS UNDER HA DD.8/10
SI DD.2/10/26
ACCPET TO ROLL</t>
        </is>
      </c>
      <c r="BB45" s="96" t="inlineStr">
        <is>
          <t>P</t>
        </is>
      </c>
      <c r="BC45" s="161" t="inlineStr">
        <is>
          <t>2026-09-23</t>
        </is>
      </c>
      <c r="BD45" s="161" t="inlineStr">
        <is>
          <t>2026-10-08</t>
        </is>
      </c>
      <c r="BE45" s="96" t="inlineStr">
        <is>
          <t>Y</t>
        </is>
      </c>
      <c r="BF45" s="96" t="inlineStr">
        <is>
          <t>THAI WHITE RICE</t>
        </is>
      </c>
      <c r="BG45" s="96" t="inlineStr">
        <is>
          <t>Line</t>
        </is>
      </c>
      <c r="BH45" s="96" t="inlineStr">
        <is>
          <t>S22</t>
        </is>
      </c>
      <c r="BI45" s="97" t="n"/>
      <c r="BJ45" s="97" t="n"/>
      <c r="BK45" s="96" t="inlineStr">
        <is>
          <t>BKK27</t>
        </is>
      </c>
      <c r="BL45" s="161" t="inlineStr">
        <is>
          <t>2026-10-01</t>
        </is>
      </c>
      <c r="BM45" s="127" t="n"/>
      <c r="BN45" s="127" t="n">
        <v>1</v>
      </c>
      <c r="BO45" s="127" t="n"/>
      <c r="BP45" s="127" t="n"/>
      <c r="BQ45" s="127" t="n"/>
      <c r="BR45" s="127" t="n"/>
      <c r="BS45" s="127" t="n"/>
      <c r="BT45" s="127" t="n"/>
      <c r="BU45" s="127" t="n"/>
      <c r="BV45" s="127" t="n"/>
      <c r="BW45" s="127" t="n"/>
      <c r="BX45" s="127" t="n"/>
      <c r="BY45" s="96" t="inlineStr">
        <is>
          <t>FULL</t>
        </is>
      </c>
      <c r="BZ45" s="97" t="n"/>
      <c r="CA45" s="96" t="inlineStr">
        <is>
          <t>Y</t>
        </is>
      </c>
      <c r="CB45" s="97" t="n"/>
      <c r="CC45" s="96" t="inlineStr">
        <is>
          <t>BKK01</t>
        </is>
      </c>
      <c r="CD45" s="97" t="n"/>
      <c r="CE45" s="97" t="n"/>
      <c r="CF45" s="96" t="inlineStr">
        <is>
          <t>0 Teu</t>
        </is>
      </c>
      <c r="CG45" s="96" t="inlineStr">
        <is>
          <t>CY/CY</t>
        </is>
      </c>
      <c r="CH45" s="97" t="n"/>
      <c r="CI45" s="96" t="inlineStr">
        <is>
          <t>shipping.sunfloweragro@outlook.com;food@sunfloweragro.com;sales@sunfloweragro.com</t>
        </is>
      </c>
      <c r="CJ45" s="96" t="inlineStr">
        <is>
          <t>SUNFLOWER AGRO CO LTD</t>
        </is>
      </c>
      <c r="CK45" s="96" t="inlineStr">
        <is>
          <t>KOSPA TRADING COMPANY</t>
        </is>
      </c>
      <c r="CL45" s="96" t="inlineStr">
        <is>
          <t>KOSPA TRADING COMPANY</t>
        </is>
      </c>
      <c r="CM45" s="97" t="inlineStr">
        <is>
          <t>CLOSED</t>
        </is>
      </c>
      <c r="CN45" s="96" t="inlineStr">
        <is>
          <t>202610121200</t>
        </is>
      </c>
      <c r="CO45" s="96" t="inlineStr">
        <is>
          <t>202610131200</t>
        </is>
      </c>
      <c r="CP45" s="97" t="n"/>
      <c r="CQ45" s="96" t="inlineStr">
        <is>
          <t>S22-2605026</t>
        </is>
      </c>
      <c r="CR45" s="96" t="inlineStr">
        <is>
          <t>THTTTR</t>
        </is>
      </c>
      <c r="CS45" s="96" t="inlineStr">
        <is>
          <t>SUNFLOWER AGRO CO LTD</t>
        </is>
      </c>
      <c r="CT45" s="96" t="inlineStr">
        <is>
          <t>N</t>
        </is>
      </c>
      <c r="CU45" s="97" t="n"/>
      <c r="CV45" s="97" t="n"/>
      <c r="CW45" s="161" t="inlineStr">
        <is>
          <t>2026-10-15</t>
        </is>
      </c>
      <c r="CX45" s="97" t="n"/>
      <c r="CY45" s="183" t="inlineStr">
        <is>
          <t>ROLL OVER FORM PREVIOUS VSL SWAT 2610N BY ALLOCATION TEAM MS.TARN APPROVED COST IS UNDER HA DD.8/10</t>
        </is>
      </c>
    </row>
    <row r="46" ht="12" customHeight="1">
      <c r="A46" s="116" t="inlineStr">
        <is>
          <t>HASLS22260900514</t>
        </is>
      </c>
      <c r="B46" s="96" t="inlineStr">
        <is>
          <t>20'x1</t>
        </is>
      </c>
      <c r="C46" s="97" t="n">
        <v>1</v>
      </c>
      <c r="D46" s="97" t="n">
        <v>1</v>
      </c>
      <c r="E46" s="97" t="n"/>
      <c r="F46" s="97" t="n">
        <v>0</v>
      </c>
      <c r="G46" s="97" t="n">
        <v>1</v>
      </c>
      <c r="H46" s="97" t="n">
        <v>0</v>
      </c>
      <c r="I46" s="97" t="n">
        <v>0</v>
      </c>
      <c r="J46" s="97" t="n">
        <v>1</v>
      </c>
      <c r="K46" s="96" t="inlineStr">
        <is>
          <t>N</t>
        </is>
      </c>
      <c r="L46" s="96" t="inlineStr">
        <is>
          <t>KHS1</t>
        </is>
      </c>
      <c r="M46" s="96" t="inlineStr">
        <is>
          <t>SWIC</t>
        </is>
      </c>
      <c r="N46" s="96" t="inlineStr">
        <is>
          <t>2611N</t>
        </is>
      </c>
      <c r="O46" s="96" t="inlineStr">
        <is>
          <t>THBKK</t>
        </is>
      </c>
      <c r="P46" s="96" t="inlineStr">
        <is>
          <t>BKK01</t>
        </is>
      </c>
      <c r="Q46" s="96" t="inlineStr">
        <is>
          <t>IA</t>
        </is>
      </c>
      <c r="R46" s="161" t="inlineStr">
        <is>
          <t>2026-10-16</t>
        </is>
      </c>
      <c r="S46" s="96" t="inlineStr">
        <is>
          <t>KRPUS</t>
        </is>
      </c>
      <c r="T46" s="96" t="inlineStr">
        <is>
          <t>PUS05</t>
        </is>
      </c>
      <c r="U46" s="96" t="inlineStr">
        <is>
          <t>KRPUS</t>
        </is>
      </c>
      <c r="V46" s="161" t="inlineStr">
        <is>
          <t>2026-10-25</t>
        </is>
      </c>
      <c r="W46" s="96" t="inlineStr">
        <is>
          <t>KR</t>
        </is>
      </c>
      <c r="X46" s="97" t="n"/>
      <c r="Y46" s="97" t="n"/>
      <c r="Z46" s="97" t="n"/>
      <c r="AA46" s="96" t="inlineStr">
        <is>
          <t>BANGKOK STARCH INDUSTRIAL CO., LTD.</t>
        </is>
      </c>
      <c r="AB46" s="96" t="inlineStr">
        <is>
          <t>BANGKOK STARCH INDUSTRIAL CO., LTD.</t>
        </is>
      </c>
      <c r="AC46" s="163" t="n">
        <v>9856</v>
      </c>
      <c r="AD46" s="163" t="n">
        <v>12056</v>
      </c>
      <c r="AE46" s="96" t="inlineStr">
        <is>
          <t>OK</t>
        </is>
      </c>
      <c r="AF46" s="96" t="n"/>
      <c r="AG46" s="97" t="n"/>
      <c r="AH46" s="96" t="inlineStr">
        <is>
          <t>CHK</t>
        </is>
      </c>
      <c r="AI46" s="97" t="inlineStr">
        <is>
          <t>OK</t>
        </is>
      </c>
      <c r="AJ46" s="97" t="n"/>
      <c r="AK46" s="97" t="n"/>
      <c r="AL46" s="97" t="n"/>
      <c r="AM46" s="96" t="inlineStr">
        <is>
          <t>TBKK55</t>
        </is>
      </c>
      <c r="AN46" s="96" t="inlineStr">
        <is>
          <t>Vilaiporn</t>
        </is>
      </c>
      <c r="AO46" s="96" t="inlineStr">
        <is>
          <t>PKRS-2   (FOOD   PREPARATION)</t>
        </is>
      </c>
      <c r="AP46" s="96" t="inlineStr">
        <is>
          <t>Normal</t>
        </is>
      </c>
      <c r="AQ46" s="97" t="n"/>
      <c r="AR46" s="97" t="n"/>
      <c r="AS46" s="97" t="n"/>
      <c r="AT46" s="97" t="n"/>
      <c r="AU46" s="97" t="n"/>
      <c r="AV46" s="97" t="n"/>
      <c r="AW46" s="97" t="n">
        <v>0</v>
      </c>
      <c r="AX46" s="96" t="inlineStr">
        <is>
          <t>N</t>
        </is>
      </c>
      <c r="AY46" s="97" t="inlineStr">
        <is>
          <t>OBL</t>
        </is>
      </c>
      <c r="AZ46" s="96" t="inlineStr">
        <is>
          <t>Pickup : 2026-10-10, Return : 2026-10-12</t>
        </is>
      </c>
      <c r="BA46" s="97" t="inlineStr">
        <is>
          <t>**CHANGED FM VSL."CMA 2615N" DUE TO DELAY BY K.NUI DD.16/9/26**</t>
        </is>
      </c>
      <c r="BB46" s="96" t="inlineStr">
        <is>
          <t>P</t>
        </is>
      </c>
      <c r="BC46" s="161" t="inlineStr">
        <is>
          <t>2026-09-07</t>
        </is>
      </c>
      <c r="BD46" s="161" t="inlineStr">
        <is>
          <t>2026-10-15</t>
        </is>
      </c>
      <c r="BE46" s="96" t="inlineStr">
        <is>
          <t>Y</t>
        </is>
      </c>
      <c r="BF46" s="96" t="inlineStr">
        <is>
          <t xml:space="preserve">STARCH </t>
        </is>
      </c>
      <c r="BG46" s="96" t="inlineStr">
        <is>
          <t>Line</t>
        </is>
      </c>
      <c r="BH46" s="96" t="inlineStr">
        <is>
          <t>S22</t>
        </is>
      </c>
      <c r="BI46" s="97" t="n"/>
      <c r="BJ46" s="97" t="n"/>
      <c r="BK46" s="96" t="inlineStr">
        <is>
          <t>BKK25</t>
        </is>
      </c>
      <c r="BL46" s="161" t="inlineStr">
        <is>
          <t>2026-10-10</t>
        </is>
      </c>
      <c r="BM46" s="127" t="n"/>
      <c r="BN46" s="127" t="n">
        <v>1</v>
      </c>
      <c r="BO46" s="127" t="n"/>
      <c r="BP46" s="127" t="n"/>
      <c r="BQ46" s="127" t="n"/>
      <c r="BR46" s="127" t="n"/>
      <c r="BS46" s="127" t="n"/>
      <c r="BT46" s="127" t="n"/>
      <c r="BU46" s="127" t="n"/>
      <c r="BV46" s="127" t="n"/>
      <c r="BW46" s="127" t="n"/>
      <c r="BX46" s="127" t="n"/>
      <c r="BY46" s="96" t="inlineStr">
        <is>
          <t>FULL</t>
        </is>
      </c>
      <c r="BZ46" s="97" t="n"/>
      <c r="CA46" s="96" t="inlineStr">
        <is>
          <t>Y</t>
        </is>
      </c>
      <c r="CB46" s="97" t="n"/>
      <c r="CC46" s="96" t="inlineStr">
        <is>
          <t>BKK01</t>
        </is>
      </c>
      <c r="CD46" s="97" t="n"/>
      <c r="CE46" s="97" t="n"/>
      <c r="CF46" s="96" t="inlineStr">
        <is>
          <t>0 Teu</t>
        </is>
      </c>
      <c r="CG46" s="96" t="inlineStr">
        <is>
          <t>CY/CY</t>
        </is>
      </c>
      <c r="CH46" s="97" t="n"/>
      <c r="CI46" s="96" t="inlineStr">
        <is>
          <t>logistic_export@bkkstarch.com</t>
        </is>
      </c>
      <c r="CJ46" s="96" t="inlineStr">
        <is>
          <t>BANGKOK STARCH INDUSTRIAL</t>
        </is>
      </c>
      <c r="CK46" s="96" t="inlineStr">
        <is>
          <t>MATSUTANI KOREA LIMITED</t>
        </is>
      </c>
      <c r="CL46" s="96" t="inlineStr">
        <is>
          <t>MATSUTANI KOREA LIMITED</t>
        </is>
      </c>
      <c r="CM46" s="97" t="inlineStr">
        <is>
          <t>CLOSED</t>
        </is>
      </c>
      <c r="CN46" s="96" t="inlineStr">
        <is>
          <t>202610121200</t>
        </is>
      </c>
      <c r="CO46" s="96" t="inlineStr">
        <is>
          <t>202610131200</t>
        </is>
      </c>
      <c r="CP46" s="97" t="n"/>
      <c r="CQ46" s="96" t="inlineStr">
        <is>
          <t>S19-2112022</t>
        </is>
      </c>
      <c r="CR46" s="96" t="inlineStr">
        <is>
          <t>BB0406</t>
        </is>
      </c>
      <c r="CS46" s="96" t="inlineStr">
        <is>
          <t>BANGKOK STARCH INDUSTRIAL CO., LTD.</t>
        </is>
      </c>
      <c r="CT46" s="96" t="inlineStr">
        <is>
          <t>N</t>
        </is>
      </c>
      <c r="CU46" s="97" t="n"/>
      <c r="CV46" s="97" t="n"/>
      <c r="CW46" s="161" t="inlineStr">
        <is>
          <t>2026-10-15</t>
        </is>
      </c>
      <c r="CX46" s="97" t="n"/>
      <c r="CY46" s="183" t="n"/>
    </row>
    <row r="47" ht="12" customHeight="1">
      <c r="A47" s="116" t="inlineStr">
        <is>
          <t>HASLS22261000088</t>
        </is>
      </c>
      <c r="B47" s="96" t="inlineStr">
        <is>
          <t>40Hx1</t>
        </is>
      </c>
      <c r="C47" s="97" t="n">
        <v>0</v>
      </c>
      <c r="D47" s="97" t="n">
        <v>0</v>
      </c>
      <c r="E47" s="97" t="n"/>
      <c r="F47" s="97" t="n">
        <v>0</v>
      </c>
      <c r="G47" s="97" t="n">
        <v>0</v>
      </c>
      <c r="H47" s="97" t="n">
        <v>0</v>
      </c>
      <c r="I47" s="97" t="n">
        <v>1</v>
      </c>
      <c r="J47" s="97" t="n">
        <v>2</v>
      </c>
      <c r="K47" s="96" t="inlineStr">
        <is>
          <t>N</t>
        </is>
      </c>
      <c r="L47" s="96" t="inlineStr">
        <is>
          <t>KHS1</t>
        </is>
      </c>
      <c r="M47" s="96" t="inlineStr">
        <is>
          <t>SWIC</t>
        </is>
      </c>
      <c r="N47" s="96" t="inlineStr">
        <is>
          <t>2611N</t>
        </is>
      </c>
      <c r="O47" s="96" t="inlineStr">
        <is>
          <t>THBKK</t>
        </is>
      </c>
      <c r="P47" s="96" t="inlineStr">
        <is>
          <t>BKK01</t>
        </is>
      </c>
      <c r="Q47" s="96" t="inlineStr">
        <is>
          <t>IA</t>
        </is>
      </c>
      <c r="R47" s="161" t="inlineStr">
        <is>
          <t>2026-10-16</t>
        </is>
      </c>
      <c r="S47" s="96" t="inlineStr">
        <is>
          <t>VNSGN</t>
        </is>
      </c>
      <c r="T47" s="96" t="inlineStr">
        <is>
          <t>SGN03</t>
        </is>
      </c>
      <c r="U47" s="96" t="inlineStr">
        <is>
          <t>VNSGN</t>
        </is>
      </c>
      <c r="V47" s="161" t="inlineStr">
        <is>
          <t>2026-10-18</t>
        </is>
      </c>
      <c r="W47" s="96" t="inlineStr">
        <is>
          <t>IA</t>
        </is>
      </c>
      <c r="X47" s="97" t="n"/>
      <c r="Y47" s="97" t="n"/>
      <c r="Z47" s="97" t="n"/>
      <c r="AA47" s="96" t="inlineStr">
        <is>
          <t>ASIA FORWARDING (THAILAND) LTD.</t>
        </is>
      </c>
      <c r="AB47" s="96" t="inlineStr">
        <is>
          <t>ASIA FORWARDING (THAILAND) LTD.</t>
        </is>
      </c>
      <c r="AC47" s="163" t="n">
        <v>4862.93</v>
      </c>
      <c r="AD47" s="163" t="n">
        <v>8862.93</v>
      </c>
      <c r="AE47" s="96" t="inlineStr">
        <is>
          <t>OK</t>
        </is>
      </c>
      <c r="AF47" s="96" t="inlineStr">
        <is>
          <t>SR</t>
        </is>
      </c>
      <c r="AG47" s="97" t="n"/>
      <c r="AH47" s="96" t="inlineStr">
        <is>
          <t>CHK</t>
        </is>
      </c>
      <c r="AI47" s="97" t="inlineStr">
        <is>
          <t>OK</t>
        </is>
      </c>
      <c r="AJ47" s="97" t="n"/>
      <c r="AK47" s="97" t="n"/>
      <c r="AL47" s="97" t="n"/>
      <c r="AM47" s="96" t="inlineStr">
        <is>
          <t>TH0013</t>
        </is>
      </c>
      <c r="AN47" s="96" t="inlineStr">
        <is>
          <t>Papavadee Chiengchin</t>
        </is>
      </c>
      <c r="AO47" s="96" t="inlineStr">
        <is>
          <t>GENERAL CARGO (CONSOL)</t>
        </is>
      </c>
      <c r="AP47" s="96" t="inlineStr">
        <is>
          <t>Normal</t>
        </is>
      </c>
      <c r="AQ47" s="97" t="n"/>
      <c r="AR47" s="97" t="n"/>
      <c r="AS47" s="97" t="n"/>
      <c r="AT47" s="97" t="n"/>
      <c r="AU47" s="97" t="n"/>
      <c r="AV47" s="97" t="n"/>
      <c r="AW47" s="97" t="n">
        <v>0</v>
      </c>
      <c r="AX47" s="96" t="inlineStr">
        <is>
          <t>N</t>
        </is>
      </c>
      <c r="AY47" s="97" t="n"/>
      <c r="AZ47" s="96" t="inlineStr">
        <is>
          <t>Pickup : 2026-10-12, Return : 2026-10-14 CONSOL (CY IN PAT)</t>
        </is>
      </c>
      <c r="BA47" s="97" t="inlineStr">
        <is>
          <t>FM 1X20'CONSOL (CY IN PAT)</t>
        </is>
      </c>
      <c r="BB47" s="96" t="inlineStr">
        <is>
          <t>P</t>
        </is>
      </c>
      <c r="BC47" s="161" t="inlineStr">
        <is>
          <t>2026-10-01</t>
        </is>
      </c>
      <c r="BD47" s="161" t="inlineStr">
        <is>
          <t>2026-10-15</t>
        </is>
      </c>
      <c r="BE47" s="96" t="inlineStr">
        <is>
          <t>Y</t>
        </is>
      </c>
      <c r="BF47" s="96" t="inlineStr">
        <is>
          <t>GENERAL CARGO (CONSOL)</t>
        </is>
      </c>
      <c r="BG47" s="96" t="inlineStr">
        <is>
          <t>Line</t>
        </is>
      </c>
      <c r="BH47" s="96" t="inlineStr">
        <is>
          <t>S22</t>
        </is>
      </c>
      <c r="BI47" s="97" t="n"/>
      <c r="BJ47" s="97" t="n"/>
      <c r="BK47" s="96" t="inlineStr">
        <is>
          <t>BKK01</t>
        </is>
      </c>
      <c r="BL47" s="161" t="inlineStr">
        <is>
          <t>2026-10-12</t>
        </is>
      </c>
      <c r="BM47" s="127" t="n"/>
      <c r="BN47" s="127" t="n"/>
      <c r="BO47" s="127" t="n"/>
      <c r="BP47" s="127" t="n">
        <v>1</v>
      </c>
      <c r="BQ47" s="127" t="n"/>
      <c r="BR47" s="127" t="n"/>
      <c r="BS47" s="127" t="n"/>
      <c r="BT47" s="127" t="n"/>
      <c r="BU47" s="127" t="n"/>
      <c r="BV47" s="127" t="n"/>
      <c r="BW47" s="127" t="n"/>
      <c r="BX47" s="127" t="n"/>
      <c r="BY47" s="96" t="inlineStr">
        <is>
          <t>FULL</t>
        </is>
      </c>
      <c r="BZ47" s="97" t="n"/>
      <c r="CA47" s="96" t="inlineStr">
        <is>
          <t>Y</t>
        </is>
      </c>
      <c r="CB47" s="97" t="n"/>
      <c r="CC47" s="96" t="inlineStr">
        <is>
          <t>BKK01</t>
        </is>
      </c>
      <c r="CD47" s="97" t="n"/>
      <c r="CE47" s="97" t="n"/>
      <c r="CF47" s="96" t="inlineStr">
        <is>
          <t>0 Teu</t>
        </is>
      </c>
      <c r="CG47" s="96" t="inlineStr">
        <is>
          <t>CY/CY</t>
        </is>
      </c>
      <c r="CH47" s="97" t="n"/>
      <c r="CI47" s="96" t="inlineStr">
        <is>
          <t>consol@asiaforwarding.co.th</t>
        </is>
      </c>
      <c r="CJ47" s="96" t="inlineStr">
        <is>
          <t>ASIA FORWARDING (THAILAND) LTD.</t>
        </is>
      </c>
      <c r="CK47" s="96" t="inlineStr">
        <is>
          <t>EVERICH LTD</t>
        </is>
      </c>
      <c r="CL47" s="96" t="inlineStr">
        <is>
          <t>EVERICH LTD</t>
        </is>
      </c>
      <c r="CM47" s="97" t="n"/>
      <c r="CN47" s="96" t="inlineStr">
        <is>
          <t>202610121200</t>
        </is>
      </c>
      <c r="CO47" s="96" t="inlineStr">
        <is>
          <t>202610131200</t>
        </is>
      </c>
      <c r="CP47" s="97" t="n"/>
      <c r="CQ47" s="96" t="inlineStr">
        <is>
          <t>S22-2606021</t>
        </is>
      </c>
      <c r="CR47" s="96" t="inlineStr">
        <is>
          <t>TH05XU</t>
        </is>
      </c>
      <c r="CS47" s="96" t="inlineStr">
        <is>
          <t>ASIA FORWARDING (THAILAND) LTD.</t>
        </is>
      </c>
      <c r="CT47" s="96" t="inlineStr">
        <is>
          <t>N</t>
        </is>
      </c>
      <c r="CU47" s="97" t="n"/>
      <c r="CV47" s="97" t="n"/>
      <c r="CW47" s="161" t="inlineStr">
        <is>
          <t>2026-10-15</t>
        </is>
      </c>
      <c r="CX47" s="97" t="inlineStr">
        <is>
          <t>410799</t>
        </is>
      </c>
      <c r="CY47" s="183" t="n"/>
    </row>
    <row r="48" ht="12" customHeight="1">
      <c r="A48" s="116" t="inlineStr">
        <is>
          <t>HASLS22260902761</t>
        </is>
      </c>
      <c r="B48" s="96" t="inlineStr">
        <is>
          <t>20'x1</t>
        </is>
      </c>
      <c r="C48" s="97" t="n">
        <v>1</v>
      </c>
      <c r="D48" s="97" t="n">
        <v>1</v>
      </c>
      <c r="E48" s="97" t="n"/>
      <c r="F48" s="97" t="n">
        <v>0</v>
      </c>
      <c r="G48" s="97" t="n">
        <v>1</v>
      </c>
      <c r="H48" s="97" t="n">
        <v>0</v>
      </c>
      <c r="I48" s="97" t="n">
        <v>0</v>
      </c>
      <c r="J48" s="97" t="n">
        <v>1</v>
      </c>
      <c r="K48" s="96" t="inlineStr">
        <is>
          <t>N</t>
        </is>
      </c>
      <c r="L48" s="96" t="inlineStr">
        <is>
          <t>KHS1</t>
        </is>
      </c>
      <c r="M48" s="96" t="inlineStr">
        <is>
          <t>SWIC</t>
        </is>
      </c>
      <c r="N48" s="96" t="inlineStr">
        <is>
          <t>2611N</t>
        </is>
      </c>
      <c r="O48" s="96" t="inlineStr">
        <is>
          <t>THBKK</t>
        </is>
      </c>
      <c r="P48" s="96" t="inlineStr">
        <is>
          <t>BKK01</t>
        </is>
      </c>
      <c r="Q48" s="96" t="inlineStr">
        <is>
          <t>IA</t>
        </is>
      </c>
      <c r="R48" s="161" t="inlineStr">
        <is>
          <t>2026-10-16</t>
        </is>
      </c>
      <c r="S48" s="96" t="inlineStr">
        <is>
          <t>RUVVO</t>
        </is>
      </c>
      <c r="T48" s="96" t="inlineStr">
        <is>
          <t>VVO01</t>
        </is>
      </c>
      <c r="U48" s="96" t="inlineStr">
        <is>
          <t>RUVVO</t>
        </is>
      </c>
      <c r="V48" s="161" t="inlineStr">
        <is>
          <t>2026-11-02</t>
        </is>
      </c>
      <c r="W48" s="96" t="inlineStr">
        <is>
          <t>RU</t>
        </is>
      </c>
      <c r="X48" s="97" t="n"/>
      <c r="Y48" s="97" t="inlineStr">
        <is>
          <t>PUS05</t>
        </is>
      </c>
      <c r="Z48" s="97" t="inlineStr">
        <is>
          <t>KRPUS</t>
        </is>
      </c>
      <c r="AA48" s="96" t="inlineStr">
        <is>
          <t>THAI AGRI FOODS PUBLIC COMPANY LIMITED</t>
        </is>
      </c>
      <c r="AB48" s="96" t="inlineStr">
        <is>
          <t>THAI AGRI FOODS PUBLIC COMPANY LIMITED</t>
        </is>
      </c>
      <c r="AC48" s="163" t="n">
        <v>22227</v>
      </c>
      <c r="AD48" s="163" t="n">
        <v>24427</v>
      </c>
      <c r="AE48" s="96" t="inlineStr">
        <is>
          <t>OK</t>
        </is>
      </c>
      <c r="AF48" s="96" t="n"/>
      <c r="AG48" s="97" t="n"/>
      <c r="AH48" s="96" t="inlineStr">
        <is>
          <t>CHK</t>
        </is>
      </c>
      <c r="AI48" s="97" t="inlineStr">
        <is>
          <t>OK</t>
        </is>
      </c>
      <c r="AJ48" s="97" t="n"/>
      <c r="AK48" s="97" t="n"/>
      <c r="AL48" s="97" t="n"/>
      <c r="AM48" s="96" t="inlineStr">
        <is>
          <t>RUVO38</t>
        </is>
      </c>
      <c r="AN48" s="96" t="inlineStr">
        <is>
          <t>ANNA MARS</t>
        </is>
      </c>
      <c r="AO48" s="96" t="inlineStr">
        <is>
          <t>SWEET CHILLI SAUCE FOR CHICKEN</t>
        </is>
      </c>
      <c r="AP48" s="96" t="inlineStr">
        <is>
          <t>T/S</t>
        </is>
      </c>
      <c r="AQ48" s="97" t="n"/>
      <c r="AR48" s="97" t="n"/>
      <c r="AS48" s="97" t="n"/>
      <c r="AT48" s="97" t="n"/>
      <c r="AU48" s="97" t="n"/>
      <c r="AV48" s="97" t="n"/>
      <c r="AW48" s="97" t="n">
        <v>0</v>
      </c>
      <c r="AX48" s="96" t="inlineStr">
        <is>
          <t>N</t>
        </is>
      </c>
      <c r="AY48" s="97" t="inlineStr">
        <is>
          <t>OBL</t>
        </is>
      </c>
      <c r="AZ48" s="96" t="inlineStr">
        <is>
          <t>[FIX][FIX]SWIC/2611N/10/24[FIX] Pickup : 2026-10-10, Return : 2026-10-12 *CLS TIME 12/10/26 @23.59</t>
        </is>
      </c>
      <c r="BA48" s="97" t="inlineStr">
        <is>
          <t>SI DD.12/10/26
RQST CHANGE VSL NAME FROM KUS 2616N BY HA DD.5/10</t>
        </is>
      </c>
      <c r="BB48" s="96" t="inlineStr">
        <is>
          <t>C</t>
        </is>
      </c>
      <c r="BC48" s="161" t="inlineStr">
        <is>
          <t>2026-09-30</t>
        </is>
      </c>
      <c r="BD48" s="161" t="inlineStr">
        <is>
          <t>2026-10-12</t>
        </is>
      </c>
      <c r="BE48" s="96" t="inlineStr">
        <is>
          <t>Y</t>
        </is>
      </c>
      <c r="BF48" s="96" t="inlineStr">
        <is>
          <t>SWEET CHILLI SAUCE FOR CHICKEN</t>
        </is>
      </c>
      <c r="BG48" s="96" t="inlineStr">
        <is>
          <t>Line</t>
        </is>
      </c>
      <c r="BH48" s="96" t="inlineStr">
        <is>
          <t>S22</t>
        </is>
      </c>
      <c r="BI48" s="97" t="n"/>
      <c r="BJ48" s="97" t="n"/>
      <c r="BK48" s="96" t="inlineStr">
        <is>
          <t>BKK27</t>
        </is>
      </c>
      <c r="BL48" s="161" t="inlineStr">
        <is>
          <t>2026-10-10</t>
        </is>
      </c>
      <c r="BM48" s="127" t="n"/>
      <c r="BN48" s="127" t="n">
        <v>1</v>
      </c>
      <c r="BO48" s="127" t="n"/>
      <c r="BP48" s="127" t="n"/>
      <c r="BQ48" s="127" t="n"/>
      <c r="BR48" s="127" t="n"/>
      <c r="BS48" s="127" t="n"/>
      <c r="BT48" s="127" t="n"/>
      <c r="BU48" s="127" t="n"/>
      <c r="BV48" s="127" t="n"/>
      <c r="BW48" s="127" t="n"/>
      <c r="BX48" s="127" t="n"/>
      <c r="BY48" s="96" t="inlineStr">
        <is>
          <t>FULL</t>
        </is>
      </c>
      <c r="BZ48" s="97" t="n">
        <v>6</v>
      </c>
      <c r="CA48" s="96" t="inlineStr">
        <is>
          <t>Y</t>
        </is>
      </c>
      <c r="CB48" s="97" t="n"/>
      <c r="CC48" s="96" t="inlineStr">
        <is>
          <t>BKK01</t>
        </is>
      </c>
      <c r="CD48" s="97" t="n"/>
      <c r="CE48" s="97" t="n"/>
      <c r="CF48" s="96" t="inlineStr">
        <is>
          <t>0 Teu</t>
        </is>
      </c>
      <c r="CG48" s="96" t="inlineStr">
        <is>
          <t>CY/CY</t>
        </is>
      </c>
      <c r="CH48" s="97" t="inlineStr">
        <is>
          <t>POL: THBKK [SWIC/2611N]; T/S(1st): KRPUS [SWTD/9019N]; POD: RUVVO [/]</t>
        </is>
      </c>
      <c r="CI48" s="96" t="inlineStr">
        <is>
          <t>chalearmporn.pu@thaiagri.com</t>
        </is>
      </c>
      <c r="CJ48" s="96" t="inlineStr">
        <is>
          <t>THAI AGRI FOODS PUBLIC COMPANY</t>
        </is>
      </c>
      <c r="CK48" s="96" t="inlineStr">
        <is>
          <t>EXIM PACIFIC LLC. RUSSIA,</t>
        </is>
      </c>
      <c r="CL48" s="96" t="inlineStr">
        <is>
          <t>EXIM PACIFIC LLC. RUSSIA,</t>
        </is>
      </c>
      <c r="CM48" s="97" t="inlineStr">
        <is>
          <t>CLOSED</t>
        </is>
      </c>
      <c r="CN48" s="96" t="inlineStr">
        <is>
          <t>202610121200</t>
        </is>
      </c>
      <c r="CO48" s="96" t="inlineStr">
        <is>
          <t>202610131200</t>
        </is>
      </c>
      <c r="CP48" s="97" t="n"/>
      <c r="CQ48" s="96" t="inlineStr">
        <is>
          <t>R01-2411002</t>
        </is>
      </c>
      <c r="CR48" s="96" t="inlineStr">
        <is>
          <t>THTLH8</t>
        </is>
      </c>
      <c r="CS48" s="96" t="inlineStr">
        <is>
          <t>THAI AGRI FOODS PUBLIC COMPANY LIMITED</t>
        </is>
      </c>
      <c r="CT48" s="96" t="inlineStr">
        <is>
          <t>N</t>
        </is>
      </c>
      <c r="CU48" s="97" t="n"/>
      <c r="CV48" s="97" t="n"/>
      <c r="CW48" s="161" t="inlineStr">
        <is>
          <t>2026-10-15</t>
        </is>
      </c>
      <c r="CX48" s="97" t="inlineStr">
        <is>
          <t>210390</t>
        </is>
      </c>
      <c r="CY48" s="183" t="n"/>
    </row>
    <row r="49" ht="12" customHeight="1">
      <c r="A49" s="116" t="inlineStr">
        <is>
          <t>HASLS22260902094</t>
        </is>
      </c>
      <c r="B49" s="96" t="inlineStr">
        <is>
          <t>20'x4</t>
        </is>
      </c>
      <c r="C49" s="97" t="n">
        <v>4</v>
      </c>
      <c r="D49" s="97" t="n">
        <v>4</v>
      </c>
      <c r="E49" s="97" t="n"/>
      <c r="F49" s="97" t="n">
        <v>0</v>
      </c>
      <c r="G49" s="97" t="n">
        <v>4</v>
      </c>
      <c r="H49" s="97" t="n">
        <v>0</v>
      </c>
      <c r="I49" s="97" t="n">
        <v>0</v>
      </c>
      <c r="J49" s="97" t="n">
        <v>4</v>
      </c>
      <c r="K49" s="96" t="inlineStr">
        <is>
          <t>N</t>
        </is>
      </c>
      <c r="L49" s="96" t="inlineStr">
        <is>
          <t>KHS1</t>
        </is>
      </c>
      <c r="M49" s="96" t="inlineStr">
        <is>
          <t>SWIC</t>
        </is>
      </c>
      <c r="N49" s="96" t="inlineStr">
        <is>
          <t>2611N</t>
        </is>
      </c>
      <c r="O49" s="96" t="inlineStr">
        <is>
          <t>THBKK</t>
        </is>
      </c>
      <c r="P49" s="96" t="inlineStr">
        <is>
          <t>BKK01</t>
        </is>
      </c>
      <c r="Q49" s="96" t="inlineStr">
        <is>
          <t>IA</t>
        </is>
      </c>
      <c r="R49" s="161" t="inlineStr">
        <is>
          <t>2026-10-16</t>
        </is>
      </c>
      <c r="S49" s="96" t="inlineStr">
        <is>
          <t>JPUKB</t>
        </is>
      </c>
      <c r="T49" s="96" t="inlineStr">
        <is>
          <t>UKB03</t>
        </is>
      </c>
      <c r="U49" s="96" t="inlineStr">
        <is>
          <t>JPUKB</t>
        </is>
      </c>
      <c r="V49" s="161" t="inlineStr">
        <is>
          <t>2026-11-04</t>
        </is>
      </c>
      <c r="W49" s="96" t="inlineStr">
        <is>
          <t>JP</t>
        </is>
      </c>
      <c r="X49" s="97" t="n"/>
      <c r="Y49" s="97" t="inlineStr">
        <is>
          <t>PUS05</t>
        </is>
      </c>
      <c r="Z49" s="97" t="inlineStr">
        <is>
          <t>KRPUS</t>
        </is>
      </c>
      <c r="AA49" s="96" t="inlineStr">
        <is>
          <t>BIRLA CARBON (THAILAND) PUBLIC COMPANY LIMITED</t>
        </is>
      </c>
      <c r="AB49" s="96" t="inlineStr">
        <is>
          <t>BIRLA CARBON (THAILAND) PUBLIC COMPANY LIMITED</t>
        </is>
      </c>
      <c r="AC49" s="163" t="n">
        <v>43396</v>
      </c>
      <c r="AD49" s="163" t="n">
        <v>52196</v>
      </c>
      <c r="AE49" s="96" t="inlineStr">
        <is>
          <t>OK</t>
        </is>
      </c>
      <c r="AF49" s="96" t="n"/>
      <c r="AG49" s="97" t="n"/>
      <c r="AH49" s="96" t="inlineStr">
        <is>
          <t>CHK</t>
        </is>
      </c>
      <c r="AI49" s="97" t="inlineStr">
        <is>
          <t>OK</t>
        </is>
      </c>
      <c r="AJ49" s="97" t="n"/>
      <c r="AK49" s="97" t="n"/>
      <c r="AL49" s="97" t="n"/>
      <c r="AM49" s="96" t="inlineStr">
        <is>
          <t>TBKK13</t>
        </is>
      </c>
      <c r="AN49" s="96" t="inlineStr">
        <is>
          <t>Dharaporn</t>
        </is>
      </c>
      <c r="AO49" s="96" t="inlineStr">
        <is>
          <t>CARBON BLACK</t>
        </is>
      </c>
      <c r="AP49" s="96" t="inlineStr">
        <is>
          <t>T/S</t>
        </is>
      </c>
      <c r="AQ49" s="97" t="n"/>
      <c r="AR49" s="97" t="n"/>
      <c r="AS49" s="97" t="n"/>
      <c r="AT49" s="97" t="n"/>
      <c r="AU49" s="97" t="n"/>
      <c r="AV49" s="97" t="n"/>
      <c r="AW49" s="97" t="n">
        <v>0</v>
      </c>
      <c r="AX49" s="96" t="inlineStr">
        <is>
          <t>N</t>
        </is>
      </c>
      <c r="AY49" s="97" t="inlineStr">
        <is>
          <t>OBL</t>
        </is>
      </c>
      <c r="AZ49" s="96" t="inlineStr">
        <is>
          <t>[FIX][FIX]Pickup : 2026-10-07, Return : 2026-10-08</t>
        </is>
      </c>
      <c r="BA49" s="97" t="n"/>
      <c r="BB49" s="96" t="inlineStr">
        <is>
          <t>P</t>
        </is>
      </c>
      <c r="BC49" s="161" t="inlineStr">
        <is>
          <t>2026-09-23</t>
        </is>
      </c>
      <c r="BD49" s="161" t="inlineStr">
        <is>
          <t>2026-10-12</t>
        </is>
      </c>
      <c r="BE49" s="96" t="inlineStr">
        <is>
          <t>Y</t>
        </is>
      </c>
      <c r="BF49" s="96" t="inlineStr">
        <is>
          <t>CABON BLACK</t>
        </is>
      </c>
      <c r="BG49" s="96" t="inlineStr">
        <is>
          <t>Line</t>
        </is>
      </c>
      <c r="BH49" s="96" t="inlineStr">
        <is>
          <t>S22</t>
        </is>
      </c>
      <c r="BI49" s="97" t="n"/>
      <c r="BJ49" s="97" t="n"/>
      <c r="BK49" s="96" t="inlineStr">
        <is>
          <t>BKK27</t>
        </is>
      </c>
      <c r="BL49" s="161" t="inlineStr">
        <is>
          <t>2026-10-07</t>
        </is>
      </c>
      <c r="BM49" s="127" t="n"/>
      <c r="BN49" s="127" t="n">
        <v>4</v>
      </c>
      <c r="BO49" s="127" t="n"/>
      <c r="BP49" s="127" t="n"/>
      <c r="BQ49" s="127" t="n"/>
      <c r="BR49" s="127" t="n"/>
      <c r="BS49" s="127" t="n"/>
      <c r="BT49" s="127" t="n"/>
      <c r="BU49" s="127" t="n"/>
      <c r="BV49" s="127" t="n"/>
      <c r="BW49" s="127" t="n"/>
      <c r="BX49" s="127" t="n"/>
      <c r="BY49" s="96" t="inlineStr">
        <is>
          <t>FULL</t>
        </is>
      </c>
      <c r="BZ49" s="97" t="n">
        <v>8</v>
      </c>
      <c r="CA49" s="96" t="inlineStr">
        <is>
          <t>Y</t>
        </is>
      </c>
      <c r="CB49" s="97" t="n"/>
      <c r="CC49" s="96" t="inlineStr">
        <is>
          <t>BKK01</t>
        </is>
      </c>
      <c r="CD49" s="97" t="n"/>
      <c r="CE49" s="97" t="n"/>
      <c r="CF49" s="96" t="inlineStr">
        <is>
          <t>0 Teu</t>
        </is>
      </c>
      <c r="CG49" s="96" t="inlineStr">
        <is>
          <t>CY/CY</t>
        </is>
      </c>
      <c r="CH49" s="97" t="inlineStr">
        <is>
          <t>POL: THBKK [SWIC/2611N]; T/S(1st): KRPUS [HRGL/2651E]; POD: JPUKB [/]</t>
        </is>
      </c>
      <c r="CI49" s="96" t="inlineStr">
        <is>
          <t>siriphan.hom@adityabirla.com</t>
        </is>
      </c>
      <c r="CJ49" s="96" t="inlineStr">
        <is>
          <t>BIRLA CARBON (THAILAND) PUBLIC</t>
        </is>
      </c>
      <c r="CK49" s="96" t="inlineStr">
        <is>
          <t>NIPPON GIANT TIRE CO.,LTD.</t>
        </is>
      </c>
      <c r="CL49" s="96" t="inlineStr">
        <is>
          <t>NIPPON GIANT TIRE CO.,LTD.</t>
        </is>
      </c>
      <c r="CM49" s="97" t="inlineStr">
        <is>
          <t>CLOSED</t>
        </is>
      </c>
      <c r="CN49" s="96" t="inlineStr">
        <is>
          <t>202610121200</t>
        </is>
      </c>
      <c r="CO49" s="96" t="inlineStr">
        <is>
          <t>202610131200</t>
        </is>
      </c>
      <c r="CP49" s="97" t="n"/>
      <c r="CQ49" s="96" t="inlineStr">
        <is>
          <t>S22-2508024</t>
        </is>
      </c>
      <c r="CR49" s="96" t="inlineStr">
        <is>
          <t>THTKYV</t>
        </is>
      </c>
      <c r="CS49" s="96" t="inlineStr">
        <is>
          <t>BIRLA CARBON (THAILAND) PUBLIC COMPANY LIMITED</t>
        </is>
      </c>
      <c r="CT49" s="96" t="inlineStr">
        <is>
          <t>N</t>
        </is>
      </c>
      <c r="CU49" s="97" t="n"/>
      <c r="CV49" s="97" t="n"/>
      <c r="CW49" s="161" t="inlineStr">
        <is>
          <t>2026-10-12</t>
        </is>
      </c>
      <c r="CX49" s="97" t="inlineStr">
        <is>
          <t>280300</t>
        </is>
      </c>
      <c r="CY49" s="183" t="n"/>
    </row>
    <row r="50" ht="12" customHeight="1">
      <c r="A50" s="116" t="inlineStr">
        <is>
          <t>HASLS22260901929</t>
        </is>
      </c>
      <c r="B50" s="96" t="inlineStr">
        <is>
          <t>20'x1</t>
        </is>
      </c>
      <c r="C50" s="97" t="n">
        <v>1</v>
      </c>
      <c r="D50" s="97" t="n">
        <v>1</v>
      </c>
      <c r="E50" s="97" t="n"/>
      <c r="F50" s="97" t="n">
        <v>0</v>
      </c>
      <c r="G50" s="97" t="n">
        <v>1</v>
      </c>
      <c r="H50" s="97" t="n">
        <v>0</v>
      </c>
      <c r="I50" s="97" t="n">
        <v>0</v>
      </c>
      <c r="J50" s="97" t="n">
        <v>1</v>
      </c>
      <c r="K50" s="96" t="inlineStr">
        <is>
          <t>N</t>
        </is>
      </c>
      <c r="L50" s="96" t="inlineStr">
        <is>
          <t>KHS1</t>
        </is>
      </c>
      <c r="M50" s="96" t="inlineStr">
        <is>
          <t>SWIC</t>
        </is>
      </c>
      <c r="N50" s="96" t="inlineStr">
        <is>
          <t>2611N</t>
        </is>
      </c>
      <c r="O50" s="96" t="inlineStr">
        <is>
          <t>THBKK</t>
        </is>
      </c>
      <c r="P50" s="96" t="inlineStr">
        <is>
          <t>BKK01</t>
        </is>
      </c>
      <c r="Q50" s="96" t="inlineStr">
        <is>
          <t>IA</t>
        </is>
      </c>
      <c r="R50" s="161" t="inlineStr">
        <is>
          <t>2026-10-16</t>
        </is>
      </c>
      <c r="S50" s="96" t="inlineStr">
        <is>
          <t>RUVVO</t>
        </is>
      </c>
      <c r="T50" s="96" t="inlineStr">
        <is>
          <t>VVO01</t>
        </is>
      </c>
      <c r="U50" s="96" t="inlineStr">
        <is>
          <t>RUVVO</t>
        </is>
      </c>
      <c r="V50" s="161" t="inlineStr">
        <is>
          <t>2026-11-02</t>
        </is>
      </c>
      <c r="W50" s="96" t="inlineStr">
        <is>
          <t>RU</t>
        </is>
      </c>
      <c r="X50" s="97" t="n"/>
      <c r="Y50" s="97" t="inlineStr">
        <is>
          <t>PUS05</t>
        </is>
      </c>
      <c r="Z50" s="97" t="inlineStr">
        <is>
          <t>KRPUS</t>
        </is>
      </c>
      <c r="AA50" s="96" t="inlineStr">
        <is>
          <t>THAI AGRI FOODS PUBLIC COMPANY LIMITED</t>
        </is>
      </c>
      <c r="AB50" s="96" t="inlineStr">
        <is>
          <t>THAI AGRI FOODS PUBLIC COMPANY LIMITED</t>
        </is>
      </c>
      <c r="AC50" s="163" t="n">
        <v>22227</v>
      </c>
      <c r="AD50" s="163" t="n">
        <v>24427</v>
      </c>
      <c r="AE50" s="96" t="inlineStr">
        <is>
          <t>OK</t>
        </is>
      </c>
      <c r="AF50" s="96" t="n"/>
      <c r="AG50" s="97" t="n"/>
      <c r="AH50" s="96" t="inlineStr">
        <is>
          <t>CHK</t>
        </is>
      </c>
      <c r="AI50" s="97" t="inlineStr">
        <is>
          <t>OK</t>
        </is>
      </c>
      <c r="AJ50" s="97" t="n"/>
      <c r="AK50" s="97" t="n"/>
      <c r="AL50" s="97" t="n"/>
      <c r="AM50" s="96" t="inlineStr">
        <is>
          <t>RUVO38</t>
        </is>
      </c>
      <c r="AN50" s="96" t="inlineStr">
        <is>
          <t>ANNA MARS</t>
        </is>
      </c>
      <c r="AO50" s="96" t="inlineStr">
        <is>
          <t>SWEET CHILLI SAUCE FOR CHICKEN</t>
        </is>
      </c>
      <c r="AP50" s="96" t="inlineStr">
        <is>
          <t>T/S</t>
        </is>
      </c>
      <c r="AQ50" s="97" t="n"/>
      <c r="AR50" s="97" t="n"/>
      <c r="AS50" s="97" t="n"/>
      <c r="AT50" s="97" t="n"/>
      <c r="AU50" s="97" t="n"/>
      <c r="AV50" s="97" t="n"/>
      <c r="AW50" s="97" t="n">
        <v>0</v>
      </c>
      <c r="AX50" s="96" t="inlineStr">
        <is>
          <t>N</t>
        </is>
      </c>
      <c r="AY50" s="97" t="inlineStr">
        <is>
          <t>OBL</t>
        </is>
      </c>
      <c r="AZ50" s="96" t="inlineStr">
        <is>
          <t>[FIX][FIX]SWIC/2611N/10/24[FIX] Pickup : 2026-10-09, Return : 2026-10-12</t>
        </is>
      </c>
      <c r="BA50" s="97" t="inlineStr">
        <is>
          <t>SI DD.9/10/26
RQST CHANGE VS NAME FROM KUS 2616N BY HA DD.5/10</t>
        </is>
      </c>
      <c r="BB50" s="96" t="inlineStr">
        <is>
          <t>C</t>
        </is>
      </c>
      <c r="BC50" s="161" t="inlineStr">
        <is>
          <t>2026-09-22</t>
        </is>
      </c>
      <c r="BD50" s="161" t="inlineStr">
        <is>
          <t>2026-10-09</t>
        </is>
      </c>
      <c r="BE50" s="96" t="inlineStr">
        <is>
          <t>Y</t>
        </is>
      </c>
      <c r="BF50" s="96" t="inlineStr">
        <is>
          <t>SWEET CHILLI SAUCE FOR CHICKEN</t>
        </is>
      </c>
      <c r="BG50" s="96" t="inlineStr">
        <is>
          <t>Line</t>
        </is>
      </c>
      <c r="BH50" s="96" t="inlineStr">
        <is>
          <t>S22</t>
        </is>
      </c>
      <c r="BI50" s="97" t="n"/>
      <c r="BJ50" s="97" t="n"/>
      <c r="BK50" s="96" t="inlineStr">
        <is>
          <t>BKK27</t>
        </is>
      </c>
      <c r="BL50" s="161" t="inlineStr">
        <is>
          <t>2026-10-09</t>
        </is>
      </c>
      <c r="BM50" s="127" t="n"/>
      <c r="BN50" s="127" t="n">
        <v>1</v>
      </c>
      <c r="BO50" s="127" t="n"/>
      <c r="BP50" s="127" t="n"/>
      <c r="BQ50" s="127" t="n"/>
      <c r="BR50" s="127" t="n"/>
      <c r="BS50" s="127" t="n"/>
      <c r="BT50" s="127" t="n"/>
      <c r="BU50" s="127" t="n"/>
      <c r="BV50" s="127" t="n"/>
      <c r="BW50" s="127" t="n"/>
      <c r="BX50" s="127" t="n"/>
      <c r="BY50" s="96" t="inlineStr">
        <is>
          <t>FULL</t>
        </is>
      </c>
      <c r="BZ50" s="97" t="n">
        <v>6</v>
      </c>
      <c r="CA50" s="96" t="inlineStr">
        <is>
          <t>Y</t>
        </is>
      </c>
      <c r="CB50" s="97" t="n"/>
      <c r="CC50" s="96" t="inlineStr">
        <is>
          <t>BKK01</t>
        </is>
      </c>
      <c r="CD50" s="97" t="n"/>
      <c r="CE50" s="97" t="n"/>
      <c r="CF50" s="96" t="inlineStr">
        <is>
          <t>0 Teu</t>
        </is>
      </c>
      <c r="CG50" s="96" t="inlineStr">
        <is>
          <t>CY/CY</t>
        </is>
      </c>
      <c r="CH50" s="97" t="inlineStr">
        <is>
          <t>POL: THBKK [SWIC/2611N]; T/S(1st): KRPUS [SWTD/9019N]; POD: RUVVO [/]</t>
        </is>
      </c>
      <c r="CI50" s="96" t="inlineStr">
        <is>
          <t>chalearmporn.pu@thaiagri.com</t>
        </is>
      </c>
      <c r="CJ50" s="96" t="inlineStr">
        <is>
          <t>THAI AGRI FOODS PUBLIC COMPANY</t>
        </is>
      </c>
      <c r="CK50" s="96" t="inlineStr">
        <is>
          <t>EXIM PACIFIC LLC. RUSSIA,</t>
        </is>
      </c>
      <c r="CL50" s="96" t="inlineStr">
        <is>
          <t>EXIM PACIFIC LLC. RUSSIA,</t>
        </is>
      </c>
      <c r="CM50" s="97" t="inlineStr">
        <is>
          <t>CLOSED</t>
        </is>
      </c>
      <c r="CN50" s="96" t="inlineStr">
        <is>
          <t>202610121200</t>
        </is>
      </c>
      <c r="CO50" s="96" t="inlineStr">
        <is>
          <t>202610131200</t>
        </is>
      </c>
      <c r="CP50" s="97" t="n"/>
      <c r="CQ50" s="96" t="inlineStr">
        <is>
          <t>R01-2411002</t>
        </is>
      </c>
      <c r="CR50" s="96" t="inlineStr">
        <is>
          <t>THTLH8</t>
        </is>
      </c>
      <c r="CS50" s="96" t="inlineStr">
        <is>
          <t>THAI AGRI FOODS PUBLIC COMPANY LIMITED</t>
        </is>
      </c>
      <c r="CT50" s="96" t="inlineStr">
        <is>
          <t>N</t>
        </is>
      </c>
      <c r="CU50" s="97" t="n"/>
      <c r="CV50" s="97" t="n"/>
      <c r="CW50" s="161" t="inlineStr">
        <is>
          <t>2026-10-15</t>
        </is>
      </c>
      <c r="CX50" s="97" t="inlineStr">
        <is>
          <t>210390</t>
        </is>
      </c>
      <c r="CY50" s="183" t="n"/>
    </row>
    <row r="51" ht="12" customHeight="1">
      <c r="A51" s="116" t="inlineStr">
        <is>
          <t>HASLS22260801865</t>
        </is>
      </c>
      <c r="B51" s="96" t="inlineStr">
        <is>
          <t>20'x10</t>
        </is>
      </c>
      <c r="C51" s="97" t="n">
        <v>10</v>
      </c>
      <c r="D51" s="97" t="n">
        <v>10</v>
      </c>
      <c r="E51" s="97" t="n"/>
      <c r="F51" s="97" t="n">
        <v>0</v>
      </c>
      <c r="G51" s="97" t="n">
        <v>10</v>
      </c>
      <c r="H51" s="97" t="n">
        <v>0</v>
      </c>
      <c r="I51" s="97" t="n">
        <v>0</v>
      </c>
      <c r="J51" s="97" t="n">
        <v>10</v>
      </c>
      <c r="K51" s="96" t="inlineStr">
        <is>
          <t>N</t>
        </is>
      </c>
      <c r="L51" s="96" t="inlineStr">
        <is>
          <t>KHS1</t>
        </is>
      </c>
      <c r="M51" s="96" t="inlineStr">
        <is>
          <t>SWIC</t>
        </is>
      </c>
      <c r="N51" s="96" t="inlineStr">
        <is>
          <t>2611N</t>
        </is>
      </c>
      <c r="O51" s="96" t="inlineStr">
        <is>
          <t>THBKK</t>
        </is>
      </c>
      <c r="P51" s="96" t="inlineStr">
        <is>
          <t>BKK01</t>
        </is>
      </c>
      <c r="Q51" s="96" t="inlineStr">
        <is>
          <t>IA</t>
        </is>
      </c>
      <c r="R51" s="161" t="inlineStr">
        <is>
          <t>2026-10-16</t>
        </is>
      </c>
      <c r="S51" s="96" t="inlineStr">
        <is>
          <t>JPSEN</t>
        </is>
      </c>
      <c r="T51" s="96" t="inlineStr">
        <is>
          <t>SEN01</t>
        </is>
      </c>
      <c r="U51" s="96" t="inlineStr">
        <is>
          <t>JPSEN</t>
        </is>
      </c>
      <c r="V51" s="161" t="inlineStr">
        <is>
          <t>2026-11-03</t>
        </is>
      </c>
      <c r="W51" s="96" t="inlineStr">
        <is>
          <t>JP</t>
        </is>
      </c>
      <c r="X51" s="97" t="n"/>
      <c r="Y51" s="97" t="inlineStr">
        <is>
          <t>PUS05</t>
        </is>
      </c>
      <c r="Z51" s="97" t="inlineStr">
        <is>
          <t>KRPUS</t>
        </is>
      </c>
      <c r="AA51" s="96" t="inlineStr">
        <is>
          <t>STARFISH CO., LTD.</t>
        </is>
      </c>
      <c r="AB51" s="96" t="inlineStr">
        <is>
          <t>STARFISH CO., LTD.</t>
        </is>
      </c>
      <c r="AC51" s="163" t="n">
        <v>200560</v>
      </c>
      <c r="AD51" s="163" t="n">
        <v>222560</v>
      </c>
      <c r="AE51" s="96" t="inlineStr">
        <is>
          <t>OK</t>
        </is>
      </c>
      <c r="AF51" s="96" t="inlineStr">
        <is>
          <t>SR</t>
        </is>
      </c>
      <c r="AG51" s="97" t="n"/>
      <c r="AH51" s="96" t="inlineStr">
        <is>
          <t>CHK</t>
        </is>
      </c>
      <c r="AI51" s="97" t="inlineStr">
        <is>
          <t>OK</t>
        </is>
      </c>
      <c r="AJ51" s="97" t="n"/>
      <c r="AK51" s="97" t="n"/>
      <c r="AL51" s="97" t="n"/>
      <c r="AM51" s="96" t="inlineStr">
        <is>
          <t>TBKK13</t>
        </is>
      </c>
      <c r="AN51" s="96" t="inlineStr">
        <is>
          <t>Dharaporn</t>
        </is>
      </c>
      <c r="AO51" s="96" t="inlineStr">
        <is>
          <t>FISH MEAL</t>
        </is>
      </c>
      <c r="AP51" s="96" t="inlineStr">
        <is>
          <t>T/S</t>
        </is>
      </c>
      <c r="AQ51" s="97" t="n"/>
      <c r="AR51" s="97" t="n"/>
      <c r="AS51" s="97" t="n"/>
      <c r="AT51" s="97" t="n"/>
      <c r="AU51" s="97" t="n"/>
      <c r="AV51" s="97" t="n"/>
      <c r="AW51" s="97" t="n">
        <v>0</v>
      </c>
      <c r="AX51" s="96" t="inlineStr">
        <is>
          <t>N</t>
        </is>
      </c>
      <c r="AY51" s="97" t="inlineStr">
        <is>
          <t>OBL</t>
        </is>
      </c>
      <c r="AZ51" s="96" t="inlineStr">
        <is>
          <t>[FIX]Pickup : 2026-10-02, Return : 2026-10-03</t>
        </is>
      </c>
      <c r="BA51" s="97" t="inlineStr">
        <is>
          <t>ROLL OVER FROM PREVIOUS VSL SWSP 2609N BY ALLOCATON TEAM MS.TARN APPROVED COST IS UNDER HA DD.4/10
RQST CHANGE VSL NAME SWIC 2610N BY HA DD.10/09CY : 2026-10-03 RTN : 2026-10-05container in good condition</t>
        </is>
      </c>
      <c r="BB51" s="96" t="inlineStr">
        <is>
          <t>P</t>
        </is>
      </c>
      <c r="BC51" s="161" t="inlineStr">
        <is>
          <t>2026-08-21</t>
        </is>
      </c>
      <c r="BD51" s="161" t="inlineStr">
        <is>
          <t>2026-10-15</t>
        </is>
      </c>
      <c r="BE51" s="96" t="inlineStr">
        <is>
          <t>Y</t>
        </is>
      </c>
      <c r="BF51" s="96" t="inlineStr">
        <is>
          <t>FISH MEAL</t>
        </is>
      </c>
      <c r="BG51" s="96" t="inlineStr">
        <is>
          <t>Line</t>
        </is>
      </c>
      <c r="BH51" s="96" t="inlineStr">
        <is>
          <t>S22</t>
        </is>
      </c>
      <c r="BI51" s="97" t="n"/>
      <c r="BJ51" s="97" t="n"/>
      <c r="BK51" s="96" t="inlineStr">
        <is>
          <t>BKK27</t>
        </is>
      </c>
      <c r="BL51" s="161" t="inlineStr">
        <is>
          <t>2026-10-02</t>
        </is>
      </c>
      <c r="BM51" s="127" t="n"/>
      <c r="BN51" s="127" t="n">
        <v>10</v>
      </c>
      <c r="BO51" s="127" t="n"/>
      <c r="BP51" s="127" t="n"/>
      <c r="BQ51" s="127" t="n"/>
      <c r="BR51" s="127" t="n"/>
      <c r="BS51" s="127" t="n"/>
      <c r="BT51" s="127" t="n"/>
      <c r="BU51" s="127" t="n"/>
      <c r="BV51" s="127" t="n"/>
      <c r="BW51" s="127" t="n"/>
      <c r="BX51" s="127" t="n"/>
      <c r="BY51" s="96" t="inlineStr">
        <is>
          <t>FULL</t>
        </is>
      </c>
      <c r="BZ51" s="97" t="n">
        <v>6</v>
      </c>
      <c r="CA51" s="96" t="inlineStr">
        <is>
          <t>Y</t>
        </is>
      </c>
      <c r="CB51" s="97" t="n"/>
      <c r="CC51" s="96" t="inlineStr">
        <is>
          <t>BKK01</t>
        </is>
      </c>
      <c r="CD51" s="97" t="n"/>
      <c r="CE51" s="97" t="n"/>
      <c r="CF51" s="96" t="inlineStr">
        <is>
          <t>0 Teu</t>
        </is>
      </c>
      <c r="CG51" s="96" t="inlineStr">
        <is>
          <t>CY/CY</t>
        </is>
      </c>
      <c r="CH51" s="97" t="inlineStr">
        <is>
          <t>POL: THBKK [SWIC/2611N]; T/S(1st): KRPUS [SKNT/2644E]; POD: JPSEN [/]</t>
        </is>
      </c>
      <c r="CI51" s="96" t="inlineStr">
        <is>
          <t>export@starfish-company.com</t>
        </is>
      </c>
      <c r="CJ51" s="96" t="inlineStr">
        <is>
          <t>STARFISH CO.,LTD</t>
        </is>
      </c>
      <c r="CK51" s="96" t="inlineStr">
        <is>
          <t>TO ORDER OF NISSUI CORPORATION.</t>
        </is>
      </c>
      <c r="CL51" s="96" t="inlineStr">
        <is>
          <t>NISSUI CORPORATION.</t>
        </is>
      </c>
      <c r="CM51" s="97" t="inlineStr">
        <is>
          <t>CLOSED</t>
        </is>
      </c>
      <c r="CN51" s="96" t="inlineStr">
        <is>
          <t>202610121200</t>
        </is>
      </c>
      <c r="CO51" s="96" t="inlineStr">
        <is>
          <t>202610131200</t>
        </is>
      </c>
      <c r="CP51" s="97" t="n"/>
      <c r="CQ51" s="96" t="inlineStr">
        <is>
          <t>BKK14A1126-1</t>
        </is>
      </c>
      <c r="CR51" s="96" t="inlineStr">
        <is>
          <t>BB2383</t>
        </is>
      </c>
      <c r="CS51" s="96" t="inlineStr">
        <is>
          <t>STARFISH CO., LTD.</t>
        </is>
      </c>
      <c r="CT51" s="96" t="inlineStr">
        <is>
          <t>N</t>
        </is>
      </c>
      <c r="CU51" s="97" t="n"/>
      <c r="CV51" s="97" t="n"/>
      <c r="CW51" s="161" t="inlineStr">
        <is>
          <t>2026-10-15</t>
        </is>
      </c>
      <c r="CX51" s="97" t="inlineStr">
        <is>
          <t>230120</t>
        </is>
      </c>
      <c r="CY51" s="183" t="inlineStr">
        <is>
          <t>ROLL OVER FROM PREVIOUS VSL SWSP 2609N BY ALLOCATON TEAM MS.TARN APPROVED COST IS UNDER HA DD.4/10</t>
        </is>
      </c>
    </row>
    <row r="52" ht="12" customHeight="1">
      <c r="A52" s="116" t="inlineStr">
        <is>
          <t>HASLS22260902760</t>
        </is>
      </c>
      <c r="B52" s="96" t="inlineStr">
        <is>
          <t>20'x1</t>
        </is>
      </c>
      <c r="C52" s="97" t="n">
        <v>1</v>
      </c>
      <c r="D52" s="97" t="n">
        <v>1</v>
      </c>
      <c r="E52" s="97" t="n"/>
      <c r="F52" s="97" t="n">
        <v>0</v>
      </c>
      <c r="G52" s="97" t="n">
        <v>1</v>
      </c>
      <c r="H52" s="97" t="n">
        <v>0</v>
      </c>
      <c r="I52" s="97" t="n">
        <v>0</v>
      </c>
      <c r="J52" s="97" t="n">
        <v>1</v>
      </c>
      <c r="K52" s="96" t="inlineStr">
        <is>
          <t>N</t>
        </is>
      </c>
      <c r="L52" s="96" t="inlineStr">
        <is>
          <t>KHS1</t>
        </is>
      </c>
      <c r="M52" s="96" t="inlineStr">
        <is>
          <t>SWIC</t>
        </is>
      </c>
      <c r="N52" s="96" t="inlineStr">
        <is>
          <t>2611N</t>
        </is>
      </c>
      <c r="O52" s="96" t="inlineStr">
        <is>
          <t>THBKK</t>
        </is>
      </c>
      <c r="P52" s="96" t="inlineStr">
        <is>
          <t>BKK01</t>
        </is>
      </c>
      <c r="Q52" s="96" t="inlineStr">
        <is>
          <t>IA</t>
        </is>
      </c>
      <c r="R52" s="161" t="inlineStr">
        <is>
          <t>2026-10-16</t>
        </is>
      </c>
      <c r="S52" s="96" t="inlineStr">
        <is>
          <t>RUVVO</t>
        </is>
      </c>
      <c r="T52" s="96" t="inlineStr">
        <is>
          <t>VVO01</t>
        </is>
      </c>
      <c r="U52" s="96" t="inlineStr">
        <is>
          <t>RUVVO</t>
        </is>
      </c>
      <c r="V52" s="161" t="inlineStr">
        <is>
          <t>2026-11-02</t>
        </is>
      </c>
      <c r="W52" s="96" t="inlineStr">
        <is>
          <t>RU</t>
        </is>
      </c>
      <c r="X52" s="97" t="n"/>
      <c r="Y52" s="97" t="inlineStr">
        <is>
          <t>PUS05</t>
        </is>
      </c>
      <c r="Z52" s="97" t="inlineStr">
        <is>
          <t>KRPUS</t>
        </is>
      </c>
      <c r="AA52" s="96" t="inlineStr">
        <is>
          <t>THAI AGRI FOODS PUBLIC COMPANY LIMITED</t>
        </is>
      </c>
      <c r="AB52" s="96" t="inlineStr">
        <is>
          <t>THAI AGRI FOODS PUBLIC COMPANY LIMITED</t>
        </is>
      </c>
      <c r="AC52" s="163" t="n">
        <v>19239</v>
      </c>
      <c r="AD52" s="163" t="n">
        <v>21439</v>
      </c>
      <c r="AE52" s="96" t="inlineStr">
        <is>
          <t>OK</t>
        </is>
      </c>
      <c r="AF52" s="96" t="n"/>
      <c r="AG52" s="97" t="n"/>
      <c r="AH52" s="96" t="inlineStr">
        <is>
          <t>CHK</t>
        </is>
      </c>
      <c r="AI52" s="97" t="inlineStr">
        <is>
          <t>OK</t>
        </is>
      </c>
      <c r="AJ52" s="97" t="n"/>
      <c r="AK52" s="97" t="n"/>
      <c r="AL52" s="97" t="n"/>
      <c r="AM52" s="96" t="inlineStr">
        <is>
          <t>RUVO38</t>
        </is>
      </c>
      <c r="AN52" s="96" t="inlineStr">
        <is>
          <t>ANNA MARS</t>
        </is>
      </c>
      <c r="AO52" s="96" t="inlineStr">
        <is>
          <t>SWEET CHILLI SAUCE FOR CHICKEN</t>
        </is>
      </c>
      <c r="AP52" s="96" t="inlineStr">
        <is>
          <t>T/S</t>
        </is>
      </c>
      <c r="AQ52" s="97" t="n"/>
      <c r="AR52" s="97" t="n"/>
      <c r="AS52" s="97" t="n"/>
      <c r="AT52" s="97" t="n"/>
      <c r="AU52" s="97" t="n"/>
      <c r="AV52" s="97" t="n"/>
      <c r="AW52" s="97" t="n">
        <v>0</v>
      </c>
      <c r="AX52" s="96" t="inlineStr">
        <is>
          <t>N</t>
        </is>
      </c>
      <c r="AY52" s="97" t="inlineStr">
        <is>
          <t>OBL</t>
        </is>
      </c>
      <c r="AZ52" s="96" t="inlineStr">
        <is>
          <t>[FIX][FIX]SWIC/2611N/10/24[FIX] Pickup : 2026-10-10, Return : 2026-10-12 *CLS TIME 12/10/26 @23.59</t>
        </is>
      </c>
      <c r="BA52" s="97" t="inlineStr">
        <is>
          <t>SI DD.12/10/26
RQST CHANGE VSL NAME FROM KUS 2616N BY HA DD.5/10</t>
        </is>
      </c>
      <c r="BB52" s="96" t="inlineStr">
        <is>
          <t>C</t>
        </is>
      </c>
      <c r="BC52" s="161" t="inlineStr">
        <is>
          <t>2026-09-30</t>
        </is>
      </c>
      <c r="BD52" s="161" t="inlineStr">
        <is>
          <t>2026-10-12</t>
        </is>
      </c>
      <c r="BE52" s="96" t="inlineStr">
        <is>
          <t>Y</t>
        </is>
      </c>
      <c r="BF52" s="96" t="inlineStr">
        <is>
          <t>SWEET CHILLI SAUCE FOR CHICKEN</t>
        </is>
      </c>
      <c r="BG52" s="96" t="inlineStr">
        <is>
          <t>Line</t>
        </is>
      </c>
      <c r="BH52" s="96" t="inlineStr">
        <is>
          <t>S22</t>
        </is>
      </c>
      <c r="BI52" s="97" t="n"/>
      <c r="BJ52" s="97" t="n"/>
      <c r="BK52" s="96" t="inlineStr">
        <is>
          <t>BKK27</t>
        </is>
      </c>
      <c r="BL52" s="161" t="inlineStr">
        <is>
          <t>2026-10-10</t>
        </is>
      </c>
      <c r="BM52" s="127" t="n"/>
      <c r="BN52" s="127" t="n">
        <v>1</v>
      </c>
      <c r="BO52" s="127" t="n"/>
      <c r="BP52" s="127" t="n"/>
      <c r="BQ52" s="127" t="n"/>
      <c r="BR52" s="127" t="n"/>
      <c r="BS52" s="127" t="n"/>
      <c r="BT52" s="127" t="n"/>
      <c r="BU52" s="127" t="n"/>
      <c r="BV52" s="127" t="n"/>
      <c r="BW52" s="127" t="n"/>
      <c r="BX52" s="127" t="n"/>
      <c r="BY52" s="96" t="inlineStr">
        <is>
          <t>FULL</t>
        </is>
      </c>
      <c r="BZ52" s="97" t="n">
        <v>6</v>
      </c>
      <c r="CA52" s="96" t="inlineStr">
        <is>
          <t>Y</t>
        </is>
      </c>
      <c r="CB52" s="97" t="n"/>
      <c r="CC52" s="96" t="inlineStr">
        <is>
          <t>BKK01</t>
        </is>
      </c>
      <c r="CD52" s="97" t="n"/>
      <c r="CE52" s="97" t="n"/>
      <c r="CF52" s="96" t="inlineStr">
        <is>
          <t>0 Teu</t>
        </is>
      </c>
      <c r="CG52" s="96" t="inlineStr">
        <is>
          <t>CY/CY</t>
        </is>
      </c>
      <c r="CH52" s="97" t="inlineStr">
        <is>
          <t>POL: THBKK [SWIC/2611N]; T/S(1st): KRPUS [SWTD/9019N]; POD: RUVVO [/]</t>
        </is>
      </c>
      <c r="CI52" s="96" t="inlineStr">
        <is>
          <t>chalearmporn.pu@thaiagri.com</t>
        </is>
      </c>
      <c r="CJ52" s="96" t="inlineStr">
        <is>
          <t>THAI AGRI FOODS PUBLIC COMPANY</t>
        </is>
      </c>
      <c r="CK52" s="96" t="inlineStr">
        <is>
          <t>EXIM PACIFIC LLC. RUSSIA,</t>
        </is>
      </c>
      <c r="CL52" s="96" t="inlineStr">
        <is>
          <t>EXIM PACIFIC LLC. RUSSIA,</t>
        </is>
      </c>
      <c r="CM52" s="97" t="inlineStr">
        <is>
          <t>CLOSED</t>
        </is>
      </c>
      <c r="CN52" s="96" t="inlineStr">
        <is>
          <t>202610121200</t>
        </is>
      </c>
      <c r="CO52" s="96" t="inlineStr">
        <is>
          <t>202610131200</t>
        </is>
      </c>
      <c r="CP52" s="97" t="n"/>
      <c r="CQ52" s="96" t="inlineStr">
        <is>
          <t>R01-2411002</t>
        </is>
      </c>
      <c r="CR52" s="96" t="inlineStr">
        <is>
          <t>THTLH8</t>
        </is>
      </c>
      <c r="CS52" s="96" t="inlineStr">
        <is>
          <t>THAI AGRI FOODS PUBLIC COMPANY LIMITED</t>
        </is>
      </c>
      <c r="CT52" s="96" t="inlineStr">
        <is>
          <t>N</t>
        </is>
      </c>
      <c r="CU52" s="97" t="n"/>
      <c r="CV52" s="97" t="n"/>
      <c r="CW52" s="161" t="inlineStr">
        <is>
          <t>2026-10-15</t>
        </is>
      </c>
      <c r="CX52" s="97" t="inlineStr">
        <is>
          <t>210390</t>
        </is>
      </c>
      <c r="CY52" s="183" t="n"/>
    </row>
    <row r="53" ht="12" customHeight="1">
      <c r="A53" s="116" t="inlineStr">
        <is>
          <t>HASLS22261000742</t>
        </is>
      </c>
      <c r="B53" s="96" t="inlineStr">
        <is>
          <t>40Hx1</t>
        </is>
      </c>
      <c r="C53" s="97" t="n">
        <v>1</v>
      </c>
      <c r="D53" s="97" t="n">
        <v>1</v>
      </c>
      <c r="E53" s="97" t="n"/>
      <c r="F53" s="97" t="n">
        <v>0</v>
      </c>
      <c r="G53" s="97" t="n">
        <v>0</v>
      </c>
      <c r="H53" s="97" t="n">
        <v>0</v>
      </c>
      <c r="I53" s="97" t="n">
        <v>1</v>
      </c>
      <c r="J53" s="97" t="n">
        <v>2</v>
      </c>
      <c r="K53" s="96" t="inlineStr">
        <is>
          <t>N</t>
        </is>
      </c>
      <c r="L53" s="96" t="inlineStr">
        <is>
          <t>KHS1</t>
        </is>
      </c>
      <c r="M53" s="96" t="inlineStr">
        <is>
          <t>SWIC</t>
        </is>
      </c>
      <c r="N53" s="96" t="inlineStr">
        <is>
          <t>2611N</t>
        </is>
      </c>
      <c r="O53" s="96" t="inlineStr">
        <is>
          <t>THBKK</t>
        </is>
      </c>
      <c r="P53" s="96" t="inlineStr">
        <is>
          <t>BKK01</t>
        </is>
      </c>
      <c r="Q53" s="96" t="inlineStr">
        <is>
          <t>IA</t>
        </is>
      </c>
      <c r="R53" s="161" t="inlineStr">
        <is>
          <t>2026-10-16</t>
        </is>
      </c>
      <c r="S53" s="96" t="inlineStr">
        <is>
          <t>VNSGN</t>
        </is>
      </c>
      <c r="T53" s="96" t="inlineStr">
        <is>
          <t>SGN03</t>
        </is>
      </c>
      <c r="U53" s="96" t="inlineStr">
        <is>
          <t>VNSGN</t>
        </is>
      </c>
      <c r="V53" s="161" t="inlineStr">
        <is>
          <t>2026-10-18</t>
        </is>
      </c>
      <c r="W53" s="96" t="inlineStr">
        <is>
          <t>IA</t>
        </is>
      </c>
      <c r="X53" s="97" t="n"/>
      <c r="Y53" s="97" t="n"/>
      <c r="Z53" s="97" t="n"/>
      <c r="AA53" s="96" t="inlineStr">
        <is>
          <t>AIR FIRST ONE LOGISTICS CO., LTD.</t>
        </is>
      </c>
      <c r="AB53" s="96" t="inlineStr">
        <is>
          <t>115 GO COMPANY LIMITED</t>
        </is>
      </c>
      <c r="AC53" s="163" t="n">
        <v>5723.1</v>
      </c>
      <c r="AD53" s="163" t="n">
        <v>9723.1</v>
      </c>
      <c r="AE53" s="96" t="inlineStr">
        <is>
          <t>OK</t>
        </is>
      </c>
      <c r="AF53" s="96" t="inlineStr">
        <is>
          <t>SR</t>
        </is>
      </c>
      <c r="AG53" s="97" t="n"/>
      <c r="AH53" s="96" t="inlineStr">
        <is>
          <t>CHK</t>
        </is>
      </c>
      <c r="AI53" s="97" t="inlineStr">
        <is>
          <t>OK</t>
        </is>
      </c>
      <c r="AJ53" s="97" t="n"/>
      <c r="AK53" s="97" t="n"/>
      <c r="AL53" s="97" t="n"/>
      <c r="AM53" s="96" t="inlineStr">
        <is>
          <t>TH0011</t>
        </is>
      </c>
      <c r="AN53" s="96" t="inlineStr">
        <is>
          <t>Nannaapust Sukporntaweewat</t>
        </is>
      </c>
      <c r="AO53" s="96" t="inlineStr">
        <is>
          <t>MOTOCYCLE PARTS</t>
        </is>
      </c>
      <c r="AP53" s="96" t="inlineStr">
        <is>
          <t>Normal</t>
        </is>
      </c>
      <c r="AQ53" s="97" t="n"/>
      <c r="AR53" s="97" t="n"/>
      <c r="AS53" s="97" t="n"/>
      <c r="AT53" s="97" t="n"/>
      <c r="AU53" s="97" t="n"/>
      <c r="AV53" s="97" t="n"/>
      <c r="AW53" s="97" t="n">
        <v>0</v>
      </c>
      <c r="AX53" s="96" t="inlineStr">
        <is>
          <t>N</t>
        </is>
      </c>
      <c r="AY53" s="97" t="n"/>
      <c r="AZ53" s="96" t="inlineStr">
        <is>
          <t>Pickup : 2026-10-12, Return : 2026-10-12</t>
        </is>
      </c>
      <c r="BA53" s="97" t="n"/>
      <c r="BB53" s="96" t="inlineStr">
        <is>
          <t>P</t>
        </is>
      </c>
      <c r="BC53" s="161" t="inlineStr">
        <is>
          <t>2026-10-08</t>
        </is>
      </c>
      <c r="BD53" s="161" t="inlineStr">
        <is>
          <t>2026-10-13</t>
        </is>
      </c>
      <c r="BE53" s="96" t="inlineStr">
        <is>
          <t>Y</t>
        </is>
      </c>
      <c r="BF53" s="96" t="inlineStr">
        <is>
          <t>MOTOCYCLE PARTS</t>
        </is>
      </c>
      <c r="BG53" s="96" t="inlineStr">
        <is>
          <t>Line</t>
        </is>
      </c>
      <c r="BH53" s="96" t="inlineStr">
        <is>
          <t>S22</t>
        </is>
      </c>
      <c r="BI53" s="97" t="n"/>
      <c r="BJ53" s="97" t="n"/>
      <c r="BK53" s="96" t="inlineStr">
        <is>
          <t>BKK27</t>
        </is>
      </c>
      <c r="BL53" s="161" t="inlineStr">
        <is>
          <t>2026-10-12</t>
        </is>
      </c>
      <c r="BM53" s="127" t="n"/>
      <c r="BN53" s="127" t="n"/>
      <c r="BO53" s="127" t="n"/>
      <c r="BP53" s="127" t="n">
        <v>1</v>
      </c>
      <c r="BQ53" s="127" t="n"/>
      <c r="BR53" s="127" t="n"/>
      <c r="BS53" s="127" t="n"/>
      <c r="BT53" s="127" t="n"/>
      <c r="BU53" s="127" t="n"/>
      <c r="BV53" s="127" t="n"/>
      <c r="BW53" s="127" t="n"/>
      <c r="BX53" s="127" t="n"/>
      <c r="BY53" s="96" t="inlineStr">
        <is>
          <t>FULL</t>
        </is>
      </c>
      <c r="BZ53" s="97" t="n"/>
      <c r="CA53" s="96" t="inlineStr">
        <is>
          <t>Y</t>
        </is>
      </c>
      <c r="CB53" s="97" t="n"/>
      <c r="CC53" s="96" t="inlineStr">
        <is>
          <t>BKK01</t>
        </is>
      </c>
      <c r="CD53" s="97" t="n"/>
      <c r="CE53" s="97" t="n"/>
      <c r="CF53" s="96" t="inlineStr">
        <is>
          <t>0 Teu</t>
        </is>
      </c>
      <c r="CG53" s="96" t="inlineStr">
        <is>
          <t>CY/CY</t>
        </is>
      </c>
      <c r="CH53" s="97" t="n"/>
      <c r="CI53" s="96" t="inlineStr">
        <is>
          <t>ekaphong@airfirstonelogistics.com</t>
        </is>
      </c>
      <c r="CJ53" s="96" t="inlineStr">
        <is>
          <t>AIR FIRST ONE LOGISTICS CO.,LTD.</t>
        </is>
      </c>
      <c r="CK53" s="96" t="inlineStr">
        <is>
          <t>HN GLOBAL LOGISTICS CO.,LTD.</t>
        </is>
      </c>
      <c r="CL53" s="96" t="inlineStr">
        <is>
          <t>HN GLOBAL LOGISTICS CO.,LTD.</t>
        </is>
      </c>
      <c r="CM53" s="97" t="n"/>
      <c r="CN53" s="96" t="inlineStr">
        <is>
          <t>202610121200</t>
        </is>
      </c>
      <c r="CO53" s="96" t="inlineStr">
        <is>
          <t>202610131200</t>
        </is>
      </c>
      <c r="CP53" s="97" t="n"/>
      <c r="CQ53" s="96" t="inlineStr">
        <is>
          <t>S22-2308027</t>
        </is>
      </c>
      <c r="CR53" s="96" t="inlineStr">
        <is>
          <t>THTP31</t>
        </is>
      </c>
      <c r="CS53" s="96" t="inlineStr">
        <is>
          <t>AIR FIRST ONE LOGISTICS CO., LTD.</t>
        </is>
      </c>
      <c r="CT53" s="96" t="inlineStr">
        <is>
          <t>N</t>
        </is>
      </c>
      <c r="CU53" s="97" t="n"/>
      <c r="CV53" s="97" t="n"/>
      <c r="CW53" s="161" t="inlineStr">
        <is>
          <t>2026-10-15</t>
        </is>
      </c>
      <c r="CX53" s="97" t="inlineStr">
        <is>
          <t>871410</t>
        </is>
      </c>
      <c r="CY53" s="183" t="n"/>
    </row>
    <row r="54" ht="12" customHeight="1">
      <c r="A54" s="116" t="inlineStr">
        <is>
          <t>HASLS22260901777</t>
        </is>
      </c>
      <c r="B54" s="96" t="inlineStr">
        <is>
          <t>40Hx1</t>
        </is>
      </c>
      <c r="C54" s="97" t="n">
        <v>1</v>
      </c>
      <c r="D54" s="97" t="n">
        <v>1</v>
      </c>
      <c r="E54" s="97" t="n"/>
      <c r="F54" s="97" t="n">
        <v>0</v>
      </c>
      <c r="G54" s="97" t="n">
        <v>0</v>
      </c>
      <c r="H54" s="97" t="n">
        <v>0</v>
      </c>
      <c r="I54" s="97" t="n">
        <v>1</v>
      </c>
      <c r="J54" s="97" t="n">
        <v>2</v>
      </c>
      <c r="K54" s="96" t="inlineStr">
        <is>
          <t>N</t>
        </is>
      </c>
      <c r="L54" s="96" t="inlineStr">
        <is>
          <t>KHS1</t>
        </is>
      </c>
      <c r="M54" s="96" t="inlineStr">
        <is>
          <t>SWIC</t>
        </is>
      </c>
      <c r="N54" s="96" t="inlineStr">
        <is>
          <t>2611N</t>
        </is>
      </c>
      <c r="O54" s="96" t="inlineStr">
        <is>
          <t>THBKK</t>
        </is>
      </c>
      <c r="P54" s="96" t="inlineStr">
        <is>
          <t>BKK01</t>
        </is>
      </c>
      <c r="Q54" s="96" t="inlineStr">
        <is>
          <t>IA</t>
        </is>
      </c>
      <c r="R54" s="161" t="inlineStr">
        <is>
          <t>2026-10-16</t>
        </is>
      </c>
      <c r="S54" s="96" t="inlineStr">
        <is>
          <t>JPMYJ</t>
        </is>
      </c>
      <c r="T54" s="96" t="inlineStr">
        <is>
          <t>MYJ01</t>
        </is>
      </c>
      <c r="U54" s="96" t="inlineStr">
        <is>
          <t>JPMYJ</t>
        </is>
      </c>
      <c r="V54" s="161" t="inlineStr">
        <is>
          <t>2026-10-30</t>
        </is>
      </c>
      <c r="W54" s="96" t="inlineStr">
        <is>
          <t>JP</t>
        </is>
      </c>
      <c r="X54" s="97" t="n"/>
      <c r="Y54" s="97" t="inlineStr">
        <is>
          <t>PUS05</t>
        </is>
      </c>
      <c r="Z54" s="97" t="inlineStr">
        <is>
          <t>KRPUS</t>
        </is>
      </c>
      <c r="AA54" s="96" t="inlineStr">
        <is>
          <t>MULFRO (THAILAND) CO., LTD.</t>
        </is>
      </c>
      <c r="AB54" s="96" t="inlineStr">
        <is>
          <t>MULFRO (THAILAND) CO., LTD.</t>
        </is>
      </c>
      <c r="AC54" s="163" t="n">
        <v>24500</v>
      </c>
      <c r="AD54" s="163" t="n">
        <v>28500</v>
      </c>
      <c r="AE54" s="96" t="inlineStr">
        <is>
          <t>OK</t>
        </is>
      </c>
      <c r="AF54" s="96" t="n"/>
      <c r="AG54" s="97" t="n"/>
      <c r="AH54" s="96" t="inlineStr">
        <is>
          <t>CHK</t>
        </is>
      </c>
      <c r="AI54" s="97" t="inlineStr">
        <is>
          <t>OK</t>
        </is>
      </c>
      <c r="AJ54" s="97" t="n"/>
      <c r="AK54" s="97" t="n"/>
      <c r="AL54" s="97" t="n"/>
      <c r="AM54" s="96" t="inlineStr">
        <is>
          <t>TBKK19</t>
        </is>
      </c>
      <c r="AN54" s="96" t="inlineStr">
        <is>
          <t>Kanokporn</t>
        </is>
      </c>
      <c r="AO54" s="96" t="inlineStr">
        <is>
          <t>DRIED SALTED JELLYFISH</t>
        </is>
      </c>
      <c r="AP54" s="96" t="inlineStr">
        <is>
          <t>T/S</t>
        </is>
      </c>
      <c r="AQ54" s="97" t="n"/>
      <c r="AR54" s="97" t="n"/>
      <c r="AS54" s="97" t="n"/>
      <c r="AT54" s="97" t="n"/>
      <c r="AU54" s="97" t="n"/>
      <c r="AV54" s="97" t="n"/>
      <c r="AW54" s="97" t="n">
        <v>0</v>
      </c>
      <c r="AX54" s="96" t="inlineStr">
        <is>
          <t>N</t>
        </is>
      </c>
      <c r="AY54" s="97" t="n"/>
      <c r="AZ54" s="96" t="inlineStr">
        <is>
          <t>Pickup : 2026-10-07, Return : 2026-10-09 // FM PGPO 2612N BY HAL DD.05/10</t>
        </is>
      </c>
      <c r="BA54" s="97" t="inlineStr">
        <is>
          <t>FM PGPO 2612N BY HAL DD.05/10CLEAN, UNDER DECK, RQST CNTR GRADE A MAX 32.5 TONS</t>
        </is>
      </c>
      <c r="BB54" s="96" t="inlineStr">
        <is>
          <t>P</t>
        </is>
      </c>
      <c r="BC54" s="161" t="inlineStr">
        <is>
          <t>2026-09-19</t>
        </is>
      </c>
      <c r="BD54" s="161" t="inlineStr">
        <is>
          <t>2026-10-08</t>
        </is>
      </c>
      <c r="BE54" s="96" t="inlineStr">
        <is>
          <t>Y</t>
        </is>
      </c>
      <c r="BF54" s="96" t="inlineStr">
        <is>
          <t>DRIED SALTED JELLY FISH</t>
        </is>
      </c>
      <c r="BG54" s="96" t="inlineStr">
        <is>
          <t>Line</t>
        </is>
      </c>
      <c r="BH54" s="96" t="inlineStr">
        <is>
          <t>S22</t>
        </is>
      </c>
      <c r="BI54" s="97" t="n"/>
      <c r="BJ54" s="97" t="n"/>
      <c r="BK54" s="96" t="inlineStr">
        <is>
          <t>BKK27</t>
        </is>
      </c>
      <c r="BL54" s="161" t="inlineStr">
        <is>
          <t>2026-10-07</t>
        </is>
      </c>
      <c r="BM54" s="127" t="n"/>
      <c r="BN54" s="127" t="n"/>
      <c r="BO54" s="127" t="n"/>
      <c r="BP54" s="127" t="n">
        <v>1</v>
      </c>
      <c r="BQ54" s="127" t="n"/>
      <c r="BR54" s="127" t="n"/>
      <c r="BS54" s="127" t="n"/>
      <c r="BT54" s="127" t="n"/>
      <c r="BU54" s="127" t="n"/>
      <c r="BV54" s="127" t="n"/>
      <c r="BW54" s="127" t="n"/>
      <c r="BX54" s="127" t="n"/>
      <c r="BY54" s="96" t="inlineStr">
        <is>
          <t>FULL</t>
        </is>
      </c>
      <c r="BZ54" s="97" t="n">
        <v>3</v>
      </c>
      <c r="CA54" s="96" t="inlineStr">
        <is>
          <t>Y</t>
        </is>
      </c>
      <c r="CB54" s="97" t="n"/>
      <c r="CC54" s="96" t="inlineStr">
        <is>
          <t>BKK01</t>
        </is>
      </c>
      <c r="CD54" s="97" t="n"/>
      <c r="CE54" s="97" t="n"/>
      <c r="CF54" s="96" t="inlineStr">
        <is>
          <t>0 Teu</t>
        </is>
      </c>
      <c r="CG54" s="96" t="inlineStr">
        <is>
          <t>CY/CY</t>
        </is>
      </c>
      <c r="CH54" s="97" t="inlineStr">
        <is>
          <t>POL: THBKK [SWIC/2611N]; T/S(1st): KRPUS [HSWH/2661E]; POD: JPMYJ [/]</t>
        </is>
      </c>
      <c r="CI54" s="96" t="inlineStr">
        <is>
          <t>artorn@live.com</t>
        </is>
      </c>
      <c r="CJ54" s="96" t="inlineStr">
        <is>
          <t>MULFRO (THAILAND) CO., LTD.</t>
        </is>
      </c>
      <c r="CK54" s="96" t="inlineStr">
        <is>
          <t>TO ORDER OF SHIPPER</t>
        </is>
      </c>
      <c r="CL54" s="96" t="inlineStr">
        <is>
          <t>PROGRESS INTERNATIONAL CORP.,</t>
        </is>
      </c>
      <c r="CM54" s="97" t="n"/>
      <c r="CN54" s="96" t="inlineStr">
        <is>
          <t>202610121200</t>
        </is>
      </c>
      <c r="CO54" s="96" t="inlineStr">
        <is>
          <t>202610131200</t>
        </is>
      </c>
      <c r="CP54" s="97" t="n"/>
      <c r="CQ54" s="96" t="inlineStr">
        <is>
          <t>S22-2404029</t>
        </is>
      </c>
      <c r="CR54" s="96" t="inlineStr">
        <is>
          <t>TH02MX</t>
        </is>
      </c>
      <c r="CS54" s="96" t="inlineStr">
        <is>
          <t>MULFRO (THAILAND) CO., LTD.</t>
        </is>
      </c>
      <c r="CT54" s="96" t="inlineStr">
        <is>
          <t>N</t>
        </is>
      </c>
      <c r="CU54" s="97" t="n"/>
      <c r="CV54" s="97" t="n"/>
      <c r="CW54" s="161" t="inlineStr">
        <is>
          <t>2026-10-15</t>
        </is>
      </c>
      <c r="CX54" s="97" t="inlineStr">
        <is>
          <t>030830</t>
        </is>
      </c>
      <c r="CY54" s="183" t="n"/>
    </row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44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HLHU8364480</t>
        </is>
      </c>
      <c r="B2" s="108" t="inlineStr">
        <is>
          <t>BKK01</t>
        </is>
      </c>
      <c r="C2" s="108" t="inlineStr">
        <is>
          <t>IFV</t>
        </is>
      </c>
      <c r="D2" s="172" t="inlineStr">
        <is>
          <t>2026-10-13</t>
        </is>
      </c>
      <c r="E2" s="173" t="inlineStr">
        <is>
          <t>1857</t>
        </is>
      </c>
      <c r="F2" s="96" t="inlineStr">
        <is>
          <t>HASLS22261000948</t>
        </is>
      </c>
      <c r="G2" s="96" t="inlineStr">
        <is>
          <t>BIRLA CARBON (THAILAND) PUBLIC COMPANY LIMITED</t>
        </is>
      </c>
      <c r="H2" s="111" t="inlineStr">
        <is>
          <t>45GP</t>
        </is>
      </c>
      <c r="I2" s="96" t="inlineStr">
        <is>
          <t>HASLS22261000949</t>
        </is>
      </c>
      <c r="J2" s="96" t="inlineStr">
        <is>
          <t>Chuanchuen</t>
        </is>
      </c>
      <c r="K2" s="96" t="inlineStr">
        <is>
          <t>SD</t>
        </is>
      </c>
      <c r="L2" s="111" t="inlineStr">
        <is>
          <t>Full</t>
        </is>
      </c>
      <c r="M2" s="96" t="inlineStr">
        <is>
          <t>HASLS22261000948</t>
        </is>
      </c>
      <c r="N2" s="96" t="inlineStr">
        <is>
          <t xml:space="preserve">40Hx4 </t>
        </is>
      </c>
      <c r="O2" s="111" t="inlineStr">
        <is>
          <t>2023</t>
        </is>
      </c>
      <c r="P2" s="111" t="n"/>
      <c r="Q2" s="111" t="n"/>
      <c r="R2" s="96" t="n"/>
      <c r="S2" s="96" t="n"/>
      <c r="T2" s="96" t="inlineStr">
        <is>
          <t>BKK01</t>
        </is>
      </c>
      <c r="U2" s="96" t="inlineStr">
        <is>
          <t>THBKK</t>
        </is>
      </c>
      <c r="V2" s="161" t="inlineStr">
        <is>
          <t>2026-10-16</t>
        </is>
      </c>
      <c r="W2" s="96" t="inlineStr">
        <is>
          <t>VNSGN</t>
        </is>
      </c>
      <c r="X2" s="161" t="inlineStr">
        <is>
          <t>2026-10-18</t>
        </is>
      </c>
      <c r="Y2" s="97" t="n"/>
      <c r="Z2" s="97" t="n"/>
      <c r="AA2" s="97" t="n"/>
      <c r="AB2" s="97" t="n"/>
      <c r="AC2" s="97" t="n"/>
      <c r="AD2" s="161" t="inlineStr">
        <is>
          <t>2026-10-15</t>
        </is>
      </c>
      <c r="AE2" s="174" t="inlineStr">
        <is>
          <t>1115</t>
        </is>
      </c>
      <c r="AF2" s="96" t="inlineStr">
        <is>
          <t>TBKK07</t>
        </is>
      </c>
      <c r="AG2" s="97" t="n"/>
      <c r="AH2" s="97" t="n"/>
      <c r="AI2" s="97" t="n"/>
      <c r="AJ2" s="96" t="inlineStr">
        <is>
          <t>SAILUN (VIETNAM) CO.,LTD</t>
        </is>
      </c>
      <c r="AK2" s="130" t="n">
        <v>0</v>
      </c>
    </row>
    <row r="3" ht="12" customHeight="1">
      <c r="A3" s="108" t="inlineStr">
        <is>
          <t>BEAU2356214</t>
        </is>
      </c>
      <c r="B3" s="108" t="inlineStr">
        <is>
          <t>BKK04</t>
        </is>
      </c>
      <c r="C3" s="108" t="inlineStr">
        <is>
          <t>IFV</t>
        </is>
      </c>
      <c r="D3" s="172" t="inlineStr">
        <is>
          <t>2026-10-03</t>
        </is>
      </c>
      <c r="E3" s="173" t="inlineStr">
        <is>
          <t>1216</t>
        </is>
      </c>
      <c r="F3" s="96" t="inlineStr">
        <is>
          <t>HASLS22260801865</t>
        </is>
      </c>
      <c r="G3" s="96" t="inlineStr">
        <is>
          <t>STARFISH CO., LTD.</t>
        </is>
      </c>
      <c r="H3" s="111" t="inlineStr">
        <is>
          <t>22GP</t>
        </is>
      </c>
      <c r="I3" s="96" t="n"/>
      <c r="J3" s="96" t="inlineStr">
        <is>
          <t>Sirichai Prayochananon</t>
        </is>
      </c>
      <c r="K3" s="96" t="inlineStr">
        <is>
          <t>SD</t>
        </is>
      </c>
      <c r="L3" s="111" t="inlineStr">
        <is>
          <t>Full</t>
        </is>
      </c>
      <c r="M3" s="96" t="inlineStr">
        <is>
          <t>HASLS22260801865</t>
        </is>
      </c>
      <c r="N3" s="96" t="inlineStr">
        <is>
          <t xml:space="preserve">20'x10 </t>
        </is>
      </c>
      <c r="O3" s="111" t="inlineStr">
        <is>
          <t>2014</t>
        </is>
      </c>
      <c r="P3" s="111" t="n"/>
      <c r="Q3" s="111" t="n"/>
      <c r="R3" s="96" t="n"/>
      <c r="S3" s="96" t="n"/>
      <c r="T3" s="96" t="inlineStr">
        <is>
          <t>BKK01</t>
        </is>
      </c>
      <c r="U3" s="96" t="inlineStr">
        <is>
          <t>THBKK</t>
        </is>
      </c>
      <c r="V3" s="161" t="inlineStr">
        <is>
          <t>2026-10-16</t>
        </is>
      </c>
      <c r="W3" s="96" t="inlineStr">
        <is>
          <t>JPSEN</t>
        </is>
      </c>
      <c r="X3" s="161" t="inlineStr">
        <is>
          <t>2026-10-25</t>
        </is>
      </c>
      <c r="Y3" s="97" t="n"/>
      <c r="Z3" s="97" t="n"/>
      <c r="AA3" s="97" t="n"/>
      <c r="AB3" s="97" t="n"/>
      <c r="AC3" s="97" t="n"/>
      <c r="AD3" s="161" t="inlineStr">
        <is>
          <t>2026-10-04</t>
        </is>
      </c>
      <c r="AE3" s="174" t="inlineStr">
        <is>
          <t>2005</t>
        </is>
      </c>
      <c r="AF3" s="96" t="inlineStr">
        <is>
          <t>TBKK42</t>
        </is>
      </c>
      <c r="AG3" s="97" t="n"/>
      <c r="AH3" s="97" t="n"/>
      <c r="AI3" s="97" t="n"/>
      <c r="AJ3" s="96" t="inlineStr">
        <is>
          <t>TO ORDER OF NISSUI CORPORATION.</t>
        </is>
      </c>
      <c r="AK3" s="130" t="n">
        <v>0</v>
      </c>
    </row>
    <row r="4" ht="12" customHeight="1">
      <c r="A4" s="108" t="inlineStr">
        <is>
          <t>BEAU2478233</t>
        </is>
      </c>
      <c r="B4" s="108" t="inlineStr">
        <is>
          <t>BKK01</t>
        </is>
      </c>
      <c r="C4" s="108" t="inlineStr">
        <is>
          <t>IFV</t>
        </is>
      </c>
      <c r="D4" s="172" t="inlineStr">
        <is>
          <t>2026-10-12</t>
        </is>
      </c>
      <c r="E4" s="173" t="inlineStr">
        <is>
          <t>1137</t>
        </is>
      </c>
      <c r="F4" s="96" t="inlineStr">
        <is>
          <t>HASLS22260801161</t>
        </is>
      </c>
      <c r="G4" s="96" t="inlineStr">
        <is>
          <t>MEGALOAD DEVELOPMENT LOGISTICS CO., LTD.</t>
        </is>
      </c>
      <c r="H4" s="111" t="inlineStr">
        <is>
          <t>22GP</t>
        </is>
      </c>
      <c r="I4" s="96" t="n"/>
      <c r="J4" s="96" t="inlineStr">
        <is>
          <t>Chuanchuen</t>
        </is>
      </c>
      <c r="K4" s="96" t="inlineStr">
        <is>
          <t>SD</t>
        </is>
      </c>
      <c r="L4" s="111" t="inlineStr">
        <is>
          <t>Full</t>
        </is>
      </c>
      <c r="M4" s="96" t="inlineStr">
        <is>
          <t>HASLS22260801161</t>
        </is>
      </c>
      <c r="N4" s="96" t="inlineStr">
        <is>
          <t xml:space="preserve">20'x13 </t>
        </is>
      </c>
      <c r="O4" s="111" t="inlineStr">
        <is>
          <t>2015</t>
        </is>
      </c>
      <c r="P4" s="111" t="n"/>
      <c r="Q4" s="111" t="n"/>
      <c r="R4" s="96" t="n"/>
      <c r="S4" s="96" t="n"/>
      <c r="T4" s="96" t="inlineStr">
        <is>
          <t>BKK01</t>
        </is>
      </c>
      <c r="U4" s="96" t="inlineStr">
        <is>
          <t>THBKK</t>
        </is>
      </c>
      <c r="V4" s="161" t="inlineStr">
        <is>
          <t>2026-10-16</t>
        </is>
      </c>
      <c r="W4" s="96" t="inlineStr">
        <is>
          <t>JPKSM</t>
        </is>
      </c>
      <c r="X4" s="161" t="inlineStr">
        <is>
          <t>2026-10-25</t>
        </is>
      </c>
      <c r="Y4" s="97" t="n"/>
      <c r="Z4" s="97" t="n"/>
      <c r="AA4" s="97" t="n"/>
      <c r="AB4" s="97" t="n"/>
      <c r="AC4" s="97" t="n"/>
      <c r="AD4" s="161" t="inlineStr">
        <is>
          <t>2026-10-12</t>
        </is>
      </c>
      <c r="AE4" s="174" t="inlineStr">
        <is>
          <t>1909</t>
        </is>
      </c>
      <c r="AF4" s="96" t="inlineStr">
        <is>
          <t>TBKK07</t>
        </is>
      </c>
      <c r="AG4" s="97" t="n"/>
      <c r="AH4" s="97" t="n"/>
      <c r="AI4" s="97" t="n"/>
      <c r="AJ4" s="96" t="inlineStr">
        <is>
          <t>SANSHO CO., LTD.</t>
        </is>
      </c>
      <c r="AK4" s="130" t="n">
        <v>0</v>
      </c>
    </row>
    <row r="5" ht="12" customHeight="1">
      <c r="A5" s="108" t="inlineStr">
        <is>
          <t>BEAU2860246</t>
        </is>
      </c>
      <c r="B5" s="108" t="inlineStr">
        <is>
          <t>BKK01</t>
        </is>
      </c>
      <c r="C5" s="108" t="inlineStr">
        <is>
          <t>IFV</t>
        </is>
      </c>
      <c r="D5" s="172" t="inlineStr">
        <is>
          <t>2026-10-13</t>
        </is>
      </c>
      <c r="E5" s="173" t="inlineStr">
        <is>
          <t>0909</t>
        </is>
      </c>
      <c r="F5" s="96" t="inlineStr">
        <is>
          <t>HASLS22260801161</t>
        </is>
      </c>
      <c r="G5" s="96" t="inlineStr">
        <is>
          <t>MEGALOAD DEVELOPMENT LOGISTICS CO., LTD.</t>
        </is>
      </c>
      <c r="H5" s="111" t="inlineStr">
        <is>
          <t>22GP</t>
        </is>
      </c>
      <c r="I5" s="96" t="n"/>
      <c r="J5" s="96" t="inlineStr">
        <is>
          <t>Sirichai Prayochananon</t>
        </is>
      </c>
      <c r="K5" s="96" t="inlineStr">
        <is>
          <t>SD</t>
        </is>
      </c>
      <c r="L5" s="111" t="inlineStr">
        <is>
          <t>Full</t>
        </is>
      </c>
      <c r="M5" s="96" t="inlineStr">
        <is>
          <t>HASLS22260801161</t>
        </is>
      </c>
      <c r="N5" s="96" t="inlineStr">
        <is>
          <t xml:space="preserve">20'x13 </t>
        </is>
      </c>
      <c r="O5" s="111" t="inlineStr">
        <is>
          <t>2016</t>
        </is>
      </c>
      <c r="P5" s="111" t="n"/>
      <c r="Q5" s="111" t="n"/>
      <c r="R5" s="96" t="n"/>
      <c r="S5" s="96" t="n"/>
      <c r="T5" s="96" t="inlineStr">
        <is>
          <t>BKK01</t>
        </is>
      </c>
      <c r="U5" s="96" t="inlineStr">
        <is>
          <t>THBKK</t>
        </is>
      </c>
      <c r="V5" s="161" t="inlineStr">
        <is>
          <t>2026-10-16</t>
        </is>
      </c>
      <c r="W5" s="96" t="inlineStr">
        <is>
          <t>JPKSM</t>
        </is>
      </c>
      <c r="X5" s="161" t="inlineStr">
        <is>
          <t>2026-10-25</t>
        </is>
      </c>
      <c r="Y5" s="97" t="n"/>
      <c r="Z5" s="97" t="n"/>
      <c r="AA5" s="97" t="n"/>
      <c r="AB5" s="97" t="n"/>
      <c r="AC5" s="97" t="n"/>
      <c r="AD5" s="161" t="inlineStr">
        <is>
          <t>2026-10-14</t>
        </is>
      </c>
      <c r="AE5" s="174" t="inlineStr">
        <is>
          <t>0021</t>
        </is>
      </c>
      <c r="AF5" s="96" t="inlineStr">
        <is>
          <t>TBKK42</t>
        </is>
      </c>
      <c r="AG5" s="97" t="n"/>
      <c r="AH5" s="97" t="n"/>
      <c r="AI5" s="97" t="n"/>
      <c r="AJ5" s="96" t="inlineStr">
        <is>
          <t>SANSHO CO., LTD.</t>
        </is>
      </c>
      <c r="AK5" s="130" t="n">
        <v>0</v>
      </c>
    </row>
    <row r="6" ht="12" customHeight="1">
      <c r="A6" s="108" t="inlineStr">
        <is>
          <t>BEAU2862260</t>
        </is>
      </c>
      <c r="B6" s="108" t="inlineStr">
        <is>
          <t>BKK04</t>
        </is>
      </c>
      <c r="C6" s="108" t="inlineStr">
        <is>
          <t>IFV</t>
        </is>
      </c>
      <c r="D6" s="172" t="inlineStr">
        <is>
          <t>2026-10-03</t>
        </is>
      </c>
      <c r="E6" s="173" t="inlineStr">
        <is>
          <t>1021</t>
        </is>
      </c>
      <c r="F6" s="96" t="inlineStr">
        <is>
          <t>HASLS22260801865</t>
        </is>
      </c>
      <c r="G6" s="96" t="inlineStr">
        <is>
          <t>STARFISH CO., LTD.</t>
        </is>
      </c>
      <c r="H6" s="111" t="inlineStr">
        <is>
          <t>22GP</t>
        </is>
      </c>
      <c r="I6" s="96" t="n"/>
      <c r="J6" s="96" t="inlineStr">
        <is>
          <t>Sirichai Prayochananon</t>
        </is>
      </c>
      <c r="K6" s="96" t="inlineStr">
        <is>
          <t>SD</t>
        </is>
      </c>
      <c r="L6" s="111" t="inlineStr">
        <is>
          <t>Full</t>
        </is>
      </c>
      <c r="M6" s="96" t="inlineStr">
        <is>
          <t>HASLS22260801865</t>
        </is>
      </c>
      <c r="N6" s="96" t="inlineStr">
        <is>
          <t xml:space="preserve">20'x10 </t>
        </is>
      </c>
      <c r="O6" s="111" t="inlineStr">
        <is>
          <t>2016</t>
        </is>
      </c>
      <c r="P6" s="111" t="n"/>
      <c r="Q6" s="111" t="n"/>
      <c r="R6" s="96" t="n"/>
      <c r="S6" s="96" t="n"/>
      <c r="T6" s="96" t="inlineStr">
        <is>
          <t>BKK01</t>
        </is>
      </c>
      <c r="U6" s="96" t="inlineStr">
        <is>
          <t>THBKK</t>
        </is>
      </c>
      <c r="V6" s="161" t="inlineStr">
        <is>
          <t>2026-10-16</t>
        </is>
      </c>
      <c r="W6" s="96" t="inlineStr">
        <is>
          <t>JPSEN</t>
        </is>
      </c>
      <c r="X6" s="161" t="inlineStr">
        <is>
          <t>2026-10-25</t>
        </is>
      </c>
      <c r="Y6" s="97" t="n"/>
      <c r="Z6" s="97" t="n"/>
      <c r="AA6" s="97" t="n"/>
      <c r="AB6" s="97" t="n"/>
      <c r="AC6" s="97" t="n"/>
      <c r="AD6" s="161" t="inlineStr">
        <is>
          <t>2026-10-04</t>
        </is>
      </c>
      <c r="AE6" s="174" t="inlineStr">
        <is>
          <t>2005</t>
        </is>
      </c>
      <c r="AF6" s="96" t="inlineStr">
        <is>
          <t>TBKK42</t>
        </is>
      </c>
      <c r="AG6" s="97" t="n"/>
      <c r="AH6" s="97" t="n"/>
      <c r="AI6" s="97" t="n"/>
      <c r="AJ6" s="96" t="inlineStr">
        <is>
          <t>TO ORDER OF NISSUI CORPORATION.</t>
        </is>
      </c>
      <c r="AK6" s="130" t="n">
        <v>0</v>
      </c>
    </row>
    <row r="7" ht="12" customHeight="1">
      <c r="A7" s="108" t="inlineStr">
        <is>
          <t>DFSU3102843</t>
        </is>
      </c>
      <c r="B7" s="108" t="inlineStr">
        <is>
          <t>BKK01</t>
        </is>
      </c>
      <c r="C7" s="108" t="inlineStr">
        <is>
          <t>IFV</t>
        </is>
      </c>
      <c r="D7" s="172" t="inlineStr">
        <is>
          <t>2026-10-12</t>
        </is>
      </c>
      <c r="E7" s="173" t="inlineStr">
        <is>
          <t>1143</t>
        </is>
      </c>
      <c r="F7" s="96" t="inlineStr">
        <is>
          <t>HASLS22260801161</t>
        </is>
      </c>
      <c r="G7" s="96" t="inlineStr">
        <is>
          <t>MEGALOAD DEVELOPMENT LOGISTICS CO., LTD.</t>
        </is>
      </c>
      <c r="H7" s="111" t="inlineStr">
        <is>
          <t>22GP</t>
        </is>
      </c>
      <c r="I7" s="96" t="n"/>
      <c r="J7" s="96" t="inlineStr">
        <is>
          <t>Chuanchuen</t>
        </is>
      </c>
      <c r="K7" s="96" t="inlineStr">
        <is>
          <t>SD</t>
        </is>
      </c>
      <c r="L7" s="111" t="inlineStr">
        <is>
          <t>Full</t>
        </is>
      </c>
      <c r="M7" s="96" t="inlineStr">
        <is>
          <t>HASLS22260801161</t>
        </is>
      </c>
      <c r="N7" s="96" t="inlineStr">
        <is>
          <t xml:space="preserve">20'x13 </t>
        </is>
      </c>
      <c r="O7" s="111" t="inlineStr">
        <is>
          <t>2015</t>
        </is>
      </c>
      <c r="P7" s="111" t="n"/>
      <c r="Q7" s="111" t="n"/>
      <c r="R7" s="96" t="n"/>
      <c r="S7" s="96" t="n"/>
      <c r="T7" s="96" t="inlineStr">
        <is>
          <t>BKK01</t>
        </is>
      </c>
      <c r="U7" s="96" t="inlineStr">
        <is>
          <t>THBKK</t>
        </is>
      </c>
      <c r="V7" s="161" t="inlineStr">
        <is>
          <t>2026-10-16</t>
        </is>
      </c>
      <c r="W7" s="96" t="inlineStr">
        <is>
          <t>JPKSM</t>
        </is>
      </c>
      <c r="X7" s="161" t="inlineStr">
        <is>
          <t>2026-10-25</t>
        </is>
      </c>
      <c r="Y7" s="97" t="n"/>
      <c r="Z7" s="97" t="n"/>
      <c r="AA7" s="97" t="n"/>
      <c r="AB7" s="97" t="n"/>
      <c r="AC7" s="97" t="n"/>
      <c r="AD7" s="161" t="inlineStr">
        <is>
          <t>2026-10-12</t>
        </is>
      </c>
      <c r="AE7" s="174" t="inlineStr">
        <is>
          <t>1909</t>
        </is>
      </c>
      <c r="AF7" s="96" t="inlineStr">
        <is>
          <t>TBKK07</t>
        </is>
      </c>
      <c r="AG7" s="97" t="n"/>
      <c r="AH7" s="97" t="n"/>
      <c r="AI7" s="97" t="n"/>
      <c r="AJ7" s="96" t="inlineStr">
        <is>
          <t>SANSHO CO., LTD.</t>
        </is>
      </c>
      <c r="AK7" s="130" t="n">
        <v>0</v>
      </c>
    </row>
    <row r="8" ht="12" customHeight="1">
      <c r="A8" s="108" t="inlineStr">
        <is>
          <t>FCIU7282708</t>
        </is>
      </c>
      <c r="B8" s="108" t="inlineStr">
        <is>
          <t>BKK01</t>
        </is>
      </c>
      <c r="C8" s="108" t="inlineStr">
        <is>
          <t>IFV</t>
        </is>
      </c>
      <c r="D8" s="172" t="inlineStr">
        <is>
          <t>2026-10-12</t>
        </is>
      </c>
      <c r="E8" s="173" t="inlineStr">
        <is>
          <t>0146</t>
        </is>
      </c>
      <c r="F8" s="96" t="inlineStr">
        <is>
          <t>HASLS22260902182</t>
        </is>
      </c>
      <c r="G8" s="96" t="inlineStr">
        <is>
          <t>BIRLA CARBON (THAILAND) PUBLIC COMPANY LIMITED</t>
        </is>
      </c>
      <c r="H8" s="111" t="inlineStr">
        <is>
          <t>45GP</t>
        </is>
      </c>
      <c r="I8" s="96" t="n"/>
      <c r="J8" s="96" t="inlineStr">
        <is>
          <t>Chuanchuen</t>
        </is>
      </c>
      <c r="K8" s="96" t="inlineStr">
        <is>
          <t>SD</t>
        </is>
      </c>
      <c r="L8" s="111" t="inlineStr">
        <is>
          <t>Full</t>
        </is>
      </c>
      <c r="M8" s="96" t="inlineStr">
        <is>
          <t>HASLS22260902182</t>
        </is>
      </c>
      <c r="N8" s="96" t="inlineStr">
        <is>
          <t xml:space="preserve">40Hx10 </t>
        </is>
      </c>
      <c r="O8" s="111" t="inlineStr">
        <is>
          <t>2017</t>
        </is>
      </c>
      <c r="P8" s="111" t="n"/>
      <c r="Q8" s="111" t="n"/>
      <c r="R8" s="96" t="n"/>
      <c r="S8" s="96" t="n"/>
      <c r="T8" s="96" t="inlineStr">
        <is>
          <t>BKK01</t>
        </is>
      </c>
      <c r="U8" s="96" t="inlineStr">
        <is>
          <t>THBKK</t>
        </is>
      </c>
      <c r="V8" s="161" t="inlineStr">
        <is>
          <t>2026-10-16</t>
        </is>
      </c>
      <c r="W8" s="96" t="inlineStr">
        <is>
          <t>VNSGN</t>
        </is>
      </c>
      <c r="X8" s="161" t="inlineStr">
        <is>
          <t>2026-10-18</t>
        </is>
      </c>
      <c r="Y8" s="97" t="n"/>
      <c r="Z8" s="97" t="n"/>
      <c r="AA8" s="97" t="n"/>
      <c r="AB8" s="97" t="n"/>
      <c r="AC8" s="97" t="n"/>
      <c r="AD8" s="161" t="inlineStr">
        <is>
          <t>2026-10-12</t>
        </is>
      </c>
      <c r="AE8" s="174" t="inlineStr">
        <is>
          <t>0955</t>
        </is>
      </c>
      <c r="AF8" s="96" t="inlineStr">
        <is>
          <t>TBKK07</t>
        </is>
      </c>
      <c r="AG8" s="97" t="n"/>
      <c r="AH8" s="97" t="n"/>
      <c r="AI8" s="97" t="n"/>
      <c r="AJ8" s="96" t="inlineStr">
        <is>
          <t>CART TIRE CO., LTD</t>
        </is>
      </c>
      <c r="AK8" s="130" t="n">
        <v>0</v>
      </c>
    </row>
    <row r="9" ht="12" customHeight="1">
      <c r="A9" s="108" t="inlineStr">
        <is>
          <t>FSCU5888721</t>
        </is>
      </c>
      <c r="B9" s="108" t="inlineStr">
        <is>
          <t>BKK01</t>
        </is>
      </c>
      <c r="C9" s="108" t="inlineStr">
        <is>
          <t>IFV</t>
        </is>
      </c>
      <c r="D9" s="172" t="inlineStr">
        <is>
          <t>2026-10-12</t>
        </is>
      </c>
      <c r="E9" s="173" t="inlineStr">
        <is>
          <t>2152</t>
        </is>
      </c>
      <c r="F9" s="96" t="inlineStr">
        <is>
          <t>HASLS22260902791</t>
        </is>
      </c>
      <c r="G9" s="96" t="inlineStr">
        <is>
          <t>VENTE TRADE CO.,LTD.</t>
        </is>
      </c>
      <c r="H9" s="111" t="inlineStr">
        <is>
          <t>45RE</t>
        </is>
      </c>
      <c r="I9" s="96" t="n"/>
      <c r="J9" s="96" t="inlineStr">
        <is>
          <t>Sirichai Prayochananon</t>
        </is>
      </c>
      <c r="K9" s="96" t="inlineStr">
        <is>
          <t>SD</t>
        </is>
      </c>
      <c r="L9" s="111" t="inlineStr">
        <is>
          <t>Full</t>
        </is>
      </c>
      <c r="M9" s="96" t="inlineStr">
        <is>
          <t>HASLS22260902791</t>
        </is>
      </c>
      <c r="N9" s="96" t="inlineStr">
        <is>
          <t xml:space="preserve">R40Hx7 </t>
        </is>
      </c>
      <c r="O9" s="111" t="inlineStr">
        <is>
          <t>2020</t>
        </is>
      </c>
      <c r="P9" s="111" t="inlineStr">
        <is>
          <t>CARRIER</t>
        </is>
      </c>
      <c r="Q9" s="111" t="inlineStr">
        <is>
          <t>69NT40-561-500</t>
        </is>
      </c>
      <c r="R9" s="96" t="n"/>
      <c r="S9" s="96" t="n"/>
      <c r="T9" s="96" t="inlineStr">
        <is>
          <t>BKK01</t>
        </is>
      </c>
      <c r="U9" s="96" t="inlineStr">
        <is>
          <t>THBKK</t>
        </is>
      </c>
      <c r="V9" s="161" t="inlineStr">
        <is>
          <t>2026-10-16</t>
        </is>
      </c>
      <c r="W9" s="96" t="inlineStr">
        <is>
          <t>RUVVO</t>
        </is>
      </c>
      <c r="X9" s="161" t="inlineStr">
        <is>
          <t>2026-10-25</t>
        </is>
      </c>
      <c r="Y9" s="97" t="n"/>
      <c r="Z9" s="97" t="n"/>
      <c r="AA9" s="97" t="n"/>
      <c r="AB9" s="97" t="n"/>
      <c r="AC9" s="97" t="n"/>
      <c r="AD9" s="161" t="inlineStr">
        <is>
          <t>2026-10-14</t>
        </is>
      </c>
      <c r="AE9" s="174" t="inlineStr">
        <is>
          <t>0021</t>
        </is>
      </c>
      <c r="AF9" s="96" t="inlineStr">
        <is>
          <t>TBKK42</t>
        </is>
      </c>
      <c r="AG9" s="97" t="n"/>
      <c r="AH9" s="97" t="n"/>
      <c r="AI9" s="97" t="n"/>
      <c r="AJ9" s="96" t="inlineStr">
        <is>
          <t>RVI (RUSSIAN VENTURE INVESTMENTS)</t>
        </is>
      </c>
      <c r="AK9" s="130" t="n">
        <v>0</v>
      </c>
    </row>
    <row r="10" ht="12" customHeight="1">
      <c r="A10" s="108" t="inlineStr">
        <is>
          <t>FSCU5892085</t>
        </is>
      </c>
      <c r="B10" s="108" t="inlineStr">
        <is>
          <t>BKK01</t>
        </is>
      </c>
      <c r="C10" s="108" t="inlineStr">
        <is>
          <t>IFV</t>
        </is>
      </c>
      <c r="D10" s="172" t="inlineStr">
        <is>
          <t>2026-10-12</t>
        </is>
      </c>
      <c r="E10" s="173" t="inlineStr">
        <is>
          <t>2207</t>
        </is>
      </c>
      <c r="F10" s="96" t="inlineStr">
        <is>
          <t>HASLS22260902368</t>
        </is>
      </c>
      <c r="G10" s="96" t="inlineStr">
        <is>
          <t>THAI AGRI FOODS PUBLIC COMPANY LIMITED</t>
        </is>
      </c>
      <c r="H10" s="111" t="inlineStr">
        <is>
          <t>45RE</t>
        </is>
      </c>
      <c r="I10" s="96" t="n"/>
      <c r="J10" s="96" t="inlineStr">
        <is>
          <t>Chuanchuen</t>
        </is>
      </c>
      <c r="K10" s="96" t="inlineStr">
        <is>
          <t>SD</t>
        </is>
      </c>
      <c r="L10" s="111" t="inlineStr">
        <is>
          <t>Full</t>
        </is>
      </c>
      <c r="M10" s="96" t="inlineStr">
        <is>
          <t>HASLS22260902368</t>
        </is>
      </c>
      <c r="N10" s="96" t="inlineStr">
        <is>
          <t xml:space="preserve">R40Hx1 </t>
        </is>
      </c>
      <c r="O10" s="111" t="inlineStr">
        <is>
          <t>2020</t>
        </is>
      </c>
      <c r="P10" s="111" t="inlineStr">
        <is>
          <t>CARRIER</t>
        </is>
      </c>
      <c r="Q10" s="111" t="inlineStr">
        <is>
          <t>69NT40-561-500</t>
        </is>
      </c>
      <c r="R10" s="96" t="n"/>
      <c r="S10" s="96" t="n"/>
      <c r="T10" s="96" t="inlineStr">
        <is>
          <t>BKK01</t>
        </is>
      </c>
      <c r="U10" s="96" t="inlineStr">
        <is>
          <t>THBKK</t>
        </is>
      </c>
      <c r="V10" s="161" t="inlineStr">
        <is>
          <t>2026-10-16</t>
        </is>
      </c>
      <c r="W10" s="96" t="inlineStr">
        <is>
          <t>RUVVO</t>
        </is>
      </c>
      <c r="X10" s="161" t="inlineStr">
        <is>
          <t>2026-10-25</t>
        </is>
      </c>
      <c r="Y10" s="97" t="n"/>
      <c r="Z10" s="97" t="n"/>
      <c r="AA10" s="97" t="n"/>
      <c r="AB10" s="97" t="n"/>
      <c r="AC10" s="97" t="n"/>
      <c r="AD10" s="161" t="inlineStr">
        <is>
          <t>2026-10-15</t>
        </is>
      </c>
      <c r="AE10" s="174" t="inlineStr">
        <is>
          <t>1123</t>
        </is>
      </c>
      <c r="AF10" s="96" t="inlineStr">
        <is>
          <t>TBKK07</t>
        </is>
      </c>
      <c r="AG10" s="97" t="n"/>
      <c r="AH10" s="97" t="n"/>
      <c r="AI10" s="97" t="n"/>
      <c r="AJ10" s="96" t="inlineStr">
        <is>
          <t>EXIM PACIFIC LLC. RUSSIA,</t>
        </is>
      </c>
      <c r="AK10" s="130" t="n">
        <v>0</v>
      </c>
    </row>
    <row r="11" ht="12" customHeight="1">
      <c r="A11" s="108" t="inlineStr">
        <is>
          <t>FSCU5892193</t>
        </is>
      </c>
      <c r="B11" s="108" t="inlineStr">
        <is>
          <t>BKK01</t>
        </is>
      </c>
      <c r="C11" s="108" t="inlineStr">
        <is>
          <t>IFV</t>
        </is>
      </c>
      <c r="D11" s="172" t="inlineStr">
        <is>
          <t>2026-10-12</t>
        </is>
      </c>
      <c r="E11" s="173" t="inlineStr">
        <is>
          <t>2007</t>
        </is>
      </c>
      <c r="F11" s="96" t="inlineStr">
        <is>
          <t>HASLS22260902791</t>
        </is>
      </c>
      <c r="G11" s="96" t="inlineStr">
        <is>
          <t>VENTE TRADE CO.,LTD.</t>
        </is>
      </c>
      <c r="H11" s="111" t="inlineStr">
        <is>
          <t>45RE</t>
        </is>
      </c>
      <c r="I11" s="96" t="n"/>
      <c r="J11" s="96" t="inlineStr">
        <is>
          <t>Sirichai Prayochananon</t>
        </is>
      </c>
      <c r="K11" s="96" t="inlineStr">
        <is>
          <t>SD</t>
        </is>
      </c>
      <c r="L11" s="111" t="inlineStr">
        <is>
          <t>Full</t>
        </is>
      </c>
      <c r="M11" s="96" t="inlineStr">
        <is>
          <t>HASLS22260902791</t>
        </is>
      </c>
      <c r="N11" s="96" t="inlineStr">
        <is>
          <t xml:space="preserve">R40Hx7 </t>
        </is>
      </c>
      <c r="O11" s="111" t="inlineStr">
        <is>
          <t>2020</t>
        </is>
      </c>
      <c r="P11" s="111" t="inlineStr">
        <is>
          <t>CARRIER</t>
        </is>
      </c>
      <c r="Q11" s="111" t="inlineStr">
        <is>
          <t>69NT40-561-500</t>
        </is>
      </c>
      <c r="R11" s="96" t="n"/>
      <c r="S11" s="96" t="n"/>
      <c r="T11" s="96" t="inlineStr">
        <is>
          <t>BKK01</t>
        </is>
      </c>
      <c r="U11" s="96" t="inlineStr">
        <is>
          <t>THBKK</t>
        </is>
      </c>
      <c r="V11" s="161" t="inlineStr">
        <is>
          <t>2026-10-16</t>
        </is>
      </c>
      <c r="W11" s="96" t="inlineStr">
        <is>
          <t>RUVVO</t>
        </is>
      </c>
      <c r="X11" s="161" t="inlineStr">
        <is>
          <t>2026-10-25</t>
        </is>
      </c>
      <c r="Y11" s="97" t="n"/>
      <c r="Z11" s="97" t="n"/>
      <c r="AA11" s="97" t="n"/>
      <c r="AB11" s="97" t="n"/>
      <c r="AC11" s="97" t="n"/>
      <c r="AD11" s="161" t="inlineStr">
        <is>
          <t>2026-10-14</t>
        </is>
      </c>
      <c r="AE11" s="174" t="inlineStr">
        <is>
          <t>0021</t>
        </is>
      </c>
      <c r="AF11" s="96" t="inlineStr">
        <is>
          <t>TBKK42</t>
        </is>
      </c>
      <c r="AG11" s="97" t="n"/>
      <c r="AH11" s="97" t="n"/>
      <c r="AI11" s="97" t="n"/>
      <c r="AJ11" s="96" t="inlineStr">
        <is>
          <t>RVI (RUSSIAN VENTURE INVESTMENTS)</t>
        </is>
      </c>
      <c r="AK11" s="130" t="n">
        <v>0</v>
      </c>
    </row>
    <row r="12" ht="12" customHeight="1">
      <c r="A12" s="108" t="inlineStr">
        <is>
          <t>FSCU5893327</t>
        </is>
      </c>
      <c r="B12" s="108" t="inlineStr">
        <is>
          <t>BKK01</t>
        </is>
      </c>
      <c r="C12" s="108" t="inlineStr">
        <is>
          <t>IFV</t>
        </is>
      </c>
      <c r="D12" s="172" t="inlineStr">
        <is>
          <t>2026-10-13</t>
        </is>
      </c>
      <c r="E12" s="173" t="inlineStr">
        <is>
          <t>0839</t>
        </is>
      </c>
      <c r="F12" s="96" t="inlineStr">
        <is>
          <t>HASLS22260902365</t>
        </is>
      </c>
      <c r="G12" s="96" t="inlineStr">
        <is>
          <t>THAI AGRI FOODS PUBLIC COMPANY LIMITED</t>
        </is>
      </c>
      <c r="H12" s="111" t="inlineStr">
        <is>
          <t>45RE</t>
        </is>
      </c>
      <c r="I12" s="96" t="n"/>
      <c r="J12" s="96" t="inlineStr">
        <is>
          <t>Chuanchuen</t>
        </is>
      </c>
      <c r="K12" s="96" t="inlineStr">
        <is>
          <t>SD</t>
        </is>
      </c>
      <c r="L12" s="111" t="inlineStr">
        <is>
          <t>Full</t>
        </is>
      </c>
      <c r="M12" s="96" t="inlineStr">
        <is>
          <t>HASLS22260902365</t>
        </is>
      </c>
      <c r="N12" s="96" t="inlineStr">
        <is>
          <t xml:space="preserve">R40Hx1 </t>
        </is>
      </c>
      <c r="O12" s="111" t="inlineStr">
        <is>
          <t>2020</t>
        </is>
      </c>
      <c r="P12" s="111" t="inlineStr">
        <is>
          <t>CARRIER</t>
        </is>
      </c>
      <c r="Q12" s="111" t="inlineStr">
        <is>
          <t>69NT40-561-500</t>
        </is>
      </c>
      <c r="R12" s="96" t="n"/>
      <c r="S12" s="96" t="n"/>
      <c r="T12" s="96" t="inlineStr">
        <is>
          <t>BKK01</t>
        </is>
      </c>
      <c r="U12" s="96" t="inlineStr">
        <is>
          <t>THBKK</t>
        </is>
      </c>
      <c r="V12" s="161" t="inlineStr">
        <is>
          <t>2026-10-16</t>
        </is>
      </c>
      <c r="W12" s="96" t="inlineStr">
        <is>
          <t>RUVVO</t>
        </is>
      </c>
      <c r="X12" s="161" t="inlineStr">
        <is>
          <t>2026-10-25</t>
        </is>
      </c>
      <c r="Y12" s="97" t="n"/>
      <c r="Z12" s="97" t="n"/>
      <c r="AA12" s="97" t="n"/>
      <c r="AB12" s="97" t="n"/>
      <c r="AC12" s="97" t="n"/>
      <c r="AD12" s="161" t="inlineStr">
        <is>
          <t>2026-10-15</t>
        </is>
      </c>
      <c r="AE12" s="174" t="inlineStr">
        <is>
          <t>1123</t>
        </is>
      </c>
      <c r="AF12" s="96" t="inlineStr">
        <is>
          <t>TBKK07</t>
        </is>
      </c>
      <c r="AG12" s="97" t="n"/>
      <c r="AH12" s="97" t="n"/>
      <c r="AI12" s="97" t="n"/>
      <c r="AJ12" s="96" t="inlineStr">
        <is>
          <t>EXIM PACIFIC LLC. RUSSIA,</t>
        </is>
      </c>
      <c r="AK12" s="130" t="n">
        <v>0</v>
      </c>
    </row>
    <row r="13" ht="12" customHeight="1">
      <c r="A13" s="108" t="inlineStr">
        <is>
          <t>FSCU5910044</t>
        </is>
      </c>
      <c r="B13" s="108" t="inlineStr">
        <is>
          <t>BKK01</t>
        </is>
      </c>
      <c r="C13" s="108" t="inlineStr">
        <is>
          <t>IFV</t>
        </is>
      </c>
      <c r="D13" s="172" t="inlineStr">
        <is>
          <t>2026-10-12</t>
        </is>
      </c>
      <c r="E13" s="173" t="inlineStr">
        <is>
          <t>2241</t>
        </is>
      </c>
      <c r="F13" s="96" t="inlineStr">
        <is>
          <t>HASLS22260902791</t>
        </is>
      </c>
      <c r="G13" s="96" t="inlineStr">
        <is>
          <t>VENTE TRADE CO.,LTD.</t>
        </is>
      </c>
      <c r="H13" s="111" t="inlineStr">
        <is>
          <t>45RE</t>
        </is>
      </c>
      <c r="I13" s="96" t="n"/>
      <c r="J13" s="96" t="inlineStr">
        <is>
          <t>Sirichai Prayochananon</t>
        </is>
      </c>
      <c r="K13" s="96" t="inlineStr">
        <is>
          <t>SD</t>
        </is>
      </c>
      <c r="L13" s="111" t="inlineStr">
        <is>
          <t>Full</t>
        </is>
      </c>
      <c r="M13" s="96" t="inlineStr">
        <is>
          <t>HASLS22260902791</t>
        </is>
      </c>
      <c r="N13" s="96" t="inlineStr">
        <is>
          <t xml:space="preserve">R40Hx7 </t>
        </is>
      </c>
      <c r="O13" s="111" t="inlineStr">
        <is>
          <t>2021</t>
        </is>
      </c>
      <c r="P13" s="111" t="inlineStr">
        <is>
          <t>CARRIER</t>
        </is>
      </c>
      <c r="Q13" s="111" t="inlineStr">
        <is>
          <t>69NT40-561-500</t>
        </is>
      </c>
      <c r="R13" s="96" t="n"/>
      <c r="S13" s="96" t="n"/>
      <c r="T13" s="96" t="inlineStr">
        <is>
          <t>BKK01</t>
        </is>
      </c>
      <c r="U13" s="96" t="inlineStr">
        <is>
          <t>THBKK</t>
        </is>
      </c>
      <c r="V13" s="161" t="inlineStr">
        <is>
          <t>2026-10-16</t>
        </is>
      </c>
      <c r="W13" s="96" t="inlineStr">
        <is>
          <t>RUVVO</t>
        </is>
      </c>
      <c r="X13" s="161" t="inlineStr">
        <is>
          <t>2026-10-25</t>
        </is>
      </c>
      <c r="Y13" s="97" t="n"/>
      <c r="Z13" s="97" t="n"/>
      <c r="AA13" s="97" t="n"/>
      <c r="AB13" s="97" t="n"/>
      <c r="AC13" s="97" t="n"/>
      <c r="AD13" s="161" t="inlineStr">
        <is>
          <t>2026-10-14</t>
        </is>
      </c>
      <c r="AE13" s="174" t="inlineStr">
        <is>
          <t>0021</t>
        </is>
      </c>
      <c r="AF13" s="96" t="inlineStr">
        <is>
          <t>TBKK42</t>
        </is>
      </c>
      <c r="AG13" s="97" t="n"/>
      <c r="AH13" s="97" t="n"/>
      <c r="AI13" s="97" t="n"/>
      <c r="AJ13" s="96" t="inlineStr">
        <is>
          <t>RVI (RUSSIAN VENTURE INVESTMENTS)</t>
        </is>
      </c>
      <c r="AK13" s="130" t="n">
        <v>0</v>
      </c>
    </row>
    <row r="14" ht="12" customHeight="1">
      <c r="A14" s="108" t="inlineStr">
        <is>
          <t>FSCU5910960</t>
        </is>
      </c>
      <c r="B14" s="108" t="inlineStr">
        <is>
          <t>BKK01</t>
        </is>
      </c>
      <c r="C14" s="108" t="inlineStr">
        <is>
          <t>IFV</t>
        </is>
      </c>
      <c r="D14" s="172" t="inlineStr">
        <is>
          <t>2026-10-12</t>
        </is>
      </c>
      <c r="E14" s="173" t="inlineStr">
        <is>
          <t>2145</t>
        </is>
      </c>
      <c r="F14" s="96" t="inlineStr">
        <is>
          <t>HASLS22260902791</t>
        </is>
      </c>
      <c r="G14" s="96" t="inlineStr">
        <is>
          <t>VENTE TRADE CO.,LTD.</t>
        </is>
      </c>
      <c r="H14" s="111" t="inlineStr">
        <is>
          <t>45RE</t>
        </is>
      </c>
      <c r="I14" s="96" t="n"/>
      <c r="J14" s="96" t="inlineStr">
        <is>
          <t>Sirichai Prayochananon</t>
        </is>
      </c>
      <c r="K14" s="96" t="inlineStr">
        <is>
          <t>SD</t>
        </is>
      </c>
      <c r="L14" s="111" t="inlineStr">
        <is>
          <t>Full</t>
        </is>
      </c>
      <c r="M14" s="96" t="inlineStr">
        <is>
          <t>HASLS22260902791</t>
        </is>
      </c>
      <c r="N14" s="96" t="inlineStr">
        <is>
          <t xml:space="preserve">R40Hx7 </t>
        </is>
      </c>
      <c r="O14" s="111" t="inlineStr">
        <is>
          <t>2021</t>
        </is>
      </c>
      <c r="P14" s="111" t="inlineStr">
        <is>
          <t>CARRIER</t>
        </is>
      </c>
      <c r="Q14" s="111" t="inlineStr">
        <is>
          <t>Primeline</t>
        </is>
      </c>
      <c r="R14" s="96" t="n"/>
      <c r="S14" s="96" t="n"/>
      <c r="T14" s="96" t="inlineStr">
        <is>
          <t>BKK01</t>
        </is>
      </c>
      <c r="U14" s="96" t="inlineStr">
        <is>
          <t>THBKK</t>
        </is>
      </c>
      <c r="V14" s="161" t="inlineStr">
        <is>
          <t>2026-10-16</t>
        </is>
      </c>
      <c r="W14" s="96" t="inlineStr">
        <is>
          <t>RUVVO</t>
        </is>
      </c>
      <c r="X14" s="161" t="inlineStr">
        <is>
          <t>2026-10-25</t>
        </is>
      </c>
      <c r="Y14" s="97" t="n"/>
      <c r="Z14" s="97" t="n"/>
      <c r="AA14" s="97" t="n"/>
      <c r="AB14" s="97" t="n"/>
      <c r="AC14" s="97" t="n"/>
      <c r="AD14" s="161" t="inlineStr">
        <is>
          <t>2026-10-14</t>
        </is>
      </c>
      <c r="AE14" s="174" t="inlineStr">
        <is>
          <t>0021</t>
        </is>
      </c>
      <c r="AF14" s="96" t="inlineStr">
        <is>
          <t>TBKK42</t>
        </is>
      </c>
      <c r="AG14" s="97" t="n"/>
      <c r="AH14" s="97" t="n"/>
      <c r="AI14" s="97" t="n"/>
      <c r="AJ14" s="96" t="inlineStr">
        <is>
          <t>RVI (RUSSIAN VENTURE INVESTMENTS)</t>
        </is>
      </c>
      <c r="AK14" s="130" t="n">
        <v>0</v>
      </c>
    </row>
    <row r="15" ht="12" customHeight="1">
      <c r="A15" s="108" t="inlineStr">
        <is>
          <t>FSCU5911307</t>
        </is>
      </c>
      <c r="B15" s="108" t="inlineStr">
        <is>
          <t>BKK01</t>
        </is>
      </c>
      <c r="C15" s="108" t="inlineStr">
        <is>
          <t>IFV</t>
        </is>
      </c>
      <c r="D15" s="172" t="inlineStr">
        <is>
          <t>2026-10-12</t>
        </is>
      </c>
      <c r="E15" s="173" t="inlineStr">
        <is>
          <t>2218</t>
        </is>
      </c>
      <c r="F15" s="96" t="inlineStr">
        <is>
          <t>HASLS22260902791</t>
        </is>
      </c>
      <c r="G15" s="96" t="inlineStr">
        <is>
          <t>VENTE TRADE CO.,LTD.</t>
        </is>
      </c>
      <c r="H15" s="111" t="inlineStr">
        <is>
          <t>45RE</t>
        </is>
      </c>
      <c r="I15" s="96" t="n"/>
      <c r="J15" s="96" t="inlineStr">
        <is>
          <t>Sirichai Prayochananon</t>
        </is>
      </c>
      <c r="K15" s="96" t="inlineStr">
        <is>
          <t>SD</t>
        </is>
      </c>
      <c r="L15" s="111" t="inlineStr">
        <is>
          <t>Full</t>
        </is>
      </c>
      <c r="M15" s="96" t="inlineStr">
        <is>
          <t>HASLS22260902791</t>
        </is>
      </c>
      <c r="N15" s="96" t="inlineStr">
        <is>
          <t xml:space="preserve">R40Hx7 </t>
        </is>
      </c>
      <c r="O15" s="111" t="inlineStr">
        <is>
          <t>2021</t>
        </is>
      </c>
      <c r="P15" s="111" t="inlineStr">
        <is>
          <t>CARRIER</t>
        </is>
      </c>
      <c r="Q15" s="111" t="inlineStr">
        <is>
          <t>Primeline</t>
        </is>
      </c>
      <c r="R15" s="96" t="n"/>
      <c r="S15" s="96" t="n"/>
      <c r="T15" s="96" t="inlineStr">
        <is>
          <t>BKK01</t>
        </is>
      </c>
      <c r="U15" s="96" t="inlineStr">
        <is>
          <t>THBKK</t>
        </is>
      </c>
      <c r="V15" s="161" t="inlineStr">
        <is>
          <t>2026-10-16</t>
        </is>
      </c>
      <c r="W15" s="96" t="inlineStr">
        <is>
          <t>RUVVO</t>
        </is>
      </c>
      <c r="X15" s="161" t="inlineStr">
        <is>
          <t>2026-10-25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0021</t>
        </is>
      </c>
      <c r="AF15" s="96" t="inlineStr">
        <is>
          <t>TBKK42</t>
        </is>
      </c>
      <c r="AG15" s="97" t="n"/>
      <c r="AH15" s="97" t="n"/>
      <c r="AI15" s="97" t="n"/>
      <c r="AJ15" s="96" t="inlineStr">
        <is>
          <t>RVI (RUSSIAN VENTURE INVESTMENTS)</t>
        </is>
      </c>
      <c r="AK15" s="130" t="n">
        <v>0</v>
      </c>
    </row>
    <row r="16" ht="12" customHeight="1">
      <c r="A16" s="108" t="inlineStr">
        <is>
          <t>GCXU2428285</t>
        </is>
      </c>
      <c r="B16" s="108" t="inlineStr">
        <is>
          <t>BKK01</t>
        </is>
      </c>
      <c r="C16" s="108" t="inlineStr">
        <is>
          <t>IFV</t>
        </is>
      </c>
      <c r="D16" s="172" t="inlineStr">
        <is>
          <t>2026-10-11</t>
        </is>
      </c>
      <c r="E16" s="173" t="inlineStr">
        <is>
          <t>0002</t>
        </is>
      </c>
      <c r="F16" s="96" t="inlineStr">
        <is>
          <t>HASLS22260900657</t>
        </is>
      </c>
      <c r="G16" s="96" t="inlineStr">
        <is>
          <t>ORIENT STAR INTERNATIONAL LOGISTICS CO., LTD.</t>
        </is>
      </c>
      <c r="H16" s="111" t="inlineStr">
        <is>
          <t>22GP</t>
        </is>
      </c>
      <c r="I16" s="96" t="n"/>
      <c r="J16" s="96" t="inlineStr">
        <is>
          <t>Sirichai Prayochananon</t>
        </is>
      </c>
      <c r="K16" s="96" t="inlineStr">
        <is>
          <t>SD</t>
        </is>
      </c>
      <c r="L16" s="111" t="inlineStr">
        <is>
          <t>Full</t>
        </is>
      </c>
      <c r="M16" s="96" t="inlineStr">
        <is>
          <t>HASLS22260900657</t>
        </is>
      </c>
      <c r="N16" s="96" t="inlineStr">
        <is>
          <t xml:space="preserve">20'x5 </t>
        </is>
      </c>
      <c r="O16" s="111" t="inlineStr">
        <is>
          <t>2024</t>
        </is>
      </c>
      <c r="P16" s="111" t="n"/>
      <c r="Q16" s="111" t="n"/>
      <c r="R16" s="96" t="n"/>
      <c r="S16" s="96" t="n"/>
      <c r="T16" s="96" t="inlineStr">
        <is>
          <t>BKK01</t>
        </is>
      </c>
      <c r="U16" s="96" t="inlineStr">
        <is>
          <t>THBKK</t>
        </is>
      </c>
      <c r="V16" s="161" t="inlineStr">
        <is>
          <t>2026-10-16</t>
        </is>
      </c>
      <c r="W16" s="96" t="inlineStr">
        <is>
          <t>KRPUS</t>
        </is>
      </c>
      <c r="X16" s="161" t="inlineStr">
        <is>
          <t>2026-10-25</t>
        </is>
      </c>
      <c r="Y16" s="97" t="n"/>
      <c r="Z16" s="97" t="n"/>
      <c r="AA16" s="97" t="n"/>
      <c r="AB16" s="97" t="n"/>
      <c r="AC16" s="97" t="n"/>
      <c r="AD16" s="161" t="inlineStr">
        <is>
          <t>2026-10-11</t>
        </is>
      </c>
      <c r="AE16" s="174" t="inlineStr">
        <is>
          <t>2325</t>
        </is>
      </c>
      <c r="AF16" s="96" t="inlineStr">
        <is>
          <t>TBKK42</t>
        </is>
      </c>
      <c r="AG16" s="97" t="n"/>
      <c r="AH16" s="97" t="n"/>
      <c r="AI16" s="97" t="n"/>
      <c r="AJ16" s="96" t="inlineStr">
        <is>
          <t>EXIM LOGISTICS CO., LTD.</t>
        </is>
      </c>
      <c r="AK16" s="130" t="n">
        <v>0</v>
      </c>
    </row>
    <row r="17" ht="12" customHeight="1">
      <c r="A17" s="108" t="inlineStr">
        <is>
          <t>HALU2031228</t>
        </is>
      </c>
      <c r="B17" s="108" t="inlineStr">
        <is>
          <t>BKK01</t>
        </is>
      </c>
      <c r="C17" s="108" t="inlineStr">
        <is>
          <t>IFV</t>
        </is>
      </c>
      <c r="D17" s="172" t="inlineStr">
        <is>
          <t>2026-10-12</t>
        </is>
      </c>
      <c r="E17" s="173" t="inlineStr">
        <is>
          <t>2357</t>
        </is>
      </c>
      <c r="F17" s="96" t="inlineStr">
        <is>
          <t>HASLS22260901933</t>
        </is>
      </c>
      <c r="G17" s="96" t="inlineStr">
        <is>
          <t>THAI AGRI FOODS PUBLIC COMPANY LIMITED</t>
        </is>
      </c>
      <c r="H17" s="111" t="inlineStr">
        <is>
          <t>22GP</t>
        </is>
      </c>
      <c r="I17" s="96" t="n"/>
      <c r="J17" s="96" t="inlineStr">
        <is>
          <t>Chuanchuen</t>
        </is>
      </c>
      <c r="K17" s="96" t="inlineStr">
        <is>
          <t>SD</t>
        </is>
      </c>
      <c r="L17" s="111" t="inlineStr">
        <is>
          <t>Full</t>
        </is>
      </c>
      <c r="M17" s="96" t="inlineStr">
        <is>
          <t>HASLS22260901933</t>
        </is>
      </c>
      <c r="N17" s="96" t="inlineStr">
        <is>
          <t xml:space="preserve">20'x1 </t>
        </is>
      </c>
      <c r="O17" s="111" t="inlineStr">
        <is>
          <t>2014</t>
        </is>
      </c>
      <c r="P17" s="111" t="n"/>
      <c r="Q17" s="111" t="n"/>
      <c r="R17" s="96" t="n"/>
      <c r="S17" s="96" t="n"/>
      <c r="T17" s="96" t="inlineStr">
        <is>
          <t>BKK01</t>
        </is>
      </c>
      <c r="U17" s="96" t="inlineStr">
        <is>
          <t>THBKK</t>
        </is>
      </c>
      <c r="V17" s="161" t="inlineStr">
        <is>
          <t>2026-10-16</t>
        </is>
      </c>
      <c r="W17" s="96" t="inlineStr">
        <is>
          <t>RUVVO</t>
        </is>
      </c>
      <c r="X17" s="161" t="inlineStr">
        <is>
          <t>2026-10-25</t>
        </is>
      </c>
      <c r="Y17" s="97" t="n"/>
      <c r="Z17" s="97" t="n"/>
      <c r="AA17" s="97" t="n"/>
      <c r="AB17" s="97" t="n"/>
      <c r="AC17" s="97" t="n"/>
      <c r="AD17" s="161" t="inlineStr">
        <is>
          <t>2026-10-15</t>
        </is>
      </c>
      <c r="AE17" s="174" t="inlineStr">
        <is>
          <t>1123</t>
        </is>
      </c>
      <c r="AF17" s="96" t="inlineStr">
        <is>
          <t>TBKK07</t>
        </is>
      </c>
      <c r="AG17" s="97" t="n"/>
      <c r="AH17" s="97" t="n"/>
      <c r="AI17" s="97" t="n"/>
      <c r="AJ17" s="96" t="inlineStr">
        <is>
          <t>EXIM PACIFIC LLC. RUSSIA,</t>
        </is>
      </c>
      <c r="AK17" s="130" t="n">
        <v>0</v>
      </c>
    </row>
    <row r="18" ht="12" customHeight="1">
      <c r="A18" s="108" t="inlineStr">
        <is>
          <t>HALU2085332</t>
        </is>
      </c>
      <c r="B18" s="108" t="inlineStr">
        <is>
          <t>BKK01</t>
        </is>
      </c>
      <c r="C18" s="108" t="inlineStr">
        <is>
          <t>IFV</t>
        </is>
      </c>
      <c r="D18" s="172" t="inlineStr">
        <is>
          <t>2026-10-12</t>
        </is>
      </c>
      <c r="E18" s="173" t="inlineStr">
        <is>
          <t>1731</t>
        </is>
      </c>
      <c r="F18" s="96" t="inlineStr">
        <is>
          <t>HASLS22260801161</t>
        </is>
      </c>
      <c r="G18" s="96" t="inlineStr">
        <is>
          <t>MEGALOAD DEVELOPMENT LOGISTICS CO., LTD.</t>
        </is>
      </c>
      <c r="H18" s="111" t="inlineStr">
        <is>
          <t>22GP</t>
        </is>
      </c>
      <c r="I18" s="96" t="n"/>
      <c r="J18" s="96" t="inlineStr">
        <is>
          <t>Sirichai Prayochananon</t>
        </is>
      </c>
      <c r="K18" s="96" t="inlineStr">
        <is>
          <t>SD</t>
        </is>
      </c>
      <c r="L18" s="111" t="inlineStr">
        <is>
          <t>Full</t>
        </is>
      </c>
      <c r="M18" s="96" t="inlineStr">
        <is>
          <t>HASLS22260801161</t>
        </is>
      </c>
      <c r="N18" s="96" t="inlineStr">
        <is>
          <t xml:space="preserve">20'x13 </t>
        </is>
      </c>
      <c r="O18" s="111" t="inlineStr">
        <is>
          <t>2015</t>
        </is>
      </c>
      <c r="P18" s="111" t="n"/>
      <c r="Q18" s="111" t="n"/>
      <c r="R18" s="96" t="n"/>
      <c r="S18" s="96" t="n"/>
      <c r="T18" s="96" t="inlineStr">
        <is>
          <t>BKK01</t>
        </is>
      </c>
      <c r="U18" s="96" t="inlineStr">
        <is>
          <t>THBKK</t>
        </is>
      </c>
      <c r="V18" s="161" t="inlineStr">
        <is>
          <t>2026-10-16</t>
        </is>
      </c>
      <c r="W18" s="96" t="inlineStr">
        <is>
          <t>JPKSM</t>
        </is>
      </c>
      <c r="X18" s="161" t="inlineStr">
        <is>
          <t>2026-10-25</t>
        </is>
      </c>
      <c r="Y18" s="97" t="n"/>
      <c r="Z18" s="97" t="n"/>
      <c r="AA18" s="97" t="n"/>
      <c r="AB18" s="97" t="n"/>
      <c r="AC18" s="97" t="n"/>
      <c r="AD18" s="161" t="inlineStr">
        <is>
          <t>2026-10-14</t>
        </is>
      </c>
      <c r="AE18" s="174" t="inlineStr">
        <is>
          <t>0021</t>
        </is>
      </c>
      <c r="AF18" s="96" t="inlineStr">
        <is>
          <t>TBKK42</t>
        </is>
      </c>
      <c r="AG18" s="97" t="n"/>
      <c r="AH18" s="97" t="n"/>
      <c r="AI18" s="97" t="n"/>
      <c r="AJ18" s="96" t="inlineStr">
        <is>
          <t>SANSHO CO., LTD.</t>
        </is>
      </c>
      <c r="AK18" s="130" t="n">
        <v>0</v>
      </c>
    </row>
    <row r="19" ht="12" customHeight="1">
      <c r="A19" s="108" t="inlineStr">
        <is>
          <t>HALU2103863</t>
        </is>
      </c>
      <c r="B19" s="108" t="inlineStr">
        <is>
          <t>BKK01</t>
        </is>
      </c>
      <c r="C19" s="108" t="inlineStr">
        <is>
          <t>IFV</t>
        </is>
      </c>
      <c r="D19" s="172" t="inlineStr">
        <is>
          <t>2026-10-12</t>
        </is>
      </c>
      <c r="E19" s="173" t="inlineStr">
        <is>
          <t>1333</t>
        </is>
      </c>
      <c r="F19" s="96" t="inlineStr">
        <is>
          <t>HASLS22260801161</t>
        </is>
      </c>
      <c r="G19" s="96" t="inlineStr">
        <is>
          <t>MEGALOAD DEVELOPMENT LOGISTICS CO., LTD.</t>
        </is>
      </c>
      <c r="H19" s="111" t="inlineStr">
        <is>
          <t>22GP</t>
        </is>
      </c>
      <c r="I19" s="96" t="n"/>
      <c r="J19" s="96" t="inlineStr">
        <is>
          <t>Chuanchuen</t>
        </is>
      </c>
      <c r="K19" s="96" t="inlineStr">
        <is>
          <t>SD</t>
        </is>
      </c>
      <c r="L19" s="111" t="inlineStr">
        <is>
          <t>Full</t>
        </is>
      </c>
      <c r="M19" s="96" t="inlineStr">
        <is>
          <t>HASLS22260801161</t>
        </is>
      </c>
      <c r="N19" s="96" t="inlineStr">
        <is>
          <t xml:space="preserve">20'x13 </t>
        </is>
      </c>
      <c r="O19" s="111" t="inlineStr">
        <is>
          <t>2021</t>
        </is>
      </c>
      <c r="P19" s="111" t="n"/>
      <c r="Q19" s="111" t="n"/>
      <c r="R19" s="96" t="n"/>
      <c r="S19" s="96" t="n"/>
      <c r="T19" s="96" t="inlineStr">
        <is>
          <t>BKK01</t>
        </is>
      </c>
      <c r="U19" s="96" t="inlineStr">
        <is>
          <t>THBKK</t>
        </is>
      </c>
      <c r="V19" s="161" t="inlineStr">
        <is>
          <t>2026-10-16</t>
        </is>
      </c>
      <c r="W19" s="96" t="inlineStr">
        <is>
          <t>JPKSM</t>
        </is>
      </c>
      <c r="X19" s="161" t="inlineStr">
        <is>
          <t>2026-10-25</t>
        </is>
      </c>
      <c r="Y19" s="97" t="n"/>
      <c r="Z19" s="97" t="n"/>
      <c r="AA19" s="97" t="n"/>
      <c r="AB19" s="97" t="n"/>
      <c r="AC19" s="97" t="n"/>
      <c r="AD19" s="161" t="inlineStr">
        <is>
          <t>2026-10-12</t>
        </is>
      </c>
      <c r="AE19" s="174" t="inlineStr">
        <is>
          <t>1909</t>
        </is>
      </c>
      <c r="AF19" s="96" t="inlineStr">
        <is>
          <t>TBKK07</t>
        </is>
      </c>
      <c r="AG19" s="97" t="n"/>
      <c r="AH19" s="97" t="n"/>
      <c r="AI19" s="97" t="n"/>
      <c r="AJ19" s="96" t="inlineStr">
        <is>
          <t>SANSHO CO., LTD.</t>
        </is>
      </c>
      <c r="AK19" s="130" t="n">
        <v>0</v>
      </c>
    </row>
    <row r="20" ht="12" customHeight="1">
      <c r="A20" s="108" t="inlineStr">
        <is>
          <t>HALU2109780</t>
        </is>
      </c>
      <c r="B20" s="108" t="inlineStr">
        <is>
          <t>BKK01</t>
        </is>
      </c>
      <c r="C20" s="108" t="inlineStr">
        <is>
          <t>IFV</t>
        </is>
      </c>
      <c r="D20" s="172" t="inlineStr">
        <is>
          <t>2026-10-11</t>
        </is>
      </c>
      <c r="E20" s="173" t="inlineStr">
        <is>
          <t>0000</t>
        </is>
      </c>
      <c r="F20" s="96" t="inlineStr">
        <is>
          <t>HASLS22260900657</t>
        </is>
      </c>
      <c r="G20" s="96" t="inlineStr">
        <is>
          <t>ORIENT STAR INTERNATIONAL LOGISTICS CO., LTD.</t>
        </is>
      </c>
      <c r="H20" s="111" t="inlineStr">
        <is>
          <t>22GP</t>
        </is>
      </c>
      <c r="I20" s="96" t="n"/>
      <c r="J20" s="96" t="inlineStr">
        <is>
          <t>Sirichai Prayochananon</t>
        </is>
      </c>
      <c r="K20" s="96" t="inlineStr">
        <is>
          <t>SD</t>
        </is>
      </c>
      <c r="L20" s="111" t="inlineStr">
        <is>
          <t>Full</t>
        </is>
      </c>
      <c r="M20" s="96" t="inlineStr">
        <is>
          <t>HASLS22260900657</t>
        </is>
      </c>
      <c r="N20" s="96" t="inlineStr">
        <is>
          <t xml:space="preserve">20'x5 </t>
        </is>
      </c>
      <c r="O20" s="111" t="inlineStr">
        <is>
          <t>2021</t>
        </is>
      </c>
      <c r="P20" s="111" t="n"/>
      <c r="Q20" s="111" t="n"/>
      <c r="R20" s="96" t="n"/>
      <c r="S20" s="96" t="n"/>
      <c r="T20" s="96" t="inlineStr">
        <is>
          <t>BKK01</t>
        </is>
      </c>
      <c r="U20" s="96" t="inlineStr">
        <is>
          <t>THBKK</t>
        </is>
      </c>
      <c r="V20" s="161" t="inlineStr">
        <is>
          <t>2026-10-16</t>
        </is>
      </c>
      <c r="W20" s="96" t="inlineStr">
        <is>
          <t>KRPUS</t>
        </is>
      </c>
      <c r="X20" s="161" t="inlineStr">
        <is>
          <t>2026-10-25</t>
        </is>
      </c>
      <c r="Y20" s="97" t="n"/>
      <c r="Z20" s="97" t="n"/>
      <c r="AA20" s="97" t="n"/>
      <c r="AB20" s="97" t="n"/>
      <c r="AC20" s="97" t="n"/>
      <c r="AD20" s="161" t="inlineStr">
        <is>
          <t>2026-10-11</t>
        </is>
      </c>
      <c r="AE20" s="174" t="inlineStr">
        <is>
          <t>2325</t>
        </is>
      </c>
      <c r="AF20" s="96" t="inlineStr">
        <is>
          <t>TBKK42</t>
        </is>
      </c>
      <c r="AG20" s="97" t="n"/>
      <c r="AH20" s="97" t="n"/>
      <c r="AI20" s="97" t="n"/>
      <c r="AJ20" s="96" t="inlineStr">
        <is>
          <t>EXIM LOGISTICS CO., LTD.</t>
        </is>
      </c>
      <c r="AK20" s="130" t="n">
        <v>0</v>
      </c>
    </row>
    <row r="21" ht="12" customHeight="1">
      <c r="A21" s="108" t="inlineStr">
        <is>
          <t>HALU2325243</t>
        </is>
      </c>
      <c r="B21" s="108" t="inlineStr">
        <is>
          <t>BKK01</t>
        </is>
      </c>
      <c r="C21" s="108" t="inlineStr">
        <is>
          <t>IFV</t>
        </is>
      </c>
      <c r="D21" s="172" t="inlineStr">
        <is>
          <t>2026-10-13</t>
        </is>
      </c>
      <c r="E21" s="173" t="inlineStr">
        <is>
          <t>1851</t>
        </is>
      </c>
      <c r="F21" s="96" t="inlineStr">
        <is>
          <t>HASLS22260902184</t>
        </is>
      </c>
      <c r="G21" s="96" t="inlineStr">
        <is>
          <t>BIRLA CARBON (THAILAND) PUBLIC COMPANY LIMITED</t>
        </is>
      </c>
      <c r="H21" s="111" t="inlineStr">
        <is>
          <t>22GP</t>
        </is>
      </c>
      <c r="I21" s="96" t="n"/>
      <c r="J21" s="96" t="inlineStr">
        <is>
          <t>Sirichai Prayochananon</t>
        </is>
      </c>
      <c r="K21" s="96" t="inlineStr">
        <is>
          <t>SD</t>
        </is>
      </c>
      <c r="L21" s="111" t="inlineStr">
        <is>
          <t>Full</t>
        </is>
      </c>
      <c r="M21" s="96" t="inlineStr">
        <is>
          <t>HASLS22260902184</t>
        </is>
      </c>
      <c r="N21" s="96" t="inlineStr">
        <is>
          <t xml:space="preserve">20'x4 </t>
        </is>
      </c>
      <c r="O21" s="111" t="inlineStr">
        <is>
          <t>2023</t>
        </is>
      </c>
      <c r="P21" s="111" t="n"/>
      <c r="Q21" s="111" t="n"/>
      <c r="R21" s="96" t="n"/>
      <c r="S21" s="96" t="n"/>
      <c r="T21" s="96" t="inlineStr">
        <is>
          <t>BKK01</t>
        </is>
      </c>
      <c r="U21" s="96" t="inlineStr">
        <is>
          <t>THBKK</t>
        </is>
      </c>
      <c r="V21" s="161" t="inlineStr">
        <is>
          <t>2026-10-16</t>
        </is>
      </c>
      <c r="W21" s="96" t="inlineStr">
        <is>
          <t>JPUKB</t>
        </is>
      </c>
      <c r="X21" s="161" t="inlineStr">
        <is>
          <t>2026-10-25</t>
        </is>
      </c>
      <c r="Y21" s="97" t="n"/>
      <c r="Z21" s="97" t="n"/>
      <c r="AA21" s="97" t="n"/>
      <c r="AB21" s="97" t="n"/>
      <c r="AC21" s="97" t="n"/>
      <c r="AD21" s="161" t="inlineStr">
        <is>
          <t>2026-10-14</t>
        </is>
      </c>
      <c r="AE21" s="174" t="inlineStr">
        <is>
          <t>0021</t>
        </is>
      </c>
      <c r="AF21" s="96" t="inlineStr">
        <is>
          <t>TBKK42</t>
        </is>
      </c>
      <c r="AG21" s="97" t="n"/>
      <c r="AH21" s="97" t="n"/>
      <c r="AI21" s="97" t="n"/>
      <c r="AJ21" s="96" t="inlineStr">
        <is>
          <t>NIPPON GIANT TIRE CO.,LTD.</t>
        </is>
      </c>
      <c r="AK21" s="130" t="n">
        <v>0</v>
      </c>
    </row>
    <row r="22" ht="12" customHeight="1">
      <c r="A22" s="108" t="inlineStr">
        <is>
          <t>HALU2352953</t>
        </is>
      </c>
      <c r="B22" s="108" t="inlineStr">
        <is>
          <t>BKK01</t>
        </is>
      </c>
      <c r="C22" s="108" t="inlineStr">
        <is>
          <t>IFV</t>
        </is>
      </c>
      <c r="D22" s="172" t="inlineStr">
        <is>
          <t>2026-10-12</t>
        </is>
      </c>
      <c r="E22" s="173" t="inlineStr">
        <is>
          <t>1455</t>
        </is>
      </c>
      <c r="F22" s="96" t="inlineStr">
        <is>
          <t>HASLS22260901669</t>
        </is>
      </c>
      <c r="G22" s="96" t="inlineStr">
        <is>
          <t>SEA FLEXI LOGISTICS CO.,LTD.</t>
        </is>
      </c>
      <c r="H22" s="111" t="inlineStr">
        <is>
          <t>22GP</t>
        </is>
      </c>
      <c r="I22" s="96" t="n"/>
      <c r="J22" s="96" t="inlineStr">
        <is>
          <t>Chuanchuen</t>
        </is>
      </c>
      <c r="K22" s="96" t="inlineStr">
        <is>
          <t>SD</t>
        </is>
      </c>
      <c r="L22" s="111" t="inlineStr">
        <is>
          <t>Full</t>
        </is>
      </c>
      <c r="M22" s="96" t="inlineStr">
        <is>
          <t>HASLS22260901669</t>
        </is>
      </c>
      <c r="N22" s="96" t="inlineStr">
        <is>
          <t xml:space="preserve">20'x7 </t>
        </is>
      </c>
      <c r="O22" s="111" t="inlineStr">
        <is>
          <t>2023</t>
        </is>
      </c>
      <c r="P22" s="111" t="n"/>
      <c r="Q22" s="111" t="n"/>
      <c r="R22" s="96" t="n"/>
      <c r="S22" s="96" t="n"/>
      <c r="T22" s="96" t="inlineStr">
        <is>
          <t>BKK01</t>
        </is>
      </c>
      <c r="U22" s="96" t="inlineStr">
        <is>
          <t>THBKK</t>
        </is>
      </c>
      <c r="V22" s="161" t="inlineStr">
        <is>
          <t>2026-10-16</t>
        </is>
      </c>
      <c r="W22" s="96" t="inlineStr">
        <is>
          <t>VNSGN</t>
        </is>
      </c>
      <c r="X22" s="161" t="inlineStr">
        <is>
          <t>2026-10-18</t>
        </is>
      </c>
      <c r="Y22" s="97" t="n"/>
      <c r="Z22" s="97" t="n"/>
      <c r="AA22" s="97" t="n"/>
      <c r="AB22" s="97" t="n"/>
      <c r="AC22" s="97" t="n"/>
      <c r="AD22" s="161" t="inlineStr">
        <is>
          <t>2026-10-12</t>
        </is>
      </c>
      <c r="AE22" s="174" t="inlineStr">
        <is>
          <t>1911</t>
        </is>
      </c>
      <c r="AF22" s="96" t="inlineStr">
        <is>
          <t>TBKK07</t>
        </is>
      </c>
      <c r="AG22" s="97" t="n"/>
      <c r="AH22" s="97" t="n"/>
      <c r="AI22" s="97" t="n"/>
      <c r="AJ22" s="96" t="inlineStr">
        <is>
          <t>MEKONG COMMODITIES JSC</t>
        </is>
      </c>
      <c r="AK22" s="130" t="n">
        <v>0</v>
      </c>
    </row>
    <row r="23" ht="12" customHeight="1">
      <c r="A23" s="108" t="inlineStr">
        <is>
          <t>HALU2360666</t>
        </is>
      </c>
      <c r="B23" s="108" t="inlineStr">
        <is>
          <t>BKK01</t>
        </is>
      </c>
      <c r="C23" s="108" t="inlineStr">
        <is>
          <t>IFW</t>
        </is>
      </c>
      <c r="D23" s="172" t="inlineStr">
        <is>
          <t>2026-10-09</t>
        </is>
      </c>
      <c r="E23" s="173" t="inlineStr">
        <is>
          <t>1100</t>
        </is>
      </c>
      <c r="F23" s="96" t="inlineStr">
        <is>
          <t>HASLS22260902833</t>
        </is>
      </c>
      <c r="G23" s="96" t="inlineStr">
        <is>
          <t>ALL CARGO SOLUTIONS CO., LTD.</t>
        </is>
      </c>
      <c r="H23" s="111" t="inlineStr">
        <is>
          <t>22GP</t>
        </is>
      </c>
      <c r="I23" s="96" t="inlineStr">
        <is>
          <t>HAL404659</t>
        </is>
      </c>
      <c r="J23" s="96" t="inlineStr">
        <is>
          <t>Chotika</t>
        </is>
      </c>
      <c r="K23" s="96" t="inlineStr">
        <is>
          <t>SD</t>
        </is>
      </c>
      <c r="L23" s="111" t="inlineStr">
        <is>
          <t>Full</t>
        </is>
      </c>
      <c r="M23" s="96" t="inlineStr">
        <is>
          <t>HASLS22260902833</t>
        </is>
      </c>
      <c r="N23" s="96" t="inlineStr">
        <is>
          <t xml:space="preserve">20'x1 </t>
        </is>
      </c>
      <c r="O23" s="111" t="inlineStr">
        <is>
          <t>2023</t>
        </is>
      </c>
      <c r="P23" s="111" t="n"/>
      <c r="Q23" s="111" t="n"/>
      <c r="R23" s="96" t="n"/>
      <c r="S23" s="96" t="n"/>
      <c r="T23" s="96" t="inlineStr">
        <is>
          <t>BKK01</t>
        </is>
      </c>
      <c r="U23" s="96" t="inlineStr">
        <is>
          <t>THBKK</t>
        </is>
      </c>
      <c r="V23" s="161" t="inlineStr">
        <is>
          <t>2026-10-16</t>
        </is>
      </c>
      <c r="W23" s="96" t="inlineStr">
        <is>
          <t>VNSGN</t>
        </is>
      </c>
      <c r="X23" s="161" t="inlineStr">
        <is>
          <t>2026-10-18</t>
        </is>
      </c>
      <c r="Y23" s="97" t="n"/>
      <c r="Z23" s="97" t="n"/>
      <c r="AA23" s="97" t="n"/>
      <c r="AB23" s="97" t="n"/>
      <c r="AC23" s="97" t="n"/>
      <c r="AD23" s="161" t="inlineStr">
        <is>
          <t>2026-10-14</t>
        </is>
      </c>
      <c r="AE23" s="174" t="inlineStr">
        <is>
          <t>1750</t>
        </is>
      </c>
      <c r="AF23" s="96" t="inlineStr">
        <is>
          <t>TBKK06</t>
        </is>
      </c>
      <c r="AG23" s="97" t="n"/>
      <c r="AH23" s="97" t="n"/>
      <c r="AI23" s="97" t="n"/>
      <c r="AJ23" s="96" t="inlineStr">
        <is>
          <t>PEGASUS GLOBAL LOGISTICS CO.,LTD</t>
        </is>
      </c>
      <c r="AK23" s="130" t="n">
        <v>0</v>
      </c>
    </row>
    <row r="24" ht="12" customHeight="1">
      <c r="A24" s="108" t="inlineStr">
        <is>
          <t>HALU2436083</t>
        </is>
      </c>
      <c r="B24" s="108" t="inlineStr">
        <is>
          <t>BKK01</t>
        </is>
      </c>
      <c r="C24" s="108" t="inlineStr">
        <is>
          <t>IFV</t>
        </is>
      </c>
      <c r="D24" s="172" t="inlineStr">
        <is>
          <t>2026-10-12</t>
        </is>
      </c>
      <c r="E24" s="173" t="inlineStr">
        <is>
          <t>1619</t>
        </is>
      </c>
      <c r="F24" s="96" t="inlineStr">
        <is>
          <t>HASLS22260901669</t>
        </is>
      </c>
      <c r="G24" s="96" t="inlineStr">
        <is>
          <t>SEA FLEXI LOGISTICS CO.,LTD.</t>
        </is>
      </c>
      <c r="H24" s="111" t="inlineStr">
        <is>
          <t>22GP</t>
        </is>
      </c>
      <c r="I24" s="96" t="n"/>
      <c r="J24" s="96" t="inlineStr">
        <is>
          <t>Chuanchuen</t>
        </is>
      </c>
      <c r="K24" s="96" t="inlineStr">
        <is>
          <t>SD</t>
        </is>
      </c>
      <c r="L24" s="111" t="inlineStr">
        <is>
          <t>Full</t>
        </is>
      </c>
      <c r="M24" s="96" t="inlineStr">
        <is>
          <t>HASLS22260901669</t>
        </is>
      </c>
      <c r="N24" s="96" t="inlineStr">
        <is>
          <t xml:space="preserve">20'x7 </t>
        </is>
      </c>
      <c r="O24" s="111" t="inlineStr">
        <is>
          <t>2024</t>
        </is>
      </c>
      <c r="P24" s="111" t="n"/>
      <c r="Q24" s="111" t="n"/>
      <c r="R24" s="96" t="n"/>
      <c r="S24" s="96" t="n"/>
      <c r="T24" s="96" t="inlineStr">
        <is>
          <t>BKK01</t>
        </is>
      </c>
      <c r="U24" s="96" t="inlineStr">
        <is>
          <t>THBKK</t>
        </is>
      </c>
      <c r="V24" s="161" t="inlineStr">
        <is>
          <t>2026-10-16</t>
        </is>
      </c>
      <c r="W24" s="96" t="inlineStr">
        <is>
          <t>VNSGN</t>
        </is>
      </c>
      <c r="X24" s="161" t="inlineStr">
        <is>
          <t>2026-10-18</t>
        </is>
      </c>
      <c r="Y24" s="97" t="n"/>
      <c r="Z24" s="97" t="n"/>
      <c r="AA24" s="97" t="n"/>
      <c r="AB24" s="97" t="n"/>
      <c r="AC24" s="97" t="n"/>
      <c r="AD24" s="161" t="inlineStr">
        <is>
          <t>2026-10-12</t>
        </is>
      </c>
      <c r="AE24" s="174" t="inlineStr">
        <is>
          <t>1911</t>
        </is>
      </c>
      <c r="AF24" s="96" t="inlineStr">
        <is>
          <t>TBKK07</t>
        </is>
      </c>
      <c r="AG24" s="97" t="n"/>
      <c r="AH24" s="97" t="n"/>
      <c r="AI24" s="97" t="n"/>
      <c r="AJ24" s="96" t="inlineStr">
        <is>
          <t>MEKONG COMMODITIES JSC</t>
        </is>
      </c>
      <c r="AK24" s="130" t="n">
        <v>0</v>
      </c>
    </row>
    <row r="25" ht="12" customHeight="1">
      <c r="A25" s="108" t="inlineStr">
        <is>
          <t>HALU2436709</t>
        </is>
      </c>
      <c r="B25" s="108" t="inlineStr">
        <is>
          <t>BKK01</t>
        </is>
      </c>
      <c r="C25" s="108" t="inlineStr">
        <is>
          <t>IFV</t>
        </is>
      </c>
      <c r="D25" s="172" t="inlineStr">
        <is>
          <t>2026-10-12</t>
        </is>
      </c>
      <c r="E25" s="173" t="inlineStr">
        <is>
          <t>1346</t>
        </is>
      </c>
      <c r="F25" s="96" t="inlineStr">
        <is>
          <t>HASLS22260900514</t>
        </is>
      </c>
      <c r="G25" s="96" t="inlineStr">
        <is>
          <t>BANGKOK STARCH INDUSTRIAL CO., LTD.</t>
        </is>
      </c>
      <c r="H25" s="111" t="inlineStr">
        <is>
          <t>22GP</t>
        </is>
      </c>
      <c r="I25" s="96" t="n"/>
      <c r="J25" s="96" t="inlineStr">
        <is>
          <t>Chuanchuen</t>
        </is>
      </c>
      <c r="K25" s="96" t="inlineStr">
        <is>
          <t>SD</t>
        </is>
      </c>
      <c r="L25" s="111" t="inlineStr">
        <is>
          <t>Full</t>
        </is>
      </c>
      <c r="M25" s="96" t="inlineStr">
        <is>
          <t>HASLS22260900514</t>
        </is>
      </c>
      <c r="N25" s="96" t="inlineStr">
        <is>
          <t xml:space="preserve">20'x1 </t>
        </is>
      </c>
      <c r="O25" s="111" t="inlineStr">
        <is>
          <t>2024</t>
        </is>
      </c>
      <c r="P25" s="111" t="n"/>
      <c r="Q25" s="111" t="n"/>
      <c r="R25" s="96" t="n"/>
      <c r="S25" s="96" t="n"/>
      <c r="T25" s="96" t="inlineStr">
        <is>
          <t>BKK01</t>
        </is>
      </c>
      <c r="U25" s="96" t="inlineStr">
        <is>
          <t>THBKK</t>
        </is>
      </c>
      <c r="V25" s="161" t="inlineStr">
        <is>
          <t>2026-10-16</t>
        </is>
      </c>
      <c r="W25" s="96" t="inlineStr">
        <is>
          <t>KRPUS</t>
        </is>
      </c>
      <c r="X25" s="161" t="inlineStr">
        <is>
          <t>2026-10-25</t>
        </is>
      </c>
      <c r="Y25" s="97" t="n"/>
      <c r="Z25" s="97" t="n"/>
      <c r="AA25" s="97" t="n"/>
      <c r="AB25" s="97" t="n"/>
      <c r="AC25" s="97" t="n"/>
      <c r="AD25" s="161" t="inlineStr">
        <is>
          <t>2026-10-12</t>
        </is>
      </c>
      <c r="AE25" s="174" t="inlineStr">
        <is>
          <t>1911</t>
        </is>
      </c>
      <c r="AF25" s="96" t="inlineStr">
        <is>
          <t>TBKK07</t>
        </is>
      </c>
      <c r="AG25" s="97" t="n"/>
      <c r="AH25" s="97" t="n"/>
      <c r="AI25" s="97" t="n"/>
      <c r="AJ25" s="96" t="inlineStr">
        <is>
          <t>MATSUTANI KOREA LIMITED</t>
        </is>
      </c>
      <c r="AK25" s="130" t="n">
        <v>0</v>
      </c>
    </row>
    <row r="26" ht="12" customHeight="1">
      <c r="A26" s="108" t="inlineStr">
        <is>
          <t>HALU2467211</t>
        </is>
      </c>
      <c r="B26" s="108" t="inlineStr">
        <is>
          <t>BKK01</t>
        </is>
      </c>
      <c r="C26" s="108" t="inlineStr">
        <is>
          <t>IFV</t>
        </is>
      </c>
      <c r="D26" s="172" t="inlineStr">
        <is>
          <t>2026-10-13</t>
        </is>
      </c>
      <c r="E26" s="173" t="inlineStr">
        <is>
          <t>0840</t>
        </is>
      </c>
      <c r="F26" s="96" t="inlineStr">
        <is>
          <t>HASLS22260900557</t>
        </is>
      </c>
      <c r="G26" s="96" t="inlineStr">
        <is>
          <t>GENERAL FOOD PRODUCTS CO., LTD.</t>
        </is>
      </c>
      <c r="H26" s="111" t="inlineStr">
        <is>
          <t>22GP</t>
        </is>
      </c>
      <c r="I26" s="96" t="n"/>
      <c r="J26" s="96" t="inlineStr">
        <is>
          <t>Sirichai Prayochananon</t>
        </is>
      </c>
      <c r="K26" s="96" t="inlineStr">
        <is>
          <t>SD</t>
        </is>
      </c>
      <c r="L26" s="111" t="inlineStr">
        <is>
          <t>Full</t>
        </is>
      </c>
      <c r="M26" s="96" t="inlineStr">
        <is>
          <t>HASLS22260900557</t>
        </is>
      </c>
      <c r="N26" s="96" t="inlineStr">
        <is>
          <t xml:space="preserve">20'x1 </t>
        </is>
      </c>
      <c r="O26" s="111" t="inlineStr">
        <is>
          <t>2024</t>
        </is>
      </c>
      <c r="P26" s="111" t="n"/>
      <c r="Q26" s="111" t="n"/>
      <c r="R26" s="96" t="n"/>
      <c r="S26" s="96" t="n"/>
      <c r="T26" s="96" t="inlineStr">
        <is>
          <t>BKK01</t>
        </is>
      </c>
      <c r="U26" s="96" t="inlineStr">
        <is>
          <t>THBKK</t>
        </is>
      </c>
      <c r="V26" s="161" t="inlineStr">
        <is>
          <t>2026-10-16</t>
        </is>
      </c>
      <c r="W26" s="96" t="inlineStr">
        <is>
          <t>JPKIJ</t>
        </is>
      </c>
      <c r="X26" s="161" t="inlineStr">
        <is>
          <t>2026-10-25</t>
        </is>
      </c>
      <c r="Y26" s="97" t="n"/>
      <c r="Z26" s="97" t="n"/>
      <c r="AA26" s="97" t="n"/>
      <c r="AB26" s="97" t="n"/>
      <c r="AC26" s="97" t="n"/>
      <c r="AD26" s="161" t="inlineStr">
        <is>
          <t>2026-10-14</t>
        </is>
      </c>
      <c r="AE26" s="174" t="inlineStr">
        <is>
          <t>0021</t>
        </is>
      </c>
      <c r="AF26" s="96" t="inlineStr">
        <is>
          <t>TBKK42</t>
        </is>
      </c>
      <c r="AG26" s="97" t="n"/>
      <c r="AH26" s="97" t="n"/>
      <c r="AI26" s="97" t="n"/>
      <c r="AJ26" s="96" t="inlineStr">
        <is>
          <t>GFM JAPAN CO., LTD.</t>
        </is>
      </c>
      <c r="AK26" s="130" t="n">
        <v>0</v>
      </c>
    </row>
    <row r="27" ht="12" customHeight="1">
      <c r="A27" s="108" t="inlineStr">
        <is>
          <t>HALU2472898</t>
        </is>
      </c>
      <c r="B27" s="108" t="inlineStr">
        <is>
          <t>BKK01</t>
        </is>
      </c>
      <c r="C27" s="108" t="inlineStr">
        <is>
          <t>IFV</t>
        </is>
      </c>
      <c r="D27" s="172" t="inlineStr">
        <is>
          <t>2026-10-12</t>
        </is>
      </c>
      <c r="E27" s="173" t="inlineStr">
        <is>
          <t>2042</t>
        </is>
      </c>
      <c r="F27" s="96" t="inlineStr">
        <is>
          <t>HASLS22260701285</t>
        </is>
      </c>
      <c r="G27" s="96" t="inlineStr">
        <is>
          <t>CNTRANS EXPRESS CO., LTD.</t>
        </is>
      </c>
      <c r="H27" s="111" t="inlineStr">
        <is>
          <t>22GP</t>
        </is>
      </c>
      <c r="I27" s="96" t="n"/>
      <c r="J27" s="96" t="inlineStr">
        <is>
          <t>Sirichai Prayochananon</t>
        </is>
      </c>
      <c r="K27" s="96" t="inlineStr">
        <is>
          <t>SD</t>
        </is>
      </c>
      <c r="L27" s="111" t="inlineStr">
        <is>
          <t>Full</t>
        </is>
      </c>
      <c r="M27" s="96" t="inlineStr">
        <is>
          <t>HASLS22260701285</t>
        </is>
      </c>
      <c r="N27" s="96" t="inlineStr">
        <is>
          <t xml:space="preserve">20'x1 </t>
        </is>
      </c>
      <c r="O27" s="111" t="inlineStr">
        <is>
          <t>2024</t>
        </is>
      </c>
      <c r="P27" s="111" t="n"/>
      <c r="Q27" s="111" t="n"/>
      <c r="R27" s="96" t="n"/>
      <c r="S27" s="96" t="n"/>
      <c r="T27" s="96" t="inlineStr">
        <is>
          <t>BKK01</t>
        </is>
      </c>
      <c r="U27" s="96" t="inlineStr">
        <is>
          <t>THBKK</t>
        </is>
      </c>
      <c r="V27" s="161" t="inlineStr">
        <is>
          <t>2026-10-16</t>
        </is>
      </c>
      <c r="W27" s="96" t="inlineStr">
        <is>
          <t>VNSGN</t>
        </is>
      </c>
      <c r="X27" s="161" t="inlineStr">
        <is>
          <t>2026-10-18</t>
        </is>
      </c>
      <c r="Y27" s="97" t="n"/>
      <c r="Z27" s="97" t="n"/>
      <c r="AA27" s="97" t="n"/>
      <c r="AB27" s="97" t="n"/>
      <c r="AC27" s="97" t="n"/>
      <c r="AD27" s="161" t="inlineStr">
        <is>
          <t>2026-10-14</t>
        </is>
      </c>
      <c r="AE27" s="174" t="inlineStr">
        <is>
          <t>0021</t>
        </is>
      </c>
      <c r="AF27" s="96" t="inlineStr">
        <is>
          <t>TBKK42</t>
        </is>
      </c>
      <c r="AG27" s="97" t="n"/>
      <c r="AH27" s="97" t="n"/>
      <c r="AI27" s="97" t="n"/>
      <c r="AJ27" s="96" t="inlineStr">
        <is>
          <t>0301939555</t>
        </is>
      </c>
      <c r="AK27" s="130" t="n">
        <v>0</v>
      </c>
    </row>
    <row r="28" ht="12" customHeight="1">
      <c r="A28" s="108" t="inlineStr">
        <is>
          <t>HALU2517816</t>
        </is>
      </c>
      <c r="B28" s="108" t="inlineStr">
        <is>
          <t>BKK01</t>
        </is>
      </c>
      <c r="C28" s="108" t="inlineStr">
        <is>
          <t>IFV</t>
        </is>
      </c>
      <c r="D28" s="172" t="inlineStr">
        <is>
          <t>2026-10-12</t>
        </is>
      </c>
      <c r="E28" s="173" t="inlineStr">
        <is>
          <t>1426</t>
        </is>
      </c>
      <c r="F28" s="96" t="inlineStr">
        <is>
          <t>HASLS22260901669</t>
        </is>
      </c>
      <c r="G28" s="96" t="inlineStr">
        <is>
          <t>SEA FLEXI LOGISTICS CO.,LTD.</t>
        </is>
      </c>
      <c r="H28" s="111" t="inlineStr">
        <is>
          <t>22GP</t>
        </is>
      </c>
      <c r="I28" s="96" t="n"/>
      <c r="J28" s="96" t="inlineStr">
        <is>
          <t>Chuanchuen</t>
        </is>
      </c>
      <c r="K28" s="96" t="inlineStr">
        <is>
          <t>SD</t>
        </is>
      </c>
      <c r="L28" s="111" t="inlineStr">
        <is>
          <t>Full</t>
        </is>
      </c>
      <c r="M28" s="96" t="inlineStr">
        <is>
          <t>HASLS22260901669</t>
        </is>
      </c>
      <c r="N28" s="96" t="inlineStr">
        <is>
          <t xml:space="preserve">20'x7 </t>
        </is>
      </c>
      <c r="O28" s="111" t="inlineStr">
        <is>
          <t>2025</t>
        </is>
      </c>
      <c r="P28" s="111" t="n"/>
      <c r="Q28" s="111" t="n"/>
      <c r="R28" s="96" t="n"/>
      <c r="S28" s="96" t="n"/>
      <c r="T28" s="96" t="inlineStr">
        <is>
          <t>BKK01</t>
        </is>
      </c>
      <c r="U28" s="96" t="inlineStr">
        <is>
          <t>THBKK</t>
        </is>
      </c>
      <c r="V28" s="161" t="inlineStr">
        <is>
          <t>2026-10-16</t>
        </is>
      </c>
      <c r="W28" s="96" t="inlineStr">
        <is>
          <t>VNSGN</t>
        </is>
      </c>
      <c r="X28" s="161" t="inlineStr">
        <is>
          <t>2026-10-18</t>
        </is>
      </c>
      <c r="Y28" s="97" t="n"/>
      <c r="Z28" s="97" t="n"/>
      <c r="AA28" s="97" t="n"/>
      <c r="AB28" s="97" t="n"/>
      <c r="AC28" s="97" t="n"/>
      <c r="AD28" s="161" t="inlineStr">
        <is>
          <t>2026-10-12</t>
        </is>
      </c>
      <c r="AE28" s="174" t="inlineStr">
        <is>
          <t>1911</t>
        </is>
      </c>
      <c r="AF28" s="96" t="inlineStr">
        <is>
          <t>TBKK07</t>
        </is>
      </c>
      <c r="AG28" s="97" t="n"/>
      <c r="AH28" s="97" t="n"/>
      <c r="AI28" s="97" t="n"/>
      <c r="AJ28" s="96" t="inlineStr">
        <is>
          <t>MEKONG COMMODITIES JSC</t>
        </is>
      </c>
      <c r="AK28" s="130" t="n">
        <v>0</v>
      </c>
    </row>
    <row r="29" ht="12" customHeight="1">
      <c r="A29" s="108" t="inlineStr">
        <is>
          <t>HALU2524712</t>
        </is>
      </c>
      <c r="B29" s="108" t="inlineStr">
        <is>
          <t>BKK01</t>
        </is>
      </c>
      <c r="C29" s="108" t="inlineStr">
        <is>
          <t>IFV</t>
        </is>
      </c>
      <c r="D29" s="172" t="inlineStr">
        <is>
          <t>2026-10-12</t>
        </is>
      </c>
      <c r="E29" s="173" t="inlineStr">
        <is>
          <t>0110</t>
        </is>
      </c>
      <c r="F29" s="96" t="inlineStr">
        <is>
          <t>HASLS22260902094</t>
        </is>
      </c>
      <c r="G29" s="96" t="inlineStr">
        <is>
          <t>BIRLA CARBON (THAILAND) PUBLIC COMPANY LIMITED</t>
        </is>
      </c>
      <c r="H29" s="111" t="inlineStr">
        <is>
          <t>22GP</t>
        </is>
      </c>
      <c r="I29" s="96" t="n"/>
      <c r="J29" s="96" t="inlineStr">
        <is>
          <t>Chuanchuen</t>
        </is>
      </c>
      <c r="K29" s="96" t="inlineStr">
        <is>
          <t>SD</t>
        </is>
      </c>
      <c r="L29" s="111" t="inlineStr">
        <is>
          <t>Full</t>
        </is>
      </c>
      <c r="M29" s="96" t="inlineStr">
        <is>
          <t>HASLS22260902094</t>
        </is>
      </c>
      <c r="N29" s="96" t="inlineStr">
        <is>
          <t xml:space="preserve">20'x4 </t>
        </is>
      </c>
      <c r="O29" s="111" t="inlineStr">
        <is>
          <t>2025</t>
        </is>
      </c>
      <c r="P29" s="111" t="n"/>
      <c r="Q29" s="111" t="n"/>
      <c r="R29" s="96" t="n"/>
      <c r="S29" s="96" t="n"/>
      <c r="T29" s="96" t="inlineStr">
        <is>
          <t>BKK01</t>
        </is>
      </c>
      <c r="U29" s="96" t="inlineStr">
        <is>
          <t>THBKK</t>
        </is>
      </c>
      <c r="V29" s="161" t="inlineStr">
        <is>
          <t>2026-10-16</t>
        </is>
      </c>
      <c r="W29" s="96" t="inlineStr">
        <is>
          <t>JPUKB</t>
        </is>
      </c>
      <c r="X29" s="161" t="inlineStr">
        <is>
          <t>2026-10-25</t>
        </is>
      </c>
      <c r="Y29" s="97" t="n"/>
      <c r="Z29" s="97" t="n"/>
      <c r="AA29" s="97" t="n"/>
      <c r="AB29" s="97" t="n"/>
      <c r="AC29" s="97" t="n"/>
      <c r="AD29" s="161" t="inlineStr">
        <is>
          <t>2026-10-12</t>
        </is>
      </c>
      <c r="AE29" s="174" t="inlineStr">
        <is>
          <t>0955</t>
        </is>
      </c>
      <c r="AF29" s="96" t="inlineStr">
        <is>
          <t>TBKK07</t>
        </is>
      </c>
      <c r="AG29" s="97" t="n"/>
      <c r="AH29" s="97" t="n"/>
      <c r="AI29" s="97" t="n"/>
      <c r="AJ29" s="96" t="inlineStr">
        <is>
          <t>NIPPON GIANT TIRE CO.,LTD.</t>
        </is>
      </c>
      <c r="AK29" s="130" t="n">
        <v>0</v>
      </c>
    </row>
    <row r="30" ht="12" customHeight="1">
      <c r="A30" s="108" t="inlineStr">
        <is>
          <t>HALU2540009</t>
        </is>
      </c>
      <c r="B30" s="108" t="inlineStr">
        <is>
          <t>BKK01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1850</t>
        </is>
      </c>
      <c r="F30" s="96" t="inlineStr">
        <is>
          <t>HASLS22260902184</t>
        </is>
      </c>
      <c r="G30" s="96" t="inlineStr">
        <is>
          <t>BIRLA CARBON (THAILAND) PUBLIC COMPANY LIMITED</t>
        </is>
      </c>
      <c r="H30" s="111" t="inlineStr">
        <is>
          <t>22GP</t>
        </is>
      </c>
      <c r="I30" s="96" t="n"/>
      <c r="J30" s="96" t="inlineStr">
        <is>
          <t>Sirichai Prayochananon</t>
        </is>
      </c>
      <c r="K30" s="96" t="inlineStr">
        <is>
          <t>SD</t>
        </is>
      </c>
      <c r="L30" s="111" t="inlineStr">
        <is>
          <t>Full</t>
        </is>
      </c>
      <c r="M30" s="96" t="inlineStr">
        <is>
          <t>HASLS22260902184</t>
        </is>
      </c>
      <c r="N30" s="96" t="inlineStr">
        <is>
          <t xml:space="preserve">20'x4 </t>
        </is>
      </c>
      <c r="O30" s="111" t="inlineStr">
        <is>
          <t>2025</t>
        </is>
      </c>
      <c r="P30" s="111" t="n"/>
      <c r="Q30" s="111" t="n"/>
      <c r="R30" s="96" t="n"/>
      <c r="S30" s="96" t="n"/>
      <c r="T30" s="96" t="inlineStr">
        <is>
          <t>BKK01</t>
        </is>
      </c>
      <c r="U30" s="96" t="inlineStr">
        <is>
          <t>THBKK</t>
        </is>
      </c>
      <c r="V30" s="161" t="inlineStr">
        <is>
          <t>2026-10-16</t>
        </is>
      </c>
      <c r="W30" s="96" t="inlineStr">
        <is>
          <t>JPUKB</t>
        </is>
      </c>
      <c r="X30" s="161" t="inlineStr">
        <is>
          <t>2026-10-25</t>
        </is>
      </c>
      <c r="Y30" s="97" t="n"/>
      <c r="Z30" s="97" t="n"/>
      <c r="AA30" s="97" t="n"/>
      <c r="AB30" s="97" t="n"/>
      <c r="AC30" s="97" t="n"/>
      <c r="AD30" s="161" t="inlineStr">
        <is>
          <t>2026-10-14</t>
        </is>
      </c>
      <c r="AE30" s="174" t="inlineStr">
        <is>
          <t>0021</t>
        </is>
      </c>
      <c r="AF30" s="96" t="inlineStr">
        <is>
          <t>TBKK42</t>
        </is>
      </c>
      <c r="AG30" s="97" t="n"/>
      <c r="AH30" s="97" t="n"/>
      <c r="AI30" s="97" t="n"/>
      <c r="AJ30" s="96" t="inlineStr">
        <is>
          <t>NIPPON GIANT TIRE CO.,LTD.</t>
        </is>
      </c>
      <c r="AK30" s="130" t="n">
        <v>0</v>
      </c>
    </row>
    <row r="31" ht="12" customHeight="1">
      <c r="A31" s="108" t="inlineStr">
        <is>
          <t>HALU2552458</t>
        </is>
      </c>
      <c r="B31" s="108" t="inlineStr">
        <is>
          <t>BKK01</t>
        </is>
      </c>
      <c r="C31" s="108" t="inlineStr">
        <is>
          <t>IFV</t>
        </is>
      </c>
      <c r="D31" s="172" t="inlineStr">
        <is>
          <t>2026-10-12</t>
        </is>
      </c>
      <c r="E31" s="173" t="inlineStr">
        <is>
          <t>1944</t>
        </is>
      </c>
      <c r="F31" s="96" t="inlineStr">
        <is>
          <t>HASLS22260901896</t>
        </is>
      </c>
      <c r="G31" s="96" t="inlineStr">
        <is>
          <t>GENERAL FOOD PRODUCTS CO., LTD.</t>
        </is>
      </c>
      <c r="H31" s="111" t="inlineStr">
        <is>
          <t>22GP</t>
        </is>
      </c>
      <c r="I31" s="96" t="n"/>
      <c r="J31" s="96" t="inlineStr">
        <is>
          <t>Sirichai Prayochananon</t>
        </is>
      </c>
      <c r="K31" s="96" t="inlineStr">
        <is>
          <t>SD</t>
        </is>
      </c>
      <c r="L31" s="111" t="inlineStr">
        <is>
          <t>Full</t>
        </is>
      </c>
      <c r="M31" s="96" t="inlineStr">
        <is>
          <t>HASLS22260901896</t>
        </is>
      </c>
      <c r="N31" s="96" t="inlineStr">
        <is>
          <t xml:space="preserve">20'x1 </t>
        </is>
      </c>
      <c r="O31" s="111" t="inlineStr">
        <is>
          <t>2025</t>
        </is>
      </c>
      <c r="P31" s="111" t="n"/>
      <c r="Q31" s="111" t="n"/>
      <c r="R31" s="96" t="n"/>
      <c r="S31" s="96" t="n"/>
      <c r="T31" s="96" t="inlineStr">
        <is>
          <t>BKK01</t>
        </is>
      </c>
      <c r="U31" s="96" t="inlineStr">
        <is>
          <t>THBKK</t>
        </is>
      </c>
      <c r="V31" s="161" t="inlineStr">
        <is>
          <t>2026-10-16</t>
        </is>
      </c>
      <c r="W31" s="96" t="inlineStr">
        <is>
          <t>JPKIJ</t>
        </is>
      </c>
      <c r="X31" s="161" t="inlineStr">
        <is>
          <t>2026-10-25</t>
        </is>
      </c>
      <c r="Y31" s="97" t="n"/>
      <c r="Z31" s="97" t="n"/>
      <c r="AA31" s="97" t="n"/>
      <c r="AB31" s="97" t="n"/>
      <c r="AC31" s="97" t="n"/>
      <c r="AD31" s="161" t="inlineStr">
        <is>
          <t>2026-10-14</t>
        </is>
      </c>
      <c r="AE31" s="174" t="inlineStr">
        <is>
          <t>0021</t>
        </is>
      </c>
      <c r="AF31" s="96" t="inlineStr">
        <is>
          <t>TBKK42</t>
        </is>
      </c>
      <c r="AG31" s="97" t="n"/>
      <c r="AH31" s="97" t="n"/>
      <c r="AI31" s="97" t="n"/>
      <c r="AJ31" s="96" t="inlineStr">
        <is>
          <t>GFM JAPAN CO., LTD.</t>
        </is>
      </c>
      <c r="AK31" s="130" t="n">
        <v>0</v>
      </c>
    </row>
    <row r="32" ht="12" customHeight="1">
      <c r="A32" s="108" t="inlineStr">
        <is>
          <t>HALU2557038</t>
        </is>
      </c>
      <c r="B32" s="108" t="inlineStr">
        <is>
          <t>BKK01</t>
        </is>
      </c>
      <c r="C32" s="108" t="inlineStr">
        <is>
          <t>IFV</t>
        </is>
      </c>
      <c r="D32" s="172" t="inlineStr">
        <is>
          <t>2026-10-12</t>
        </is>
      </c>
      <c r="E32" s="173" t="inlineStr">
        <is>
          <t>0110</t>
        </is>
      </c>
      <c r="F32" s="96" t="inlineStr">
        <is>
          <t>HASLS22260902094</t>
        </is>
      </c>
      <c r="G32" s="96" t="inlineStr">
        <is>
          <t>BIRLA CARBON (THAILAND) PUBLIC COMPANY LIMITED</t>
        </is>
      </c>
      <c r="H32" s="111" t="inlineStr">
        <is>
          <t>22GP</t>
        </is>
      </c>
      <c r="I32" s="96" t="n"/>
      <c r="J32" s="96" t="inlineStr">
        <is>
          <t>Chuanchuen</t>
        </is>
      </c>
      <c r="K32" s="96" t="inlineStr">
        <is>
          <t>SD</t>
        </is>
      </c>
      <c r="L32" s="111" t="inlineStr">
        <is>
          <t>Full</t>
        </is>
      </c>
      <c r="M32" s="96" t="inlineStr">
        <is>
          <t>HASLS22260902094</t>
        </is>
      </c>
      <c r="N32" s="96" t="inlineStr">
        <is>
          <t xml:space="preserve">20'x4 </t>
        </is>
      </c>
      <c r="O32" s="111" t="inlineStr">
        <is>
          <t>2025</t>
        </is>
      </c>
      <c r="P32" s="111" t="n"/>
      <c r="Q32" s="111" t="n"/>
      <c r="R32" s="96" t="n"/>
      <c r="S32" s="96" t="n"/>
      <c r="T32" s="96" t="inlineStr">
        <is>
          <t>BKK01</t>
        </is>
      </c>
      <c r="U32" s="96" t="inlineStr">
        <is>
          <t>THBKK</t>
        </is>
      </c>
      <c r="V32" s="161" t="inlineStr">
        <is>
          <t>2026-10-16</t>
        </is>
      </c>
      <c r="W32" s="96" t="inlineStr">
        <is>
          <t>JPUKB</t>
        </is>
      </c>
      <c r="X32" s="161" t="inlineStr">
        <is>
          <t>2026-10-25</t>
        </is>
      </c>
      <c r="Y32" s="97" t="n"/>
      <c r="Z32" s="97" t="n"/>
      <c r="AA32" s="97" t="n"/>
      <c r="AB32" s="97" t="n"/>
      <c r="AC32" s="97" t="n"/>
      <c r="AD32" s="161" t="inlineStr">
        <is>
          <t>2026-10-12</t>
        </is>
      </c>
      <c r="AE32" s="174" t="inlineStr">
        <is>
          <t>0955</t>
        </is>
      </c>
      <c r="AF32" s="96" t="inlineStr">
        <is>
          <t>TBKK07</t>
        </is>
      </c>
      <c r="AG32" s="97" t="n"/>
      <c r="AH32" s="97" t="n"/>
      <c r="AI32" s="97" t="n"/>
      <c r="AJ32" s="96" t="inlineStr">
        <is>
          <t>NIPPON GIANT TIRE CO.,LTD.</t>
        </is>
      </c>
      <c r="AK32" s="130" t="n">
        <v>0</v>
      </c>
    </row>
    <row r="33" ht="12" customHeight="1">
      <c r="A33" s="108" t="inlineStr">
        <is>
          <t>HALU2564248</t>
        </is>
      </c>
      <c r="B33" s="108" t="inlineStr">
        <is>
          <t>BKK01</t>
        </is>
      </c>
      <c r="C33" s="108" t="inlineStr">
        <is>
          <t>IFV</t>
        </is>
      </c>
      <c r="D33" s="172" t="inlineStr">
        <is>
          <t>2026-10-10</t>
        </is>
      </c>
      <c r="E33" s="173" t="inlineStr">
        <is>
          <t>0102</t>
        </is>
      </c>
      <c r="F33" s="96" t="inlineStr">
        <is>
          <t>HASLS22260902094</t>
        </is>
      </c>
      <c r="G33" s="96" t="inlineStr">
        <is>
          <t>BIRLA CARBON (THAILAND) PUBLIC COMPANY LIMITED</t>
        </is>
      </c>
      <c r="H33" s="111" t="inlineStr">
        <is>
          <t>22GP</t>
        </is>
      </c>
      <c r="I33" s="96" t="n"/>
      <c r="J33" s="96" t="inlineStr">
        <is>
          <t>Sirichai Prayochananon</t>
        </is>
      </c>
      <c r="K33" s="96" t="inlineStr">
        <is>
          <t>SD</t>
        </is>
      </c>
      <c r="L33" s="111" t="inlineStr">
        <is>
          <t>Full</t>
        </is>
      </c>
      <c r="M33" s="96" t="inlineStr">
        <is>
          <t>HASLS22260902094</t>
        </is>
      </c>
      <c r="N33" s="96" t="inlineStr">
        <is>
          <t xml:space="preserve">20'x4 </t>
        </is>
      </c>
      <c r="O33" s="111" t="inlineStr">
        <is>
          <t>2025</t>
        </is>
      </c>
      <c r="P33" s="111" t="n"/>
      <c r="Q33" s="111" t="n"/>
      <c r="R33" s="96" t="n"/>
      <c r="S33" s="96" t="n"/>
      <c r="T33" s="96" t="inlineStr">
        <is>
          <t>BKK01</t>
        </is>
      </c>
      <c r="U33" s="96" t="inlineStr">
        <is>
          <t>THBKK</t>
        </is>
      </c>
      <c r="V33" s="161" t="inlineStr">
        <is>
          <t>2026-10-16</t>
        </is>
      </c>
      <c r="W33" s="96" t="inlineStr">
        <is>
          <t>JPUKB</t>
        </is>
      </c>
      <c r="X33" s="161" t="inlineStr">
        <is>
          <t>2026-10-25</t>
        </is>
      </c>
      <c r="Y33" s="97" t="n"/>
      <c r="Z33" s="97" t="n"/>
      <c r="AA33" s="97" t="n"/>
      <c r="AB33" s="97" t="n"/>
      <c r="AC33" s="97" t="n"/>
      <c r="AD33" s="161" t="inlineStr">
        <is>
          <t>2026-10-11</t>
        </is>
      </c>
      <c r="AE33" s="174" t="inlineStr">
        <is>
          <t>2325</t>
        </is>
      </c>
      <c r="AF33" s="96" t="inlineStr">
        <is>
          <t>TBKK42</t>
        </is>
      </c>
      <c r="AG33" s="97" t="n"/>
      <c r="AH33" s="97" t="n"/>
      <c r="AI33" s="97" t="n"/>
      <c r="AJ33" s="96" t="inlineStr">
        <is>
          <t>NIPPON GIANT TIRE CO.,LTD.</t>
        </is>
      </c>
      <c r="AK33" s="130" t="n">
        <v>0</v>
      </c>
    </row>
    <row r="34" ht="12" customHeight="1">
      <c r="A34" s="108" t="inlineStr">
        <is>
          <t>HALU2571252</t>
        </is>
      </c>
      <c r="B34" s="108" t="inlineStr">
        <is>
          <t>BKK01</t>
        </is>
      </c>
      <c r="C34" s="108" t="inlineStr">
        <is>
          <t>IFV</t>
        </is>
      </c>
      <c r="D34" s="172" t="inlineStr">
        <is>
          <t>2026-10-12</t>
        </is>
      </c>
      <c r="E34" s="173" t="inlineStr">
        <is>
          <t>1414</t>
        </is>
      </c>
      <c r="F34" s="96" t="inlineStr">
        <is>
          <t>HASLS22260902658</t>
        </is>
      </c>
      <c r="G34" s="96" t="inlineStr">
        <is>
          <t>GOLDEN WORLD LOGISTICS CO., LTD.</t>
        </is>
      </c>
      <c r="H34" s="111" t="inlineStr">
        <is>
          <t>22GP</t>
        </is>
      </c>
      <c r="I34" s="96" t="n"/>
      <c r="J34" s="96" t="inlineStr">
        <is>
          <t>Chuanchuen</t>
        </is>
      </c>
      <c r="K34" s="96" t="inlineStr">
        <is>
          <t>SD</t>
        </is>
      </c>
      <c r="L34" s="111" t="inlineStr">
        <is>
          <t>Full</t>
        </is>
      </c>
      <c r="M34" s="96" t="inlineStr">
        <is>
          <t>HASLS22260902658</t>
        </is>
      </c>
      <c r="N34" s="96" t="inlineStr">
        <is>
          <t xml:space="preserve">20'x4 </t>
        </is>
      </c>
      <c r="O34" s="111" t="inlineStr">
        <is>
          <t>2025</t>
        </is>
      </c>
      <c r="P34" s="111" t="n"/>
      <c r="Q34" s="111" t="n"/>
      <c r="R34" s="96" t="n"/>
      <c r="S34" s="96" t="n"/>
      <c r="T34" s="96" t="inlineStr">
        <is>
          <t>BKK01</t>
        </is>
      </c>
      <c r="U34" s="96" t="inlineStr">
        <is>
          <t>THBKK</t>
        </is>
      </c>
      <c r="V34" s="161" t="inlineStr">
        <is>
          <t>2026-10-16</t>
        </is>
      </c>
      <c r="W34" s="96" t="inlineStr">
        <is>
          <t>VNSGN</t>
        </is>
      </c>
      <c r="X34" s="161" t="inlineStr">
        <is>
          <t>2026-10-18</t>
        </is>
      </c>
      <c r="Y34" s="97" t="n"/>
      <c r="Z34" s="97" t="n"/>
      <c r="AA34" s="97" t="n"/>
      <c r="AB34" s="97" t="n"/>
      <c r="AC34" s="97" t="n"/>
      <c r="AD34" s="161" t="inlineStr">
        <is>
          <t>2026-10-12</t>
        </is>
      </c>
      <c r="AE34" s="174" t="inlineStr">
        <is>
          <t>1911</t>
        </is>
      </c>
      <c r="AF34" s="96" t="inlineStr">
        <is>
          <t>TBKK07</t>
        </is>
      </c>
      <c r="AG34" s="97" t="n"/>
      <c r="AH34" s="97" t="n"/>
      <c r="AI34" s="97" t="n"/>
      <c r="AJ34" s="96" t="inlineStr">
        <is>
          <t>UNI-PRESIDENT VIETNAM CO.,LTD</t>
        </is>
      </c>
      <c r="AK34" s="130" t="n">
        <v>0</v>
      </c>
    </row>
    <row r="35" ht="12" customHeight="1">
      <c r="A35" s="108" t="inlineStr">
        <is>
          <t>HALU2574518</t>
        </is>
      </c>
      <c r="B35" s="108" t="inlineStr">
        <is>
          <t>BKK01</t>
        </is>
      </c>
      <c r="C35" s="108" t="inlineStr">
        <is>
          <t>IFW</t>
        </is>
      </c>
      <c r="D35" s="172" t="inlineStr">
        <is>
          <t>2026-10-12</t>
        </is>
      </c>
      <c r="E35" s="173" t="inlineStr">
        <is>
          <t>1100</t>
        </is>
      </c>
      <c r="F35" s="96" t="inlineStr">
        <is>
          <t>HASLS22260901655</t>
        </is>
      </c>
      <c r="G35" s="96" t="inlineStr">
        <is>
          <t>EXPEDITORS (THAILAND) LTD.</t>
        </is>
      </c>
      <c r="H35" s="111" t="inlineStr">
        <is>
          <t>22GP</t>
        </is>
      </c>
      <c r="I35" s="96" t="inlineStr">
        <is>
          <t>HAL404622</t>
        </is>
      </c>
      <c r="J35" s="96" t="inlineStr">
        <is>
          <t>Chotika</t>
        </is>
      </c>
      <c r="K35" s="96" t="inlineStr">
        <is>
          <t>SD</t>
        </is>
      </c>
      <c r="L35" s="111" t="inlineStr">
        <is>
          <t>Full</t>
        </is>
      </c>
      <c r="M35" s="96" t="inlineStr">
        <is>
          <t>HASLS22260901655</t>
        </is>
      </c>
      <c r="N35" s="96" t="inlineStr">
        <is>
          <t xml:space="preserve">20'x1 </t>
        </is>
      </c>
      <c r="O35" s="111" t="inlineStr">
        <is>
          <t>2025</t>
        </is>
      </c>
      <c r="P35" s="111" t="n"/>
      <c r="Q35" s="111" t="n"/>
      <c r="R35" s="96" t="n"/>
      <c r="S35" s="96" t="n"/>
      <c r="T35" s="96" t="inlineStr">
        <is>
          <t>BKK01</t>
        </is>
      </c>
      <c r="U35" s="96" t="inlineStr">
        <is>
          <t>THBKK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2026-10-18</t>
        </is>
      </c>
      <c r="Y35" s="97" t="n"/>
      <c r="Z35" s="97" t="n"/>
      <c r="AA35" s="97" t="n"/>
      <c r="AB35" s="97" t="n"/>
      <c r="AC35" s="97" t="n"/>
      <c r="AD35" s="161" t="inlineStr">
        <is>
          <t>2026-10-14</t>
        </is>
      </c>
      <c r="AE35" s="174" t="inlineStr">
        <is>
          <t>1123</t>
        </is>
      </c>
      <c r="AF35" s="96" t="inlineStr">
        <is>
          <t>TBKK06</t>
        </is>
      </c>
      <c r="AG35" s="97" t="n"/>
      <c r="AH35" s="97" t="n"/>
      <c r="AI35" s="97" t="n"/>
      <c r="AJ35" s="96" t="inlineStr">
        <is>
          <t>EXPEDITORS VIETNAM COMPANY LIMITED</t>
        </is>
      </c>
      <c r="AK35" s="130" t="n">
        <v>0</v>
      </c>
    </row>
    <row r="36" ht="12" customHeight="1">
      <c r="A36" s="108" t="inlineStr">
        <is>
          <t>HALU2588276</t>
        </is>
      </c>
      <c r="B36" s="108" t="inlineStr">
        <is>
          <t>BKK01</t>
        </is>
      </c>
      <c r="C36" s="108" t="inlineStr">
        <is>
          <t>IFV</t>
        </is>
      </c>
      <c r="D36" s="172" t="inlineStr">
        <is>
          <t>2026-10-12</t>
        </is>
      </c>
      <c r="E36" s="173" t="inlineStr">
        <is>
          <t>2100</t>
        </is>
      </c>
      <c r="F36" s="96" t="inlineStr">
        <is>
          <t>HASLS22260901595</t>
        </is>
      </c>
      <c r="G36" s="96" t="inlineStr">
        <is>
          <t>C.P. INTERTRADE CO., LTD.</t>
        </is>
      </c>
      <c r="H36" s="111" t="inlineStr">
        <is>
          <t>22GP</t>
        </is>
      </c>
      <c r="I36" s="96" t="n"/>
      <c r="J36" s="96" t="inlineStr">
        <is>
          <t>Sirichai Prayochananon</t>
        </is>
      </c>
      <c r="K36" s="96" t="inlineStr">
        <is>
          <t>SD</t>
        </is>
      </c>
      <c r="L36" s="111" t="inlineStr">
        <is>
          <t>Full</t>
        </is>
      </c>
      <c r="M36" s="96" t="inlineStr">
        <is>
          <t>HASLS22260901595</t>
        </is>
      </c>
      <c r="N36" s="96" t="inlineStr">
        <is>
          <t xml:space="preserve">20'x2 </t>
        </is>
      </c>
      <c r="O36" s="111" t="inlineStr">
        <is>
          <t>2025</t>
        </is>
      </c>
      <c r="P36" s="111" t="n"/>
      <c r="Q36" s="111" t="n"/>
      <c r="R36" s="96" t="n"/>
      <c r="S36" s="96" t="n"/>
      <c r="T36" s="96" t="inlineStr">
        <is>
          <t>BKK01</t>
        </is>
      </c>
      <c r="U36" s="96" t="inlineStr">
        <is>
          <t>THBKK</t>
        </is>
      </c>
      <c r="V36" s="161" t="inlineStr">
        <is>
          <t>2026-10-16</t>
        </is>
      </c>
      <c r="W36" s="96" t="inlineStr">
        <is>
          <t>VNSGN</t>
        </is>
      </c>
      <c r="X36" s="161" t="inlineStr">
        <is>
          <t>2026-10-18</t>
        </is>
      </c>
      <c r="Y36" s="97" t="n"/>
      <c r="Z36" s="97" t="n"/>
      <c r="AA36" s="97" t="n"/>
      <c r="AB36" s="97" t="n"/>
      <c r="AC36" s="97" t="n"/>
      <c r="AD36" s="161" t="inlineStr">
        <is>
          <t>2026-10-14</t>
        </is>
      </c>
      <c r="AE36" s="174" t="inlineStr">
        <is>
          <t>0021</t>
        </is>
      </c>
      <c r="AF36" s="96" t="inlineStr">
        <is>
          <t>TBKK42</t>
        </is>
      </c>
      <c r="AG36" s="97" t="n"/>
      <c r="AH36" s="97" t="n"/>
      <c r="AI36" s="97" t="n"/>
      <c r="AJ36" s="96" t="inlineStr">
        <is>
          <t>C.P.SEEDS (VIETNAM) CO.,LTD.</t>
        </is>
      </c>
      <c r="AK36" s="130" t="n">
        <v>0</v>
      </c>
    </row>
    <row r="37" ht="12" customHeight="1">
      <c r="A37" s="108" t="inlineStr">
        <is>
          <t>HALU5652996</t>
        </is>
      </c>
      <c r="B37" s="108" t="inlineStr">
        <is>
          <t>BKK01</t>
        </is>
      </c>
      <c r="C37" s="108" t="inlineStr">
        <is>
          <t>IFV</t>
        </is>
      </c>
      <c r="D37" s="172" t="inlineStr">
        <is>
          <t>2026-10-10</t>
        </is>
      </c>
      <c r="E37" s="173" t="inlineStr">
        <is>
          <t>1002</t>
        </is>
      </c>
      <c r="F37" s="96" t="inlineStr">
        <is>
          <t>HASLS22260902582</t>
        </is>
      </c>
      <c r="G37" s="96" t="inlineStr">
        <is>
          <t>FM GLOBAL LOGISTICS CO., LTD.</t>
        </is>
      </c>
      <c r="H37" s="111" t="inlineStr">
        <is>
          <t>45GP</t>
        </is>
      </c>
      <c r="I37" s="96" t="n"/>
      <c r="J37" s="96" t="inlineStr">
        <is>
          <t>Sirichai Prayochananon</t>
        </is>
      </c>
      <c r="K37" s="96" t="inlineStr">
        <is>
          <t>SD</t>
        </is>
      </c>
      <c r="L37" s="111" t="inlineStr">
        <is>
          <t>Full</t>
        </is>
      </c>
      <c r="M37" s="96" t="inlineStr">
        <is>
          <t>HASLS22260902582</t>
        </is>
      </c>
      <c r="N37" s="96" t="inlineStr">
        <is>
          <t xml:space="preserve">40Hx1 </t>
        </is>
      </c>
      <c r="O37" s="111" t="inlineStr">
        <is>
          <t>2014</t>
        </is>
      </c>
      <c r="P37" s="111" t="n"/>
      <c r="Q37" s="111" t="n"/>
      <c r="R37" s="96" t="n"/>
      <c r="S37" s="96" t="n"/>
      <c r="T37" s="96" t="inlineStr">
        <is>
          <t>BKK01</t>
        </is>
      </c>
      <c r="U37" s="96" t="inlineStr">
        <is>
          <t>THBKK</t>
        </is>
      </c>
      <c r="V37" s="161" t="inlineStr">
        <is>
          <t>2026-10-16</t>
        </is>
      </c>
      <c r="W37" s="96" t="inlineStr">
        <is>
          <t>KRPUS</t>
        </is>
      </c>
      <c r="X37" s="161" t="inlineStr">
        <is>
          <t>2026-10-25</t>
        </is>
      </c>
      <c r="Y37" s="97" t="n"/>
      <c r="Z37" s="97" t="n"/>
      <c r="AA37" s="97" t="n"/>
      <c r="AB37" s="97" t="n"/>
      <c r="AC37" s="97" t="n"/>
      <c r="AD37" s="161" t="inlineStr">
        <is>
          <t>2026-10-11</t>
        </is>
      </c>
      <c r="AE37" s="174" t="inlineStr">
        <is>
          <t>2325</t>
        </is>
      </c>
      <c r="AF37" s="96" t="inlineStr">
        <is>
          <t>TBKK42</t>
        </is>
      </c>
      <c r="AG37" s="97" t="n"/>
      <c r="AH37" s="97" t="n"/>
      <c r="AI37" s="97" t="n"/>
      <c r="AJ37" s="96" t="inlineStr">
        <is>
          <t>UNI LOGISTICS CO.,LTD</t>
        </is>
      </c>
      <c r="AK37" s="130" t="n">
        <v>0</v>
      </c>
    </row>
    <row r="38" ht="12" customHeight="1">
      <c r="A38" s="108" t="inlineStr">
        <is>
          <t>HLHU6419351</t>
        </is>
      </c>
      <c r="B38" s="108" t="inlineStr">
        <is>
          <t>BKK01</t>
        </is>
      </c>
      <c r="C38" s="108" t="inlineStr">
        <is>
          <t>IFV</t>
        </is>
      </c>
      <c r="D38" s="172" t="inlineStr">
        <is>
          <t>2026-10-11</t>
        </is>
      </c>
      <c r="E38" s="173" t="inlineStr">
        <is>
          <t>0431</t>
        </is>
      </c>
      <c r="F38" s="96" t="inlineStr">
        <is>
          <t>HASLS22260900218</t>
        </is>
      </c>
      <c r="G38" s="96" t="inlineStr">
        <is>
          <t>HARPERS SEA FREIGHT CO., LTD.</t>
        </is>
      </c>
      <c r="H38" s="111" t="inlineStr">
        <is>
          <t>45GP</t>
        </is>
      </c>
      <c r="I38" s="96" t="n"/>
      <c r="J38" s="96" t="inlineStr">
        <is>
          <t>Sirichai Prayochananon</t>
        </is>
      </c>
      <c r="K38" s="96" t="inlineStr">
        <is>
          <t>SD</t>
        </is>
      </c>
      <c r="L38" s="111" t="inlineStr">
        <is>
          <t>Full</t>
        </is>
      </c>
      <c r="M38" s="96" t="inlineStr">
        <is>
          <t>HASLS22260900218</t>
        </is>
      </c>
      <c r="N38" s="96" t="inlineStr">
        <is>
          <t xml:space="preserve">40Hx6 </t>
        </is>
      </c>
      <c r="O38" s="111" t="inlineStr">
        <is>
          <t>2024</t>
        </is>
      </c>
      <c r="P38" s="111" t="n"/>
      <c r="Q38" s="111" t="n"/>
      <c r="R38" s="96" t="n"/>
      <c r="S38" s="96" t="n"/>
      <c r="T38" s="96" t="inlineStr">
        <is>
          <t>BKK01</t>
        </is>
      </c>
      <c r="U38" s="96" t="inlineStr">
        <is>
          <t>THBKK</t>
        </is>
      </c>
      <c r="V38" s="161" t="inlineStr">
        <is>
          <t>2026-10-16</t>
        </is>
      </c>
      <c r="W38" s="96" t="inlineStr">
        <is>
          <t>KRPUS</t>
        </is>
      </c>
      <c r="X38" s="161" t="inlineStr">
        <is>
          <t>2026-10-25</t>
        </is>
      </c>
      <c r="Y38" s="97" t="n"/>
      <c r="Z38" s="97" t="n"/>
      <c r="AA38" s="97" t="n"/>
      <c r="AB38" s="97" t="n"/>
      <c r="AC38" s="97" t="n"/>
      <c r="AD38" s="161" t="inlineStr">
        <is>
          <t>2026-10-11</t>
        </is>
      </c>
      <c r="AE38" s="174" t="inlineStr">
        <is>
          <t>2325</t>
        </is>
      </c>
      <c r="AF38" s="96" t="inlineStr">
        <is>
          <t>TBKK42</t>
        </is>
      </c>
      <c r="AG38" s="97" t="n"/>
      <c r="AH38" s="97" t="n"/>
      <c r="AI38" s="97" t="n"/>
      <c r="AJ38" s="96" t="inlineStr">
        <is>
          <t>WOO SUNG FEED CO., LTD.</t>
        </is>
      </c>
      <c r="AK38" s="130" t="n">
        <v>0</v>
      </c>
    </row>
    <row r="39" ht="12" customHeight="1">
      <c r="A39" s="108" t="inlineStr">
        <is>
          <t>HLHU8107060</t>
        </is>
      </c>
      <c r="B39" s="108" t="inlineStr">
        <is>
          <t>BKK01</t>
        </is>
      </c>
      <c r="C39" s="108" t="inlineStr">
        <is>
          <t>IFW</t>
        </is>
      </c>
      <c r="D39" s="172" t="inlineStr">
        <is>
          <t>2026-10-13</t>
        </is>
      </c>
      <c r="E39" s="173" t="inlineStr">
        <is>
          <t>1719</t>
        </is>
      </c>
      <c r="F39" s="96" t="inlineStr">
        <is>
          <t>HASLS22261000088</t>
        </is>
      </c>
      <c r="G39" s="96" t="inlineStr">
        <is>
          <t>ASIA FORWARDING (THAILAND) LTD.</t>
        </is>
      </c>
      <c r="H39" s="111" t="inlineStr">
        <is>
          <t>45GP</t>
        </is>
      </c>
      <c r="I39" s="96" t="n"/>
      <c r="J39" s="96" t="inlineStr">
        <is>
          <t>Chuanchuen</t>
        </is>
      </c>
      <c r="K39" s="96" t="inlineStr">
        <is>
          <t>SD</t>
        </is>
      </c>
      <c r="L39" s="111" t="inlineStr">
        <is>
          <t>Full</t>
        </is>
      </c>
      <c r="M39" s="96" t="inlineStr">
        <is>
          <t>HASLS22261000088</t>
        </is>
      </c>
      <c r="N39" s="96" t="inlineStr">
        <is>
          <t xml:space="preserve">40Hx1 </t>
        </is>
      </c>
      <c r="O39" s="111" t="inlineStr">
        <is>
          <t>2021</t>
        </is>
      </c>
      <c r="P39" s="111" t="n"/>
      <c r="Q39" s="111" t="n"/>
      <c r="R39" s="96" t="n"/>
      <c r="S39" s="96" t="n"/>
      <c r="T39" s="96" t="inlineStr">
        <is>
          <t>BKK01</t>
        </is>
      </c>
      <c r="U39" s="96" t="inlineStr">
        <is>
          <t>THBKK</t>
        </is>
      </c>
      <c r="V39" s="161" t="inlineStr">
        <is>
          <t>2026-10-16</t>
        </is>
      </c>
      <c r="W39" s="96" t="inlineStr">
        <is>
          <t>VNSGN</t>
        </is>
      </c>
      <c r="X39" s="161" t="inlineStr">
        <is>
          <t>2026-10-18</t>
        </is>
      </c>
      <c r="Y39" s="97" t="n"/>
      <c r="Z39" s="97" t="n"/>
      <c r="AA39" s="97" t="n"/>
      <c r="AB39" s="97" t="n"/>
      <c r="AC39" s="97" t="n"/>
      <c r="AD39" s="161" t="inlineStr">
        <is>
          <t>2026-10-15</t>
        </is>
      </c>
      <c r="AE39" s="174" t="inlineStr">
        <is>
          <t>1123</t>
        </is>
      </c>
      <c r="AF39" s="96" t="inlineStr">
        <is>
          <t>TBKK07</t>
        </is>
      </c>
      <c r="AG39" s="97" t="n"/>
      <c r="AH39" s="97" t="n"/>
      <c r="AI39" s="97" t="n"/>
      <c r="AJ39" s="96" t="inlineStr">
        <is>
          <t>EVERICH LTD</t>
        </is>
      </c>
      <c r="AK39" s="130" t="n">
        <v>0</v>
      </c>
    </row>
    <row r="40" ht="12" customHeight="1">
      <c r="A40" s="108" t="inlineStr">
        <is>
          <t>HLHU8115390</t>
        </is>
      </c>
      <c r="B40" s="108" t="inlineStr">
        <is>
          <t>BKK01</t>
        </is>
      </c>
      <c r="C40" s="108" t="inlineStr">
        <is>
          <t>IFV</t>
        </is>
      </c>
      <c r="D40" s="172" t="inlineStr">
        <is>
          <t>2026-10-13</t>
        </is>
      </c>
      <c r="E40" s="173" t="inlineStr">
        <is>
          <t>0107</t>
        </is>
      </c>
      <c r="F40" s="96" t="inlineStr">
        <is>
          <t>HASLS22260902223</t>
        </is>
      </c>
      <c r="G40" s="96" t="inlineStr">
        <is>
          <t>CAPRICORN LOGISTICS CO., LTD.</t>
        </is>
      </c>
      <c r="H40" s="111" t="inlineStr">
        <is>
          <t>45GP</t>
        </is>
      </c>
      <c r="I40" s="96" t="n"/>
      <c r="J40" s="96" t="inlineStr">
        <is>
          <t>Sirichai Prayochananon</t>
        </is>
      </c>
      <c r="K40" s="96" t="inlineStr">
        <is>
          <t>SD</t>
        </is>
      </c>
      <c r="L40" s="111" t="inlineStr">
        <is>
          <t>Full</t>
        </is>
      </c>
      <c r="M40" s="96" t="inlineStr">
        <is>
          <t>HASLS22260902223</t>
        </is>
      </c>
      <c r="N40" s="96" t="inlineStr">
        <is>
          <t xml:space="preserve">40Hx5 </t>
        </is>
      </c>
      <c r="O40" s="111" t="inlineStr">
        <is>
          <t>2021</t>
        </is>
      </c>
      <c r="P40" s="111" t="n"/>
      <c r="Q40" s="111" t="n"/>
      <c r="R40" s="96" t="n"/>
      <c r="S40" s="96" t="n"/>
      <c r="T40" s="96" t="inlineStr">
        <is>
          <t>BKK01</t>
        </is>
      </c>
      <c r="U40" s="96" t="inlineStr">
        <is>
          <t>THBKK</t>
        </is>
      </c>
      <c r="V40" s="161" t="inlineStr">
        <is>
          <t>2026-10-16</t>
        </is>
      </c>
      <c r="W40" s="96" t="inlineStr">
        <is>
          <t>VNSGN</t>
        </is>
      </c>
      <c r="X40" s="161" t="inlineStr">
        <is>
          <t>2026-10-18</t>
        </is>
      </c>
      <c r="Y40" s="97" t="n"/>
      <c r="Z40" s="97" t="n"/>
      <c r="AA40" s="97" t="n"/>
      <c r="AB40" s="97" t="n"/>
      <c r="AC40" s="97" t="n"/>
      <c r="AD40" s="161" t="inlineStr">
        <is>
          <t>2026-10-14</t>
        </is>
      </c>
      <c r="AE40" s="174" t="inlineStr">
        <is>
          <t>0021</t>
        </is>
      </c>
      <c r="AF40" s="96" t="inlineStr">
        <is>
          <t>TBKK42</t>
        </is>
      </c>
      <c r="AG40" s="97" t="n"/>
      <c r="AH40" s="97" t="n"/>
      <c r="AI40" s="97" t="n"/>
      <c r="AJ40" s="96" t="inlineStr">
        <is>
          <t>GIA NGUYEN INT'L LOGISTICS CO., LTD</t>
        </is>
      </c>
      <c r="AK40" s="130" t="n">
        <v>0</v>
      </c>
    </row>
    <row r="41" ht="12" customHeight="1">
      <c r="A41" s="108" t="inlineStr">
        <is>
          <t>HLHU8371560</t>
        </is>
      </c>
      <c r="B41" s="108" t="inlineStr">
        <is>
          <t>BKK01</t>
        </is>
      </c>
      <c r="C41" s="108" t="inlineStr">
        <is>
          <t>IFV</t>
        </is>
      </c>
      <c r="D41" s="172" t="inlineStr">
        <is>
          <t>2026-10-13</t>
        </is>
      </c>
      <c r="E41" s="173" t="inlineStr">
        <is>
          <t>0026</t>
        </is>
      </c>
      <c r="F41" s="96" t="inlineStr">
        <is>
          <t>HASLS22261000692</t>
        </is>
      </c>
      <c r="G41" s="96" t="inlineStr">
        <is>
          <t>BIRLA CARBON (THAILAND) PUBLIC COMPANY LIMITED</t>
        </is>
      </c>
      <c r="H41" s="111" t="inlineStr">
        <is>
          <t>45GP</t>
        </is>
      </c>
      <c r="I41" s="96" t="n"/>
      <c r="J41" s="96" t="inlineStr">
        <is>
          <t>Sirichai Prayochananon</t>
        </is>
      </c>
      <c r="K41" s="96" t="inlineStr">
        <is>
          <t>SD</t>
        </is>
      </c>
      <c r="L41" s="111" t="inlineStr">
        <is>
          <t>Full</t>
        </is>
      </c>
      <c r="M41" s="96" t="inlineStr">
        <is>
          <t>HASLS22261000692</t>
        </is>
      </c>
      <c r="N41" s="96" t="inlineStr">
        <is>
          <t xml:space="preserve">40Hx5 </t>
        </is>
      </c>
      <c r="O41" s="111" t="inlineStr">
        <is>
          <t>2023</t>
        </is>
      </c>
      <c r="P41" s="111" t="n"/>
      <c r="Q41" s="111" t="n"/>
      <c r="R41" s="96" t="n"/>
      <c r="S41" s="96" t="n"/>
      <c r="T41" s="96" t="inlineStr">
        <is>
          <t>BKK01</t>
        </is>
      </c>
      <c r="U41" s="96" t="inlineStr">
        <is>
          <t>THBKK</t>
        </is>
      </c>
      <c r="V41" s="161" t="inlineStr">
        <is>
          <t>2026-10-16</t>
        </is>
      </c>
      <c r="W41" s="96" t="inlineStr">
        <is>
          <t>VNSGN</t>
        </is>
      </c>
      <c r="X41" s="161" t="inlineStr">
        <is>
          <t>2026-10-18</t>
        </is>
      </c>
      <c r="Y41" s="97" t="n"/>
      <c r="Z41" s="97" t="n"/>
      <c r="AA41" s="97" t="n"/>
      <c r="AB41" s="97" t="n"/>
      <c r="AC41" s="97" t="n"/>
      <c r="AD41" s="161" t="inlineStr">
        <is>
          <t>2026-10-14</t>
        </is>
      </c>
      <c r="AE41" s="174" t="inlineStr">
        <is>
          <t>0021</t>
        </is>
      </c>
      <c r="AF41" s="96" t="inlineStr">
        <is>
          <t>TBKK42</t>
        </is>
      </c>
      <c r="AG41" s="97" t="n"/>
      <c r="AH41" s="97" t="n"/>
      <c r="AI41" s="97" t="n"/>
      <c r="AJ41" s="96" t="inlineStr">
        <is>
          <t>ACTR COMPANY LIMITED</t>
        </is>
      </c>
      <c r="AK41" s="130" t="n">
        <v>0</v>
      </c>
    </row>
    <row r="42" ht="12" customHeight="1">
      <c r="A42" s="108" t="inlineStr">
        <is>
          <t>HLHU8372700</t>
        </is>
      </c>
      <c r="B42" s="108" t="inlineStr">
        <is>
          <t>BKK01</t>
        </is>
      </c>
      <c r="C42" s="108" t="inlineStr">
        <is>
          <t>IFV</t>
        </is>
      </c>
      <c r="D42" s="172" t="inlineStr">
        <is>
          <t>2026-10-13</t>
        </is>
      </c>
      <c r="E42" s="173" t="inlineStr">
        <is>
          <t>2145</t>
        </is>
      </c>
      <c r="F42" s="96" t="inlineStr">
        <is>
          <t>HASLS22261000948</t>
        </is>
      </c>
      <c r="G42" s="96" t="inlineStr">
        <is>
          <t>BIRLA CARBON (THAILAND) PUBLIC COMPANY LIMITED</t>
        </is>
      </c>
      <c r="H42" s="111" t="inlineStr">
        <is>
          <t>45GP</t>
        </is>
      </c>
      <c r="I42" s="96" t="inlineStr">
        <is>
          <t>HASLS22261000949</t>
        </is>
      </c>
      <c r="J42" s="96" t="inlineStr">
        <is>
          <t>Chuanchuen</t>
        </is>
      </c>
      <c r="K42" s="96" t="inlineStr">
        <is>
          <t>SD</t>
        </is>
      </c>
      <c r="L42" s="111" t="inlineStr">
        <is>
          <t>Full</t>
        </is>
      </c>
      <c r="M42" s="96" t="inlineStr">
        <is>
          <t>HASLS22261000948</t>
        </is>
      </c>
      <c r="N42" s="96" t="inlineStr">
        <is>
          <t xml:space="preserve">40Hx4 </t>
        </is>
      </c>
      <c r="O42" s="111" t="inlineStr">
        <is>
          <t>2023</t>
        </is>
      </c>
      <c r="P42" s="111" t="n"/>
      <c r="Q42" s="111" t="n"/>
      <c r="R42" s="96" t="n"/>
      <c r="S42" s="96" t="n"/>
      <c r="T42" s="96" t="inlineStr">
        <is>
          <t>BKK01</t>
        </is>
      </c>
      <c r="U42" s="96" t="inlineStr">
        <is>
          <t>THBKK</t>
        </is>
      </c>
      <c r="V42" s="161" t="inlineStr">
        <is>
          <t>2026-10-16</t>
        </is>
      </c>
      <c r="W42" s="96" t="inlineStr">
        <is>
          <t>VNSGN</t>
        </is>
      </c>
      <c r="X42" s="161" t="inlineStr">
        <is>
          <t>2026-10-18</t>
        </is>
      </c>
      <c r="Y42" s="97" t="n"/>
      <c r="Z42" s="97" t="n"/>
      <c r="AA42" s="97" t="n"/>
      <c r="AB42" s="97" t="n"/>
      <c r="AC42" s="97" t="n"/>
      <c r="AD42" s="161" t="inlineStr">
        <is>
          <t>2026-10-15</t>
        </is>
      </c>
      <c r="AE42" s="174" t="inlineStr">
        <is>
          <t>1116</t>
        </is>
      </c>
      <c r="AF42" s="96" t="inlineStr">
        <is>
          <t>TBKK07</t>
        </is>
      </c>
      <c r="AG42" s="97" t="n"/>
      <c r="AH42" s="97" t="n"/>
      <c r="AI42" s="97" t="n"/>
      <c r="AJ42" s="96" t="inlineStr">
        <is>
          <t>SAILUN (VIETNAM) CO.,LTD</t>
        </is>
      </c>
      <c r="AK42" s="130" t="n">
        <v>0</v>
      </c>
    </row>
    <row r="43" ht="12" customHeight="1">
      <c r="A43" s="108" t="inlineStr">
        <is>
          <t>HLHU8386473</t>
        </is>
      </c>
      <c r="B43" s="108" t="inlineStr">
        <is>
          <t>BKK01</t>
        </is>
      </c>
      <c r="C43" s="108" t="inlineStr">
        <is>
          <t>IFV</t>
        </is>
      </c>
      <c r="D43" s="172" t="inlineStr">
        <is>
          <t>2026-10-13</t>
        </is>
      </c>
      <c r="E43" s="173" t="inlineStr">
        <is>
          <t>0837</t>
        </is>
      </c>
      <c r="F43" s="96" t="inlineStr">
        <is>
          <t>HASLS22261000615</t>
        </is>
      </c>
      <c r="G43" s="96" t="inlineStr">
        <is>
          <t>SDS-ACUTECH CO., LTD.</t>
        </is>
      </c>
      <c r="H43" s="111" t="inlineStr">
        <is>
          <t>45GP</t>
        </is>
      </c>
      <c r="I43" s="96" t="n"/>
      <c r="J43" s="96" t="inlineStr">
        <is>
          <t>Sirichai Prayochananon</t>
        </is>
      </c>
      <c r="K43" s="96" t="inlineStr">
        <is>
          <t>SD</t>
        </is>
      </c>
      <c r="L43" s="111" t="inlineStr">
        <is>
          <t>Full</t>
        </is>
      </c>
      <c r="M43" s="96" t="inlineStr">
        <is>
          <t>HASLS22261000615</t>
        </is>
      </c>
      <c r="N43" s="96" t="inlineStr">
        <is>
          <t xml:space="preserve">40Hx1 </t>
        </is>
      </c>
      <c r="O43" s="111" t="inlineStr">
        <is>
          <t>2023</t>
        </is>
      </c>
      <c r="P43" s="111" t="n"/>
      <c r="Q43" s="111" t="n"/>
      <c r="R43" s="96" t="n"/>
      <c r="S43" s="96" t="n"/>
      <c r="T43" s="96" t="inlineStr">
        <is>
          <t>BKK01</t>
        </is>
      </c>
      <c r="U43" s="96" t="inlineStr">
        <is>
          <t>THBKK</t>
        </is>
      </c>
      <c r="V43" s="161" t="inlineStr">
        <is>
          <t>2026-10-16</t>
        </is>
      </c>
      <c r="W43" s="96" t="inlineStr">
        <is>
          <t>VNSGN</t>
        </is>
      </c>
      <c r="X43" s="161" t="inlineStr">
        <is>
          <t>2026-10-18</t>
        </is>
      </c>
      <c r="Y43" s="97" t="n"/>
      <c r="Z43" s="97" t="n"/>
      <c r="AA43" s="97" t="n"/>
      <c r="AB43" s="97" t="n"/>
      <c r="AC43" s="97" t="n"/>
      <c r="AD43" s="161" t="inlineStr">
        <is>
          <t>2026-10-14</t>
        </is>
      </c>
      <c r="AE43" s="174" t="inlineStr">
        <is>
          <t>0021</t>
        </is>
      </c>
      <c r="AF43" s="96" t="inlineStr">
        <is>
          <t>TBKK42</t>
        </is>
      </c>
      <c r="AG43" s="97" t="n"/>
      <c r="AH43" s="97" t="n"/>
      <c r="AI43" s="97" t="n"/>
      <c r="AJ43" s="96" t="inlineStr">
        <is>
          <t>SAMSUNG ELECTRONICS HCMC CE COMPLEX</t>
        </is>
      </c>
      <c r="AK43" s="130" t="n">
        <v>0</v>
      </c>
    </row>
    <row r="44" ht="12" customHeight="1">
      <c r="A44" s="108" t="inlineStr">
        <is>
          <t>HLHU8394479</t>
        </is>
      </c>
      <c r="B44" s="108" t="inlineStr">
        <is>
          <t>BKK01</t>
        </is>
      </c>
      <c r="C44" s="108" t="inlineStr">
        <is>
          <t>IFV</t>
        </is>
      </c>
      <c r="D44" s="172" t="inlineStr">
        <is>
          <t>2026-10-13</t>
        </is>
      </c>
      <c r="E44" s="173" t="inlineStr">
        <is>
          <t>0146</t>
        </is>
      </c>
      <c r="F44" s="96" t="inlineStr">
        <is>
          <t>HASLS22260901687</t>
        </is>
      </c>
      <c r="G44" s="96" t="inlineStr">
        <is>
          <t>BIRLA CARBON (THAILAND) PUBLIC COMPANY LIMITED</t>
        </is>
      </c>
      <c r="H44" s="111" t="inlineStr">
        <is>
          <t>45GP</t>
        </is>
      </c>
      <c r="I44" s="96" t="n"/>
      <c r="J44" s="96" t="inlineStr">
        <is>
          <t>Sirichai Prayochananon</t>
        </is>
      </c>
      <c r="K44" s="96" t="inlineStr">
        <is>
          <t>SD</t>
        </is>
      </c>
      <c r="L44" s="111" t="inlineStr">
        <is>
          <t>Full</t>
        </is>
      </c>
      <c r="M44" s="96" t="inlineStr">
        <is>
          <t>HASLS22260901687</t>
        </is>
      </c>
      <c r="N44" s="96" t="inlineStr">
        <is>
          <t xml:space="preserve">40Hx5 </t>
        </is>
      </c>
      <c r="O44" s="111" t="inlineStr">
        <is>
          <t>2023</t>
        </is>
      </c>
      <c r="P44" s="111" t="n"/>
      <c r="Q44" s="111" t="n"/>
      <c r="R44" s="96" t="n"/>
      <c r="S44" s="96" t="n"/>
      <c r="T44" s="96" t="inlineStr">
        <is>
          <t>BKK01</t>
        </is>
      </c>
      <c r="U44" s="96" t="inlineStr">
        <is>
          <t>THBKK</t>
        </is>
      </c>
      <c r="V44" s="161" t="inlineStr">
        <is>
          <t>2026-10-16</t>
        </is>
      </c>
      <c r="W44" s="96" t="inlineStr">
        <is>
          <t>VNSGN</t>
        </is>
      </c>
      <c r="X44" s="161" t="inlineStr">
        <is>
          <t>2026-10-18</t>
        </is>
      </c>
      <c r="Y44" s="97" t="n"/>
      <c r="Z44" s="97" t="n"/>
      <c r="AA44" s="97" t="n"/>
      <c r="AB44" s="97" t="n"/>
      <c r="AC44" s="97" t="n"/>
      <c r="AD44" s="161" t="inlineStr">
        <is>
          <t>2026-10-14</t>
        </is>
      </c>
      <c r="AE44" s="174" t="inlineStr">
        <is>
          <t>0021</t>
        </is>
      </c>
      <c r="AF44" s="96" t="inlineStr">
        <is>
          <t>TBKK42</t>
        </is>
      </c>
      <c r="AG44" s="97" t="n"/>
      <c r="AH44" s="97" t="n"/>
      <c r="AI44" s="97" t="n"/>
      <c r="AJ44" s="96" t="inlineStr">
        <is>
          <t>KUMHO TIRE (VIETNAM) CO.,LTD.</t>
        </is>
      </c>
      <c r="AK44" s="130" t="n">
        <v>0</v>
      </c>
    </row>
    <row r="45" ht="12" customHeight="1">
      <c r="A45" s="108" t="inlineStr">
        <is>
          <t>HLHU8416198</t>
        </is>
      </c>
      <c r="B45" s="108" t="inlineStr">
        <is>
          <t>BKK01</t>
        </is>
      </c>
      <c r="C45" s="108" t="inlineStr">
        <is>
          <t>IFV</t>
        </is>
      </c>
      <c r="D45" s="172" t="inlineStr">
        <is>
          <t>2026-10-12</t>
        </is>
      </c>
      <c r="E45" s="173" t="inlineStr">
        <is>
          <t>0210</t>
        </is>
      </c>
      <c r="F45" s="96" t="inlineStr">
        <is>
          <t>HASLS22260902182</t>
        </is>
      </c>
      <c r="G45" s="96" t="inlineStr">
        <is>
          <t>BIRLA CARBON (THAILAND) PUBLIC COMPANY LIMITED</t>
        </is>
      </c>
      <c r="H45" s="111" t="inlineStr">
        <is>
          <t>45GP</t>
        </is>
      </c>
      <c r="I45" s="96" t="n"/>
      <c r="J45" s="96" t="inlineStr">
        <is>
          <t>Chuanchuen</t>
        </is>
      </c>
      <c r="K45" s="96" t="inlineStr">
        <is>
          <t>SD</t>
        </is>
      </c>
      <c r="L45" s="111" t="inlineStr">
        <is>
          <t>Full</t>
        </is>
      </c>
      <c r="M45" s="96" t="inlineStr">
        <is>
          <t>HASLS22260902182</t>
        </is>
      </c>
      <c r="N45" s="96" t="inlineStr">
        <is>
          <t xml:space="preserve">40Hx10 </t>
        </is>
      </c>
      <c r="O45" s="111" t="inlineStr">
        <is>
          <t>2024</t>
        </is>
      </c>
      <c r="P45" s="111" t="n"/>
      <c r="Q45" s="111" t="n"/>
      <c r="R45" s="96" t="n"/>
      <c r="S45" s="96" t="n"/>
      <c r="T45" s="96" t="inlineStr">
        <is>
          <t>BKK01</t>
        </is>
      </c>
      <c r="U45" s="96" t="inlineStr">
        <is>
          <t>THBKK</t>
        </is>
      </c>
      <c r="V45" s="161" t="inlineStr">
        <is>
          <t>2026-10-16</t>
        </is>
      </c>
      <c r="W45" s="96" t="inlineStr">
        <is>
          <t>VNSGN</t>
        </is>
      </c>
      <c r="X45" s="161" t="inlineStr">
        <is>
          <t>2026-10-18</t>
        </is>
      </c>
      <c r="Y45" s="97" t="n"/>
      <c r="Z45" s="97" t="n"/>
      <c r="AA45" s="97" t="n"/>
      <c r="AB45" s="97" t="n"/>
      <c r="AC45" s="97" t="n"/>
      <c r="AD45" s="161" t="inlineStr">
        <is>
          <t>2026-10-12</t>
        </is>
      </c>
      <c r="AE45" s="174" t="inlineStr">
        <is>
          <t>0955</t>
        </is>
      </c>
      <c r="AF45" s="96" t="inlineStr">
        <is>
          <t>TBKK07</t>
        </is>
      </c>
      <c r="AG45" s="97" t="n"/>
      <c r="AH45" s="97" t="n"/>
      <c r="AI45" s="97" t="n"/>
      <c r="AJ45" s="96" t="inlineStr">
        <is>
          <t>CART TIRE CO., LTD</t>
        </is>
      </c>
      <c r="AK45" s="130" t="n">
        <v>0</v>
      </c>
    </row>
    <row r="46" ht="12" customHeight="1">
      <c r="A46" s="108" t="inlineStr">
        <is>
          <t>HLHU8426679</t>
        </is>
      </c>
      <c r="B46" s="108" t="inlineStr">
        <is>
          <t>BKK01</t>
        </is>
      </c>
      <c r="C46" s="108" t="inlineStr">
        <is>
          <t>IFV</t>
        </is>
      </c>
      <c r="D46" s="172" t="inlineStr">
        <is>
          <t>2026-10-13</t>
        </is>
      </c>
      <c r="E46" s="173" t="inlineStr">
        <is>
          <t>1358</t>
        </is>
      </c>
      <c r="F46" s="96" t="inlineStr">
        <is>
          <t>HASLS22260902182</t>
        </is>
      </c>
      <c r="G46" s="96" t="inlineStr">
        <is>
          <t>BIRLA CARBON (THAILAND) PUBLIC COMPANY LIMITED</t>
        </is>
      </c>
      <c r="H46" s="111" t="inlineStr">
        <is>
          <t>45GP</t>
        </is>
      </c>
      <c r="I46" s="96" t="n"/>
      <c r="J46" s="96" t="inlineStr">
        <is>
          <t>Sirichai Prayochananon</t>
        </is>
      </c>
      <c r="K46" s="96" t="inlineStr">
        <is>
          <t>SD</t>
        </is>
      </c>
      <c r="L46" s="111" t="inlineStr">
        <is>
          <t>Full</t>
        </is>
      </c>
      <c r="M46" s="96" t="inlineStr">
        <is>
          <t>HASLS22260902182</t>
        </is>
      </c>
      <c r="N46" s="96" t="inlineStr">
        <is>
          <t xml:space="preserve">40Hx10 </t>
        </is>
      </c>
      <c r="O46" s="111" t="inlineStr">
        <is>
          <t>2024</t>
        </is>
      </c>
      <c r="P46" s="111" t="n"/>
      <c r="Q46" s="111" t="n"/>
      <c r="R46" s="96" t="n"/>
      <c r="S46" s="96" t="n"/>
      <c r="T46" s="96" t="inlineStr">
        <is>
          <t>BKK01</t>
        </is>
      </c>
      <c r="U46" s="96" t="inlineStr">
        <is>
          <t>THBKK</t>
        </is>
      </c>
      <c r="V46" s="161" t="inlineStr">
        <is>
          <t>2026-10-16</t>
        </is>
      </c>
      <c r="W46" s="96" t="inlineStr">
        <is>
          <t>VNSGN</t>
        </is>
      </c>
      <c r="X46" s="161" t="inlineStr">
        <is>
          <t>2026-10-18</t>
        </is>
      </c>
      <c r="Y46" s="97" t="n"/>
      <c r="Z46" s="97" t="n"/>
      <c r="AA46" s="97" t="n"/>
      <c r="AB46" s="97" t="n"/>
      <c r="AC46" s="97" t="n"/>
      <c r="AD46" s="161" t="inlineStr">
        <is>
          <t>2026-10-14</t>
        </is>
      </c>
      <c r="AE46" s="174" t="inlineStr">
        <is>
          <t>0021</t>
        </is>
      </c>
      <c r="AF46" s="96" t="inlineStr">
        <is>
          <t>TBKK42</t>
        </is>
      </c>
      <c r="AG46" s="97" t="n"/>
      <c r="AH46" s="97" t="n"/>
      <c r="AI46" s="97" t="n"/>
      <c r="AJ46" s="96" t="inlineStr">
        <is>
          <t>CART TIRE CO., LTD</t>
        </is>
      </c>
      <c r="AK46" s="130" t="n">
        <v>0</v>
      </c>
    </row>
    <row r="47" ht="12" customHeight="1">
      <c r="A47" s="108" t="inlineStr">
        <is>
          <t>HLHU8443315</t>
        </is>
      </c>
      <c r="B47" s="108" t="inlineStr">
        <is>
          <t>BKK01</t>
        </is>
      </c>
      <c r="C47" s="108" t="inlineStr">
        <is>
          <t>IFV</t>
        </is>
      </c>
      <c r="D47" s="172" t="inlineStr">
        <is>
          <t>2026-10-12</t>
        </is>
      </c>
      <c r="E47" s="173" t="inlineStr">
        <is>
          <t>1128</t>
        </is>
      </c>
      <c r="F47" s="96" t="inlineStr">
        <is>
          <t>HASLS22261000476</t>
        </is>
      </c>
      <c r="G47" s="96" t="inlineStr">
        <is>
          <t>OASIS LOGISTICS CO., LTD.</t>
        </is>
      </c>
      <c r="H47" s="111" t="inlineStr">
        <is>
          <t>45GP</t>
        </is>
      </c>
      <c r="I47" s="96" t="n"/>
      <c r="J47" s="96" t="inlineStr">
        <is>
          <t>Chuanchuen</t>
        </is>
      </c>
      <c r="K47" s="96" t="inlineStr">
        <is>
          <t>SD</t>
        </is>
      </c>
      <c r="L47" s="111" t="inlineStr">
        <is>
          <t>Full</t>
        </is>
      </c>
      <c r="M47" s="96" t="inlineStr">
        <is>
          <t>HASLS22261000476</t>
        </is>
      </c>
      <c r="N47" s="96" t="inlineStr">
        <is>
          <t xml:space="preserve">40Hx1 </t>
        </is>
      </c>
      <c r="O47" s="111" t="inlineStr">
        <is>
          <t>2024</t>
        </is>
      </c>
      <c r="P47" s="111" t="n"/>
      <c r="Q47" s="111" t="n"/>
      <c r="R47" s="96" t="n"/>
      <c r="S47" s="96" t="n"/>
      <c r="T47" s="96" t="inlineStr">
        <is>
          <t>BKK01</t>
        </is>
      </c>
      <c r="U47" s="96" t="inlineStr">
        <is>
          <t>THBKK</t>
        </is>
      </c>
      <c r="V47" s="161" t="inlineStr">
        <is>
          <t>2026-10-16</t>
        </is>
      </c>
      <c r="W47" s="96" t="inlineStr">
        <is>
          <t>VNSGN</t>
        </is>
      </c>
      <c r="X47" s="161" t="inlineStr">
        <is>
          <t>2026-10-18</t>
        </is>
      </c>
      <c r="Y47" s="97" t="n"/>
      <c r="Z47" s="97" t="n"/>
      <c r="AA47" s="97" t="n"/>
      <c r="AB47" s="97" t="n"/>
      <c r="AC47" s="97" t="n"/>
      <c r="AD47" s="161" t="inlineStr">
        <is>
          <t>2026-10-12</t>
        </is>
      </c>
      <c r="AE47" s="174" t="inlineStr">
        <is>
          <t>1911</t>
        </is>
      </c>
      <c r="AF47" s="96" t="inlineStr">
        <is>
          <t>TBKK07</t>
        </is>
      </c>
      <c r="AG47" s="97" t="n"/>
      <c r="AH47" s="97" t="n"/>
      <c r="AI47" s="97" t="n"/>
      <c r="AJ47" s="96" t="inlineStr">
        <is>
          <t>FELIX LOGISTICS COMPANY LIMITED</t>
        </is>
      </c>
      <c r="AK47" s="130" t="n">
        <v>0</v>
      </c>
    </row>
    <row r="48" ht="12" customHeight="1">
      <c r="A48" s="108" t="inlineStr">
        <is>
          <t>HLHU8449756</t>
        </is>
      </c>
      <c r="B48" s="108" t="inlineStr">
        <is>
          <t>BKK01</t>
        </is>
      </c>
      <c r="C48" s="108" t="inlineStr">
        <is>
          <t>IFV</t>
        </is>
      </c>
      <c r="D48" s="172" t="inlineStr">
        <is>
          <t>2026-10-12</t>
        </is>
      </c>
      <c r="E48" s="173" t="inlineStr">
        <is>
          <t>1326</t>
        </is>
      </c>
      <c r="F48" s="96" t="inlineStr">
        <is>
          <t>HASLS22260902196</t>
        </is>
      </c>
      <c r="G48" s="96" t="inlineStr">
        <is>
          <t>PRIME LOGISTICS INTERNATIONAL CO., LTD.</t>
        </is>
      </c>
      <c r="H48" s="111" t="inlineStr">
        <is>
          <t>45GP</t>
        </is>
      </c>
      <c r="I48" s="96" t="n"/>
      <c r="J48" s="96" t="inlineStr">
        <is>
          <t>Chuanchuen</t>
        </is>
      </c>
      <c r="K48" s="96" t="inlineStr">
        <is>
          <t>SD</t>
        </is>
      </c>
      <c r="L48" s="111" t="inlineStr">
        <is>
          <t>Full</t>
        </is>
      </c>
      <c r="M48" s="96" t="inlineStr">
        <is>
          <t>HASLS22260902196</t>
        </is>
      </c>
      <c r="N48" s="96" t="inlineStr">
        <is>
          <t xml:space="preserve">40Hx2 </t>
        </is>
      </c>
      <c r="O48" s="111" t="inlineStr">
        <is>
          <t>2024</t>
        </is>
      </c>
      <c r="P48" s="111" t="n"/>
      <c r="Q48" s="111" t="n"/>
      <c r="R48" s="96" t="n"/>
      <c r="S48" s="96" t="n"/>
      <c r="T48" s="96" t="inlineStr">
        <is>
          <t>BKK01</t>
        </is>
      </c>
      <c r="U48" s="96" t="inlineStr">
        <is>
          <t>THBKK</t>
        </is>
      </c>
      <c r="V48" s="161" t="inlineStr">
        <is>
          <t>2026-10-16</t>
        </is>
      </c>
      <c r="W48" s="96" t="inlineStr">
        <is>
          <t>VNSGN</t>
        </is>
      </c>
      <c r="X48" s="161" t="inlineStr">
        <is>
          <t>2026-10-18</t>
        </is>
      </c>
      <c r="Y48" s="97" t="n"/>
      <c r="Z48" s="97" t="n"/>
      <c r="AA48" s="97" t="n"/>
      <c r="AB48" s="97" t="n"/>
      <c r="AC48" s="97" t="n"/>
      <c r="AD48" s="161" t="inlineStr">
        <is>
          <t>2026-10-12</t>
        </is>
      </c>
      <c r="AE48" s="174" t="inlineStr">
        <is>
          <t>1911</t>
        </is>
      </c>
      <c r="AF48" s="96" t="inlineStr">
        <is>
          <t>TBKK07</t>
        </is>
      </c>
      <c r="AG48" s="97" t="n"/>
      <c r="AH48" s="97" t="n"/>
      <c r="AI48" s="97" t="n"/>
      <c r="AJ48" s="96" t="inlineStr">
        <is>
          <t>FOODTECH JSC</t>
        </is>
      </c>
      <c r="AK48" s="130" t="n">
        <v>0</v>
      </c>
    </row>
    <row r="49" ht="12" customHeight="1">
      <c r="A49" s="108" t="inlineStr">
        <is>
          <t>HLHU8503707</t>
        </is>
      </c>
      <c r="B49" s="108" t="inlineStr">
        <is>
          <t>BKK01</t>
        </is>
      </c>
      <c r="C49" s="108" t="inlineStr">
        <is>
          <t>IFV</t>
        </is>
      </c>
      <c r="D49" s="172" t="inlineStr">
        <is>
          <t>2026-10-11</t>
        </is>
      </c>
      <c r="E49" s="173" t="inlineStr">
        <is>
          <t>0314</t>
        </is>
      </c>
      <c r="F49" s="96" t="inlineStr">
        <is>
          <t>HASLS22260900218</t>
        </is>
      </c>
      <c r="G49" s="96" t="inlineStr">
        <is>
          <t>HARPERS SEA FREIGHT CO., LTD.</t>
        </is>
      </c>
      <c r="H49" s="111" t="inlineStr">
        <is>
          <t>45GP</t>
        </is>
      </c>
      <c r="I49" s="96" t="n"/>
      <c r="J49" s="96" t="inlineStr">
        <is>
          <t>Sirichai Prayochananon</t>
        </is>
      </c>
      <c r="K49" s="96" t="inlineStr">
        <is>
          <t>SD</t>
        </is>
      </c>
      <c r="L49" s="111" t="inlineStr">
        <is>
          <t>Full</t>
        </is>
      </c>
      <c r="M49" s="96" t="inlineStr">
        <is>
          <t>HASLS22260900218</t>
        </is>
      </c>
      <c r="N49" s="96" t="inlineStr">
        <is>
          <t xml:space="preserve">40Hx6 </t>
        </is>
      </c>
      <c r="O49" s="111" t="inlineStr">
        <is>
          <t>2025</t>
        </is>
      </c>
      <c r="P49" s="111" t="n"/>
      <c r="Q49" s="111" t="n"/>
      <c r="R49" s="96" t="n"/>
      <c r="S49" s="96" t="n"/>
      <c r="T49" s="96" t="inlineStr">
        <is>
          <t>BKK01</t>
        </is>
      </c>
      <c r="U49" s="96" t="inlineStr">
        <is>
          <t>THBKK</t>
        </is>
      </c>
      <c r="V49" s="161" t="inlineStr">
        <is>
          <t>2026-10-16</t>
        </is>
      </c>
      <c r="W49" s="96" t="inlineStr">
        <is>
          <t>KRPUS</t>
        </is>
      </c>
      <c r="X49" s="161" t="inlineStr">
        <is>
          <t>2026-10-25</t>
        </is>
      </c>
      <c r="Y49" s="97" t="n"/>
      <c r="Z49" s="97" t="n"/>
      <c r="AA49" s="97" t="n"/>
      <c r="AB49" s="97" t="n"/>
      <c r="AC49" s="97" t="n"/>
      <c r="AD49" s="161" t="inlineStr">
        <is>
          <t>2026-10-11</t>
        </is>
      </c>
      <c r="AE49" s="174" t="inlineStr">
        <is>
          <t>2325</t>
        </is>
      </c>
      <c r="AF49" s="96" t="inlineStr">
        <is>
          <t>TBKK42</t>
        </is>
      </c>
      <c r="AG49" s="97" t="n"/>
      <c r="AH49" s="97" t="n"/>
      <c r="AI49" s="97" t="n"/>
      <c r="AJ49" s="96" t="inlineStr">
        <is>
          <t>WOO SUNG FEED CO., LTD.</t>
        </is>
      </c>
      <c r="AK49" s="130" t="n">
        <v>0</v>
      </c>
    </row>
    <row r="50" ht="12" customHeight="1">
      <c r="A50" s="108" t="inlineStr">
        <is>
          <t>HLHU8505607</t>
        </is>
      </c>
      <c r="B50" s="108" t="inlineStr">
        <is>
          <t>BKK01</t>
        </is>
      </c>
      <c r="C50" s="108" t="inlineStr">
        <is>
          <t>IFV</t>
        </is>
      </c>
      <c r="D50" s="172" t="inlineStr">
        <is>
          <t>2026-10-11</t>
        </is>
      </c>
      <c r="E50" s="173" t="inlineStr">
        <is>
          <t>1609</t>
        </is>
      </c>
      <c r="F50" s="96" t="inlineStr">
        <is>
          <t>HASLS22260901611</t>
        </is>
      </c>
      <c r="G50" s="96" t="inlineStr">
        <is>
          <t>CNT STAR CO., LTD.</t>
        </is>
      </c>
      <c r="H50" s="111" t="inlineStr">
        <is>
          <t>45GP</t>
        </is>
      </c>
      <c r="I50" s="96" t="n"/>
      <c r="J50" s="96" t="inlineStr">
        <is>
          <t>Sirichai Prayochananon</t>
        </is>
      </c>
      <c r="K50" s="96" t="inlineStr">
        <is>
          <t>SD</t>
        </is>
      </c>
      <c r="L50" s="111" t="inlineStr">
        <is>
          <t>Full</t>
        </is>
      </c>
      <c r="M50" s="96" t="inlineStr">
        <is>
          <t>HASLS22260901611</t>
        </is>
      </c>
      <c r="N50" s="96" t="inlineStr">
        <is>
          <t xml:space="preserve">40Hx3 </t>
        </is>
      </c>
      <c r="O50" s="111" t="inlineStr">
        <is>
          <t>2025</t>
        </is>
      </c>
      <c r="P50" s="111" t="n"/>
      <c r="Q50" s="111" t="n"/>
      <c r="R50" s="96" t="n"/>
      <c r="S50" s="96" t="n"/>
      <c r="T50" s="96" t="inlineStr">
        <is>
          <t>BKK01</t>
        </is>
      </c>
      <c r="U50" s="96" t="inlineStr">
        <is>
          <t>THBKK</t>
        </is>
      </c>
      <c r="V50" s="161" t="inlineStr">
        <is>
          <t>2026-10-16</t>
        </is>
      </c>
      <c r="W50" s="96" t="inlineStr">
        <is>
          <t>KRKAN</t>
        </is>
      </c>
      <c r="X50" s="161" t="inlineStr">
        <is>
          <t>2026-10-24</t>
        </is>
      </c>
      <c r="Y50" s="97" t="n"/>
      <c r="Z50" s="97" t="n"/>
      <c r="AA50" s="97" t="n"/>
      <c r="AB50" s="97" t="n"/>
      <c r="AC50" s="97" t="n"/>
      <c r="AD50" s="161" t="inlineStr">
        <is>
          <t>2026-10-11</t>
        </is>
      </c>
      <c r="AE50" s="174" t="inlineStr">
        <is>
          <t>2325</t>
        </is>
      </c>
      <c r="AF50" s="96" t="inlineStr">
        <is>
          <t>TBKK42</t>
        </is>
      </c>
      <c r="AG50" s="97" t="n"/>
      <c r="AH50" s="97" t="n"/>
      <c r="AI50" s="97" t="n"/>
      <c r="AJ50" s="96" t="inlineStr">
        <is>
          <t>TO THE ORDER OF KEB HANA BANK</t>
        </is>
      </c>
      <c r="AK50" s="130" t="n">
        <v>0</v>
      </c>
    </row>
    <row r="51" ht="12" customHeight="1">
      <c r="A51" s="108" t="inlineStr">
        <is>
          <t>HLHU8512632</t>
        </is>
      </c>
      <c r="B51" s="108" t="inlineStr">
        <is>
          <t>BKK01</t>
        </is>
      </c>
      <c r="C51" s="108" t="inlineStr">
        <is>
          <t>IFV</t>
        </is>
      </c>
      <c r="D51" s="172" t="inlineStr">
        <is>
          <t>2026-10-11</t>
        </is>
      </c>
      <c r="E51" s="173" t="inlineStr">
        <is>
          <t>0016</t>
        </is>
      </c>
      <c r="F51" s="96" t="inlineStr">
        <is>
          <t>HASLS22260900218</t>
        </is>
      </c>
      <c r="G51" s="96" t="inlineStr">
        <is>
          <t>HARPERS SEA FREIGHT CO., LTD.</t>
        </is>
      </c>
      <c r="H51" s="111" t="inlineStr">
        <is>
          <t>45GP</t>
        </is>
      </c>
      <c r="I51" s="96" t="n"/>
      <c r="J51" s="96" t="inlineStr">
        <is>
          <t>Sirichai Prayochananon</t>
        </is>
      </c>
      <c r="K51" s="96" t="inlineStr">
        <is>
          <t>SD</t>
        </is>
      </c>
      <c r="L51" s="111" t="inlineStr">
        <is>
          <t>Full</t>
        </is>
      </c>
      <c r="M51" s="96" t="inlineStr">
        <is>
          <t>HASLS22260900218</t>
        </is>
      </c>
      <c r="N51" s="96" t="inlineStr">
        <is>
          <t xml:space="preserve">40Hx6 </t>
        </is>
      </c>
      <c r="O51" s="111" t="inlineStr">
        <is>
          <t>2025</t>
        </is>
      </c>
      <c r="P51" s="111" t="n"/>
      <c r="Q51" s="111" t="n"/>
      <c r="R51" s="96" t="n"/>
      <c r="S51" s="96" t="n"/>
      <c r="T51" s="96" t="inlineStr">
        <is>
          <t>BKK01</t>
        </is>
      </c>
      <c r="U51" s="96" t="inlineStr">
        <is>
          <t>THBKK</t>
        </is>
      </c>
      <c r="V51" s="161" t="inlineStr">
        <is>
          <t>2026-10-16</t>
        </is>
      </c>
      <c r="W51" s="96" t="inlineStr">
        <is>
          <t>KRPUS</t>
        </is>
      </c>
      <c r="X51" s="161" t="inlineStr">
        <is>
          <t>2026-10-25</t>
        </is>
      </c>
      <c r="Y51" s="97" t="n"/>
      <c r="Z51" s="97" t="n"/>
      <c r="AA51" s="97" t="n"/>
      <c r="AB51" s="97" t="n"/>
      <c r="AC51" s="97" t="n"/>
      <c r="AD51" s="161" t="inlineStr">
        <is>
          <t>2026-10-11</t>
        </is>
      </c>
      <c r="AE51" s="174" t="inlineStr">
        <is>
          <t>2325</t>
        </is>
      </c>
      <c r="AF51" s="96" t="inlineStr">
        <is>
          <t>TBKK42</t>
        </is>
      </c>
      <c r="AG51" s="97" t="n"/>
      <c r="AH51" s="97" t="n"/>
      <c r="AI51" s="97" t="n"/>
      <c r="AJ51" s="96" t="inlineStr">
        <is>
          <t>WOO SUNG FEED CO., LTD.</t>
        </is>
      </c>
      <c r="AK51" s="130" t="n">
        <v>0</v>
      </c>
    </row>
    <row r="52" ht="12" customHeight="1">
      <c r="A52" s="108" t="inlineStr">
        <is>
          <t>HLHU8521803</t>
        </is>
      </c>
      <c r="B52" s="108" t="inlineStr">
        <is>
          <t>BKK01</t>
        </is>
      </c>
      <c r="C52" s="108" t="inlineStr">
        <is>
          <t>IFV</t>
        </is>
      </c>
      <c r="D52" s="172" t="inlineStr">
        <is>
          <t>2026-10-13</t>
        </is>
      </c>
      <c r="E52" s="173" t="inlineStr">
        <is>
          <t>2145</t>
        </is>
      </c>
      <c r="F52" s="96" t="inlineStr">
        <is>
          <t>HASLS22261000948</t>
        </is>
      </c>
      <c r="G52" s="96" t="inlineStr">
        <is>
          <t>BIRLA CARBON (THAILAND) PUBLIC COMPANY LIMITED</t>
        </is>
      </c>
      <c r="H52" s="111" t="inlineStr">
        <is>
          <t>45GP</t>
        </is>
      </c>
      <c r="I52" s="96" t="n"/>
      <c r="J52" s="96" t="inlineStr">
        <is>
          <t>Sirichai Prayochananon</t>
        </is>
      </c>
      <c r="K52" s="96" t="inlineStr">
        <is>
          <t>SD</t>
        </is>
      </c>
      <c r="L52" s="111" t="inlineStr">
        <is>
          <t>Full</t>
        </is>
      </c>
      <c r="M52" s="96" t="inlineStr">
        <is>
          <t>HASLS22261000948</t>
        </is>
      </c>
      <c r="N52" s="96" t="inlineStr">
        <is>
          <t xml:space="preserve">40Hx4 </t>
        </is>
      </c>
      <c r="O52" s="111" t="inlineStr">
        <is>
          <t>2025</t>
        </is>
      </c>
      <c r="P52" s="111" t="n"/>
      <c r="Q52" s="111" t="n"/>
      <c r="R52" s="96" t="n"/>
      <c r="S52" s="96" t="n"/>
      <c r="T52" s="96" t="inlineStr">
        <is>
          <t>BKK01</t>
        </is>
      </c>
      <c r="U52" s="96" t="inlineStr">
        <is>
          <t>THBKK</t>
        </is>
      </c>
      <c r="V52" s="161" t="inlineStr">
        <is>
          <t>2026-10-16</t>
        </is>
      </c>
      <c r="W52" s="96" t="inlineStr">
        <is>
          <t>VNSGN</t>
        </is>
      </c>
      <c r="X52" s="161" t="inlineStr">
        <is>
          <t>2026-10-18</t>
        </is>
      </c>
      <c r="Y52" s="97" t="n"/>
      <c r="Z52" s="97" t="n"/>
      <c r="AA52" s="97" t="n"/>
      <c r="AB52" s="97" t="n"/>
      <c r="AC52" s="97" t="n"/>
      <c r="AD52" s="161" t="inlineStr">
        <is>
          <t>2026-10-14</t>
        </is>
      </c>
      <c r="AE52" s="174" t="inlineStr">
        <is>
          <t>0021</t>
        </is>
      </c>
      <c r="AF52" s="96" t="inlineStr">
        <is>
          <t>TBKK42</t>
        </is>
      </c>
      <c r="AG52" s="97" t="n"/>
      <c r="AH52" s="97" t="n"/>
      <c r="AI52" s="97" t="n"/>
      <c r="AJ52" s="96" t="inlineStr">
        <is>
          <t>SAILUN (VIETNAM) CO.,LTD</t>
        </is>
      </c>
      <c r="AK52" s="130" t="n">
        <v>0</v>
      </c>
    </row>
    <row r="53" ht="12" customHeight="1">
      <c r="A53" s="108" t="inlineStr">
        <is>
          <t>HLHU8531226</t>
        </is>
      </c>
      <c r="B53" s="108" t="inlineStr">
        <is>
          <t>BKK01</t>
        </is>
      </c>
      <c r="C53" s="108" t="inlineStr">
        <is>
          <t>IFV</t>
        </is>
      </c>
      <c r="D53" s="172" t="inlineStr">
        <is>
          <t>2026-10-12</t>
        </is>
      </c>
      <c r="E53" s="173" t="inlineStr">
        <is>
          <t>2235</t>
        </is>
      </c>
      <c r="F53" s="96" t="inlineStr">
        <is>
          <t>HASLS22260901687</t>
        </is>
      </c>
      <c r="G53" s="96" t="inlineStr">
        <is>
          <t>BIRLA CARBON (THAILAND) PUBLIC COMPANY LIMITED</t>
        </is>
      </c>
      <c r="H53" s="111" t="inlineStr">
        <is>
          <t>45GP</t>
        </is>
      </c>
      <c r="I53" s="96" t="n"/>
      <c r="J53" s="96" t="inlineStr">
        <is>
          <t>Sirichai Prayochananon</t>
        </is>
      </c>
      <c r="K53" s="96" t="inlineStr">
        <is>
          <t>SD</t>
        </is>
      </c>
      <c r="L53" s="111" t="inlineStr">
        <is>
          <t>Full</t>
        </is>
      </c>
      <c r="M53" s="96" t="inlineStr">
        <is>
          <t>HASLS22260901687</t>
        </is>
      </c>
      <c r="N53" s="96" t="inlineStr">
        <is>
          <t xml:space="preserve">40Hx5 </t>
        </is>
      </c>
      <c r="O53" s="111" t="inlineStr">
        <is>
          <t>2025</t>
        </is>
      </c>
      <c r="P53" s="111" t="n"/>
      <c r="Q53" s="111" t="n"/>
      <c r="R53" s="96" t="n"/>
      <c r="S53" s="96" t="n"/>
      <c r="T53" s="96" t="inlineStr">
        <is>
          <t>BKK01</t>
        </is>
      </c>
      <c r="U53" s="96" t="inlineStr">
        <is>
          <t>THBKK</t>
        </is>
      </c>
      <c r="V53" s="161" t="inlineStr">
        <is>
          <t>2026-10-16</t>
        </is>
      </c>
      <c r="W53" s="96" t="inlineStr">
        <is>
          <t>VNSGN</t>
        </is>
      </c>
      <c r="X53" s="161" t="inlineStr">
        <is>
          <t>2026-10-18</t>
        </is>
      </c>
      <c r="Y53" s="97" t="n"/>
      <c r="Z53" s="97" t="n"/>
      <c r="AA53" s="97" t="n"/>
      <c r="AB53" s="97" t="n"/>
      <c r="AC53" s="97" t="n"/>
      <c r="AD53" s="161" t="inlineStr">
        <is>
          <t>2026-10-14</t>
        </is>
      </c>
      <c r="AE53" s="174" t="inlineStr">
        <is>
          <t>0021</t>
        </is>
      </c>
      <c r="AF53" s="96" t="inlineStr">
        <is>
          <t>TBKK42</t>
        </is>
      </c>
      <c r="AG53" s="97" t="n"/>
      <c r="AH53" s="97" t="n"/>
      <c r="AI53" s="97" t="n"/>
      <c r="AJ53" s="96" t="inlineStr">
        <is>
          <t>KUMHO TIRE (VIETNAM) CO.,LTD.</t>
        </is>
      </c>
      <c r="AK53" s="130" t="n">
        <v>0</v>
      </c>
    </row>
    <row r="54" ht="12" customHeight="1">
      <c r="A54" s="108" t="inlineStr">
        <is>
          <t>HLHU8531400</t>
        </is>
      </c>
      <c r="B54" s="108" t="inlineStr">
        <is>
          <t>BKK01</t>
        </is>
      </c>
      <c r="C54" s="108" t="inlineStr">
        <is>
          <t>IFV</t>
        </is>
      </c>
      <c r="D54" s="172" t="inlineStr">
        <is>
          <t>2026-10-13</t>
        </is>
      </c>
      <c r="E54" s="173" t="inlineStr">
        <is>
          <t>0052</t>
        </is>
      </c>
      <c r="F54" s="96" t="inlineStr">
        <is>
          <t>HASLS22260901726</t>
        </is>
      </c>
      <c r="G54" s="96" t="inlineStr">
        <is>
          <t>HARPERS SEA FREIGHT CO., LTD.</t>
        </is>
      </c>
      <c r="H54" s="111" t="inlineStr">
        <is>
          <t>45GP</t>
        </is>
      </c>
      <c r="I54" s="96" t="n"/>
      <c r="J54" s="96" t="inlineStr">
        <is>
          <t>Sirichai Prayochananon</t>
        </is>
      </c>
      <c r="K54" s="96" t="inlineStr">
        <is>
          <t>SD</t>
        </is>
      </c>
      <c r="L54" s="111" t="inlineStr">
        <is>
          <t>Full</t>
        </is>
      </c>
      <c r="M54" s="96" t="inlineStr">
        <is>
          <t>HASLS22260901726</t>
        </is>
      </c>
      <c r="N54" s="96" t="inlineStr">
        <is>
          <t xml:space="preserve">40Hx2 </t>
        </is>
      </c>
      <c r="O54" s="111" t="inlineStr">
        <is>
          <t>2025</t>
        </is>
      </c>
      <c r="P54" s="111" t="n"/>
      <c r="Q54" s="111" t="n"/>
      <c r="R54" s="96" t="n"/>
      <c r="S54" s="96" t="n"/>
      <c r="T54" s="96" t="inlineStr">
        <is>
          <t>BKK01</t>
        </is>
      </c>
      <c r="U54" s="96" t="inlineStr">
        <is>
          <t>THBKK</t>
        </is>
      </c>
      <c r="V54" s="161" t="inlineStr">
        <is>
          <t>2026-10-16</t>
        </is>
      </c>
      <c r="W54" s="96" t="inlineStr">
        <is>
          <t>KRKAN</t>
        </is>
      </c>
      <c r="X54" s="161" t="inlineStr">
        <is>
          <t>2026-10-24</t>
        </is>
      </c>
      <c r="Y54" s="97" t="n"/>
      <c r="Z54" s="97" t="n"/>
      <c r="AA54" s="97" t="n"/>
      <c r="AB54" s="97" t="n"/>
      <c r="AC54" s="97" t="n"/>
      <c r="AD54" s="161" t="inlineStr">
        <is>
          <t>2026-10-14</t>
        </is>
      </c>
      <c r="AE54" s="174" t="inlineStr">
        <is>
          <t>0021</t>
        </is>
      </c>
      <c r="AF54" s="96" t="inlineStr">
        <is>
          <t>TBKK42</t>
        </is>
      </c>
      <c r="AG54" s="97" t="n"/>
      <c r="AH54" s="97" t="n"/>
      <c r="AI54" s="97" t="n"/>
      <c r="AJ54" s="96" t="inlineStr">
        <is>
          <t>TO THE ORDER OF NONGHYUP BANK</t>
        </is>
      </c>
      <c r="AK54" s="130" t="n">
        <v>0</v>
      </c>
    </row>
    <row r="55" ht="12" customHeight="1">
      <c r="A55" s="108" t="inlineStr">
        <is>
          <t>HLHU8557935</t>
        </is>
      </c>
      <c r="B55" s="108" t="inlineStr">
        <is>
          <t>BKK01</t>
        </is>
      </c>
      <c r="C55" s="108" t="inlineStr">
        <is>
          <t>IFV</t>
        </is>
      </c>
      <c r="D55" s="172" t="inlineStr">
        <is>
          <t>2026-10-13</t>
        </is>
      </c>
      <c r="E55" s="173" t="inlineStr">
        <is>
          <t>0028</t>
        </is>
      </c>
      <c r="F55" s="96" t="inlineStr">
        <is>
          <t>HASLS22260902182</t>
        </is>
      </c>
      <c r="G55" s="96" t="inlineStr">
        <is>
          <t>BIRLA CARBON (THAILAND) PUBLIC COMPANY LIMITED</t>
        </is>
      </c>
      <c r="H55" s="111" t="inlineStr">
        <is>
          <t>45GP</t>
        </is>
      </c>
      <c r="I55" s="96" t="n"/>
      <c r="J55" s="96" t="inlineStr">
        <is>
          <t>Sirichai Prayochananon</t>
        </is>
      </c>
      <c r="K55" s="96" t="inlineStr">
        <is>
          <t>SD</t>
        </is>
      </c>
      <c r="L55" s="111" t="inlineStr">
        <is>
          <t>Full</t>
        </is>
      </c>
      <c r="M55" s="96" t="inlineStr">
        <is>
          <t>HASLS22260902182</t>
        </is>
      </c>
      <c r="N55" s="96" t="inlineStr">
        <is>
          <t xml:space="preserve">40Hx10 </t>
        </is>
      </c>
      <c r="O55" s="111" t="inlineStr">
        <is>
          <t>2025</t>
        </is>
      </c>
      <c r="P55" s="111" t="n"/>
      <c r="Q55" s="111" t="n"/>
      <c r="R55" s="96" t="n"/>
      <c r="S55" s="96" t="n"/>
      <c r="T55" s="96" t="inlineStr">
        <is>
          <t>BKK01</t>
        </is>
      </c>
      <c r="U55" s="96" t="inlineStr">
        <is>
          <t>THBKK</t>
        </is>
      </c>
      <c r="V55" s="161" t="inlineStr">
        <is>
          <t>2026-10-16</t>
        </is>
      </c>
      <c r="W55" s="96" t="inlineStr">
        <is>
          <t>VNSGN</t>
        </is>
      </c>
      <c r="X55" s="161" t="inlineStr">
        <is>
          <t>2026-10-18</t>
        </is>
      </c>
      <c r="Y55" s="97" t="n"/>
      <c r="Z55" s="97" t="n"/>
      <c r="AA55" s="97" t="n"/>
      <c r="AB55" s="97" t="n"/>
      <c r="AC55" s="97" t="n"/>
      <c r="AD55" s="161" t="inlineStr">
        <is>
          <t>2026-10-14</t>
        </is>
      </c>
      <c r="AE55" s="174" t="inlineStr">
        <is>
          <t>0021</t>
        </is>
      </c>
      <c r="AF55" s="96" t="inlineStr">
        <is>
          <t>TBKK42</t>
        </is>
      </c>
      <c r="AG55" s="97" t="n"/>
      <c r="AH55" s="97" t="n"/>
      <c r="AI55" s="97" t="n"/>
      <c r="AJ55" s="96" t="inlineStr">
        <is>
          <t>CART TIRE CO., LTD</t>
        </is>
      </c>
      <c r="AK55" s="130" t="n">
        <v>0</v>
      </c>
    </row>
    <row r="56" ht="12" customHeight="1">
      <c r="A56" s="108" t="inlineStr">
        <is>
          <t>HLHU8560055</t>
        </is>
      </c>
      <c r="B56" s="108" t="inlineStr">
        <is>
          <t>BKK01</t>
        </is>
      </c>
      <c r="C56" s="108" t="inlineStr">
        <is>
          <t>IFV</t>
        </is>
      </c>
      <c r="D56" s="172" t="inlineStr">
        <is>
          <t>2026-10-13</t>
        </is>
      </c>
      <c r="E56" s="173" t="inlineStr">
        <is>
          <t>0427</t>
        </is>
      </c>
      <c r="F56" s="96" t="inlineStr">
        <is>
          <t>HASLS22260901687</t>
        </is>
      </c>
      <c r="G56" s="96" t="inlineStr">
        <is>
          <t>BIRLA CARBON (THAILAND) PUBLIC COMPANY LIMITED</t>
        </is>
      </c>
      <c r="H56" s="111" t="inlineStr">
        <is>
          <t>45GP</t>
        </is>
      </c>
      <c r="I56" s="96" t="n"/>
      <c r="J56" s="96" t="inlineStr">
        <is>
          <t>Sirichai Prayochananon</t>
        </is>
      </c>
      <c r="K56" s="96" t="inlineStr">
        <is>
          <t>SD</t>
        </is>
      </c>
      <c r="L56" s="111" t="inlineStr">
        <is>
          <t>Full</t>
        </is>
      </c>
      <c r="M56" s="96" t="inlineStr">
        <is>
          <t>HASLS22260901687</t>
        </is>
      </c>
      <c r="N56" s="96" t="inlineStr">
        <is>
          <t xml:space="preserve">40Hx5 </t>
        </is>
      </c>
      <c r="O56" s="111" t="inlineStr">
        <is>
          <t>2025</t>
        </is>
      </c>
      <c r="P56" s="111" t="n"/>
      <c r="Q56" s="111" t="n"/>
      <c r="R56" s="96" t="n"/>
      <c r="S56" s="96" t="n"/>
      <c r="T56" s="96" t="inlineStr">
        <is>
          <t>BKK01</t>
        </is>
      </c>
      <c r="U56" s="96" t="inlineStr">
        <is>
          <t>THBKK</t>
        </is>
      </c>
      <c r="V56" s="161" t="inlineStr">
        <is>
          <t>2026-10-16</t>
        </is>
      </c>
      <c r="W56" s="96" t="inlineStr">
        <is>
          <t>VNSGN</t>
        </is>
      </c>
      <c r="X56" s="161" t="inlineStr">
        <is>
          <t>2026-10-18</t>
        </is>
      </c>
      <c r="Y56" s="97" t="n"/>
      <c r="Z56" s="97" t="n"/>
      <c r="AA56" s="97" t="n"/>
      <c r="AB56" s="97" t="n"/>
      <c r="AC56" s="97" t="n"/>
      <c r="AD56" s="161" t="inlineStr">
        <is>
          <t>2026-10-14</t>
        </is>
      </c>
      <c r="AE56" s="174" t="inlineStr">
        <is>
          <t>0021</t>
        </is>
      </c>
      <c r="AF56" s="96" t="inlineStr">
        <is>
          <t>TBKK42</t>
        </is>
      </c>
      <c r="AG56" s="97" t="n"/>
      <c r="AH56" s="97" t="n"/>
      <c r="AI56" s="97" t="n"/>
      <c r="AJ56" s="96" t="inlineStr">
        <is>
          <t>KUMHO TIRE (VIETNAM) CO.,LTD.</t>
        </is>
      </c>
      <c r="AK56" s="130" t="n">
        <v>0</v>
      </c>
    </row>
    <row r="57" ht="12" customHeight="1">
      <c r="A57" s="108" t="inlineStr">
        <is>
          <t>HLHU8589418</t>
        </is>
      </c>
      <c r="B57" s="108" t="inlineStr">
        <is>
          <t>BKK01</t>
        </is>
      </c>
      <c r="C57" s="108" t="inlineStr">
        <is>
          <t>IFV</t>
        </is>
      </c>
      <c r="D57" s="172" t="inlineStr">
        <is>
          <t>2026-10-11</t>
        </is>
      </c>
      <c r="E57" s="173" t="inlineStr">
        <is>
          <t>0230</t>
        </is>
      </c>
      <c r="F57" s="96" t="inlineStr">
        <is>
          <t>HASLS22260900218</t>
        </is>
      </c>
      <c r="G57" s="96" t="inlineStr">
        <is>
          <t>HARPERS SEA FREIGHT CO., LTD.</t>
        </is>
      </c>
      <c r="H57" s="111" t="inlineStr">
        <is>
          <t>45GP</t>
        </is>
      </c>
      <c r="I57" s="96" t="n"/>
      <c r="J57" s="96" t="inlineStr">
        <is>
          <t>Sirichai Prayochananon</t>
        </is>
      </c>
      <c r="K57" s="96" t="inlineStr">
        <is>
          <t>SD</t>
        </is>
      </c>
      <c r="L57" s="111" t="inlineStr">
        <is>
          <t>Full</t>
        </is>
      </c>
      <c r="M57" s="96" t="inlineStr">
        <is>
          <t>HASLS22260900218</t>
        </is>
      </c>
      <c r="N57" s="96" t="inlineStr">
        <is>
          <t xml:space="preserve">40Hx6 </t>
        </is>
      </c>
      <c r="O57" s="111" t="inlineStr">
        <is>
          <t>2025</t>
        </is>
      </c>
      <c r="P57" s="111" t="n"/>
      <c r="Q57" s="111" t="n"/>
      <c r="R57" s="96" t="n"/>
      <c r="S57" s="96" t="n"/>
      <c r="T57" s="96" t="inlineStr">
        <is>
          <t>BKK01</t>
        </is>
      </c>
      <c r="U57" s="96" t="inlineStr">
        <is>
          <t>THBKK</t>
        </is>
      </c>
      <c r="V57" s="161" t="inlineStr">
        <is>
          <t>2026-10-16</t>
        </is>
      </c>
      <c r="W57" s="96" t="inlineStr">
        <is>
          <t>KRPUS</t>
        </is>
      </c>
      <c r="X57" s="161" t="inlineStr">
        <is>
          <t>2026-10-25</t>
        </is>
      </c>
      <c r="Y57" s="97" t="n"/>
      <c r="Z57" s="97" t="n"/>
      <c r="AA57" s="97" t="n"/>
      <c r="AB57" s="97" t="n"/>
      <c r="AC57" s="97" t="n"/>
      <c r="AD57" s="161" t="inlineStr">
        <is>
          <t>2026-10-11</t>
        </is>
      </c>
      <c r="AE57" s="174" t="inlineStr">
        <is>
          <t>2325</t>
        </is>
      </c>
      <c r="AF57" s="96" t="inlineStr">
        <is>
          <t>TBKK42</t>
        </is>
      </c>
      <c r="AG57" s="97" t="n"/>
      <c r="AH57" s="97" t="n"/>
      <c r="AI57" s="97" t="n"/>
      <c r="AJ57" s="96" t="inlineStr">
        <is>
          <t>WOO SUNG FEED CO., LTD.</t>
        </is>
      </c>
      <c r="AK57" s="130" t="n">
        <v>0</v>
      </c>
    </row>
    <row r="58" ht="12" customHeight="1">
      <c r="A58" s="108" t="inlineStr">
        <is>
          <t>HLHU8589969</t>
        </is>
      </c>
      <c r="B58" s="108" t="inlineStr">
        <is>
          <t>BKK01</t>
        </is>
      </c>
      <c r="C58" s="108" t="inlineStr">
        <is>
          <t>IFV</t>
        </is>
      </c>
      <c r="D58" s="172" t="inlineStr">
        <is>
          <t>2026-10-12</t>
        </is>
      </c>
      <c r="E58" s="173" t="inlineStr">
        <is>
          <t>2227</t>
        </is>
      </c>
      <c r="F58" s="96" t="inlineStr">
        <is>
          <t>HASLS22260901303</t>
        </is>
      </c>
      <c r="G58" s="96" t="inlineStr">
        <is>
          <t>WOODWORKS THAI CO., LTD. (1980)</t>
        </is>
      </c>
      <c r="H58" s="111" t="inlineStr">
        <is>
          <t>45GP</t>
        </is>
      </c>
      <c r="I58" s="96" t="n"/>
      <c r="J58" s="96" t="inlineStr">
        <is>
          <t>Sirichai Prayochananon</t>
        </is>
      </c>
      <c r="K58" s="96" t="inlineStr">
        <is>
          <t>SD</t>
        </is>
      </c>
      <c r="L58" s="111" t="inlineStr">
        <is>
          <t>Full</t>
        </is>
      </c>
      <c r="M58" s="96" t="inlineStr">
        <is>
          <t>HASLS22260901303</t>
        </is>
      </c>
      <c r="N58" s="96" t="inlineStr">
        <is>
          <t xml:space="preserve">40Hx2 </t>
        </is>
      </c>
      <c r="O58" s="111" t="inlineStr">
        <is>
          <t>2025</t>
        </is>
      </c>
      <c r="P58" s="111" t="n"/>
      <c r="Q58" s="111" t="n"/>
      <c r="R58" s="96" t="n"/>
      <c r="S58" s="96" t="n"/>
      <c r="T58" s="96" t="inlineStr">
        <is>
          <t>BKK01</t>
        </is>
      </c>
      <c r="U58" s="96" t="inlineStr">
        <is>
          <t>THBKK</t>
        </is>
      </c>
      <c r="V58" s="161" t="inlineStr">
        <is>
          <t>2026-10-16</t>
        </is>
      </c>
      <c r="W58" s="96" t="inlineStr">
        <is>
          <t>JPIMI</t>
        </is>
      </c>
      <c r="X58" s="161" t="inlineStr">
        <is>
          <t>2026-10-25</t>
        </is>
      </c>
      <c r="Y58" s="97" t="n"/>
      <c r="Z58" s="97" t="n"/>
      <c r="AA58" s="97" t="n"/>
      <c r="AB58" s="97" t="n"/>
      <c r="AC58" s="97" t="n"/>
      <c r="AD58" s="161" t="inlineStr">
        <is>
          <t>2026-10-14</t>
        </is>
      </c>
      <c r="AE58" s="174" t="inlineStr">
        <is>
          <t>0021</t>
        </is>
      </c>
      <c r="AF58" s="96" t="inlineStr">
        <is>
          <t>TBKK42</t>
        </is>
      </c>
      <c r="AG58" s="97" t="n"/>
      <c r="AH58" s="97" t="n"/>
      <c r="AI58" s="97" t="n"/>
      <c r="AJ58" s="96" t="inlineStr">
        <is>
          <t>DAISHO SANGYO CORPORATION</t>
        </is>
      </c>
      <c r="AK58" s="130" t="n">
        <v>0</v>
      </c>
    </row>
    <row r="59" ht="12" customHeight="1">
      <c r="A59" s="108" t="inlineStr">
        <is>
          <t>SEGU4886149</t>
        </is>
      </c>
      <c r="B59" s="108" t="inlineStr">
        <is>
          <t>BKK01</t>
        </is>
      </c>
      <c r="C59" s="108" t="inlineStr">
        <is>
          <t>IFV</t>
        </is>
      </c>
      <c r="D59" s="172" t="inlineStr">
        <is>
          <t>2026-10-13</t>
        </is>
      </c>
      <c r="E59" s="173" t="inlineStr">
        <is>
          <t>0336</t>
        </is>
      </c>
      <c r="F59" s="96" t="inlineStr">
        <is>
          <t>HASLS22261000742</t>
        </is>
      </c>
      <c r="G59" s="96" t="inlineStr">
        <is>
          <t>AIR FIRST ONE LOGISTICS CO., LTD.</t>
        </is>
      </c>
      <c r="H59" s="111" t="inlineStr">
        <is>
          <t>45GP</t>
        </is>
      </c>
      <c r="I59" s="96" t="n"/>
      <c r="J59" s="96" t="inlineStr">
        <is>
          <t>Sirichai Prayochananon</t>
        </is>
      </c>
      <c r="K59" s="96" t="inlineStr">
        <is>
          <t>SD</t>
        </is>
      </c>
      <c r="L59" s="111" t="inlineStr">
        <is>
          <t>Full</t>
        </is>
      </c>
      <c r="M59" s="96" t="inlineStr">
        <is>
          <t>HASLS22261000742</t>
        </is>
      </c>
      <c r="N59" s="96" t="inlineStr">
        <is>
          <t xml:space="preserve">40Hx1 </t>
        </is>
      </c>
      <c r="O59" s="111" t="inlineStr">
        <is>
          <t>2013</t>
        </is>
      </c>
      <c r="P59" s="111" t="n"/>
      <c r="Q59" s="111" t="n"/>
      <c r="R59" s="96" t="n"/>
      <c r="S59" s="96" t="n"/>
      <c r="T59" s="96" t="inlineStr">
        <is>
          <t>BKK01</t>
        </is>
      </c>
      <c r="U59" s="96" t="inlineStr">
        <is>
          <t>THBKK</t>
        </is>
      </c>
      <c r="V59" s="161" t="inlineStr">
        <is>
          <t>2026-10-16</t>
        </is>
      </c>
      <c r="W59" s="96" t="inlineStr">
        <is>
          <t>VNSGN</t>
        </is>
      </c>
      <c r="X59" s="161" t="inlineStr">
        <is>
          <t>2026-10-18</t>
        </is>
      </c>
      <c r="Y59" s="97" t="n"/>
      <c r="Z59" s="97" t="n"/>
      <c r="AA59" s="97" t="n"/>
      <c r="AB59" s="97" t="n"/>
      <c r="AC59" s="97" t="n"/>
      <c r="AD59" s="161" t="inlineStr">
        <is>
          <t>2026-10-14</t>
        </is>
      </c>
      <c r="AE59" s="174" t="inlineStr">
        <is>
          <t>0021</t>
        </is>
      </c>
      <c r="AF59" s="96" t="inlineStr">
        <is>
          <t>TBKK42</t>
        </is>
      </c>
      <c r="AG59" s="97" t="n"/>
      <c r="AH59" s="97" t="n"/>
      <c r="AI59" s="97" t="n"/>
      <c r="AJ59" s="96" t="inlineStr">
        <is>
          <t>HN GLOBAL LOGISTICS CO.,LTD.</t>
        </is>
      </c>
      <c r="AK59" s="130" t="n">
        <v>0</v>
      </c>
    </row>
    <row r="60" ht="12" customHeight="1">
      <c r="A60" s="108" t="inlineStr">
        <is>
          <t>SEGU6569436</t>
        </is>
      </c>
      <c r="B60" s="108" t="inlineStr">
        <is>
          <t>BKK01</t>
        </is>
      </c>
      <c r="C60" s="108" t="inlineStr">
        <is>
          <t>IFV</t>
        </is>
      </c>
      <c r="D60" s="172" t="inlineStr">
        <is>
          <t>2026-10-13</t>
        </is>
      </c>
      <c r="E60" s="173" t="inlineStr">
        <is>
          <t>0841</t>
        </is>
      </c>
      <c r="F60" s="96" t="inlineStr">
        <is>
          <t>HASLS22260902222</t>
        </is>
      </c>
      <c r="G60" s="96" t="inlineStr">
        <is>
          <t>CAPRICORN LOGISTICS CO., LTD.</t>
        </is>
      </c>
      <c r="H60" s="111" t="inlineStr">
        <is>
          <t>45GP</t>
        </is>
      </c>
      <c r="I60" s="96" t="n"/>
      <c r="J60" s="96" t="inlineStr">
        <is>
          <t>Sirichai Prayochananon</t>
        </is>
      </c>
      <c r="K60" s="96" t="inlineStr">
        <is>
          <t>SD</t>
        </is>
      </c>
      <c r="L60" s="111" t="inlineStr">
        <is>
          <t>Full</t>
        </is>
      </c>
      <c r="M60" s="96" t="inlineStr">
        <is>
          <t>HASLS22260902222</t>
        </is>
      </c>
      <c r="N60" s="96" t="inlineStr">
        <is>
          <t xml:space="preserve">40Hx5 </t>
        </is>
      </c>
      <c r="O60" s="111" t="inlineStr">
        <is>
          <t>2017</t>
        </is>
      </c>
      <c r="P60" s="111" t="n"/>
      <c r="Q60" s="111" t="n"/>
      <c r="R60" s="96" t="n"/>
      <c r="S60" s="96" t="n"/>
      <c r="T60" s="96" t="inlineStr">
        <is>
          <t>BKK01</t>
        </is>
      </c>
      <c r="U60" s="96" t="inlineStr">
        <is>
          <t>THBKK</t>
        </is>
      </c>
      <c r="V60" s="161" t="inlineStr">
        <is>
          <t>2026-10-16</t>
        </is>
      </c>
      <c r="W60" s="96" t="inlineStr">
        <is>
          <t>VNSGN</t>
        </is>
      </c>
      <c r="X60" s="161" t="inlineStr">
        <is>
          <t>2026-10-18</t>
        </is>
      </c>
      <c r="Y60" s="97" t="n"/>
      <c r="Z60" s="97" t="n"/>
      <c r="AA60" s="97" t="n"/>
      <c r="AB60" s="97" t="n"/>
      <c r="AC60" s="97" t="n"/>
      <c r="AD60" s="161" t="inlineStr">
        <is>
          <t>2026-10-14</t>
        </is>
      </c>
      <c r="AE60" s="174" t="inlineStr">
        <is>
          <t>0021</t>
        </is>
      </c>
      <c r="AF60" s="96" t="inlineStr">
        <is>
          <t>TBKK42</t>
        </is>
      </c>
      <c r="AG60" s="97" t="n"/>
      <c r="AH60" s="97" t="n"/>
      <c r="AI60" s="97" t="n"/>
      <c r="AJ60" s="96" t="inlineStr">
        <is>
          <t>GIA NGUYEN INT'L LOGISTICS CO., LTD</t>
        </is>
      </c>
      <c r="AK60" s="130" t="n">
        <v>0</v>
      </c>
    </row>
    <row r="61" ht="12" customHeight="1">
      <c r="A61" s="108" t="inlineStr">
        <is>
          <t>SKHU6329430</t>
        </is>
      </c>
      <c r="B61" s="108" t="inlineStr">
        <is>
          <t>BKK01</t>
        </is>
      </c>
      <c r="C61" s="108" t="inlineStr">
        <is>
          <t>IFV</t>
        </is>
      </c>
      <c r="D61" s="172" t="inlineStr">
        <is>
          <t>2026-10-13</t>
        </is>
      </c>
      <c r="E61" s="173" t="inlineStr">
        <is>
          <t>0352</t>
        </is>
      </c>
      <c r="F61" s="96" t="inlineStr">
        <is>
          <t>HASLS22261000692</t>
        </is>
      </c>
      <c r="G61" s="96" t="inlineStr">
        <is>
          <t>BIRLA CARBON (THAILAND) PUBLIC COMPANY LIMITED</t>
        </is>
      </c>
      <c r="H61" s="111" t="inlineStr">
        <is>
          <t>45GP</t>
        </is>
      </c>
      <c r="I61" s="96" t="n"/>
      <c r="J61" s="96" t="inlineStr">
        <is>
          <t>Sirichai Prayochananon</t>
        </is>
      </c>
      <c r="K61" s="96" t="inlineStr">
        <is>
          <t>SD</t>
        </is>
      </c>
      <c r="L61" s="111" t="inlineStr">
        <is>
          <t>Full</t>
        </is>
      </c>
      <c r="M61" s="96" t="inlineStr">
        <is>
          <t>HASLS22261000692</t>
        </is>
      </c>
      <c r="N61" s="96" t="inlineStr">
        <is>
          <t xml:space="preserve">40Hx5 </t>
        </is>
      </c>
      <c r="O61" s="111" t="inlineStr">
        <is>
          <t>2023</t>
        </is>
      </c>
      <c r="P61" s="111" t="n"/>
      <c r="Q61" s="111" t="n"/>
      <c r="R61" s="96" t="n"/>
      <c r="S61" s="96" t="n"/>
      <c r="T61" s="96" t="inlineStr">
        <is>
          <t>BKK01</t>
        </is>
      </c>
      <c r="U61" s="96" t="inlineStr">
        <is>
          <t>THBKK</t>
        </is>
      </c>
      <c r="V61" s="161" t="inlineStr">
        <is>
          <t>2026-10-16</t>
        </is>
      </c>
      <c r="W61" s="96" t="inlineStr">
        <is>
          <t>VNSGN</t>
        </is>
      </c>
      <c r="X61" s="161" t="inlineStr">
        <is>
          <t>2026-10-18</t>
        </is>
      </c>
      <c r="Y61" s="97" t="n"/>
      <c r="Z61" s="97" t="n"/>
      <c r="AA61" s="97" t="n"/>
      <c r="AB61" s="97" t="n"/>
      <c r="AC61" s="97" t="n"/>
      <c r="AD61" s="161" t="inlineStr">
        <is>
          <t>2026-10-14</t>
        </is>
      </c>
      <c r="AE61" s="174" t="inlineStr">
        <is>
          <t>0021</t>
        </is>
      </c>
      <c r="AF61" s="96" t="inlineStr">
        <is>
          <t>TBKK42</t>
        </is>
      </c>
      <c r="AG61" s="97" t="n"/>
      <c r="AH61" s="97" t="n"/>
      <c r="AI61" s="97" t="n"/>
      <c r="AJ61" s="96" t="inlineStr">
        <is>
          <t>ACTR COMPANY LIMITED</t>
        </is>
      </c>
      <c r="AK61" s="130" t="n">
        <v>0</v>
      </c>
    </row>
    <row r="62" ht="12" customHeight="1">
      <c r="A62" s="108" t="inlineStr">
        <is>
          <t>SKHU6333173</t>
        </is>
      </c>
      <c r="B62" s="108" t="inlineStr">
        <is>
          <t>BKK01</t>
        </is>
      </c>
      <c r="C62" s="108" t="inlineStr">
        <is>
          <t>IFV</t>
        </is>
      </c>
      <c r="D62" s="172" t="inlineStr">
        <is>
          <t>2026-10-12</t>
        </is>
      </c>
      <c r="E62" s="173" t="inlineStr">
        <is>
          <t>2332</t>
        </is>
      </c>
      <c r="F62" s="96" t="inlineStr">
        <is>
          <t>HASLS22260901687</t>
        </is>
      </c>
      <c r="G62" s="96" t="inlineStr">
        <is>
          <t>BIRLA CARBON (THAILAND) PUBLIC COMPANY LIMITED</t>
        </is>
      </c>
      <c r="H62" s="111" t="inlineStr">
        <is>
          <t>45GP</t>
        </is>
      </c>
      <c r="I62" s="96" t="n"/>
      <c r="J62" s="96" t="inlineStr">
        <is>
          <t>Sirichai Prayochananon</t>
        </is>
      </c>
      <c r="K62" s="96" t="inlineStr">
        <is>
          <t>SD</t>
        </is>
      </c>
      <c r="L62" s="111" t="inlineStr">
        <is>
          <t>Full</t>
        </is>
      </c>
      <c r="M62" s="96" t="inlineStr">
        <is>
          <t>HASLS22260901687</t>
        </is>
      </c>
      <c r="N62" s="96" t="inlineStr">
        <is>
          <t xml:space="preserve">40Hx5 </t>
        </is>
      </c>
      <c r="O62" s="111" t="inlineStr">
        <is>
          <t>2023</t>
        </is>
      </c>
      <c r="P62" s="111" t="n"/>
      <c r="Q62" s="111" t="n"/>
      <c r="R62" s="96" t="n"/>
      <c r="S62" s="96" t="n"/>
      <c r="T62" s="96" t="inlineStr">
        <is>
          <t>BKK01</t>
        </is>
      </c>
      <c r="U62" s="96" t="inlineStr">
        <is>
          <t>THBKK</t>
        </is>
      </c>
      <c r="V62" s="161" t="inlineStr">
        <is>
          <t>2026-10-16</t>
        </is>
      </c>
      <c r="W62" s="96" t="inlineStr">
        <is>
          <t>VNSGN</t>
        </is>
      </c>
      <c r="X62" s="161" t="inlineStr">
        <is>
          <t>2026-10-18</t>
        </is>
      </c>
      <c r="Y62" s="97" t="n"/>
      <c r="Z62" s="97" t="n"/>
      <c r="AA62" s="97" t="n"/>
      <c r="AB62" s="97" t="n"/>
      <c r="AC62" s="97" t="n"/>
      <c r="AD62" s="161" t="inlineStr">
        <is>
          <t>2026-10-14</t>
        </is>
      </c>
      <c r="AE62" s="174" t="inlineStr">
        <is>
          <t>0021</t>
        </is>
      </c>
      <c r="AF62" s="96" t="inlineStr">
        <is>
          <t>TBKK42</t>
        </is>
      </c>
      <c r="AG62" s="97" t="n"/>
      <c r="AH62" s="97" t="n"/>
      <c r="AI62" s="97" t="n"/>
      <c r="AJ62" s="96" t="inlineStr">
        <is>
          <t>KUMHO TIRE (VIETNAM) CO.,LTD.</t>
        </is>
      </c>
      <c r="AK62" s="130" t="n">
        <v>0</v>
      </c>
    </row>
    <row r="63" ht="12" customHeight="1">
      <c r="A63" s="108" t="inlineStr">
        <is>
          <t>SKHU6360986</t>
        </is>
      </c>
      <c r="B63" s="108" t="inlineStr">
        <is>
          <t>BKK01</t>
        </is>
      </c>
      <c r="C63" s="108" t="inlineStr">
        <is>
          <t>IFV</t>
        </is>
      </c>
      <c r="D63" s="172" t="inlineStr">
        <is>
          <t>2026-10-12</t>
        </is>
      </c>
      <c r="E63" s="173" t="inlineStr">
        <is>
          <t>1950</t>
        </is>
      </c>
      <c r="F63" s="96" t="inlineStr">
        <is>
          <t>HASLS22260902196</t>
        </is>
      </c>
      <c r="G63" s="96" t="inlineStr">
        <is>
          <t>PRIME LOGISTICS INTERNATIONAL CO., LTD.</t>
        </is>
      </c>
      <c r="H63" s="111" t="inlineStr">
        <is>
          <t>45GP</t>
        </is>
      </c>
      <c r="I63" s="96" t="n"/>
      <c r="J63" s="96" t="inlineStr">
        <is>
          <t>Sirichai Prayochananon</t>
        </is>
      </c>
      <c r="K63" s="96" t="inlineStr">
        <is>
          <t>SD</t>
        </is>
      </c>
      <c r="L63" s="111" t="inlineStr">
        <is>
          <t>Full</t>
        </is>
      </c>
      <c r="M63" s="96" t="inlineStr">
        <is>
          <t>HASLS22260902196</t>
        </is>
      </c>
      <c r="N63" s="96" t="inlineStr">
        <is>
          <t xml:space="preserve">40Hx2 </t>
        </is>
      </c>
      <c r="O63" s="111" t="inlineStr">
        <is>
          <t>2023</t>
        </is>
      </c>
      <c r="P63" s="111" t="n"/>
      <c r="Q63" s="111" t="n"/>
      <c r="R63" s="96" t="n"/>
      <c r="S63" s="96" t="n"/>
      <c r="T63" s="96" t="inlineStr">
        <is>
          <t>BKK01</t>
        </is>
      </c>
      <c r="U63" s="96" t="inlineStr">
        <is>
          <t>THBKK</t>
        </is>
      </c>
      <c r="V63" s="161" t="inlineStr">
        <is>
          <t>2026-10-16</t>
        </is>
      </c>
      <c r="W63" s="96" t="inlineStr">
        <is>
          <t>VNSGN</t>
        </is>
      </c>
      <c r="X63" s="161" t="inlineStr">
        <is>
          <t>2026-10-18</t>
        </is>
      </c>
      <c r="Y63" s="97" t="n"/>
      <c r="Z63" s="97" t="n"/>
      <c r="AA63" s="97" t="n"/>
      <c r="AB63" s="97" t="n"/>
      <c r="AC63" s="97" t="n"/>
      <c r="AD63" s="161" t="inlineStr">
        <is>
          <t>2026-10-14</t>
        </is>
      </c>
      <c r="AE63" s="174" t="inlineStr">
        <is>
          <t>0021</t>
        </is>
      </c>
      <c r="AF63" s="96" t="inlineStr">
        <is>
          <t>TBKK42</t>
        </is>
      </c>
      <c r="AG63" s="97" t="n"/>
      <c r="AH63" s="97" t="n"/>
      <c r="AI63" s="97" t="n"/>
      <c r="AJ63" s="96" t="inlineStr">
        <is>
          <t>FOODTECH JSC</t>
        </is>
      </c>
      <c r="AK63" s="130" t="n">
        <v>0</v>
      </c>
    </row>
    <row r="64" ht="12" customHeight="1">
      <c r="A64" s="108" t="inlineStr">
        <is>
          <t>SKHU6384041</t>
        </is>
      </c>
      <c r="B64" s="108" t="inlineStr">
        <is>
          <t>BKK01</t>
        </is>
      </c>
      <c r="C64" s="108" t="inlineStr">
        <is>
          <t>IFV</t>
        </is>
      </c>
      <c r="D64" s="172" t="inlineStr">
        <is>
          <t>2026-10-13</t>
        </is>
      </c>
      <c r="E64" s="173" t="inlineStr">
        <is>
          <t>2253</t>
        </is>
      </c>
      <c r="F64" s="96" t="inlineStr">
        <is>
          <t>HASLS22261000948</t>
        </is>
      </c>
      <c r="G64" s="96" t="inlineStr">
        <is>
          <t>BIRLA CARBON (THAILAND) PUBLIC COMPANY LIMITED</t>
        </is>
      </c>
      <c r="H64" s="111" t="inlineStr">
        <is>
          <t>45GP</t>
        </is>
      </c>
      <c r="I64" s="96" t="n"/>
      <c r="J64" s="96" t="inlineStr">
        <is>
          <t>Chuanchuen</t>
        </is>
      </c>
      <c r="K64" s="96" t="inlineStr">
        <is>
          <t>SD</t>
        </is>
      </c>
      <c r="L64" s="111" t="inlineStr">
        <is>
          <t>Full</t>
        </is>
      </c>
      <c r="M64" s="96" t="inlineStr">
        <is>
          <t>HASLS22261000948</t>
        </is>
      </c>
      <c r="N64" s="96" t="inlineStr">
        <is>
          <t xml:space="preserve">40Hx4 </t>
        </is>
      </c>
      <c r="O64" s="111" t="inlineStr">
        <is>
          <t>2023</t>
        </is>
      </c>
      <c r="P64" s="111" t="n"/>
      <c r="Q64" s="111" t="n"/>
      <c r="R64" s="96" t="n"/>
      <c r="S64" s="96" t="n"/>
      <c r="T64" s="96" t="inlineStr">
        <is>
          <t>BKK01</t>
        </is>
      </c>
      <c r="U64" s="96" t="inlineStr">
        <is>
          <t>THBKK</t>
        </is>
      </c>
      <c r="V64" s="161" t="inlineStr">
        <is>
          <t>2026-10-16</t>
        </is>
      </c>
      <c r="W64" s="96" t="inlineStr">
        <is>
          <t>VNSGN</t>
        </is>
      </c>
      <c r="X64" s="161" t="inlineStr">
        <is>
          <t>2026-10-18</t>
        </is>
      </c>
      <c r="Y64" s="97" t="n"/>
      <c r="Z64" s="97" t="n"/>
      <c r="AA64" s="97" t="n"/>
      <c r="AB64" s="97" t="n"/>
      <c r="AC64" s="97" t="n"/>
      <c r="AD64" s="161" t="inlineStr">
        <is>
          <t>2026-10-14</t>
        </is>
      </c>
      <c r="AE64" s="174" t="inlineStr">
        <is>
          <t>1045</t>
        </is>
      </c>
      <c r="AF64" s="96" t="inlineStr">
        <is>
          <t>TBKK07</t>
        </is>
      </c>
      <c r="AG64" s="97" t="n"/>
      <c r="AH64" s="97" t="n"/>
      <c r="AI64" s="97" t="n"/>
      <c r="AJ64" s="96" t="inlineStr">
        <is>
          <t>SAILUN (VIETNAM) CO.,LTD</t>
        </is>
      </c>
      <c r="AK64" s="130" t="n">
        <v>0</v>
      </c>
    </row>
    <row r="65" ht="12" customHeight="1">
      <c r="A65" s="108" t="inlineStr">
        <is>
          <t>SKHU6408375</t>
        </is>
      </c>
      <c r="B65" s="108" t="inlineStr">
        <is>
          <t>BKK01</t>
        </is>
      </c>
      <c r="C65" s="108" t="inlineStr">
        <is>
          <t>IFV</t>
        </is>
      </c>
      <c r="D65" s="172" t="inlineStr">
        <is>
          <t>2026-10-13</t>
        </is>
      </c>
      <c r="E65" s="173" t="inlineStr">
        <is>
          <t>0258</t>
        </is>
      </c>
      <c r="F65" s="96" t="inlineStr">
        <is>
          <t>HASLS22261000692</t>
        </is>
      </c>
      <c r="G65" s="96" t="inlineStr">
        <is>
          <t>BIRLA CARBON (THAILAND) PUBLIC COMPANY LIMITED</t>
        </is>
      </c>
      <c r="H65" s="111" t="inlineStr">
        <is>
          <t>45GP</t>
        </is>
      </c>
      <c r="I65" s="96" t="n"/>
      <c r="J65" s="96" t="inlineStr">
        <is>
          <t>Sirichai Prayochananon</t>
        </is>
      </c>
      <c r="K65" s="96" t="inlineStr">
        <is>
          <t>SD</t>
        </is>
      </c>
      <c r="L65" s="111" t="inlineStr">
        <is>
          <t>Full</t>
        </is>
      </c>
      <c r="M65" s="96" t="inlineStr">
        <is>
          <t>HASLS22261000692</t>
        </is>
      </c>
      <c r="N65" s="96" t="inlineStr">
        <is>
          <t xml:space="preserve">40Hx5 </t>
        </is>
      </c>
      <c r="O65" s="111" t="inlineStr">
        <is>
          <t>2024</t>
        </is>
      </c>
      <c r="P65" s="111" t="n"/>
      <c r="Q65" s="111" t="n"/>
      <c r="R65" s="96" t="n"/>
      <c r="S65" s="96" t="n"/>
      <c r="T65" s="96" t="inlineStr">
        <is>
          <t>BKK01</t>
        </is>
      </c>
      <c r="U65" s="96" t="inlineStr">
        <is>
          <t>THBKK</t>
        </is>
      </c>
      <c r="V65" s="161" t="inlineStr">
        <is>
          <t>2026-10-16</t>
        </is>
      </c>
      <c r="W65" s="96" t="inlineStr">
        <is>
          <t>VNSGN</t>
        </is>
      </c>
      <c r="X65" s="161" t="inlineStr">
        <is>
          <t>2026-10-18</t>
        </is>
      </c>
      <c r="Y65" s="97" t="n"/>
      <c r="Z65" s="97" t="n"/>
      <c r="AA65" s="97" t="n"/>
      <c r="AB65" s="97" t="n"/>
      <c r="AC65" s="97" t="n"/>
      <c r="AD65" s="161" t="inlineStr">
        <is>
          <t>2026-10-14</t>
        </is>
      </c>
      <c r="AE65" s="174" t="inlineStr">
        <is>
          <t>0021</t>
        </is>
      </c>
      <c r="AF65" s="96" t="inlineStr">
        <is>
          <t>TBKK42</t>
        </is>
      </c>
      <c r="AG65" s="97" t="n"/>
      <c r="AH65" s="97" t="n"/>
      <c r="AI65" s="97" t="n"/>
      <c r="AJ65" s="96" t="inlineStr">
        <is>
          <t>ACTR COMPANY LIMITED</t>
        </is>
      </c>
      <c r="AK65" s="130" t="n">
        <v>0</v>
      </c>
    </row>
    <row r="66" ht="12" customHeight="1">
      <c r="A66" s="108" t="inlineStr">
        <is>
          <t>SKHU6420339</t>
        </is>
      </c>
      <c r="B66" s="108" t="inlineStr">
        <is>
          <t>BKK01</t>
        </is>
      </c>
      <c r="C66" s="108" t="inlineStr">
        <is>
          <t>IFV</t>
        </is>
      </c>
      <c r="D66" s="172" t="inlineStr">
        <is>
          <t>2026-10-14</t>
        </is>
      </c>
      <c r="E66" s="173" t="inlineStr">
        <is>
          <t>0007</t>
        </is>
      </c>
      <c r="F66" s="96" t="inlineStr">
        <is>
          <t>HASLS22261000949</t>
        </is>
      </c>
      <c r="G66" s="96" t="inlineStr">
        <is>
          <t>BIRLA CARBON (THAILAND) PUBLIC COMPANY LIMITED</t>
        </is>
      </c>
      <c r="H66" s="111" t="inlineStr">
        <is>
          <t>45GP</t>
        </is>
      </c>
      <c r="I66" s="96" t="n"/>
      <c r="J66" s="96" t="inlineStr">
        <is>
          <t>Chuanchuen</t>
        </is>
      </c>
      <c r="K66" s="96" t="inlineStr">
        <is>
          <t>SD</t>
        </is>
      </c>
      <c r="L66" s="111" t="inlineStr">
        <is>
          <t>Full</t>
        </is>
      </c>
      <c r="M66" s="96" t="inlineStr">
        <is>
          <t>HASLS22261000949</t>
        </is>
      </c>
      <c r="N66" s="96" t="inlineStr">
        <is>
          <t xml:space="preserve">40Hx1 </t>
        </is>
      </c>
      <c r="O66" s="111" t="inlineStr">
        <is>
          <t>2024</t>
        </is>
      </c>
      <c r="P66" s="111" t="n"/>
      <c r="Q66" s="111" t="n"/>
      <c r="R66" s="96" t="n"/>
      <c r="S66" s="96" t="n"/>
      <c r="T66" s="96" t="inlineStr">
        <is>
          <t>BKK01</t>
        </is>
      </c>
      <c r="U66" s="96" t="inlineStr">
        <is>
          <t>THBKK</t>
        </is>
      </c>
      <c r="V66" s="161" t="inlineStr">
        <is>
          <t>2026-10-16</t>
        </is>
      </c>
      <c r="W66" s="96" t="inlineStr">
        <is>
          <t>VNSGN</t>
        </is>
      </c>
      <c r="X66" s="161" t="inlineStr">
        <is>
          <t>2026-10-18</t>
        </is>
      </c>
      <c r="Y66" s="97" t="n"/>
      <c r="Z66" s="97" t="n"/>
      <c r="AA66" s="97" t="n"/>
      <c r="AB66" s="97" t="n"/>
      <c r="AC66" s="97" t="n"/>
      <c r="AD66" s="161" t="inlineStr">
        <is>
          <t>2026-10-14</t>
        </is>
      </c>
      <c r="AE66" s="174" t="inlineStr">
        <is>
          <t>1045</t>
        </is>
      </c>
      <c r="AF66" s="96" t="inlineStr">
        <is>
          <t>TBKK07</t>
        </is>
      </c>
      <c r="AG66" s="97" t="n"/>
      <c r="AH66" s="97" t="n"/>
      <c r="AI66" s="97" t="n"/>
      <c r="AJ66" s="96" t="inlineStr">
        <is>
          <t>YOKOHAMA TYRE VIETNAM INC.</t>
        </is>
      </c>
      <c r="AK66" s="130" t="n">
        <v>0</v>
      </c>
    </row>
    <row r="67" ht="12" customHeight="1">
      <c r="A67" s="108" t="inlineStr">
        <is>
          <t>SKHU6428094</t>
        </is>
      </c>
      <c r="B67" s="108" t="inlineStr">
        <is>
          <t>BKK01</t>
        </is>
      </c>
      <c r="C67" s="108" t="inlineStr">
        <is>
          <t>IFV</t>
        </is>
      </c>
      <c r="D67" s="172" t="inlineStr">
        <is>
          <t>2026-10-11</t>
        </is>
      </c>
      <c r="E67" s="173" t="inlineStr">
        <is>
          <t>0028</t>
        </is>
      </c>
      <c r="F67" s="96" t="inlineStr">
        <is>
          <t>HASLS22260900218</t>
        </is>
      </c>
      <c r="G67" s="96" t="inlineStr">
        <is>
          <t>HARPERS SEA FREIGHT CO., LTD.</t>
        </is>
      </c>
      <c r="H67" s="111" t="inlineStr">
        <is>
          <t>45GP</t>
        </is>
      </c>
      <c r="I67" s="96" t="n"/>
      <c r="J67" s="96" t="inlineStr">
        <is>
          <t>Sirichai Prayochananon</t>
        </is>
      </c>
      <c r="K67" s="96" t="inlineStr">
        <is>
          <t>SD</t>
        </is>
      </c>
      <c r="L67" s="111" t="inlineStr">
        <is>
          <t>Full</t>
        </is>
      </c>
      <c r="M67" s="96" t="inlineStr">
        <is>
          <t>HASLS22260900218</t>
        </is>
      </c>
      <c r="N67" s="96" t="inlineStr">
        <is>
          <t xml:space="preserve">40Hx6 </t>
        </is>
      </c>
      <c r="O67" s="111" t="inlineStr">
        <is>
          <t>2024</t>
        </is>
      </c>
      <c r="P67" s="111" t="n"/>
      <c r="Q67" s="111" t="n"/>
      <c r="R67" s="96" t="n"/>
      <c r="S67" s="96" t="n"/>
      <c r="T67" s="96" t="inlineStr">
        <is>
          <t>BKK01</t>
        </is>
      </c>
      <c r="U67" s="96" t="inlineStr">
        <is>
          <t>THBKK</t>
        </is>
      </c>
      <c r="V67" s="161" t="inlineStr">
        <is>
          <t>2026-10-16</t>
        </is>
      </c>
      <c r="W67" s="96" t="inlineStr">
        <is>
          <t>KRPUS</t>
        </is>
      </c>
      <c r="X67" s="161" t="inlineStr">
        <is>
          <t>2026-10-25</t>
        </is>
      </c>
      <c r="Y67" s="97" t="n"/>
      <c r="Z67" s="97" t="n"/>
      <c r="AA67" s="97" t="n"/>
      <c r="AB67" s="97" t="n"/>
      <c r="AC67" s="97" t="n"/>
      <c r="AD67" s="161" t="inlineStr">
        <is>
          <t>2026-10-11</t>
        </is>
      </c>
      <c r="AE67" s="174" t="inlineStr">
        <is>
          <t>2325</t>
        </is>
      </c>
      <c r="AF67" s="96" t="inlineStr">
        <is>
          <t>TBKK42</t>
        </is>
      </c>
      <c r="AG67" s="97" t="n"/>
      <c r="AH67" s="97" t="n"/>
      <c r="AI67" s="97" t="n"/>
      <c r="AJ67" s="96" t="inlineStr">
        <is>
          <t>WOO SUNG FEED CO., LTD.</t>
        </is>
      </c>
      <c r="AK67" s="130" t="n">
        <v>0</v>
      </c>
    </row>
    <row r="68" ht="12" customHeight="1">
      <c r="A68" s="108" t="inlineStr">
        <is>
          <t>SKHU6429866</t>
        </is>
      </c>
      <c r="B68" s="108" t="inlineStr">
        <is>
          <t>BKK01</t>
        </is>
      </c>
      <c r="C68" s="108" t="inlineStr">
        <is>
          <t>IFV</t>
        </is>
      </c>
      <c r="D68" s="172" t="inlineStr">
        <is>
          <t>2026-10-13</t>
        </is>
      </c>
      <c r="E68" s="173" t="inlineStr">
        <is>
          <t>0149</t>
        </is>
      </c>
      <c r="F68" s="96" t="inlineStr">
        <is>
          <t>HASLS22260902182</t>
        </is>
      </c>
      <c r="G68" s="96" t="inlineStr">
        <is>
          <t>BIRLA CARBON (THAILAND) PUBLIC COMPANY LIMITED</t>
        </is>
      </c>
      <c r="H68" s="111" t="inlineStr">
        <is>
          <t>45GP</t>
        </is>
      </c>
      <c r="I68" s="96" t="n"/>
      <c r="J68" s="96" t="inlineStr">
        <is>
          <t>Sirichai Prayochananon</t>
        </is>
      </c>
      <c r="K68" s="96" t="inlineStr">
        <is>
          <t>SD</t>
        </is>
      </c>
      <c r="L68" s="111" t="inlineStr">
        <is>
          <t>Full</t>
        </is>
      </c>
      <c r="M68" s="96" t="inlineStr">
        <is>
          <t>HASLS22260902182</t>
        </is>
      </c>
      <c r="N68" s="96" t="inlineStr">
        <is>
          <t xml:space="preserve">40Hx10 </t>
        </is>
      </c>
      <c r="O68" s="111" t="inlineStr">
        <is>
          <t>2024</t>
        </is>
      </c>
      <c r="P68" s="111" t="n"/>
      <c r="Q68" s="111" t="n"/>
      <c r="R68" s="96" t="n"/>
      <c r="S68" s="96" t="n"/>
      <c r="T68" s="96" t="inlineStr">
        <is>
          <t>BKK01</t>
        </is>
      </c>
      <c r="U68" s="96" t="inlineStr">
        <is>
          <t>THBKK</t>
        </is>
      </c>
      <c r="V68" s="161" t="inlineStr">
        <is>
          <t>2026-10-16</t>
        </is>
      </c>
      <c r="W68" s="96" t="inlineStr">
        <is>
          <t>VNSGN</t>
        </is>
      </c>
      <c r="X68" s="161" t="inlineStr">
        <is>
          <t>2026-10-18</t>
        </is>
      </c>
      <c r="Y68" s="97" t="n"/>
      <c r="Z68" s="97" t="n"/>
      <c r="AA68" s="97" t="n"/>
      <c r="AB68" s="97" t="n"/>
      <c r="AC68" s="97" t="n"/>
      <c r="AD68" s="161" t="inlineStr">
        <is>
          <t>2026-10-14</t>
        </is>
      </c>
      <c r="AE68" s="174" t="inlineStr">
        <is>
          <t>0021</t>
        </is>
      </c>
      <c r="AF68" s="96" t="inlineStr">
        <is>
          <t>TBKK42</t>
        </is>
      </c>
      <c r="AG68" s="97" t="n"/>
      <c r="AH68" s="97" t="n"/>
      <c r="AI68" s="97" t="n"/>
      <c r="AJ68" s="96" t="inlineStr">
        <is>
          <t>CART TIRE CO., LTD</t>
        </is>
      </c>
      <c r="AK68" s="130" t="n">
        <v>0</v>
      </c>
    </row>
    <row r="69" ht="12" customHeight="1">
      <c r="A69" s="108" t="inlineStr">
        <is>
          <t>SKHU6438699</t>
        </is>
      </c>
      <c r="B69" s="108" t="inlineStr">
        <is>
          <t>BKK01</t>
        </is>
      </c>
      <c r="C69" s="108" t="inlineStr">
        <is>
          <t>IFV</t>
        </is>
      </c>
      <c r="D69" s="172" t="inlineStr">
        <is>
          <t>2026-10-10</t>
        </is>
      </c>
      <c r="E69" s="173" t="inlineStr">
        <is>
          <t>1616</t>
        </is>
      </c>
      <c r="F69" s="96" t="inlineStr">
        <is>
          <t>HASLS22260901303</t>
        </is>
      </c>
      <c r="G69" s="96" t="inlineStr">
        <is>
          <t>WOODWORKS THAI CO., LTD. (1980)</t>
        </is>
      </c>
      <c r="H69" s="111" t="inlineStr">
        <is>
          <t>45GP</t>
        </is>
      </c>
      <c r="I69" s="96" t="n"/>
      <c r="J69" s="96" t="inlineStr">
        <is>
          <t>Sirichai Prayochananon</t>
        </is>
      </c>
      <c r="K69" s="96" t="inlineStr">
        <is>
          <t>SD</t>
        </is>
      </c>
      <c r="L69" s="111" t="inlineStr">
        <is>
          <t>Full</t>
        </is>
      </c>
      <c r="M69" s="96" t="inlineStr">
        <is>
          <t>HASLS22260901303</t>
        </is>
      </c>
      <c r="N69" s="96" t="inlineStr">
        <is>
          <t xml:space="preserve">40Hx2 </t>
        </is>
      </c>
      <c r="O69" s="111" t="inlineStr">
        <is>
          <t>2024</t>
        </is>
      </c>
      <c r="P69" s="111" t="n"/>
      <c r="Q69" s="111" t="n"/>
      <c r="R69" s="96" t="n"/>
      <c r="S69" s="96" t="n"/>
      <c r="T69" s="96" t="inlineStr">
        <is>
          <t>BKK01</t>
        </is>
      </c>
      <c r="U69" s="96" t="inlineStr">
        <is>
          <t>THBKK</t>
        </is>
      </c>
      <c r="V69" s="161" t="inlineStr">
        <is>
          <t>2026-10-16</t>
        </is>
      </c>
      <c r="W69" s="96" t="inlineStr">
        <is>
          <t>JPIMI</t>
        </is>
      </c>
      <c r="X69" s="161" t="inlineStr">
        <is>
          <t>2026-10-25</t>
        </is>
      </c>
      <c r="Y69" s="97" t="n"/>
      <c r="Z69" s="97" t="n"/>
      <c r="AA69" s="97" t="n"/>
      <c r="AB69" s="97" t="n"/>
      <c r="AC69" s="97" t="n"/>
      <c r="AD69" s="161" t="inlineStr">
        <is>
          <t>2026-10-11</t>
        </is>
      </c>
      <c r="AE69" s="174" t="inlineStr">
        <is>
          <t>2325</t>
        </is>
      </c>
      <c r="AF69" s="96" t="inlineStr">
        <is>
          <t>TBKK42</t>
        </is>
      </c>
      <c r="AG69" s="97" t="n"/>
      <c r="AH69" s="97" t="n"/>
      <c r="AI69" s="97" t="n"/>
      <c r="AJ69" s="96" t="inlineStr">
        <is>
          <t>DAISHO SANGYO CORPORATION</t>
        </is>
      </c>
      <c r="AK69" s="130" t="n">
        <v>0</v>
      </c>
    </row>
    <row r="70" ht="12" customHeight="1">
      <c r="A70" s="108" t="inlineStr">
        <is>
          <t>SKHU6442301</t>
        </is>
      </c>
      <c r="B70" s="108" t="inlineStr">
        <is>
          <t>BKK01</t>
        </is>
      </c>
      <c r="C70" s="108" t="inlineStr">
        <is>
          <t>IFV</t>
        </is>
      </c>
      <c r="D70" s="172" t="inlineStr">
        <is>
          <t>2026-10-12</t>
        </is>
      </c>
      <c r="E70" s="173" t="inlineStr">
        <is>
          <t>1948</t>
        </is>
      </c>
      <c r="F70" s="96" t="inlineStr">
        <is>
          <t>HASLS22260901726</t>
        </is>
      </c>
      <c r="G70" s="96" t="inlineStr">
        <is>
          <t>HARPERS SEA FREIGHT CO., LTD.</t>
        </is>
      </c>
      <c r="H70" s="111" t="inlineStr">
        <is>
          <t>45GP</t>
        </is>
      </c>
      <c r="I70" s="96" t="n"/>
      <c r="J70" s="96" t="inlineStr">
        <is>
          <t>Sirichai Prayochananon</t>
        </is>
      </c>
      <c r="K70" s="96" t="inlineStr">
        <is>
          <t>SD</t>
        </is>
      </c>
      <c r="L70" s="111" t="inlineStr">
        <is>
          <t>Full</t>
        </is>
      </c>
      <c r="M70" s="96" t="inlineStr">
        <is>
          <t>HASLS22260901726</t>
        </is>
      </c>
      <c r="N70" s="96" t="inlineStr">
        <is>
          <t xml:space="preserve">40Hx2 </t>
        </is>
      </c>
      <c r="O70" s="111" t="inlineStr">
        <is>
          <t>2024</t>
        </is>
      </c>
      <c r="P70" s="111" t="n"/>
      <c r="Q70" s="111" t="n"/>
      <c r="R70" s="96" t="n"/>
      <c r="S70" s="96" t="n"/>
      <c r="T70" s="96" t="inlineStr">
        <is>
          <t>BKK01</t>
        </is>
      </c>
      <c r="U70" s="96" t="inlineStr">
        <is>
          <t>THBKK</t>
        </is>
      </c>
      <c r="V70" s="161" t="inlineStr">
        <is>
          <t>2026-10-16</t>
        </is>
      </c>
      <c r="W70" s="96" t="inlineStr">
        <is>
          <t>KRKAN</t>
        </is>
      </c>
      <c r="X70" s="161" t="inlineStr">
        <is>
          <t>2026-10-24</t>
        </is>
      </c>
      <c r="Y70" s="97" t="n"/>
      <c r="Z70" s="97" t="n"/>
      <c r="AA70" s="97" t="n"/>
      <c r="AB70" s="97" t="n"/>
      <c r="AC70" s="97" t="n"/>
      <c r="AD70" s="161" t="inlineStr">
        <is>
          <t>2026-10-14</t>
        </is>
      </c>
      <c r="AE70" s="174" t="inlineStr">
        <is>
          <t>0021</t>
        </is>
      </c>
      <c r="AF70" s="96" t="inlineStr">
        <is>
          <t>TBKK42</t>
        </is>
      </c>
      <c r="AG70" s="97" t="n"/>
      <c r="AH70" s="97" t="n"/>
      <c r="AI70" s="97" t="n"/>
      <c r="AJ70" s="96" t="inlineStr">
        <is>
          <t>TO THE ORDER OF NONGHYUP BANK</t>
        </is>
      </c>
      <c r="AK70" s="130" t="n">
        <v>0</v>
      </c>
    </row>
    <row r="71" ht="12" customHeight="1">
      <c r="A71" s="108" t="inlineStr">
        <is>
          <t>SKHU6448547</t>
        </is>
      </c>
      <c r="B71" s="108" t="inlineStr">
        <is>
          <t>BKK01</t>
        </is>
      </c>
      <c r="C71" s="108" t="inlineStr">
        <is>
          <t>IFV</t>
        </is>
      </c>
      <c r="D71" s="172" t="inlineStr">
        <is>
          <t>2026-10-13</t>
        </is>
      </c>
      <c r="E71" s="173" t="inlineStr">
        <is>
          <t>1022</t>
        </is>
      </c>
      <c r="F71" s="96" t="inlineStr">
        <is>
          <t>HASLS22260902223</t>
        </is>
      </c>
      <c r="G71" s="96" t="inlineStr">
        <is>
          <t>CAPRICORN LOGISTICS CO., LTD.</t>
        </is>
      </c>
      <c r="H71" s="111" t="inlineStr">
        <is>
          <t>45GP</t>
        </is>
      </c>
      <c r="I71" s="96" t="n"/>
      <c r="J71" s="96" t="inlineStr">
        <is>
          <t>Sirichai Prayochananon</t>
        </is>
      </c>
      <c r="K71" s="96" t="inlineStr">
        <is>
          <t>SD</t>
        </is>
      </c>
      <c r="L71" s="111" t="inlineStr">
        <is>
          <t>Full</t>
        </is>
      </c>
      <c r="M71" s="96" t="inlineStr">
        <is>
          <t>HASLS22260902223</t>
        </is>
      </c>
      <c r="N71" s="96" t="inlineStr">
        <is>
          <t xml:space="preserve">40Hx5 </t>
        </is>
      </c>
      <c r="O71" s="111" t="inlineStr">
        <is>
          <t>2024</t>
        </is>
      </c>
      <c r="P71" s="111" t="n"/>
      <c r="Q71" s="111" t="n"/>
      <c r="R71" s="96" t="n"/>
      <c r="S71" s="96" t="n"/>
      <c r="T71" s="96" t="inlineStr">
        <is>
          <t>BKK01</t>
        </is>
      </c>
      <c r="U71" s="96" t="inlineStr">
        <is>
          <t>THBKK</t>
        </is>
      </c>
      <c r="V71" s="161" t="inlineStr">
        <is>
          <t>2026-10-16</t>
        </is>
      </c>
      <c r="W71" s="96" t="inlineStr">
        <is>
          <t>VNSGN</t>
        </is>
      </c>
      <c r="X71" s="161" t="inlineStr">
        <is>
          <t>2026-10-18</t>
        </is>
      </c>
      <c r="Y71" s="97" t="n"/>
      <c r="Z71" s="97" t="n"/>
      <c r="AA71" s="97" t="n"/>
      <c r="AB71" s="97" t="n"/>
      <c r="AC71" s="97" t="n"/>
      <c r="AD71" s="161" t="inlineStr">
        <is>
          <t>2026-10-14</t>
        </is>
      </c>
      <c r="AE71" s="174" t="inlineStr">
        <is>
          <t>0021</t>
        </is>
      </c>
      <c r="AF71" s="96" t="inlineStr">
        <is>
          <t>TBKK42</t>
        </is>
      </c>
      <c r="AG71" s="97" t="n"/>
      <c r="AH71" s="97" t="n"/>
      <c r="AI71" s="97" t="n"/>
      <c r="AJ71" s="96" t="inlineStr">
        <is>
          <t>GIA NGUYEN INT'L LOGISTICS CO., LTD</t>
        </is>
      </c>
      <c r="AK71" s="130" t="n">
        <v>0</v>
      </c>
    </row>
    <row r="72" ht="12" customHeight="1">
      <c r="A72" s="108" t="inlineStr">
        <is>
          <t>SKHU6462988</t>
        </is>
      </c>
      <c r="B72" s="108" t="inlineStr">
        <is>
          <t>BKK01</t>
        </is>
      </c>
      <c r="C72" s="108" t="inlineStr">
        <is>
          <t>IFV</t>
        </is>
      </c>
      <c r="D72" s="172" t="inlineStr">
        <is>
          <t>2026-10-12</t>
        </is>
      </c>
      <c r="E72" s="173" t="inlineStr">
        <is>
          <t>1235</t>
        </is>
      </c>
      <c r="F72" s="96" t="inlineStr">
        <is>
          <t>HASLS22260902182</t>
        </is>
      </c>
      <c r="G72" s="96" t="inlineStr">
        <is>
          <t>BIRLA CARBON (THAILAND) PUBLIC COMPANY LIMITED</t>
        </is>
      </c>
      <c r="H72" s="111" t="inlineStr">
        <is>
          <t>45GP</t>
        </is>
      </c>
      <c r="I72" s="96" t="n"/>
      <c r="J72" s="96" t="inlineStr">
        <is>
          <t>Chuanchuen</t>
        </is>
      </c>
      <c r="K72" s="96" t="inlineStr">
        <is>
          <t>SD</t>
        </is>
      </c>
      <c r="L72" s="111" t="inlineStr">
        <is>
          <t>Full</t>
        </is>
      </c>
      <c r="M72" s="96" t="inlineStr">
        <is>
          <t>HASLS22260902182</t>
        </is>
      </c>
      <c r="N72" s="96" t="inlineStr">
        <is>
          <t xml:space="preserve">40Hx10 </t>
        </is>
      </c>
      <c r="O72" s="111" t="inlineStr">
        <is>
          <t>2024</t>
        </is>
      </c>
      <c r="P72" s="111" t="n"/>
      <c r="Q72" s="111" t="n"/>
      <c r="R72" s="96" t="n"/>
      <c r="S72" s="96" t="n"/>
      <c r="T72" s="96" t="inlineStr">
        <is>
          <t>BKK01</t>
        </is>
      </c>
      <c r="U72" s="96" t="inlineStr">
        <is>
          <t>THBKK</t>
        </is>
      </c>
      <c r="V72" s="161" t="inlineStr">
        <is>
          <t>2026-10-16</t>
        </is>
      </c>
      <c r="W72" s="96" t="inlineStr">
        <is>
          <t>VNSGN</t>
        </is>
      </c>
      <c r="X72" s="161" t="inlineStr">
        <is>
          <t>2026-10-18</t>
        </is>
      </c>
      <c r="Y72" s="97" t="n"/>
      <c r="Z72" s="97" t="n"/>
      <c r="AA72" s="97" t="n"/>
      <c r="AB72" s="97" t="n"/>
      <c r="AC72" s="97" t="n"/>
      <c r="AD72" s="161" t="inlineStr">
        <is>
          <t>2026-10-12</t>
        </is>
      </c>
      <c r="AE72" s="174" t="inlineStr">
        <is>
          <t>1911</t>
        </is>
      </c>
      <c r="AF72" s="96" t="inlineStr">
        <is>
          <t>TBKK07</t>
        </is>
      </c>
      <c r="AG72" s="97" t="n"/>
      <c r="AH72" s="97" t="n"/>
      <c r="AI72" s="97" t="n"/>
      <c r="AJ72" s="96" t="inlineStr">
        <is>
          <t>CART TIRE CO., LTD</t>
        </is>
      </c>
      <c r="AK72" s="130" t="n">
        <v>0</v>
      </c>
    </row>
    <row r="73" ht="12" customHeight="1">
      <c r="A73" s="108" t="inlineStr">
        <is>
          <t>SKHU6514844</t>
        </is>
      </c>
      <c r="B73" s="108" t="inlineStr">
        <is>
          <t>BKK01</t>
        </is>
      </c>
      <c r="C73" s="108" t="inlineStr">
        <is>
          <t>IFV</t>
        </is>
      </c>
      <c r="D73" s="172" t="inlineStr">
        <is>
          <t>2026-10-13</t>
        </is>
      </c>
      <c r="E73" s="173" t="inlineStr">
        <is>
          <t>0019</t>
        </is>
      </c>
      <c r="F73" s="96" t="inlineStr">
        <is>
          <t>HASLS22260902182</t>
        </is>
      </c>
      <c r="G73" s="96" t="inlineStr">
        <is>
          <t>BIRLA CARBON (THAILAND) PUBLIC COMPANY LIMITED</t>
        </is>
      </c>
      <c r="H73" s="111" t="inlineStr">
        <is>
          <t>45GP</t>
        </is>
      </c>
      <c r="I73" s="96" t="n"/>
      <c r="J73" s="96" t="inlineStr">
        <is>
          <t>Sirichai Prayochananon</t>
        </is>
      </c>
      <c r="K73" s="96" t="inlineStr">
        <is>
          <t>SD</t>
        </is>
      </c>
      <c r="L73" s="111" t="inlineStr">
        <is>
          <t>Full</t>
        </is>
      </c>
      <c r="M73" s="96" t="inlineStr">
        <is>
          <t>HASLS22260902182</t>
        </is>
      </c>
      <c r="N73" s="96" t="inlineStr">
        <is>
          <t xml:space="preserve">40Hx10 </t>
        </is>
      </c>
      <c r="O73" s="111" t="inlineStr">
        <is>
          <t>2025</t>
        </is>
      </c>
      <c r="P73" s="111" t="n"/>
      <c r="Q73" s="111" t="n"/>
      <c r="R73" s="96" t="n"/>
      <c r="S73" s="96" t="n"/>
      <c r="T73" s="96" t="inlineStr">
        <is>
          <t>BKK01</t>
        </is>
      </c>
      <c r="U73" s="96" t="inlineStr">
        <is>
          <t>THBKK</t>
        </is>
      </c>
      <c r="V73" s="161" t="inlineStr">
        <is>
          <t>2026-10-16</t>
        </is>
      </c>
      <c r="W73" s="96" t="inlineStr">
        <is>
          <t>VNSGN</t>
        </is>
      </c>
      <c r="X73" s="161" t="inlineStr">
        <is>
          <t>2026-10-18</t>
        </is>
      </c>
      <c r="Y73" s="97" t="n"/>
      <c r="Z73" s="97" t="n"/>
      <c r="AA73" s="97" t="n"/>
      <c r="AB73" s="97" t="n"/>
      <c r="AC73" s="97" t="n"/>
      <c r="AD73" s="161" t="inlineStr">
        <is>
          <t>2026-10-14</t>
        </is>
      </c>
      <c r="AE73" s="174" t="inlineStr">
        <is>
          <t>0021</t>
        </is>
      </c>
      <c r="AF73" s="96" t="inlineStr">
        <is>
          <t>TBKK42</t>
        </is>
      </c>
      <c r="AG73" s="97" t="n"/>
      <c r="AH73" s="97" t="n"/>
      <c r="AI73" s="97" t="n"/>
      <c r="AJ73" s="96" t="inlineStr">
        <is>
          <t>CART TIRE CO., LTD</t>
        </is>
      </c>
      <c r="AK73" s="130" t="n">
        <v>0</v>
      </c>
    </row>
    <row r="74" ht="12" customHeight="1">
      <c r="A74" s="108" t="inlineStr">
        <is>
          <t>SKHU6515671</t>
        </is>
      </c>
      <c r="B74" s="108" t="inlineStr">
        <is>
          <t>BKK01</t>
        </is>
      </c>
      <c r="C74" s="108" t="inlineStr">
        <is>
          <t>IFV</t>
        </is>
      </c>
      <c r="D74" s="172" t="inlineStr">
        <is>
          <t>2026-10-12</t>
        </is>
      </c>
      <c r="E74" s="173" t="inlineStr">
        <is>
          <t>2247</t>
        </is>
      </c>
      <c r="F74" s="96" t="inlineStr">
        <is>
          <t>HASLS22261000692</t>
        </is>
      </c>
      <c r="G74" s="96" t="inlineStr">
        <is>
          <t>BIRLA CARBON (THAILAND) PUBLIC COMPANY LIMITED</t>
        </is>
      </c>
      <c r="H74" s="111" t="inlineStr">
        <is>
          <t>45GP</t>
        </is>
      </c>
      <c r="I74" s="96" t="n"/>
      <c r="J74" s="96" t="inlineStr">
        <is>
          <t>Sirichai Prayochananon</t>
        </is>
      </c>
      <c r="K74" s="96" t="inlineStr">
        <is>
          <t>SD</t>
        </is>
      </c>
      <c r="L74" s="111" t="inlineStr">
        <is>
          <t>Full</t>
        </is>
      </c>
      <c r="M74" s="96" t="inlineStr">
        <is>
          <t>HASLS22261000692</t>
        </is>
      </c>
      <c r="N74" s="96" t="inlineStr">
        <is>
          <t xml:space="preserve">40Hx5 </t>
        </is>
      </c>
      <c r="O74" s="111" t="inlineStr">
        <is>
          <t>2025</t>
        </is>
      </c>
      <c r="P74" s="111" t="n"/>
      <c r="Q74" s="111" t="n"/>
      <c r="R74" s="96" t="n"/>
      <c r="S74" s="96" t="n"/>
      <c r="T74" s="96" t="inlineStr">
        <is>
          <t>BKK01</t>
        </is>
      </c>
      <c r="U74" s="96" t="inlineStr">
        <is>
          <t>THBKK</t>
        </is>
      </c>
      <c r="V74" s="161" t="inlineStr">
        <is>
          <t>2026-10-16</t>
        </is>
      </c>
      <c r="W74" s="96" t="inlineStr">
        <is>
          <t>VNSGN</t>
        </is>
      </c>
      <c r="X74" s="161" t="inlineStr">
        <is>
          <t>2026-10-18</t>
        </is>
      </c>
      <c r="Y74" s="97" t="n"/>
      <c r="Z74" s="97" t="n"/>
      <c r="AA74" s="97" t="n"/>
      <c r="AB74" s="97" t="n"/>
      <c r="AC74" s="97" t="n"/>
      <c r="AD74" s="161" t="inlineStr">
        <is>
          <t>2026-10-14</t>
        </is>
      </c>
      <c r="AE74" s="174" t="inlineStr">
        <is>
          <t>0021</t>
        </is>
      </c>
      <c r="AF74" s="96" t="inlineStr">
        <is>
          <t>TBKK42</t>
        </is>
      </c>
      <c r="AG74" s="97" t="n"/>
      <c r="AH74" s="97" t="n"/>
      <c r="AI74" s="97" t="n"/>
      <c r="AJ74" s="96" t="inlineStr">
        <is>
          <t>ACTR COMPANY LIMITED</t>
        </is>
      </c>
      <c r="AK74" s="130" t="n">
        <v>0</v>
      </c>
    </row>
    <row r="75" ht="12" customHeight="1">
      <c r="A75" s="108" t="inlineStr">
        <is>
          <t>SKHU6521817</t>
        </is>
      </c>
      <c r="B75" s="108" t="inlineStr">
        <is>
          <t>BKK01</t>
        </is>
      </c>
      <c r="C75" s="108" t="inlineStr">
        <is>
          <t>IFW</t>
        </is>
      </c>
      <c r="D75" s="172" t="inlineStr">
        <is>
          <t>2026-10-13</t>
        </is>
      </c>
      <c r="E75" s="173" t="inlineStr">
        <is>
          <t>1015</t>
        </is>
      </c>
      <c r="F75" s="96" t="inlineStr">
        <is>
          <t>HASLS22260902097</t>
        </is>
      </c>
      <c r="G75" s="96" t="inlineStr">
        <is>
          <t>QUANTERM LOGISTICS (THAILAND) CO., LTD.</t>
        </is>
      </c>
      <c r="H75" s="111" t="inlineStr">
        <is>
          <t>45GP</t>
        </is>
      </c>
      <c r="I75" s="96" t="n"/>
      <c r="J75" s="96" t="inlineStr">
        <is>
          <t>Chuanchuen</t>
        </is>
      </c>
      <c r="K75" s="96" t="inlineStr">
        <is>
          <t>SD</t>
        </is>
      </c>
      <c r="L75" s="111" t="inlineStr">
        <is>
          <t>Full</t>
        </is>
      </c>
      <c r="M75" s="96" t="inlineStr">
        <is>
          <t>HASLS22260902097</t>
        </is>
      </c>
      <c r="N75" s="96" t="inlineStr">
        <is>
          <t xml:space="preserve">40Hx1 </t>
        </is>
      </c>
      <c r="O75" s="111" t="inlineStr">
        <is>
          <t>2025</t>
        </is>
      </c>
      <c r="P75" s="111" t="n"/>
      <c r="Q75" s="111" t="n"/>
      <c r="R75" s="96" t="n"/>
      <c r="S75" s="96" t="n"/>
      <c r="T75" s="96" t="inlineStr">
        <is>
          <t>BKK01</t>
        </is>
      </c>
      <c r="U75" s="96" t="inlineStr">
        <is>
          <t>THBKK</t>
        </is>
      </c>
      <c r="V75" s="161" t="inlineStr">
        <is>
          <t>2026-10-16</t>
        </is>
      </c>
      <c r="W75" s="96" t="inlineStr">
        <is>
          <t>VNSGN</t>
        </is>
      </c>
      <c r="X75" s="161" t="inlineStr">
        <is>
          <t>2026-10-18</t>
        </is>
      </c>
      <c r="Y75" s="97" t="n"/>
      <c r="Z75" s="97" t="n"/>
      <c r="AA75" s="97" t="n"/>
      <c r="AB75" s="97" t="n"/>
      <c r="AC75" s="97" t="n"/>
      <c r="AD75" s="161" t="inlineStr">
        <is>
          <t>2026-10-15</t>
        </is>
      </c>
      <c r="AE75" s="174" t="inlineStr">
        <is>
          <t>1123</t>
        </is>
      </c>
      <c r="AF75" s="96" t="inlineStr">
        <is>
          <t>TBKK07</t>
        </is>
      </c>
      <c r="AG75" s="97" t="n"/>
      <c r="AH75" s="97" t="n"/>
      <c r="AI75" s="97" t="n"/>
      <c r="AJ75" s="96" t="inlineStr">
        <is>
          <t>QUANTERM LOGISTICS  (VIETNAM)</t>
        </is>
      </c>
      <c r="AK75" s="130" t="n">
        <v>0</v>
      </c>
    </row>
    <row r="76" ht="12" customHeight="1">
      <c r="A76" s="108" t="inlineStr">
        <is>
          <t>SKHU6532025</t>
        </is>
      </c>
      <c r="B76" s="108" t="inlineStr">
        <is>
          <t>BKK01</t>
        </is>
      </c>
      <c r="C76" s="108" t="inlineStr">
        <is>
          <t>IFV</t>
        </is>
      </c>
      <c r="D76" s="172" t="inlineStr">
        <is>
          <t>2026-10-13</t>
        </is>
      </c>
      <c r="E76" s="173" t="inlineStr">
        <is>
          <t>0024</t>
        </is>
      </c>
      <c r="F76" s="96" t="inlineStr">
        <is>
          <t>HASLS22260901687</t>
        </is>
      </c>
      <c r="G76" s="96" t="inlineStr">
        <is>
          <t>BIRLA CARBON (THAILAND) PUBLIC COMPANY LIMITED</t>
        </is>
      </c>
      <c r="H76" s="111" t="inlineStr">
        <is>
          <t>45GP</t>
        </is>
      </c>
      <c r="I76" s="96" t="n"/>
      <c r="J76" s="96" t="inlineStr">
        <is>
          <t>Sirichai Prayochananon</t>
        </is>
      </c>
      <c r="K76" s="96" t="inlineStr">
        <is>
          <t>SD</t>
        </is>
      </c>
      <c r="L76" s="111" t="inlineStr">
        <is>
          <t>Full</t>
        </is>
      </c>
      <c r="M76" s="96" t="inlineStr">
        <is>
          <t>HASLS22260901687</t>
        </is>
      </c>
      <c r="N76" s="96" t="inlineStr">
        <is>
          <t xml:space="preserve">40Hx5 </t>
        </is>
      </c>
      <c r="O76" s="111" t="inlineStr">
        <is>
          <t>2025</t>
        </is>
      </c>
      <c r="P76" s="111" t="n"/>
      <c r="Q76" s="111" t="n"/>
      <c r="R76" s="96" t="n"/>
      <c r="S76" s="96" t="n"/>
      <c r="T76" s="96" t="inlineStr">
        <is>
          <t>BKK01</t>
        </is>
      </c>
      <c r="U76" s="96" t="inlineStr">
        <is>
          <t>THBKK</t>
        </is>
      </c>
      <c r="V76" s="161" t="inlineStr">
        <is>
          <t>2026-10-16</t>
        </is>
      </c>
      <c r="W76" s="96" t="inlineStr">
        <is>
          <t>VNSGN</t>
        </is>
      </c>
      <c r="X76" s="161" t="inlineStr">
        <is>
          <t>2026-10-18</t>
        </is>
      </c>
      <c r="Y76" s="97" t="n"/>
      <c r="Z76" s="97" t="n"/>
      <c r="AA76" s="97" t="n"/>
      <c r="AB76" s="97" t="n"/>
      <c r="AC76" s="97" t="n"/>
      <c r="AD76" s="161" t="inlineStr">
        <is>
          <t>2026-10-14</t>
        </is>
      </c>
      <c r="AE76" s="174" t="inlineStr">
        <is>
          <t>0021</t>
        </is>
      </c>
      <c r="AF76" s="96" t="inlineStr">
        <is>
          <t>TBKK42</t>
        </is>
      </c>
      <c r="AG76" s="97" t="n"/>
      <c r="AH76" s="97" t="n"/>
      <c r="AI76" s="97" t="n"/>
      <c r="AJ76" s="96" t="inlineStr">
        <is>
          <t>KUMHO TIRE (VIETNAM) CO.,LTD.</t>
        </is>
      </c>
      <c r="AK76" s="130" t="n">
        <v>0</v>
      </c>
    </row>
    <row r="77" ht="12" customHeight="1">
      <c r="A77" s="108" t="inlineStr">
        <is>
          <t>SKHU6536653</t>
        </is>
      </c>
      <c r="B77" s="108" t="inlineStr">
        <is>
          <t>BKK01</t>
        </is>
      </c>
      <c r="C77" s="108" t="inlineStr">
        <is>
          <t>IFV</t>
        </is>
      </c>
      <c r="D77" s="172" t="inlineStr">
        <is>
          <t>2026-10-12</t>
        </is>
      </c>
      <c r="E77" s="173" t="inlineStr">
        <is>
          <t>0833</t>
        </is>
      </c>
      <c r="F77" s="96" t="inlineStr">
        <is>
          <t>HASLS22260902383</t>
        </is>
      </c>
      <c r="G77" s="96" t="inlineStr">
        <is>
          <t>MARINE EXPRESS CO., LTD.</t>
        </is>
      </c>
      <c r="H77" s="111" t="inlineStr">
        <is>
          <t>45GP</t>
        </is>
      </c>
      <c r="I77" s="96" t="n"/>
      <c r="J77" s="96" t="inlineStr">
        <is>
          <t>Chuanchuen</t>
        </is>
      </c>
      <c r="K77" s="96" t="inlineStr">
        <is>
          <t>SD</t>
        </is>
      </c>
      <c r="L77" s="111" t="inlineStr">
        <is>
          <t>Full</t>
        </is>
      </c>
      <c r="M77" s="96" t="inlineStr">
        <is>
          <t>HASLS22260902383</t>
        </is>
      </c>
      <c r="N77" s="96" t="inlineStr">
        <is>
          <t xml:space="preserve">40Hx1 </t>
        </is>
      </c>
      <c r="O77" s="111" t="inlineStr">
        <is>
          <t>2025</t>
        </is>
      </c>
      <c r="P77" s="111" t="n"/>
      <c r="Q77" s="111" t="n"/>
      <c r="R77" s="96" t="n"/>
      <c r="S77" s="96" t="n"/>
      <c r="T77" s="96" t="inlineStr">
        <is>
          <t>BKK01</t>
        </is>
      </c>
      <c r="U77" s="96" t="inlineStr">
        <is>
          <t>THBKK</t>
        </is>
      </c>
      <c r="V77" s="161" t="inlineStr">
        <is>
          <t>2026-10-16</t>
        </is>
      </c>
      <c r="W77" s="96" t="inlineStr">
        <is>
          <t>VNSGN</t>
        </is>
      </c>
      <c r="X77" s="161" t="inlineStr">
        <is>
          <t>2026-10-18</t>
        </is>
      </c>
      <c r="Y77" s="97" t="n"/>
      <c r="Z77" s="97" t="n"/>
      <c r="AA77" s="97" t="n"/>
      <c r="AB77" s="97" t="n"/>
      <c r="AC77" s="97" t="n"/>
      <c r="AD77" s="161" t="inlineStr">
        <is>
          <t>2026-10-12</t>
        </is>
      </c>
      <c r="AE77" s="174" t="inlineStr">
        <is>
          <t>1911</t>
        </is>
      </c>
      <c r="AF77" s="96" t="inlineStr">
        <is>
          <t>TBKK07</t>
        </is>
      </c>
      <c r="AG77" s="97" t="n"/>
      <c r="AH77" s="97" t="n"/>
      <c r="AI77" s="97" t="n"/>
      <c r="AJ77" s="96" t="inlineStr">
        <is>
          <t>TO ORDER OF</t>
        </is>
      </c>
      <c r="AK77" s="130" t="n">
        <v>0</v>
      </c>
    </row>
    <row r="78" ht="12" customHeight="1">
      <c r="A78" s="108" t="inlineStr">
        <is>
          <t>SKHU6548567</t>
        </is>
      </c>
      <c r="B78" s="108" t="inlineStr">
        <is>
          <t>BKK01</t>
        </is>
      </c>
      <c r="C78" s="108" t="inlineStr">
        <is>
          <t>IFV</t>
        </is>
      </c>
      <c r="D78" s="172" t="inlineStr">
        <is>
          <t>2026-10-13</t>
        </is>
      </c>
      <c r="E78" s="173" t="inlineStr">
        <is>
          <t>0311</t>
        </is>
      </c>
      <c r="F78" s="96" t="inlineStr">
        <is>
          <t>HASLS22260902223</t>
        </is>
      </c>
      <c r="G78" s="96" t="inlineStr">
        <is>
          <t>CAPRICORN LOGISTICS CO., LTD.</t>
        </is>
      </c>
      <c r="H78" s="111" t="inlineStr">
        <is>
          <t>45GP</t>
        </is>
      </c>
      <c r="I78" s="96" t="n"/>
      <c r="J78" s="96" t="inlineStr">
        <is>
          <t>Sirichai Prayochananon</t>
        </is>
      </c>
      <c r="K78" s="96" t="inlineStr">
        <is>
          <t>SD</t>
        </is>
      </c>
      <c r="L78" s="111" t="inlineStr">
        <is>
          <t>Full</t>
        </is>
      </c>
      <c r="M78" s="96" t="inlineStr">
        <is>
          <t>HASLS22260902223</t>
        </is>
      </c>
      <c r="N78" s="96" t="inlineStr">
        <is>
          <t xml:space="preserve">40Hx5 </t>
        </is>
      </c>
      <c r="O78" s="111" t="inlineStr">
        <is>
          <t>2025</t>
        </is>
      </c>
      <c r="P78" s="111" t="n"/>
      <c r="Q78" s="111" t="n"/>
      <c r="R78" s="96" t="n"/>
      <c r="S78" s="96" t="n"/>
      <c r="T78" s="96" t="inlineStr">
        <is>
          <t>BKK01</t>
        </is>
      </c>
      <c r="U78" s="96" t="inlineStr">
        <is>
          <t>THBKK</t>
        </is>
      </c>
      <c r="V78" s="161" t="inlineStr">
        <is>
          <t>2026-10-16</t>
        </is>
      </c>
      <c r="W78" s="96" t="inlineStr">
        <is>
          <t>VNSGN</t>
        </is>
      </c>
      <c r="X78" s="161" t="inlineStr">
        <is>
          <t>2026-10-18</t>
        </is>
      </c>
      <c r="Y78" s="97" t="n"/>
      <c r="Z78" s="97" t="n"/>
      <c r="AA78" s="97" t="n"/>
      <c r="AB78" s="97" t="n"/>
      <c r="AC78" s="97" t="n"/>
      <c r="AD78" s="161" t="inlineStr">
        <is>
          <t>2026-10-14</t>
        </is>
      </c>
      <c r="AE78" s="174" t="inlineStr">
        <is>
          <t>0021</t>
        </is>
      </c>
      <c r="AF78" s="96" t="inlineStr">
        <is>
          <t>TBKK42</t>
        </is>
      </c>
      <c r="AG78" s="97" t="n"/>
      <c r="AH78" s="97" t="n"/>
      <c r="AI78" s="97" t="n"/>
      <c r="AJ78" s="96" t="inlineStr">
        <is>
          <t>GIA NGUYEN INT'L LOGISTICS CO., LTD</t>
        </is>
      </c>
      <c r="AK78" s="130" t="n">
        <v>0</v>
      </c>
    </row>
    <row r="79" ht="12" customHeight="1">
      <c r="A79" s="108" t="inlineStr">
        <is>
          <t>SKHU6567572</t>
        </is>
      </c>
      <c r="B79" s="108" t="inlineStr">
        <is>
          <t>BKK01</t>
        </is>
      </c>
      <c r="C79" s="108" t="inlineStr">
        <is>
          <t>IFV</t>
        </is>
      </c>
      <c r="D79" s="172" t="inlineStr">
        <is>
          <t>2026-10-11</t>
        </is>
      </c>
      <c r="E79" s="173" t="inlineStr">
        <is>
          <t>1316</t>
        </is>
      </c>
      <c r="F79" s="96" t="inlineStr">
        <is>
          <t>HASLS22260901611</t>
        </is>
      </c>
      <c r="G79" s="96" t="inlineStr">
        <is>
          <t>CNT STAR CO., LTD.</t>
        </is>
      </c>
      <c r="H79" s="111" t="inlineStr">
        <is>
          <t>45GP</t>
        </is>
      </c>
      <c r="I79" s="96" t="n"/>
      <c r="J79" s="96" t="inlineStr">
        <is>
          <t>Sirichai Prayochananon</t>
        </is>
      </c>
      <c r="K79" s="96" t="inlineStr">
        <is>
          <t>SD</t>
        </is>
      </c>
      <c r="L79" s="111" t="inlineStr">
        <is>
          <t>Full</t>
        </is>
      </c>
      <c r="M79" s="96" t="inlineStr">
        <is>
          <t>HASLS22260901611</t>
        </is>
      </c>
      <c r="N79" s="96" t="inlineStr">
        <is>
          <t xml:space="preserve">40Hx3 </t>
        </is>
      </c>
      <c r="O79" s="111" t="inlineStr">
        <is>
          <t>2025</t>
        </is>
      </c>
      <c r="P79" s="111" t="n"/>
      <c r="Q79" s="111" t="n"/>
      <c r="R79" s="96" t="n"/>
      <c r="S79" s="96" t="n"/>
      <c r="T79" s="96" t="inlineStr">
        <is>
          <t>BKK01</t>
        </is>
      </c>
      <c r="U79" s="96" t="inlineStr">
        <is>
          <t>THBKK</t>
        </is>
      </c>
      <c r="V79" s="161" t="inlineStr">
        <is>
          <t>2026-10-16</t>
        </is>
      </c>
      <c r="W79" s="96" t="inlineStr">
        <is>
          <t>KRKAN</t>
        </is>
      </c>
      <c r="X79" s="161" t="inlineStr">
        <is>
          <t>2026-10-24</t>
        </is>
      </c>
      <c r="Y79" s="97" t="n"/>
      <c r="Z79" s="97" t="n"/>
      <c r="AA79" s="97" t="n"/>
      <c r="AB79" s="97" t="n"/>
      <c r="AC79" s="97" t="n"/>
      <c r="AD79" s="161" t="inlineStr">
        <is>
          <t>2026-10-11</t>
        </is>
      </c>
      <c r="AE79" s="174" t="inlineStr">
        <is>
          <t>2325</t>
        </is>
      </c>
      <c r="AF79" s="96" t="inlineStr">
        <is>
          <t>TBKK42</t>
        </is>
      </c>
      <c r="AG79" s="97" t="n"/>
      <c r="AH79" s="97" t="n"/>
      <c r="AI79" s="97" t="n"/>
      <c r="AJ79" s="96" t="inlineStr">
        <is>
          <t>TO THE ORDER OF KEB HANA BANK</t>
        </is>
      </c>
      <c r="AK79" s="130" t="n">
        <v>0</v>
      </c>
    </row>
    <row r="80" ht="12" customHeight="1">
      <c r="A80" s="108" t="inlineStr">
        <is>
          <t>SKHU6587331</t>
        </is>
      </c>
      <c r="B80" s="108" t="inlineStr">
        <is>
          <t>BKK01</t>
        </is>
      </c>
      <c r="C80" s="108" t="inlineStr">
        <is>
          <t>IFV</t>
        </is>
      </c>
      <c r="D80" s="172" t="inlineStr">
        <is>
          <t>2026-10-11</t>
        </is>
      </c>
      <c r="E80" s="173" t="inlineStr">
        <is>
          <t>0330</t>
        </is>
      </c>
      <c r="F80" s="96" t="inlineStr">
        <is>
          <t>HASLS22260900218</t>
        </is>
      </c>
      <c r="G80" s="96" t="inlineStr">
        <is>
          <t>HARPERS SEA FREIGHT CO., LTD.</t>
        </is>
      </c>
      <c r="H80" s="111" t="inlineStr">
        <is>
          <t>45GP</t>
        </is>
      </c>
      <c r="I80" s="96" t="n"/>
      <c r="J80" s="96" t="inlineStr">
        <is>
          <t>Sirichai Prayochananon</t>
        </is>
      </c>
      <c r="K80" s="96" t="inlineStr">
        <is>
          <t>SD</t>
        </is>
      </c>
      <c r="L80" s="111" t="inlineStr">
        <is>
          <t>Full</t>
        </is>
      </c>
      <c r="M80" s="96" t="inlineStr">
        <is>
          <t>HASLS22260900218</t>
        </is>
      </c>
      <c r="N80" s="96" t="inlineStr">
        <is>
          <t xml:space="preserve">40Hx6 </t>
        </is>
      </c>
      <c r="O80" s="111" t="inlineStr">
        <is>
          <t>2025</t>
        </is>
      </c>
      <c r="P80" s="111" t="n"/>
      <c r="Q80" s="111" t="n"/>
      <c r="R80" s="96" t="n"/>
      <c r="S80" s="96" t="n"/>
      <c r="T80" s="96" t="inlineStr">
        <is>
          <t>BKK01</t>
        </is>
      </c>
      <c r="U80" s="96" t="inlineStr">
        <is>
          <t>THBKK</t>
        </is>
      </c>
      <c r="V80" s="161" t="inlineStr">
        <is>
          <t>2026-10-16</t>
        </is>
      </c>
      <c r="W80" s="96" t="inlineStr">
        <is>
          <t>KRPUS</t>
        </is>
      </c>
      <c r="X80" s="161" t="inlineStr">
        <is>
          <t>2026-10-25</t>
        </is>
      </c>
      <c r="Y80" s="97" t="n"/>
      <c r="Z80" s="97" t="n"/>
      <c r="AA80" s="97" t="n"/>
      <c r="AB80" s="97" t="n"/>
      <c r="AC80" s="97" t="n"/>
      <c r="AD80" s="161" t="inlineStr">
        <is>
          <t>2026-10-11</t>
        </is>
      </c>
      <c r="AE80" s="174" t="inlineStr">
        <is>
          <t>2325</t>
        </is>
      </c>
      <c r="AF80" s="96" t="inlineStr">
        <is>
          <t>TBKK42</t>
        </is>
      </c>
      <c r="AG80" s="97" t="n"/>
      <c r="AH80" s="97" t="n"/>
      <c r="AI80" s="97" t="n"/>
      <c r="AJ80" s="96" t="inlineStr">
        <is>
          <t>WOO SUNG FEED CO., LTD.</t>
        </is>
      </c>
      <c r="AK80" s="130" t="n">
        <v>0</v>
      </c>
    </row>
    <row r="81" ht="12" customHeight="1">
      <c r="A81" s="108" t="inlineStr">
        <is>
          <t>SKHU6591218</t>
        </is>
      </c>
      <c r="B81" s="108" t="inlineStr">
        <is>
          <t>BKK01</t>
        </is>
      </c>
      <c r="C81" s="108" t="inlineStr">
        <is>
          <t>IFV</t>
        </is>
      </c>
      <c r="D81" s="172" t="inlineStr">
        <is>
          <t>2026-10-13</t>
        </is>
      </c>
      <c r="E81" s="173" t="inlineStr">
        <is>
          <t>0143</t>
        </is>
      </c>
      <c r="F81" s="96" t="inlineStr">
        <is>
          <t>HASLS22261000692</t>
        </is>
      </c>
      <c r="G81" s="96" t="inlineStr">
        <is>
          <t>BIRLA CARBON (THAILAND) PUBLIC COMPANY LIMITED</t>
        </is>
      </c>
      <c r="H81" s="111" t="inlineStr">
        <is>
          <t>45GP</t>
        </is>
      </c>
      <c r="I81" s="96" t="n"/>
      <c r="J81" s="96" t="inlineStr">
        <is>
          <t>Sirichai Prayochananon</t>
        </is>
      </c>
      <c r="K81" s="96" t="inlineStr">
        <is>
          <t>SD</t>
        </is>
      </c>
      <c r="L81" s="111" t="inlineStr">
        <is>
          <t>Full</t>
        </is>
      </c>
      <c r="M81" s="96" t="inlineStr">
        <is>
          <t>HASLS22261000692</t>
        </is>
      </c>
      <c r="N81" s="96" t="inlineStr">
        <is>
          <t xml:space="preserve">40Hx5 </t>
        </is>
      </c>
      <c r="O81" s="111" t="inlineStr">
        <is>
          <t>2025</t>
        </is>
      </c>
      <c r="P81" s="111" t="n"/>
      <c r="Q81" s="111" t="n"/>
      <c r="R81" s="96" t="n"/>
      <c r="S81" s="96" t="n"/>
      <c r="T81" s="96" t="inlineStr">
        <is>
          <t>BKK01</t>
        </is>
      </c>
      <c r="U81" s="96" t="inlineStr">
        <is>
          <t>THBKK</t>
        </is>
      </c>
      <c r="V81" s="161" t="inlineStr">
        <is>
          <t>2026-10-16</t>
        </is>
      </c>
      <c r="W81" s="96" t="inlineStr">
        <is>
          <t>VNSGN</t>
        </is>
      </c>
      <c r="X81" s="161" t="inlineStr">
        <is>
          <t>2026-10-18</t>
        </is>
      </c>
      <c r="Y81" s="97" t="n"/>
      <c r="Z81" s="97" t="n"/>
      <c r="AA81" s="97" t="n"/>
      <c r="AB81" s="97" t="n"/>
      <c r="AC81" s="97" t="n"/>
      <c r="AD81" s="161" t="inlineStr">
        <is>
          <t>2026-10-14</t>
        </is>
      </c>
      <c r="AE81" s="174" t="inlineStr">
        <is>
          <t>0021</t>
        </is>
      </c>
      <c r="AF81" s="96" t="inlineStr">
        <is>
          <t>TBKK42</t>
        </is>
      </c>
      <c r="AG81" s="97" t="n"/>
      <c r="AH81" s="97" t="n"/>
      <c r="AI81" s="97" t="n"/>
      <c r="AJ81" s="96" t="inlineStr">
        <is>
          <t>ACTR COMPANY LIMITED</t>
        </is>
      </c>
      <c r="AK81" s="130" t="n">
        <v>0</v>
      </c>
    </row>
    <row r="82" ht="12" customHeight="1">
      <c r="A82" s="108" t="inlineStr">
        <is>
          <t>SKHU6625262</t>
        </is>
      </c>
      <c r="B82" s="108" t="inlineStr">
        <is>
          <t>BKK01</t>
        </is>
      </c>
      <c r="C82" s="108" t="inlineStr">
        <is>
          <t>IFV</t>
        </is>
      </c>
      <c r="D82" s="172" t="inlineStr">
        <is>
          <t>2026-10-11</t>
        </is>
      </c>
      <c r="E82" s="173" t="inlineStr">
        <is>
          <t>1216</t>
        </is>
      </c>
      <c r="F82" s="96" t="inlineStr">
        <is>
          <t>HASLS22260901611</t>
        </is>
      </c>
      <c r="G82" s="96" t="inlineStr">
        <is>
          <t>CNT STAR CO., LTD.</t>
        </is>
      </c>
      <c r="H82" s="111" t="inlineStr">
        <is>
          <t>45GP</t>
        </is>
      </c>
      <c r="I82" s="96" t="n"/>
      <c r="J82" s="96" t="inlineStr">
        <is>
          <t>Sirichai Prayochananon</t>
        </is>
      </c>
      <c r="K82" s="96" t="inlineStr">
        <is>
          <t>SD</t>
        </is>
      </c>
      <c r="L82" s="111" t="inlineStr">
        <is>
          <t>Full</t>
        </is>
      </c>
      <c r="M82" s="96" t="inlineStr">
        <is>
          <t>HASLS22260901611</t>
        </is>
      </c>
      <c r="N82" s="96" t="inlineStr">
        <is>
          <t xml:space="preserve">40Hx3 </t>
        </is>
      </c>
      <c r="O82" s="111" t="inlineStr">
        <is>
          <t>2026</t>
        </is>
      </c>
      <c r="P82" s="111" t="n"/>
      <c r="Q82" s="111" t="n"/>
      <c r="R82" s="96" t="n"/>
      <c r="S82" s="96" t="n"/>
      <c r="T82" s="96" t="inlineStr">
        <is>
          <t>BKK01</t>
        </is>
      </c>
      <c r="U82" s="96" t="inlineStr">
        <is>
          <t>THBKK</t>
        </is>
      </c>
      <c r="V82" s="161" t="inlineStr">
        <is>
          <t>2026-10-16</t>
        </is>
      </c>
      <c r="W82" s="96" t="inlineStr">
        <is>
          <t>KRKAN</t>
        </is>
      </c>
      <c r="X82" s="161" t="inlineStr">
        <is>
          <t>2026-10-24</t>
        </is>
      </c>
      <c r="Y82" s="97" t="n"/>
      <c r="Z82" s="97" t="n"/>
      <c r="AA82" s="97" t="n"/>
      <c r="AB82" s="97" t="n"/>
      <c r="AC82" s="97" t="n"/>
      <c r="AD82" s="161" t="inlineStr">
        <is>
          <t>2026-10-11</t>
        </is>
      </c>
      <c r="AE82" s="174" t="inlineStr">
        <is>
          <t>2325</t>
        </is>
      </c>
      <c r="AF82" s="96" t="inlineStr">
        <is>
          <t>TBKK42</t>
        </is>
      </c>
      <c r="AG82" s="97" t="n"/>
      <c r="AH82" s="97" t="n"/>
      <c r="AI82" s="97" t="n"/>
      <c r="AJ82" s="96" t="inlineStr">
        <is>
          <t>TO THE ORDER OF KEB HANA BANK</t>
        </is>
      </c>
      <c r="AK82" s="130" t="n">
        <v>0</v>
      </c>
    </row>
    <row r="83" ht="12" customHeight="1">
      <c r="A83" s="108" t="inlineStr">
        <is>
          <t>SKHU8905560</t>
        </is>
      </c>
      <c r="B83" s="108" t="inlineStr">
        <is>
          <t>BKK01</t>
        </is>
      </c>
      <c r="C83" s="108" t="inlineStr">
        <is>
          <t>IFV</t>
        </is>
      </c>
      <c r="D83" s="172" t="inlineStr">
        <is>
          <t>2026-10-13</t>
        </is>
      </c>
      <c r="E83" s="173" t="inlineStr">
        <is>
          <t>0230</t>
        </is>
      </c>
      <c r="F83" s="96" t="inlineStr">
        <is>
          <t>HASLS22260902223</t>
        </is>
      </c>
      <c r="G83" s="96" t="inlineStr">
        <is>
          <t>CAPRICORN LOGISTICS CO., LTD.</t>
        </is>
      </c>
      <c r="H83" s="111" t="inlineStr">
        <is>
          <t>45GP</t>
        </is>
      </c>
      <c r="I83" s="96" t="n"/>
      <c r="J83" s="96" t="inlineStr">
        <is>
          <t>Sirichai Prayochananon</t>
        </is>
      </c>
      <c r="K83" s="96" t="inlineStr">
        <is>
          <t>SD</t>
        </is>
      </c>
      <c r="L83" s="111" t="inlineStr">
        <is>
          <t>Full</t>
        </is>
      </c>
      <c r="M83" s="96" t="inlineStr">
        <is>
          <t>HASLS22260902223</t>
        </is>
      </c>
      <c r="N83" s="96" t="inlineStr">
        <is>
          <t xml:space="preserve">40Hx5 </t>
        </is>
      </c>
      <c r="O83" s="111" t="inlineStr">
        <is>
          <t>2019</t>
        </is>
      </c>
      <c r="P83" s="111" t="n"/>
      <c r="Q83" s="111" t="n"/>
      <c r="R83" s="96" t="n"/>
      <c r="S83" s="96" t="n"/>
      <c r="T83" s="96" t="inlineStr">
        <is>
          <t>BKK01</t>
        </is>
      </c>
      <c r="U83" s="96" t="inlineStr">
        <is>
          <t>THBKK</t>
        </is>
      </c>
      <c r="V83" s="161" t="inlineStr">
        <is>
          <t>2026-10-16</t>
        </is>
      </c>
      <c r="W83" s="96" t="inlineStr">
        <is>
          <t>VNSGN</t>
        </is>
      </c>
      <c r="X83" s="161" t="inlineStr">
        <is>
          <t>2026-10-18</t>
        </is>
      </c>
      <c r="Y83" s="97" t="n"/>
      <c r="Z83" s="97" t="n"/>
      <c r="AA83" s="97" t="n"/>
      <c r="AB83" s="97" t="n"/>
      <c r="AC83" s="97" t="n"/>
      <c r="AD83" s="161" t="inlineStr">
        <is>
          <t>2026-10-14</t>
        </is>
      </c>
      <c r="AE83" s="174" t="inlineStr">
        <is>
          <t>0021</t>
        </is>
      </c>
      <c r="AF83" s="96" t="inlineStr">
        <is>
          <t>TBKK42</t>
        </is>
      </c>
      <c r="AG83" s="97" t="n"/>
      <c r="AH83" s="97" t="n"/>
      <c r="AI83" s="97" t="n"/>
      <c r="AJ83" s="96" t="inlineStr">
        <is>
          <t>GIA NGUYEN INT'L LOGISTICS CO., LTD</t>
        </is>
      </c>
      <c r="AK83" s="130" t="n">
        <v>0</v>
      </c>
    </row>
    <row r="84" ht="12" customHeight="1">
      <c r="A84" s="108" t="inlineStr">
        <is>
          <t>SKHU8918275</t>
        </is>
      </c>
      <c r="B84" s="108" t="inlineStr">
        <is>
          <t>BKK01</t>
        </is>
      </c>
      <c r="C84" s="108" t="inlineStr">
        <is>
          <t>IFV</t>
        </is>
      </c>
      <c r="D84" s="172" t="inlineStr">
        <is>
          <t>2026-10-12</t>
        </is>
      </c>
      <c r="E84" s="173" t="inlineStr">
        <is>
          <t>1351</t>
        </is>
      </c>
      <c r="F84" s="96" t="inlineStr">
        <is>
          <t>HASLS22260902182</t>
        </is>
      </c>
      <c r="G84" s="96" t="inlineStr">
        <is>
          <t>BIRLA CARBON (THAILAND) PUBLIC COMPANY LIMITED</t>
        </is>
      </c>
      <c r="H84" s="111" t="inlineStr">
        <is>
          <t>45GP</t>
        </is>
      </c>
      <c r="I84" s="96" t="n"/>
      <c r="J84" s="96" t="inlineStr">
        <is>
          <t>Chuanchuen</t>
        </is>
      </c>
      <c r="K84" s="96" t="inlineStr">
        <is>
          <t>SD</t>
        </is>
      </c>
      <c r="L84" s="111" t="inlineStr">
        <is>
          <t>Full</t>
        </is>
      </c>
      <c r="M84" s="96" t="inlineStr">
        <is>
          <t>HASLS22260902182</t>
        </is>
      </c>
      <c r="N84" s="96" t="inlineStr">
        <is>
          <t xml:space="preserve">40Hx10 </t>
        </is>
      </c>
      <c r="O84" s="111" t="inlineStr">
        <is>
          <t>2019</t>
        </is>
      </c>
      <c r="P84" s="111" t="n"/>
      <c r="Q84" s="111" t="n"/>
      <c r="R84" s="96" t="n"/>
      <c r="S84" s="96" t="n"/>
      <c r="T84" s="96" t="inlineStr">
        <is>
          <t>BKK01</t>
        </is>
      </c>
      <c r="U84" s="96" t="inlineStr">
        <is>
          <t>THBKK</t>
        </is>
      </c>
      <c r="V84" s="161" t="inlineStr">
        <is>
          <t>2026-10-16</t>
        </is>
      </c>
      <c r="W84" s="96" t="inlineStr">
        <is>
          <t>VNSGN</t>
        </is>
      </c>
      <c r="X84" s="161" t="inlineStr">
        <is>
          <t>2026-10-18</t>
        </is>
      </c>
      <c r="Y84" s="97" t="n"/>
      <c r="Z84" s="97" t="n"/>
      <c r="AA84" s="97" t="n"/>
      <c r="AB84" s="97" t="n"/>
      <c r="AC84" s="97" t="n"/>
      <c r="AD84" s="161" t="inlineStr">
        <is>
          <t>2026-10-12</t>
        </is>
      </c>
      <c r="AE84" s="174" t="inlineStr">
        <is>
          <t>1911</t>
        </is>
      </c>
      <c r="AF84" s="96" t="inlineStr">
        <is>
          <t>TBKK07</t>
        </is>
      </c>
      <c r="AG84" s="97" t="n"/>
      <c r="AH84" s="97" t="n"/>
      <c r="AI84" s="97" t="n"/>
      <c r="AJ84" s="96" t="inlineStr">
        <is>
          <t>CART TIRE CO., LTD</t>
        </is>
      </c>
      <c r="AK84" s="130" t="n">
        <v>0</v>
      </c>
    </row>
    <row r="85" ht="12" customHeight="1">
      <c r="A85" s="108" t="inlineStr">
        <is>
          <t>SKHU9311408</t>
        </is>
      </c>
      <c r="B85" s="108" t="inlineStr">
        <is>
          <t>BKK01</t>
        </is>
      </c>
      <c r="C85" s="108" t="inlineStr">
        <is>
          <t>IFV</t>
        </is>
      </c>
      <c r="D85" s="172" t="inlineStr">
        <is>
          <t>2026-10-11</t>
        </is>
      </c>
      <c r="E85" s="173" t="inlineStr">
        <is>
          <t>0008</t>
        </is>
      </c>
      <c r="F85" s="96" t="inlineStr">
        <is>
          <t>HASLS22260901365</t>
        </is>
      </c>
      <c r="G85" s="96" t="inlineStr">
        <is>
          <t>LOTUS FREIGHT AND SERVICES CORP.,LTD.</t>
        </is>
      </c>
      <c r="H85" s="111" t="inlineStr">
        <is>
          <t>45GP</t>
        </is>
      </c>
      <c r="I85" s="96" t="n"/>
      <c r="J85" s="96" t="inlineStr">
        <is>
          <t>Sirichai Prayochananon</t>
        </is>
      </c>
      <c r="K85" s="96" t="inlineStr">
        <is>
          <t>SD</t>
        </is>
      </c>
      <c r="L85" s="111" t="inlineStr">
        <is>
          <t>Full</t>
        </is>
      </c>
      <c r="M85" s="96" t="inlineStr">
        <is>
          <t>HASLS22260901365</t>
        </is>
      </c>
      <c r="N85" s="96" t="inlineStr">
        <is>
          <t xml:space="preserve">40Hx5 </t>
        </is>
      </c>
      <c r="O85" s="111" t="inlineStr">
        <is>
          <t>2013</t>
        </is>
      </c>
      <c r="P85" s="111" t="n"/>
      <c r="Q85" s="111" t="n"/>
      <c r="R85" s="96" t="n"/>
      <c r="S85" s="96" t="n"/>
      <c r="T85" s="96" t="inlineStr">
        <is>
          <t>BKK01</t>
        </is>
      </c>
      <c r="U85" s="96" t="inlineStr">
        <is>
          <t>THBKK</t>
        </is>
      </c>
      <c r="V85" s="161" t="inlineStr">
        <is>
          <t>2026-10-16</t>
        </is>
      </c>
      <c r="W85" s="96" t="inlineStr">
        <is>
          <t>VNSGN</t>
        </is>
      </c>
      <c r="X85" s="161" t="inlineStr">
        <is>
          <t>2026-10-18</t>
        </is>
      </c>
      <c r="Y85" s="97" t="n"/>
      <c r="Z85" s="97" t="n"/>
      <c r="AA85" s="97" t="n"/>
      <c r="AB85" s="97" t="n"/>
      <c r="AC85" s="97" t="n"/>
      <c r="AD85" s="161" t="inlineStr">
        <is>
          <t>2026-10-11</t>
        </is>
      </c>
      <c r="AE85" s="174" t="inlineStr">
        <is>
          <t>2325</t>
        </is>
      </c>
      <c r="AF85" s="96" t="inlineStr">
        <is>
          <t>TBKK42</t>
        </is>
      </c>
      <c r="AG85" s="97" t="n"/>
      <c r="AH85" s="97" t="n"/>
      <c r="AI85" s="97" t="n"/>
      <c r="AJ85" s="96" t="inlineStr">
        <is>
          <t>TP GLOBAL LOGISTICS</t>
        </is>
      </c>
      <c r="AK85" s="130" t="n">
        <v>0</v>
      </c>
    </row>
    <row r="86" ht="12" customHeight="1">
      <c r="A86" s="108" t="inlineStr">
        <is>
          <t>SKHU9316821</t>
        </is>
      </c>
      <c r="B86" s="108" t="inlineStr">
        <is>
          <t>BKK01</t>
        </is>
      </c>
      <c r="C86" s="108" t="inlineStr">
        <is>
          <t>IFV</t>
        </is>
      </c>
      <c r="D86" s="172" t="inlineStr">
        <is>
          <t>2026-10-13</t>
        </is>
      </c>
      <c r="E86" s="173" t="inlineStr">
        <is>
          <t>0159</t>
        </is>
      </c>
      <c r="F86" s="96" t="inlineStr">
        <is>
          <t>HASLS22260902222</t>
        </is>
      </c>
      <c r="G86" s="96" t="inlineStr">
        <is>
          <t>CAPRICORN LOGISTICS CO., LTD.</t>
        </is>
      </c>
      <c r="H86" s="111" t="inlineStr">
        <is>
          <t>45GP</t>
        </is>
      </c>
      <c r="I86" s="96" t="n"/>
      <c r="J86" s="96" t="inlineStr">
        <is>
          <t>Sirichai Prayochananon</t>
        </is>
      </c>
      <c r="K86" s="96" t="inlineStr">
        <is>
          <t>SD</t>
        </is>
      </c>
      <c r="L86" s="111" t="inlineStr">
        <is>
          <t>Full</t>
        </is>
      </c>
      <c r="M86" s="96" t="inlineStr">
        <is>
          <t>HASLS22260902222</t>
        </is>
      </c>
      <c r="N86" s="96" t="inlineStr">
        <is>
          <t xml:space="preserve">40Hx5 </t>
        </is>
      </c>
      <c r="O86" s="111" t="inlineStr">
        <is>
          <t>2013</t>
        </is>
      </c>
      <c r="P86" s="111" t="n"/>
      <c r="Q86" s="111" t="n"/>
      <c r="R86" s="96" t="n"/>
      <c r="S86" s="96" t="n"/>
      <c r="T86" s="96" t="inlineStr">
        <is>
          <t>BKK01</t>
        </is>
      </c>
      <c r="U86" s="96" t="inlineStr">
        <is>
          <t>THBKK</t>
        </is>
      </c>
      <c r="V86" s="161" t="inlineStr">
        <is>
          <t>2026-10-16</t>
        </is>
      </c>
      <c r="W86" s="96" t="inlineStr">
        <is>
          <t>VNSGN</t>
        </is>
      </c>
      <c r="X86" s="161" t="inlineStr">
        <is>
          <t>2026-10-18</t>
        </is>
      </c>
      <c r="Y86" s="97" t="n"/>
      <c r="Z86" s="97" t="n"/>
      <c r="AA86" s="97" t="n"/>
      <c r="AB86" s="97" t="n"/>
      <c r="AC86" s="97" t="n"/>
      <c r="AD86" s="161" t="inlineStr">
        <is>
          <t>2026-10-14</t>
        </is>
      </c>
      <c r="AE86" s="174" t="inlineStr">
        <is>
          <t>0021</t>
        </is>
      </c>
      <c r="AF86" s="96" t="inlineStr">
        <is>
          <t>TBKK42</t>
        </is>
      </c>
      <c r="AG86" s="97" t="n"/>
      <c r="AH86" s="97" t="n"/>
      <c r="AI86" s="97" t="n"/>
      <c r="AJ86" s="96" t="inlineStr">
        <is>
          <t>GIA NGUYEN INT'L LOGISTICS CO., LTD</t>
        </is>
      </c>
      <c r="AK86" s="130" t="n">
        <v>0</v>
      </c>
    </row>
    <row r="87" ht="12" customHeight="1">
      <c r="A87" s="108" t="inlineStr">
        <is>
          <t>SKHU9501711</t>
        </is>
      </c>
      <c r="B87" s="108" t="inlineStr">
        <is>
          <t>BKK01</t>
        </is>
      </c>
      <c r="C87" s="108" t="inlineStr">
        <is>
          <t>IFV</t>
        </is>
      </c>
      <c r="D87" s="172" t="inlineStr">
        <is>
          <t>2026-10-10</t>
        </is>
      </c>
      <c r="E87" s="173" t="inlineStr">
        <is>
          <t>1701</t>
        </is>
      </c>
      <c r="F87" s="96" t="inlineStr">
        <is>
          <t>HASLS22260901365</t>
        </is>
      </c>
      <c r="G87" s="96" t="inlineStr">
        <is>
          <t>LOTUS FREIGHT AND SERVICES CORP.,LTD.</t>
        </is>
      </c>
      <c r="H87" s="111" t="inlineStr">
        <is>
          <t>45GP</t>
        </is>
      </c>
      <c r="I87" s="96" t="n"/>
      <c r="J87" s="96" t="inlineStr">
        <is>
          <t>Sirichai Prayochananon</t>
        </is>
      </c>
      <c r="K87" s="96" t="inlineStr">
        <is>
          <t>SD</t>
        </is>
      </c>
      <c r="L87" s="111" t="inlineStr">
        <is>
          <t>Full</t>
        </is>
      </c>
      <c r="M87" s="96" t="inlineStr">
        <is>
          <t>HASLS22260901365</t>
        </is>
      </c>
      <c r="N87" s="96" t="inlineStr">
        <is>
          <t xml:space="preserve">40Hx5 </t>
        </is>
      </c>
      <c r="O87" s="111" t="inlineStr">
        <is>
          <t>2015</t>
        </is>
      </c>
      <c r="P87" s="111" t="n"/>
      <c r="Q87" s="111" t="n"/>
      <c r="R87" s="96" t="n"/>
      <c r="S87" s="96" t="n"/>
      <c r="T87" s="96" t="inlineStr">
        <is>
          <t>BKK01</t>
        </is>
      </c>
      <c r="U87" s="96" t="inlineStr">
        <is>
          <t>THBKK</t>
        </is>
      </c>
      <c r="V87" s="161" t="inlineStr">
        <is>
          <t>2026-10-16</t>
        </is>
      </c>
      <c r="W87" s="96" t="inlineStr">
        <is>
          <t>VNSGN</t>
        </is>
      </c>
      <c r="X87" s="161" t="inlineStr">
        <is>
          <t>2026-10-18</t>
        </is>
      </c>
      <c r="Y87" s="97" t="n"/>
      <c r="Z87" s="97" t="n"/>
      <c r="AA87" s="97" t="n"/>
      <c r="AB87" s="97" t="n"/>
      <c r="AC87" s="97" t="n"/>
      <c r="AD87" s="161" t="inlineStr">
        <is>
          <t>2026-10-11</t>
        </is>
      </c>
      <c r="AE87" s="174" t="inlineStr">
        <is>
          <t>2325</t>
        </is>
      </c>
      <c r="AF87" s="96" t="inlineStr">
        <is>
          <t>TBKK42</t>
        </is>
      </c>
      <c r="AG87" s="97" t="n"/>
      <c r="AH87" s="97" t="n"/>
      <c r="AI87" s="97" t="n"/>
      <c r="AJ87" s="96" t="inlineStr">
        <is>
          <t>TP GLOBAL LOGISTICS</t>
        </is>
      </c>
      <c r="AK87" s="130" t="n">
        <v>0</v>
      </c>
    </row>
    <row r="88" ht="12" customHeight="1">
      <c r="A88" s="108" t="inlineStr">
        <is>
          <t>SKHU9509008</t>
        </is>
      </c>
      <c r="B88" s="108" t="inlineStr">
        <is>
          <t>BKK01</t>
        </is>
      </c>
      <c r="C88" s="108" t="inlineStr">
        <is>
          <t>IFV</t>
        </is>
      </c>
      <c r="D88" s="172" t="inlineStr">
        <is>
          <t>2026-10-11</t>
        </is>
      </c>
      <c r="E88" s="173" t="inlineStr">
        <is>
          <t>0011</t>
        </is>
      </c>
      <c r="F88" s="96" t="inlineStr">
        <is>
          <t>HASLS22260901365</t>
        </is>
      </c>
      <c r="G88" s="96" t="inlineStr">
        <is>
          <t>LOTUS FREIGHT AND SERVICES CORP.,LTD.</t>
        </is>
      </c>
      <c r="H88" s="111" t="inlineStr">
        <is>
          <t>45GP</t>
        </is>
      </c>
      <c r="I88" s="96" t="n"/>
      <c r="J88" s="96" t="inlineStr">
        <is>
          <t>Sirichai Prayochananon</t>
        </is>
      </c>
      <c r="K88" s="96" t="inlineStr">
        <is>
          <t>SD</t>
        </is>
      </c>
      <c r="L88" s="111" t="inlineStr">
        <is>
          <t>Full</t>
        </is>
      </c>
      <c r="M88" s="96" t="inlineStr">
        <is>
          <t>HASLS22260901365</t>
        </is>
      </c>
      <c r="N88" s="96" t="inlineStr">
        <is>
          <t xml:space="preserve">40Hx5 </t>
        </is>
      </c>
      <c r="O88" s="111" t="inlineStr">
        <is>
          <t>2015</t>
        </is>
      </c>
      <c r="P88" s="111" t="n"/>
      <c r="Q88" s="111" t="n"/>
      <c r="R88" s="96" t="n"/>
      <c r="S88" s="96" t="n"/>
      <c r="T88" s="96" t="inlineStr">
        <is>
          <t>BKK01</t>
        </is>
      </c>
      <c r="U88" s="96" t="inlineStr">
        <is>
          <t>THBKK</t>
        </is>
      </c>
      <c r="V88" s="161" t="inlineStr">
        <is>
          <t>2026-10-16</t>
        </is>
      </c>
      <c r="W88" s="96" t="inlineStr">
        <is>
          <t>VNSGN</t>
        </is>
      </c>
      <c r="X88" s="161" t="inlineStr">
        <is>
          <t>2026-10-18</t>
        </is>
      </c>
      <c r="Y88" s="97" t="n"/>
      <c r="Z88" s="97" t="n"/>
      <c r="AA88" s="97" t="n"/>
      <c r="AB88" s="97" t="n"/>
      <c r="AC88" s="97" t="n"/>
      <c r="AD88" s="161" t="inlineStr">
        <is>
          <t>2026-10-11</t>
        </is>
      </c>
      <c r="AE88" s="174" t="inlineStr">
        <is>
          <t>2325</t>
        </is>
      </c>
      <c r="AF88" s="96" t="inlineStr">
        <is>
          <t>TBKK42</t>
        </is>
      </c>
      <c r="AG88" s="97" t="n"/>
      <c r="AH88" s="97" t="n"/>
      <c r="AI88" s="97" t="n"/>
      <c r="AJ88" s="96" t="inlineStr">
        <is>
          <t>TP GLOBAL LOGISTICS</t>
        </is>
      </c>
      <c r="AK88" s="130" t="n">
        <v>0</v>
      </c>
    </row>
    <row r="89" ht="12" customHeight="1">
      <c r="A89" s="108" t="inlineStr">
        <is>
          <t>SKHU9554809</t>
        </is>
      </c>
      <c r="B89" s="108" t="inlineStr">
        <is>
          <t>BKK01</t>
        </is>
      </c>
      <c r="C89" s="108" t="inlineStr">
        <is>
          <t>IFV</t>
        </is>
      </c>
      <c r="D89" s="172" t="inlineStr">
        <is>
          <t>2026-10-12</t>
        </is>
      </c>
      <c r="E89" s="173" t="inlineStr">
        <is>
          <t>1350</t>
        </is>
      </c>
      <c r="F89" s="96" t="inlineStr">
        <is>
          <t>HASLS22260902182</t>
        </is>
      </c>
      <c r="G89" s="96" t="inlineStr">
        <is>
          <t>BIRLA CARBON (THAILAND) PUBLIC COMPANY LIMITED</t>
        </is>
      </c>
      <c r="H89" s="111" t="inlineStr">
        <is>
          <t>45GP</t>
        </is>
      </c>
      <c r="I89" s="96" t="n"/>
      <c r="J89" s="96" t="inlineStr">
        <is>
          <t>Chuanchuen</t>
        </is>
      </c>
      <c r="K89" s="96" t="inlineStr">
        <is>
          <t>SD</t>
        </is>
      </c>
      <c r="L89" s="111" t="inlineStr">
        <is>
          <t>Full</t>
        </is>
      </c>
      <c r="M89" s="96" t="inlineStr">
        <is>
          <t>HASLS22260902182</t>
        </is>
      </c>
      <c r="N89" s="96" t="inlineStr">
        <is>
          <t xml:space="preserve">40Hx10 </t>
        </is>
      </c>
      <c r="O89" s="111" t="inlineStr">
        <is>
          <t>2015</t>
        </is>
      </c>
      <c r="P89" s="111" t="n"/>
      <c r="Q89" s="111" t="n"/>
      <c r="R89" s="96" t="n"/>
      <c r="S89" s="96" t="n"/>
      <c r="T89" s="96" t="inlineStr">
        <is>
          <t>BKK01</t>
        </is>
      </c>
      <c r="U89" s="96" t="inlineStr">
        <is>
          <t>THBKK</t>
        </is>
      </c>
      <c r="V89" s="161" t="inlineStr">
        <is>
          <t>2026-10-16</t>
        </is>
      </c>
      <c r="W89" s="96" t="inlineStr">
        <is>
          <t>VNSGN</t>
        </is>
      </c>
      <c r="X89" s="161" t="inlineStr">
        <is>
          <t>2026-10-18</t>
        </is>
      </c>
      <c r="Y89" s="97" t="n"/>
      <c r="Z89" s="97" t="n"/>
      <c r="AA89" s="97" t="n"/>
      <c r="AB89" s="97" t="n"/>
      <c r="AC89" s="97" t="n"/>
      <c r="AD89" s="161" t="inlineStr">
        <is>
          <t>2026-10-12</t>
        </is>
      </c>
      <c r="AE89" s="174" t="inlineStr">
        <is>
          <t>1911</t>
        </is>
      </c>
      <c r="AF89" s="96" t="inlineStr">
        <is>
          <t>TBKK07</t>
        </is>
      </c>
      <c r="AG89" s="97" t="n"/>
      <c r="AH89" s="97" t="n"/>
      <c r="AI89" s="97" t="n"/>
      <c r="AJ89" s="96" t="inlineStr">
        <is>
          <t>CART TIRE CO., LTD</t>
        </is>
      </c>
      <c r="AK89" s="130" t="n">
        <v>0</v>
      </c>
    </row>
    <row r="90" ht="12" customHeight="1">
      <c r="A90" s="108" t="inlineStr">
        <is>
          <t>SKHU9623216</t>
        </is>
      </c>
      <c r="B90" s="108" t="inlineStr">
        <is>
          <t>BKK01</t>
        </is>
      </c>
      <c r="C90" s="108" t="inlineStr">
        <is>
          <t>IFV</t>
        </is>
      </c>
      <c r="D90" s="172" t="inlineStr">
        <is>
          <t>2026-10-13</t>
        </is>
      </c>
      <c r="E90" s="173" t="inlineStr">
        <is>
          <t>0506</t>
        </is>
      </c>
      <c r="F90" s="96" t="inlineStr">
        <is>
          <t>HASLS22260902182</t>
        </is>
      </c>
      <c r="G90" s="96" t="inlineStr">
        <is>
          <t>BIRLA CARBON (THAILAND) PUBLIC COMPANY LIMITED</t>
        </is>
      </c>
      <c r="H90" s="111" t="inlineStr">
        <is>
          <t>45GP</t>
        </is>
      </c>
      <c r="I90" s="96" t="n"/>
      <c r="J90" s="96" t="inlineStr">
        <is>
          <t>Sirichai Prayochananon</t>
        </is>
      </c>
      <c r="K90" s="96" t="inlineStr">
        <is>
          <t>SD</t>
        </is>
      </c>
      <c r="L90" s="111" t="inlineStr">
        <is>
          <t>Full</t>
        </is>
      </c>
      <c r="M90" s="96" t="inlineStr">
        <is>
          <t>HASLS22260902182</t>
        </is>
      </c>
      <c r="N90" s="96" t="inlineStr">
        <is>
          <t xml:space="preserve">40Hx10 </t>
        </is>
      </c>
      <c r="O90" s="111" t="inlineStr">
        <is>
          <t>2016</t>
        </is>
      </c>
      <c r="P90" s="111" t="n"/>
      <c r="Q90" s="111" t="n"/>
      <c r="R90" s="96" t="n"/>
      <c r="S90" s="96" t="n"/>
      <c r="T90" s="96" t="inlineStr">
        <is>
          <t>BKK01</t>
        </is>
      </c>
      <c r="U90" s="96" t="inlineStr">
        <is>
          <t>THBKK</t>
        </is>
      </c>
      <c r="V90" s="161" t="inlineStr">
        <is>
          <t>2026-10-16</t>
        </is>
      </c>
      <c r="W90" s="96" t="inlineStr">
        <is>
          <t>VNSGN</t>
        </is>
      </c>
      <c r="X90" s="161" t="inlineStr">
        <is>
          <t>2026-10-18</t>
        </is>
      </c>
      <c r="Y90" s="97" t="n"/>
      <c r="Z90" s="97" t="n"/>
      <c r="AA90" s="97" t="n"/>
      <c r="AB90" s="97" t="n"/>
      <c r="AC90" s="97" t="n"/>
      <c r="AD90" s="161" t="inlineStr">
        <is>
          <t>2026-10-14</t>
        </is>
      </c>
      <c r="AE90" s="174" t="inlineStr">
        <is>
          <t>0021</t>
        </is>
      </c>
      <c r="AF90" s="96" t="inlineStr">
        <is>
          <t>TBKK42</t>
        </is>
      </c>
      <c r="AG90" s="97" t="n"/>
      <c r="AH90" s="97" t="n"/>
      <c r="AI90" s="97" t="n"/>
      <c r="AJ90" s="96" t="inlineStr">
        <is>
          <t>CART TIRE CO., LTD</t>
        </is>
      </c>
      <c r="AK90" s="130" t="n">
        <v>0</v>
      </c>
    </row>
    <row r="91" ht="12" customHeight="1">
      <c r="A91" s="108" t="inlineStr">
        <is>
          <t>SKHU9635238</t>
        </is>
      </c>
      <c r="B91" s="108" t="inlineStr">
        <is>
          <t>BKK01</t>
        </is>
      </c>
      <c r="C91" s="108" t="inlineStr">
        <is>
          <t>IFV</t>
        </is>
      </c>
      <c r="D91" s="172" t="inlineStr">
        <is>
          <t>2026-10-13</t>
        </is>
      </c>
      <c r="E91" s="173" t="inlineStr">
        <is>
          <t>0024</t>
        </is>
      </c>
      <c r="F91" s="96" t="inlineStr">
        <is>
          <t>HASLS22260902223</t>
        </is>
      </c>
      <c r="G91" s="96" t="inlineStr">
        <is>
          <t>CAPRICORN LOGISTICS CO., LTD.</t>
        </is>
      </c>
      <c r="H91" s="111" t="inlineStr">
        <is>
          <t>45GP</t>
        </is>
      </c>
      <c r="I91" s="96" t="n"/>
      <c r="J91" s="96" t="inlineStr">
        <is>
          <t>Sirichai Prayochananon</t>
        </is>
      </c>
      <c r="K91" s="96" t="inlineStr">
        <is>
          <t>SD</t>
        </is>
      </c>
      <c r="L91" s="111" t="inlineStr">
        <is>
          <t>Full</t>
        </is>
      </c>
      <c r="M91" s="96" t="inlineStr">
        <is>
          <t>HASLS22260902223</t>
        </is>
      </c>
      <c r="N91" s="96" t="inlineStr">
        <is>
          <t xml:space="preserve">40Hx5 </t>
        </is>
      </c>
      <c r="O91" s="111" t="inlineStr">
        <is>
          <t>2016</t>
        </is>
      </c>
      <c r="P91" s="111" t="n"/>
      <c r="Q91" s="111" t="n"/>
      <c r="R91" s="96" t="n"/>
      <c r="S91" s="96" t="n"/>
      <c r="T91" s="96" t="inlineStr">
        <is>
          <t>BKK01</t>
        </is>
      </c>
      <c r="U91" s="96" t="inlineStr">
        <is>
          <t>THBKK</t>
        </is>
      </c>
      <c r="V91" s="161" t="inlineStr">
        <is>
          <t>2026-10-16</t>
        </is>
      </c>
      <c r="W91" s="96" t="inlineStr">
        <is>
          <t>VNSGN</t>
        </is>
      </c>
      <c r="X91" s="161" t="inlineStr">
        <is>
          <t>2026-10-18</t>
        </is>
      </c>
      <c r="Y91" s="97" t="n"/>
      <c r="Z91" s="97" t="n"/>
      <c r="AA91" s="97" t="n"/>
      <c r="AB91" s="97" t="n"/>
      <c r="AC91" s="97" t="n"/>
      <c r="AD91" s="161" t="inlineStr">
        <is>
          <t>2026-10-14</t>
        </is>
      </c>
      <c r="AE91" s="174" t="inlineStr">
        <is>
          <t>0021</t>
        </is>
      </c>
      <c r="AF91" s="96" t="inlineStr">
        <is>
          <t>TBKK42</t>
        </is>
      </c>
      <c r="AG91" s="97" t="n"/>
      <c r="AH91" s="97" t="n"/>
      <c r="AI91" s="97" t="n"/>
      <c r="AJ91" s="96" t="inlineStr">
        <is>
          <t>GIA NGUYEN INT'L LOGISTICS CO., LTD</t>
        </is>
      </c>
      <c r="AK91" s="130" t="n">
        <v>0</v>
      </c>
    </row>
    <row r="92" ht="12" customHeight="1">
      <c r="A92" s="108" t="inlineStr">
        <is>
          <t>SKHU9813026</t>
        </is>
      </c>
      <c r="B92" s="108" t="inlineStr">
        <is>
          <t>BKK01</t>
        </is>
      </c>
      <c r="C92" s="108" t="inlineStr">
        <is>
          <t>IFV</t>
        </is>
      </c>
      <c r="D92" s="172" t="inlineStr">
        <is>
          <t>2026-10-11</t>
        </is>
      </c>
      <c r="E92" s="173" t="inlineStr">
        <is>
          <t>0018</t>
        </is>
      </c>
      <c r="F92" s="96" t="inlineStr">
        <is>
          <t>HASLS22260901365</t>
        </is>
      </c>
      <c r="G92" s="96" t="inlineStr">
        <is>
          <t>LOTUS FREIGHT AND SERVICES CORP.,LTD.</t>
        </is>
      </c>
      <c r="H92" s="111" t="inlineStr">
        <is>
          <t>45GP</t>
        </is>
      </c>
      <c r="I92" s="96" t="n"/>
      <c r="J92" s="96" t="inlineStr">
        <is>
          <t>Sirichai Prayochananon</t>
        </is>
      </c>
      <c r="K92" s="96" t="inlineStr">
        <is>
          <t>SD</t>
        </is>
      </c>
      <c r="L92" s="111" t="inlineStr">
        <is>
          <t>Full</t>
        </is>
      </c>
      <c r="M92" s="96" t="inlineStr">
        <is>
          <t>HASLS22260901365</t>
        </is>
      </c>
      <c r="N92" s="96" t="inlineStr">
        <is>
          <t xml:space="preserve">40Hx5 </t>
        </is>
      </c>
      <c r="O92" s="111" t="inlineStr">
        <is>
          <t>2018</t>
        </is>
      </c>
      <c r="P92" s="111" t="n"/>
      <c r="Q92" s="111" t="n"/>
      <c r="R92" s="96" t="n"/>
      <c r="S92" s="96" t="n"/>
      <c r="T92" s="96" t="inlineStr">
        <is>
          <t>BKK01</t>
        </is>
      </c>
      <c r="U92" s="96" t="inlineStr">
        <is>
          <t>THBKK</t>
        </is>
      </c>
      <c r="V92" s="161" t="inlineStr">
        <is>
          <t>2026-10-16</t>
        </is>
      </c>
      <c r="W92" s="96" t="inlineStr">
        <is>
          <t>VNSGN</t>
        </is>
      </c>
      <c r="X92" s="161" t="inlineStr">
        <is>
          <t>2026-10-18</t>
        </is>
      </c>
      <c r="Y92" s="97" t="n"/>
      <c r="Z92" s="97" t="n"/>
      <c r="AA92" s="97" t="n"/>
      <c r="AB92" s="97" t="n"/>
      <c r="AC92" s="97" t="n"/>
      <c r="AD92" s="161" t="inlineStr">
        <is>
          <t>2026-10-11</t>
        </is>
      </c>
      <c r="AE92" s="174" t="inlineStr">
        <is>
          <t>2325</t>
        </is>
      </c>
      <c r="AF92" s="96" t="inlineStr">
        <is>
          <t>TBKK42</t>
        </is>
      </c>
      <c r="AG92" s="97" t="n"/>
      <c r="AH92" s="97" t="n"/>
      <c r="AI92" s="97" t="n"/>
      <c r="AJ92" s="96" t="inlineStr">
        <is>
          <t>TP GLOBAL LOGISTICS</t>
        </is>
      </c>
      <c r="AK92" s="130" t="n">
        <v>0</v>
      </c>
    </row>
    <row r="93" ht="12" customHeight="1">
      <c r="A93" s="108" t="inlineStr">
        <is>
          <t>SKHU9824653</t>
        </is>
      </c>
      <c r="B93" s="108" t="inlineStr">
        <is>
          <t>BKK01</t>
        </is>
      </c>
      <c r="C93" s="108" t="inlineStr">
        <is>
          <t>IFV</t>
        </is>
      </c>
      <c r="D93" s="172" t="inlineStr">
        <is>
          <t>2026-10-13</t>
        </is>
      </c>
      <c r="E93" s="173" t="inlineStr">
        <is>
          <t>1031</t>
        </is>
      </c>
      <c r="F93" s="96" t="inlineStr">
        <is>
          <t>HASLS22260902222</t>
        </is>
      </c>
      <c r="G93" s="96" t="inlineStr">
        <is>
          <t>CAPRICORN LOGISTICS CO., LTD.</t>
        </is>
      </c>
      <c r="H93" s="111" t="inlineStr">
        <is>
          <t>45GP</t>
        </is>
      </c>
      <c r="I93" s="96" t="n"/>
      <c r="J93" s="96" t="inlineStr">
        <is>
          <t>Sirichai Prayochananon</t>
        </is>
      </c>
      <c r="K93" s="96" t="inlineStr">
        <is>
          <t>SD</t>
        </is>
      </c>
      <c r="L93" s="111" t="inlineStr">
        <is>
          <t>Full</t>
        </is>
      </c>
      <c r="M93" s="96" t="inlineStr">
        <is>
          <t>HASLS22260902222</t>
        </is>
      </c>
      <c r="N93" s="96" t="inlineStr">
        <is>
          <t xml:space="preserve">40Hx5 </t>
        </is>
      </c>
      <c r="O93" s="111" t="inlineStr">
        <is>
          <t>2018</t>
        </is>
      </c>
      <c r="P93" s="111" t="n"/>
      <c r="Q93" s="111" t="n"/>
      <c r="R93" s="96" t="n"/>
      <c r="S93" s="96" t="n"/>
      <c r="T93" s="96" t="inlineStr">
        <is>
          <t>BKK01</t>
        </is>
      </c>
      <c r="U93" s="96" t="inlineStr">
        <is>
          <t>THBKK</t>
        </is>
      </c>
      <c r="V93" s="161" t="inlineStr">
        <is>
          <t>2026-10-16</t>
        </is>
      </c>
      <c r="W93" s="96" t="inlineStr">
        <is>
          <t>VNSGN</t>
        </is>
      </c>
      <c r="X93" s="161" t="inlineStr">
        <is>
          <t>2026-10-18</t>
        </is>
      </c>
      <c r="Y93" s="97" t="n"/>
      <c r="Z93" s="97" t="n"/>
      <c r="AA93" s="97" t="n"/>
      <c r="AB93" s="97" t="n"/>
      <c r="AC93" s="97" t="n"/>
      <c r="AD93" s="161" t="inlineStr">
        <is>
          <t>2026-10-14</t>
        </is>
      </c>
      <c r="AE93" s="174" t="inlineStr">
        <is>
          <t>0021</t>
        </is>
      </c>
      <c r="AF93" s="96" t="inlineStr">
        <is>
          <t>TBKK42</t>
        </is>
      </c>
      <c r="AG93" s="97" t="n"/>
      <c r="AH93" s="97" t="n"/>
      <c r="AI93" s="97" t="n"/>
      <c r="AJ93" s="96" t="inlineStr">
        <is>
          <t>GIA NGUYEN INT'L LOGISTICS CO., LTD</t>
        </is>
      </c>
      <c r="AK93" s="130" t="n">
        <v>0</v>
      </c>
    </row>
    <row r="94" ht="12" customHeight="1">
      <c r="A94" s="108" t="inlineStr">
        <is>
          <t>SKHU9908883</t>
        </is>
      </c>
      <c r="B94" s="108" t="inlineStr">
        <is>
          <t>BKK01</t>
        </is>
      </c>
      <c r="C94" s="108" t="inlineStr">
        <is>
          <t>IFV</t>
        </is>
      </c>
      <c r="D94" s="172" t="inlineStr">
        <is>
          <t>2026-10-12</t>
        </is>
      </c>
      <c r="E94" s="173" t="inlineStr">
        <is>
          <t>1508</t>
        </is>
      </c>
      <c r="F94" s="96" t="inlineStr">
        <is>
          <t>HASLS22260901365</t>
        </is>
      </c>
      <c r="G94" s="96" t="inlineStr">
        <is>
          <t>LOTUS FREIGHT AND SERVICES CORP.,LTD.</t>
        </is>
      </c>
      <c r="H94" s="111" t="inlineStr">
        <is>
          <t>45GP</t>
        </is>
      </c>
      <c r="I94" s="96" t="n"/>
      <c r="J94" s="96" t="inlineStr">
        <is>
          <t>Chuanchuen</t>
        </is>
      </c>
      <c r="K94" s="96" t="inlineStr">
        <is>
          <t>SD</t>
        </is>
      </c>
      <c r="L94" s="111" t="inlineStr">
        <is>
          <t>Full</t>
        </is>
      </c>
      <c r="M94" s="96" t="inlineStr">
        <is>
          <t>HASLS22260901365</t>
        </is>
      </c>
      <c r="N94" s="96" t="inlineStr">
        <is>
          <t xml:space="preserve">40Hx5 </t>
        </is>
      </c>
      <c r="O94" s="111" t="inlineStr">
        <is>
          <t>2019</t>
        </is>
      </c>
      <c r="P94" s="111" t="n"/>
      <c r="Q94" s="111" t="n"/>
      <c r="R94" s="96" t="n"/>
      <c r="S94" s="96" t="n"/>
      <c r="T94" s="96" t="inlineStr">
        <is>
          <t>BKK01</t>
        </is>
      </c>
      <c r="U94" s="96" t="inlineStr">
        <is>
          <t>THBKK</t>
        </is>
      </c>
      <c r="V94" s="161" t="inlineStr">
        <is>
          <t>2026-10-16</t>
        </is>
      </c>
      <c r="W94" s="96" t="inlineStr">
        <is>
          <t>VNSGN</t>
        </is>
      </c>
      <c r="X94" s="161" t="inlineStr">
        <is>
          <t>2026-10-18</t>
        </is>
      </c>
      <c r="Y94" s="97" t="n"/>
      <c r="Z94" s="97" t="n"/>
      <c r="AA94" s="97" t="n"/>
      <c r="AB94" s="97" t="n"/>
      <c r="AC94" s="97" t="n"/>
      <c r="AD94" s="161" t="inlineStr">
        <is>
          <t>2026-10-12</t>
        </is>
      </c>
      <c r="AE94" s="174" t="inlineStr">
        <is>
          <t>1911</t>
        </is>
      </c>
      <c r="AF94" s="96" t="inlineStr">
        <is>
          <t>TBKK07</t>
        </is>
      </c>
      <c r="AG94" s="97" t="n"/>
      <c r="AH94" s="97" t="n"/>
      <c r="AI94" s="97" t="n"/>
      <c r="AJ94" s="96" t="inlineStr">
        <is>
          <t>TP GLOBAL LOGISTICS</t>
        </is>
      </c>
      <c r="AK94" s="130" t="n">
        <v>0</v>
      </c>
    </row>
    <row r="95" ht="12" customHeight="1">
      <c r="A95" s="108" t="inlineStr">
        <is>
          <t>SKHU9955503</t>
        </is>
      </c>
      <c r="B95" s="108" t="inlineStr">
        <is>
          <t>BKK01</t>
        </is>
      </c>
      <c r="C95" s="108" t="inlineStr">
        <is>
          <t>IFV</t>
        </is>
      </c>
      <c r="D95" s="172" t="inlineStr">
        <is>
          <t>2026-10-13</t>
        </is>
      </c>
      <c r="E95" s="173" t="inlineStr">
        <is>
          <t>0839</t>
        </is>
      </c>
      <c r="F95" s="96" t="inlineStr">
        <is>
          <t>HASLS22260902222</t>
        </is>
      </c>
      <c r="G95" s="96" t="inlineStr">
        <is>
          <t>CAPRICORN LOGISTICS CO., LTD.</t>
        </is>
      </c>
      <c r="H95" s="111" t="inlineStr">
        <is>
          <t>45GP</t>
        </is>
      </c>
      <c r="I95" s="96" t="n"/>
      <c r="J95" s="96" t="inlineStr">
        <is>
          <t>Sirichai Prayochananon</t>
        </is>
      </c>
      <c r="K95" s="96" t="inlineStr">
        <is>
          <t>SD</t>
        </is>
      </c>
      <c r="L95" s="111" t="inlineStr">
        <is>
          <t>Full</t>
        </is>
      </c>
      <c r="M95" s="96" t="inlineStr">
        <is>
          <t>HASLS22260902222</t>
        </is>
      </c>
      <c r="N95" s="96" t="inlineStr">
        <is>
          <t xml:space="preserve">40Hx5 </t>
        </is>
      </c>
      <c r="O95" s="111" t="inlineStr">
        <is>
          <t>2019</t>
        </is>
      </c>
      <c r="P95" s="111" t="n"/>
      <c r="Q95" s="111" t="n"/>
      <c r="R95" s="96" t="n"/>
      <c r="S95" s="96" t="n"/>
      <c r="T95" s="96" t="inlineStr">
        <is>
          <t>BKK01</t>
        </is>
      </c>
      <c r="U95" s="96" t="inlineStr">
        <is>
          <t>THBKK</t>
        </is>
      </c>
      <c r="V95" s="161" t="inlineStr">
        <is>
          <t>2026-10-16</t>
        </is>
      </c>
      <c r="W95" s="96" t="inlineStr">
        <is>
          <t>VNSGN</t>
        </is>
      </c>
      <c r="X95" s="161" t="inlineStr">
        <is>
          <t>2026-10-18</t>
        </is>
      </c>
      <c r="Y95" s="97" t="n"/>
      <c r="Z95" s="97" t="n"/>
      <c r="AA95" s="97" t="n"/>
      <c r="AB95" s="97" t="n"/>
      <c r="AC95" s="97" t="n"/>
      <c r="AD95" s="161" t="inlineStr">
        <is>
          <t>2026-10-14</t>
        </is>
      </c>
      <c r="AE95" s="174" t="inlineStr">
        <is>
          <t>0021</t>
        </is>
      </c>
      <c r="AF95" s="96" t="inlineStr">
        <is>
          <t>TBKK42</t>
        </is>
      </c>
      <c r="AG95" s="97" t="n"/>
      <c r="AH95" s="97" t="n"/>
      <c r="AI95" s="97" t="n"/>
      <c r="AJ95" s="96" t="inlineStr">
        <is>
          <t>GIA NGUYEN INT'L LOGISTICS CO., LTD</t>
        </is>
      </c>
      <c r="AK95" s="130" t="n">
        <v>0</v>
      </c>
    </row>
    <row r="96" ht="12" customHeight="1">
      <c r="A96" s="108" t="inlineStr">
        <is>
          <t>SKLU0515332</t>
        </is>
      </c>
      <c r="B96" s="108" t="inlineStr">
        <is>
          <t>BKK01</t>
        </is>
      </c>
      <c r="C96" s="108" t="inlineStr">
        <is>
          <t>IFV</t>
        </is>
      </c>
      <c r="D96" s="172" t="inlineStr">
        <is>
          <t>2026-10-12</t>
        </is>
      </c>
      <c r="E96" s="173" t="inlineStr">
        <is>
          <t>1600</t>
        </is>
      </c>
      <c r="F96" s="96" t="inlineStr">
        <is>
          <t>HASLS22260902658</t>
        </is>
      </c>
      <c r="G96" s="96" t="inlineStr">
        <is>
          <t>GOLDEN WORLD LOGISTICS CO., LTD.</t>
        </is>
      </c>
      <c r="H96" s="111" t="inlineStr">
        <is>
          <t>22GP</t>
        </is>
      </c>
      <c r="I96" s="96" t="n"/>
      <c r="J96" s="96" t="inlineStr">
        <is>
          <t>Chuanchuen</t>
        </is>
      </c>
      <c r="K96" s="96" t="inlineStr">
        <is>
          <t>SD</t>
        </is>
      </c>
      <c r="L96" s="111" t="inlineStr">
        <is>
          <t>Full</t>
        </is>
      </c>
      <c r="M96" s="96" t="inlineStr">
        <is>
          <t>HASLS22260902658</t>
        </is>
      </c>
      <c r="N96" s="96" t="inlineStr">
        <is>
          <t xml:space="preserve">20'x4 </t>
        </is>
      </c>
      <c r="O96" s="111" t="inlineStr">
        <is>
          <t>2025</t>
        </is>
      </c>
      <c r="P96" s="111" t="n"/>
      <c r="Q96" s="111" t="n"/>
      <c r="R96" s="96" t="n"/>
      <c r="S96" s="96" t="n"/>
      <c r="T96" s="96" t="inlineStr">
        <is>
          <t>BKK01</t>
        </is>
      </c>
      <c r="U96" s="96" t="inlineStr">
        <is>
          <t>THBKK</t>
        </is>
      </c>
      <c r="V96" s="161" t="inlineStr">
        <is>
          <t>2026-10-16</t>
        </is>
      </c>
      <c r="W96" s="96" t="inlineStr">
        <is>
          <t>VNSGN</t>
        </is>
      </c>
      <c r="X96" s="161" t="inlineStr">
        <is>
          <t>2026-10-18</t>
        </is>
      </c>
      <c r="Y96" s="97" t="n"/>
      <c r="Z96" s="97" t="n"/>
      <c r="AA96" s="97" t="n"/>
      <c r="AB96" s="97" t="n"/>
      <c r="AC96" s="97" t="n"/>
      <c r="AD96" s="161" t="inlineStr">
        <is>
          <t>2026-10-12</t>
        </is>
      </c>
      <c r="AE96" s="174" t="inlineStr">
        <is>
          <t>1911</t>
        </is>
      </c>
      <c r="AF96" s="96" t="inlineStr">
        <is>
          <t>TBKK07</t>
        </is>
      </c>
      <c r="AG96" s="97" t="n"/>
      <c r="AH96" s="97" t="n"/>
      <c r="AI96" s="97" t="n"/>
      <c r="AJ96" s="96" t="inlineStr">
        <is>
          <t>UNI-PRESIDENT VIETNAM CO.,LTD</t>
        </is>
      </c>
      <c r="AK96" s="130" t="n">
        <v>0</v>
      </c>
    </row>
    <row r="97" ht="12" customHeight="1">
      <c r="A97" s="108" t="inlineStr">
        <is>
          <t>SKLU0562294</t>
        </is>
      </c>
      <c r="B97" s="108" t="inlineStr">
        <is>
          <t>BKK01</t>
        </is>
      </c>
      <c r="C97" s="108" t="inlineStr">
        <is>
          <t>IFV</t>
        </is>
      </c>
      <c r="D97" s="172" t="inlineStr">
        <is>
          <t>2026-10-10</t>
        </is>
      </c>
      <c r="E97" s="173" t="inlineStr">
        <is>
          <t>1209</t>
        </is>
      </c>
      <c r="F97" s="96" t="inlineStr">
        <is>
          <t>HASLS22260902658</t>
        </is>
      </c>
      <c r="G97" s="96" t="inlineStr">
        <is>
          <t>GOLDEN WORLD LOGISTICS CO., LTD.</t>
        </is>
      </c>
      <c r="H97" s="111" t="inlineStr">
        <is>
          <t>22GP</t>
        </is>
      </c>
      <c r="I97" s="96" t="n"/>
      <c r="J97" s="96" t="inlineStr">
        <is>
          <t>Sirichai Prayochananon</t>
        </is>
      </c>
      <c r="K97" s="96" t="inlineStr">
        <is>
          <t>SD</t>
        </is>
      </c>
      <c r="L97" s="111" t="inlineStr">
        <is>
          <t>Full</t>
        </is>
      </c>
      <c r="M97" s="96" t="inlineStr">
        <is>
          <t>HASLS22260902658</t>
        </is>
      </c>
      <c r="N97" s="96" t="inlineStr">
        <is>
          <t xml:space="preserve">20'x4 </t>
        </is>
      </c>
      <c r="O97" s="111" t="inlineStr">
        <is>
          <t>2025</t>
        </is>
      </c>
      <c r="P97" s="111" t="n"/>
      <c r="Q97" s="111" t="n"/>
      <c r="R97" s="96" t="n"/>
      <c r="S97" s="96" t="n"/>
      <c r="T97" s="96" t="inlineStr">
        <is>
          <t>BKK01</t>
        </is>
      </c>
      <c r="U97" s="96" t="inlineStr">
        <is>
          <t>THBKK</t>
        </is>
      </c>
      <c r="V97" s="161" t="inlineStr">
        <is>
          <t>2026-10-16</t>
        </is>
      </c>
      <c r="W97" s="96" t="inlineStr">
        <is>
          <t>VNSGN</t>
        </is>
      </c>
      <c r="X97" s="161" t="inlineStr">
        <is>
          <t>2026-10-18</t>
        </is>
      </c>
      <c r="Y97" s="97" t="n"/>
      <c r="Z97" s="97" t="n"/>
      <c r="AA97" s="97" t="n"/>
      <c r="AB97" s="97" t="n"/>
      <c r="AC97" s="97" t="n"/>
      <c r="AD97" s="161" t="inlineStr">
        <is>
          <t>2026-10-11</t>
        </is>
      </c>
      <c r="AE97" s="174" t="inlineStr">
        <is>
          <t>2325</t>
        </is>
      </c>
      <c r="AF97" s="96" t="inlineStr">
        <is>
          <t>TBKK42</t>
        </is>
      </c>
      <c r="AG97" s="97" t="n"/>
      <c r="AH97" s="97" t="n"/>
      <c r="AI97" s="97" t="n"/>
      <c r="AJ97" s="96" t="inlineStr">
        <is>
          <t>UNI-PRESIDENT VIETNAM CO.,LTD</t>
        </is>
      </c>
      <c r="AK97" s="130" t="n">
        <v>0</v>
      </c>
    </row>
    <row r="98" ht="12" customHeight="1">
      <c r="A98" s="108" t="inlineStr">
        <is>
          <t>SKLU0562648</t>
        </is>
      </c>
      <c r="B98" s="108" t="inlineStr">
        <is>
          <t>BKK04</t>
        </is>
      </c>
      <c r="C98" s="108" t="inlineStr">
        <is>
          <t>IFV</t>
        </is>
      </c>
      <c r="D98" s="172" t="inlineStr">
        <is>
          <t>2026-10-03</t>
        </is>
      </c>
      <c r="E98" s="173" t="inlineStr">
        <is>
          <t>1223</t>
        </is>
      </c>
      <c r="F98" s="96" t="inlineStr">
        <is>
          <t>HASLS22260801865</t>
        </is>
      </c>
      <c r="G98" s="96" t="inlineStr">
        <is>
          <t>STARFISH CO., LTD.</t>
        </is>
      </c>
      <c r="H98" s="111" t="inlineStr">
        <is>
          <t>22GP</t>
        </is>
      </c>
      <c r="I98" s="96" t="n"/>
      <c r="J98" s="96" t="inlineStr">
        <is>
          <t>Sirichai Prayochananon</t>
        </is>
      </c>
      <c r="K98" s="96" t="inlineStr">
        <is>
          <t>SD</t>
        </is>
      </c>
      <c r="L98" s="111" t="inlineStr">
        <is>
          <t>Full</t>
        </is>
      </c>
      <c r="M98" s="96" t="inlineStr">
        <is>
          <t>HASLS22260801865</t>
        </is>
      </c>
      <c r="N98" s="96" t="inlineStr">
        <is>
          <t xml:space="preserve">20'x10 </t>
        </is>
      </c>
      <c r="O98" s="111" t="inlineStr">
        <is>
          <t>2025</t>
        </is>
      </c>
      <c r="P98" s="111" t="n"/>
      <c r="Q98" s="111" t="n"/>
      <c r="R98" s="96" t="n"/>
      <c r="S98" s="96" t="n"/>
      <c r="T98" s="96" t="inlineStr">
        <is>
          <t>BKK01</t>
        </is>
      </c>
      <c r="U98" s="96" t="inlineStr">
        <is>
          <t>THBKK</t>
        </is>
      </c>
      <c r="V98" s="161" t="inlineStr">
        <is>
          <t>2026-10-16</t>
        </is>
      </c>
      <c r="W98" s="96" t="inlineStr">
        <is>
          <t>JPSEN</t>
        </is>
      </c>
      <c r="X98" s="161" t="inlineStr">
        <is>
          <t>2026-10-25</t>
        </is>
      </c>
      <c r="Y98" s="97" t="n"/>
      <c r="Z98" s="97" t="n"/>
      <c r="AA98" s="97" t="n"/>
      <c r="AB98" s="97" t="n"/>
      <c r="AC98" s="97" t="n"/>
      <c r="AD98" s="161" t="inlineStr">
        <is>
          <t>2026-10-04</t>
        </is>
      </c>
      <c r="AE98" s="174" t="inlineStr">
        <is>
          <t>2005</t>
        </is>
      </c>
      <c r="AF98" s="96" t="inlineStr">
        <is>
          <t>TBKK42</t>
        </is>
      </c>
      <c r="AG98" s="97" t="n"/>
      <c r="AH98" s="97" t="n"/>
      <c r="AI98" s="97" t="n"/>
      <c r="AJ98" s="96" t="inlineStr">
        <is>
          <t>TO ORDER OF NISSUI CORPORATION.</t>
        </is>
      </c>
      <c r="AK98" s="130" t="n">
        <v>0</v>
      </c>
    </row>
    <row r="99" ht="12" customHeight="1">
      <c r="A99" s="108" t="inlineStr">
        <is>
          <t>SKLU0566113</t>
        </is>
      </c>
      <c r="B99" s="108" t="inlineStr">
        <is>
          <t>BKK01</t>
        </is>
      </c>
      <c r="C99" s="108" t="inlineStr">
        <is>
          <t>IFV</t>
        </is>
      </c>
      <c r="D99" s="172" t="inlineStr">
        <is>
          <t>2026-10-12</t>
        </is>
      </c>
      <c r="E99" s="173" t="inlineStr">
        <is>
          <t>1929</t>
        </is>
      </c>
      <c r="F99" s="96" t="inlineStr">
        <is>
          <t>HASLS22260901669</t>
        </is>
      </c>
      <c r="G99" s="96" t="inlineStr">
        <is>
          <t>SEA FLEXI LOGISTICS CO.,LTD.</t>
        </is>
      </c>
      <c r="H99" s="111" t="inlineStr">
        <is>
          <t>22GP</t>
        </is>
      </c>
      <c r="I99" s="96" t="n"/>
      <c r="J99" s="96" t="inlineStr">
        <is>
          <t>Sirichai Prayochananon</t>
        </is>
      </c>
      <c r="K99" s="96" t="inlineStr">
        <is>
          <t>SD</t>
        </is>
      </c>
      <c r="L99" s="111" t="inlineStr">
        <is>
          <t>Full</t>
        </is>
      </c>
      <c r="M99" s="96" t="inlineStr">
        <is>
          <t>HASLS22260901669</t>
        </is>
      </c>
      <c r="N99" s="96" t="inlineStr">
        <is>
          <t xml:space="preserve">20'x7 </t>
        </is>
      </c>
      <c r="O99" s="111" t="inlineStr">
        <is>
          <t>2025</t>
        </is>
      </c>
      <c r="P99" s="111" t="n"/>
      <c r="Q99" s="111" t="n"/>
      <c r="R99" s="96" t="n"/>
      <c r="S99" s="96" t="n"/>
      <c r="T99" s="96" t="inlineStr">
        <is>
          <t>BKK01</t>
        </is>
      </c>
      <c r="U99" s="96" t="inlineStr">
        <is>
          <t>THBKK</t>
        </is>
      </c>
      <c r="V99" s="161" t="inlineStr">
        <is>
          <t>2026-10-16</t>
        </is>
      </c>
      <c r="W99" s="96" t="inlineStr">
        <is>
          <t>VNSGN</t>
        </is>
      </c>
      <c r="X99" s="161" t="inlineStr">
        <is>
          <t>2026-10-18</t>
        </is>
      </c>
      <c r="Y99" s="97" t="n"/>
      <c r="Z99" s="97" t="n"/>
      <c r="AA99" s="97" t="n"/>
      <c r="AB99" s="97" t="n"/>
      <c r="AC99" s="97" t="n"/>
      <c r="AD99" s="161" t="inlineStr">
        <is>
          <t>2026-10-14</t>
        </is>
      </c>
      <c r="AE99" s="174" t="inlineStr">
        <is>
          <t>0021</t>
        </is>
      </c>
      <c r="AF99" s="96" t="inlineStr">
        <is>
          <t>TBKK42</t>
        </is>
      </c>
      <c r="AG99" s="97" t="n"/>
      <c r="AH99" s="97" t="n"/>
      <c r="AI99" s="97" t="n"/>
      <c r="AJ99" s="96" t="inlineStr">
        <is>
          <t>MEKONG COMMODITIES JSC</t>
        </is>
      </c>
      <c r="AK99" s="130" t="n">
        <v>0</v>
      </c>
    </row>
    <row r="100" ht="12" customHeight="1">
      <c r="A100" s="108" t="inlineStr">
        <is>
          <t>SKLU0746347</t>
        </is>
      </c>
      <c r="B100" s="108" t="inlineStr">
        <is>
          <t>BKK01</t>
        </is>
      </c>
      <c r="C100" s="108" t="inlineStr">
        <is>
          <t>IFV</t>
        </is>
      </c>
      <c r="D100" s="172" t="inlineStr">
        <is>
          <t>2026-10-12</t>
        </is>
      </c>
      <c r="E100" s="173" t="inlineStr">
        <is>
          <t>1313</t>
        </is>
      </c>
      <c r="F100" s="96" t="inlineStr">
        <is>
          <t>HASLS22260902761</t>
        </is>
      </c>
      <c r="G100" s="96" t="inlineStr">
        <is>
          <t>THAI AGRI FOODS PUBLIC COMPANY LIMITED</t>
        </is>
      </c>
      <c r="H100" s="111" t="inlineStr">
        <is>
          <t>22GP</t>
        </is>
      </c>
      <c r="I100" s="96" t="n"/>
      <c r="J100" s="96" t="inlineStr">
        <is>
          <t>Chuanchuen</t>
        </is>
      </c>
      <c r="K100" s="96" t="inlineStr">
        <is>
          <t>SD</t>
        </is>
      </c>
      <c r="L100" s="111" t="inlineStr">
        <is>
          <t>Full</t>
        </is>
      </c>
      <c r="M100" s="96" t="inlineStr">
        <is>
          <t>HASLS22260902761</t>
        </is>
      </c>
      <c r="N100" s="96" t="inlineStr">
        <is>
          <t xml:space="preserve">20'x1 </t>
        </is>
      </c>
      <c r="O100" s="111" t="inlineStr">
        <is>
          <t>2007</t>
        </is>
      </c>
      <c r="P100" s="111" t="n"/>
      <c r="Q100" s="111" t="n"/>
      <c r="R100" s="96" t="n"/>
      <c r="S100" s="96" t="n"/>
      <c r="T100" s="96" t="inlineStr">
        <is>
          <t>BKK01</t>
        </is>
      </c>
      <c r="U100" s="96" t="inlineStr">
        <is>
          <t>THBKK</t>
        </is>
      </c>
      <c r="V100" s="161" t="inlineStr">
        <is>
          <t>2026-10-16</t>
        </is>
      </c>
      <c r="W100" s="96" t="inlineStr">
        <is>
          <t>RUVVO</t>
        </is>
      </c>
      <c r="X100" s="161" t="inlineStr">
        <is>
          <t>2026-10-25</t>
        </is>
      </c>
      <c r="Y100" s="97" t="n"/>
      <c r="Z100" s="97" t="n"/>
      <c r="AA100" s="97" t="n"/>
      <c r="AB100" s="97" t="n"/>
      <c r="AC100" s="97" t="n"/>
      <c r="AD100" s="161" t="inlineStr">
        <is>
          <t>2026-10-15</t>
        </is>
      </c>
      <c r="AE100" s="174" t="inlineStr">
        <is>
          <t>1123</t>
        </is>
      </c>
      <c r="AF100" s="96" t="inlineStr">
        <is>
          <t>TBKK07</t>
        </is>
      </c>
      <c r="AG100" s="97" t="n"/>
      <c r="AH100" s="97" t="n"/>
      <c r="AI100" s="97" t="n"/>
      <c r="AJ100" s="96" t="inlineStr">
        <is>
          <t>EXIM PACIFIC LLC. RUSSIA,</t>
        </is>
      </c>
      <c r="AK100" s="130" t="n">
        <v>0</v>
      </c>
    </row>
    <row r="101" ht="12" customHeight="1">
      <c r="A101" s="108" t="inlineStr">
        <is>
          <t>SKLU1319118</t>
        </is>
      </c>
      <c r="B101" s="108" t="inlineStr">
        <is>
          <t>BKK01</t>
        </is>
      </c>
      <c r="C101" s="108" t="inlineStr">
        <is>
          <t>IFV</t>
        </is>
      </c>
      <c r="D101" s="172" t="inlineStr">
        <is>
          <t>2026-10-12</t>
        </is>
      </c>
      <c r="E101" s="173" t="inlineStr">
        <is>
          <t>1311</t>
        </is>
      </c>
      <c r="F101" s="96" t="inlineStr">
        <is>
          <t>HASLS22260801161</t>
        </is>
      </c>
      <c r="G101" s="96" t="inlineStr">
        <is>
          <t>MEGALOAD DEVELOPMENT LOGISTICS CO., LTD.</t>
        </is>
      </c>
      <c r="H101" s="111" t="inlineStr">
        <is>
          <t>22GP</t>
        </is>
      </c>
      <c r="I101" s="96" t="n"/>
      <c r="J101" s="96" t="inlineStr">
        <is>
          <t>Chuanchuen</t>
        </is>
      </c>
      <c r="K101" s="96" t="inlineStr">
        <is>
          <t>SD</t>
        </is>
      </c>
      <c r="L101" s="111" t="inlineStr">
        <is>
          <t>Full</t>
        </is>
      </c>
      <c r="M101" s="96" t="inlineStr">
        <is>
          <t>HASLS22260801161</t>
        </is>
      </c>
      <c r="N101" s="96" t="inlineStr">
        <is>
          <t xml:space="preserve">20'x13 </t>
        </is>
      </c>
      <c r="O101" s="111" t="inlineStr">
        <is>
          <t>2013</t>
        </is>
      </c>
      <c r="P101" s="111" t="n"/>
      <c r="Q101" s="111" t="n"/>
      <c r="R101" s="96" t="n"/>
      <c r="S101" s="96" t="n"/>
      <c r="T101" s="96" t="inlineStr">
        <is>
          <t>BKK01</t>
        </is>
      </c>
      <c r="U101" s="96" t="inlineStr">
        <is>
          <t>THBKK</t>
        </is>
      </c>
      <c r="V101" s="161" t="inlineStr">
        <is>
          <t>2026-10-16</t>
        </is>
      </c>
      <c r="W101" s="96" t="inlineStr">
        <is>
          <t>JPKSM</t>
        </is>
      </c>
      <c r="X101" s="161" t="inlineStr">
        <is>
          <t>2026-10-25</t>
        </is>
      </c>
      <c r="Y101" s="97" t="n"/>
      <c r="Z101" s="97" t="n"/>
      <c r="AA101" s="97" t="n"/>
      <c r="AB101" s="97" t="n"/>
      <c r="AC101" s="97" t="n"/>
      <c r="AD101" s="161" t="inlineStr">
        <is>
          <t>2026-10-12</t>
        </is>
      </c>
      <c r="AE101" s="174" t="inlineStr">
        <is>
          <t>1909</t>
        </is>
      </c>
      <c r="AF101" s="96" t="inlineStr">
        <is>
          <t>TBKK07</t>
        </is>
      </c>
      <c r="AG101" s="97" t="n"/>
      <c r="AH101" s="97" t="n"/>
      <c r="AI101" s="97" t="n"/>
      <c r="AJ101" s="96" t="inlineStr">
        <is>
          <t>SANSHO CO., LTD.</t>
        </is>
      </c>
      <c r="AK101" s="130" t="n">
        <v>0</v>
      </c>
    </row>
    <row r="102" ht="12" customHeight="1">
      <c r="A102" s="108" t="inlineStr">
        <is>
          <t>SKLU1426184</t>
        </is>
      </c>
      <c r="B102" s="108" t="inlineStr">
        <is>
          <t>BKK01</t>
        </is>
      </c>
      <c r="C102" s="108" t="inlineStr">
        <is>
          <t>IFV</t>
        </is>
      </c>
      <c r="D102" s="172" t="inlineStr">
        <is>
          <t>2026-10-13</t>
        </is>
      </c>
      <c r="E102" s="173" t="inlineStr">
        <is>
          <t>0931</t>
        </is>
      </c>
      <c r="F102" s="96" t="inlineStr">
        <is>
          <t>HASLS22260801161</t>
        </is>
      </c>
      <c r="G102" s="96" t="inlineStr">
        <is>
          <t>MEGALOAD DEVELOPMENT LOGISTICS CO., LTD.</t>
        </is>
      </c>
      <c r="H102" s="111" t="inlineStr">
        <is>
          <t>22GP</t>
        </is>
      </c>
      <c r="I102" s="96" t="n"/>
      <c r="J102" s="96" t="inlineStr">
        <is>
          <t>Sirichai Prayochananon</t>
        </is>
      </c>
      <c r="K102" s="96" t="inlineStr">
        <is>
          <t>SD</t>
        </is>
      </c>
      <c r="L102" s="111" t="inlineStr">
        <is>
          <t>Full</t>
        </is>
      </c>
      <c r="M102" s="96" t="inlineStr">
        <is>
          <t>HASLS22260801161</t>
        </is>
      </c>
      <c r="N102" s="96" t="inlineStr">
        <is>
          <t xml:space="preserve">20'x13 </t>
        </is>
      </c>
      <c r="O102" s="111" t="inlineStr">
        <is>
          <t>2014</t>
        </is>
      </c>
      <c r="P102" s="111" t="n"/>
      <c r="Q102" s="111" t="n"/>
      <c r="R102" s="96" t="n"/>
      <c r="S102" s="96" t="n"/>
      <c r="T102" s="96" t="inlineStr">
        <is>
          <t>BKK01</t>
        </is>
      </c>
      <c r="U102" s="96" t="inlineStr">
        <is>
          <t>THBKK</t>
        </is>
      </c>
      <c r="V102" s="161" t="inlineStr">
        <is>
          <t>2026-10-16</t>
        </is>
      </c>
      <c r="W102" s="96" t="inlineStr">
        <is>
          <t>JPKSM</t>
        </is>
      </c>
      <c r="X102" s="161" t="inlineStr">
        <is>
          <t>2026-10-25</t>
        </is>
      </c>
      <c r="Y102" s="97" t="n"/>
      <c r="Z102" s="97" t="n"/>
      <c r="AA102" s="97" t="n"/>
      <c r="AB102" s="97" t="n"/>
      <c r="AC102" s="97" t="n"/>
      <c r="AD102" s="161" t="inlineStr">
        <is>
          <t>2026-10-14</t>
        </is>
      </c>
      <c r="AE102" s="174" t="inlineStr">
        <is>
          <t>0021</t>
        </is>
      </c>
      <c r="AF102" s="96" t="inlineStr">
        <is>
          <t>TBKK42</t>
        </is>
      </c>
      <c r="AG102" s="97" t="n"/>
      <c r="AH102" s="97" t="n"/>
      <c r="AI102" s="97" t="n"/>
      <c r="AJ102" s="96" t="inlineStr">
        <is>
          <t>SANSHO CO., LTD.</t>
        </is>
      </c>
      <c r="AK102" s="130" t="n">
        <v>0</v>
      </c>
    </row>
    <row r="103" ht="12" customHeight="1">
      <c r="A103" s="108" t="inlineStr">
        <is>
          <t>SKLU1443290</t>
        </is>
      </c>
      <c r="B103" s="108" t="inlineStr">
        <is>
          <t>BKK01</t>
        </is>
      </c>
      <c r="C103" s="108" t="inlineStr">
        <is>
          <t>IFV</t>
        </is>
      </c>
      <c r="D103" s="172" t="inlineStr">
        <is>
          <t>2026-10-12</t>
        </is>
      </c>
      <c r="E103" s="173" t="inlineStr">
        <is>
          <t>2054</t>
        </is>
      </c>
      <c r="F103" s="96" t="inlineStr">
        <is>
          <t>HASLS22260901595</t>
        </is>
      </c>
      <c r="G103" s="96" t="inlineStr">
        <is>
          <t>C.P. INTERTRADE CO., LTD.</t>
        </is>
      </c>
      <c r="H103" s="111" t="inlineStr">
        <is>
          <t>22GP</t>
        </is>
      </c>
      <c r="I103" s="96" t="n"/>
      <c r="J103" s="96" t="inlineStr">
        <is>
          <t>Sirichai Prayochananon</t>
        </is>
      </c>
      <c r="K103" s="96" t="inlineStr">
        <is>
          <t>SD</t>
        </is>
      </c>
      <c r="L103" s="111" t="inlineStr">
        <is>
          <t>Full</t>
        </is>
      </c>
      <c r="M103" s="96" t="inlineStr">
        <is>
          <t>HASLS22260901595</t>
        </is>
      </c>
      <c r="N103" s="96" t="inlineStr">
        <is>
          <t xml:space="preserve">20'x2 </t>
        </is>
      </c>
      <c r="O103" s="111" t="inlineStr">
        <is>
          <t>2014</t>
        </is>
      </c>
      <c r="P103" s="111" t="n"/>
      <c r="Q103" s="111" t="n"/>
      <c r="R103" s="96" t="n"/>
      <c r="S103" s="96" t="n"/>
      <c r="T103" s="96" t="inlineStr">
        <is>
          <t>BKK01</t>
        </is>
      </c>
      <c r="U103" s="96" t="inlineStr">
        <is>
          <t>THBKK</t>
        </is>
      </c>
      <c r="V103" s="161" t="inlineStr">
        <is>
          <t>2026-10-16</t>
        </is>
      </c>
      <c r="W103" s="96" t="inlineStr">
        <is>
          <t>VNSGN</t>
        </is>
      </c>
      <c r="X103" s="161" t="inlineStr">
        <is>
          <t>2026-10-18</t>
        </is>
      </c>
      <c r="Y103" s="97" t="n"/>
      <c r="Z103" s="97" t="n"/>
      <c r="AA103" s="97" t="n"/>
      <c r="AB103" s="97" t="n"/>
      <c r="AC103" s="97" t="n"/>
      <c r="AD103" s="161" t="inlineStr">
        <is>
          <t>2026-10-14</t>
        </is>
      </c>
      <c r="AE103" s="174" t="inlineStr">
        <is>
          <t>0021</t>
        </is>
      </c>
      <c r="AF103" s="96" t="inlineStr">
        <is>
          <t>TBKK42</t>
        </is>
      </c>
      <c r="AG103" s="97" t="n"/>
      <c r="AH103" s="97" t="n"/>
      <c r="AI103" s="97" t="n"/>
      <c r="AJ103" s="96" t="inlineStr">
        <is>
          <t>C.P.SEEDS (VIETNAM) CO.,LTD.</t>
        </is>
      </c>
      <c r="AK103" s="130" t="n">
        <v>0</v>
      </c>
    </row>
    <row r="104" ht="12" customHeight="1">
      <c r="A104" s="108" t="inlineStr">
        <is>
          <t>SKLU1509709</t>
        </is>
      </c>
      <c r="B104" s="108" t="inlineStr">
        <is>
          <t>BKK01</t>
        </is>
      </c>
      <c r="C104" s="108" t="inlineStr">
        <is>
          <t>IFV</t>
        </is>
      </c>
      <c r="D104" s="172" t="inlineStr">
        <is>
          <t>2026-10-13</t>
        </is>
      </c>
      <c r="E104" s="173" t="inlineStr">
        <is>
          <t>0013</t>
        </is>
      </c>
      <c r="F104" s="96" t="inlineStr">
        <is>
          <t>HASLS22260801161</t>
        </is>
      </c>
      <c r="G104" s="96" t="inlineStr">
        <is>
          <t>MEGALOAD DEVELOPMENT LOGISTICS CO., LTD.</t>
        </is>
      </c>
      <c r="H104" s="111" t="inlineStr">
        <is>
          <t>22GP</t>
        </is>
      </c>
      <c r="I104" s="96" t="n"/>
      <c r="J104" s="96" t="inlineStr">
        <is>
          <t>Sirichai Prayochananon</t>
        </is>
      </c>
      <c r="K104" s="96" t="inlineStr">
        <is>
          <t>SD</t>
        </is>
      </c>
      <c r="L104" s="111" t="inlineStr">
        <is>
          <t>Full</t>
        </is>
      </c>
      <c r="M104" s="96" t="inlineStr">
        <is>
          <t>HASLS22260801161</t>
        </is>
      </c>
      <c r="N104" s="96" t="inlineStr">
        <is>
          <t xml:space="preserve">20'x13 </t>
        </is>
      </c>
      <c r="O104" s="111" t="inlineStr">
        <is>
          <t>2015</t>
        </is>
      </c>
      <c r="P104" s="111" t="n"/>
      <c r="Q104" s="111" t="n"/>
      <c r="R104" s="96" t="n"/>
      <c r="S104" s="96" t="n"/>
      <c r="T104" s="96" t="inlineStr">
        <is>
          <t>BKK01</t>
        </is>
      </c>
      <c r="U104" s="96" t="inlineStr">
        <is>
          <t>THBKK</t>
        </is>
      </c>
      <c r="V104" s="161" t="inlineStr">
        <is>
          <t>2026-10-16</t>
        </is>
      </c>
      <c r="W104" s="96" t="inlineStr">
        <is>
          <t>JPKSM</t>
        </is>
      </c>
      <c r="X104" s="161" t="inlineStr">
        <is>
          <t>2026-10-25</t>
        </is>
      </c>
      <c r="Y104" s="97" t="n"/>
      <c r="Z104" s="97" t="n"/>
      <c r="AA104" s="97" t="n"/>
      <c r="AB104" s="97" t="n"/>
      <c r="AC104" s="97" t="n"/>
      <c r="AD104" s="161" t="inlineStr">
        <is>
          <t>2026-10-14</t>
        </is>
      </c>
      <c r="AE104" s="174" t="inlineStr">
        <is>
          <t>0021</t>
        </is>
      </c>
      <c r="AF104" s="96" t="inlineStr">
        <is>
          <t>TBKK42</t>
        </is>
      </c>
      <c r="AG104" s="97" t="n"/>
      <c r="AH104" s="97" t="n"/>
      <c r="AI104" s="97" t="n"/>
      <c r="AJ104" s="96" t="inlineStr">
        <is>
          <t>SANSHO CO., LTD.</t>
        </is>
      </c>
      <c r="AK104" s="130" t="n">
        <v>0</v>
      </c>
    </row>
    <row r="105" ht="12" customHeight="1">
      <c r="A105" s="108" t="inlineStr">
        <is>
          <t>SKLU1544865</t>
        </is>
      </c>
      <c r="B105" s="108" t="inlineStr">
        <is>
          <t>BKK01</t>
        </is>
      </c>
      <c r="C105" s="108" t="inlineStr">
        <is>
          <t>IFV</t>
        </is>
      </c>
      <c r="D105" s="172" t="inlineStr">
        <is>
          <t>2026-10-12</t>
        </is>
      </c>
      <c r="E105" s="173" t="inlineStr">
        <is>
          <t>1851</t>
        </is>
      </c>
      <c r="F105" s="96" t="inlineStr">
        <is>
          <t>HASLS22260901669</t>
        </is>
      </c>
      <c r="G105" s="96" t="inlineStr">
        <is>
          <t>SEA FLEXI LOGISTICS CO.,LTD.</t>
        </is>
      </c>
      <c r="H105" s="111" t="inlineStr">
        <is>
          <t>22GP</t>
        </is>
      </c>
      <c r="I105" s="96" t="n"/>
      <c r="J105" s="96" t="inlineStr">
        <is>
          <t>Sirichai Prayochananon</t>
        </is>
      </c>
      <c r="K105" s="96" t="inlineStr">
        <is>
          <t>SD</t>
        </is>
      </c>
      <c r="L105" s="111" t="inlineStr">
        <is>
          <t>Full</t>
        </is>
      </c>
      <c r="M105" s="96" t="inlineStr">
        <is>
          <t>HASLS22260901669</t>
        </is>
      </c>
      <c r="N105" s="96" t="inlineStr">
        <is>
          <t xml:space="preserve">20'x7 </t>
        </is>
      </c>
      <c r="O105" s="111" t="inlineStr">
        <is>
          <t>2015</t>
        </is>
      </c>
      <c r="P105" s="111" t="n"/>
      <c r="Q105" s="111" t="n"/>
      <c r="R105" s="96" t="n"/>
      <c r="S105" s="96" t="n"/>
      <c r="T105" s="96" t="inlineStr">
        <is>
          <t>BKK01</t>
        </is>
      </c>
      <c r="U105" s="96" t="inlineStr">
        <is>
          <t>THBKK</t>
        </is>
      </c>
      <c r="V105" s="161" t="inlineStr">
        <is>
          <t>2026-10-16</t>
        </is>
      </c>
      <c r="W105" s="96" t="inlineStr">
        <is>
          <t>VNSGN</t>
        </is>
      </c>
      <c r="X105" s="161" t="inlineStr">
        <is>
          <t>2026-10-18</t>
        </is>
      </c>
      <c r="Y105" s="97" t="n"/>
      <c r="Z105" s="97" t="n"/>
      <c r="AA105" s="97" t="n"/>
      <c r="AB105" s="97" t="n"/>
      <c r="AC105" s="97" t="n"/>
      <c r="AD105" s="161" t="inlineStr">
        <is>
          <t>2026-10-14</t>
        </is>
      </c>
      <c r="AE105" s="174" t="inlineStr">
        <is>
          <t>0021</t>
        </is>
      </c>
      <c r="AF105" s="96" t="inlineStr">
        <is>
          <t>TBKK42</t>
        </is>
      </c>
      <c r="AG105" s="97" t="n"/>
      <c r="AH105" s="97" t="n"/>
      <c r="AI105" s="97" t="n"/>
      <c r="AJ105" s="96" t="inlineStr">
        <is>
          <t>MEKONG COMMODITIES JSC</t>
        </is>
      </c>
      <c r="AK105" s="130" t="n">
        <v>0</v>
      </c>
    </row>
    <row r="106" ht="12" customHeight="1">
      <c r="A106" s="108" t="inlineStr">
        <is>
          <t>SKLU1600038</t>
        </is>
      </c>
      <c r="B106" s="108" t="inlineStr">
        <is>
          <t>BKK01</t>
        </is>
      </c>
      <c r="C106" s="108" t="inlineStr">
        <is>
          <t>IFV</t>
        </is>
      </c>
      <c r="D106" s="172" t="inlineStr">
        <is>
          <t>2026-10-13</t>
        </is>
      </c>
      <c r="E106" s="173" t="inlineStr">
        <is>
          <t>0035</t>
        </is>
      </c>
      <c r="F106" s="96" t="inlineStr">
        <is>
          <t>HASLS22260801161</t>
        </is>
      </c>
      <c r="G106" s="96" t="inlineStr">
        <is>
          <t>MEGALOAD DEVELOPMENT LOGISTICS CO., LTD.</t>
        </is>
      </c>
      <c r="H106" s="111" t="inlineStr">
        <is>
          <t>22GP</t>
        </is>
      </c>
      <c r="I106" s="96" t="n"/>
      <c r="J106" s="96" t="inlineStr">
        <is>
          <t>Sirichai Prayochananon</t>
        </is>
      </c>
      <c r="K106" s="96" t="inlineStr">
        <is>
          <t>SD</t>
        </is>
      </c>
      <c r="L106" s="111" t="inlineStr">
        <is>
          <t>Full</t>
        </is>
      </c>
      <c r="M106" s="96" t="inlineStr">
        <is>
          <t>HASLS22260801161</t>
        </is>
      </c>
      <c r="N106" s="96" t="inlineStr">
        <is>
          <t xml:space="preserve">20'x13 </t>
        </is>
      </c>
      <c r="O106" s="111" t="inlineStr">
        <is>
          <t>2016</t>
        </is>
      </c>
      <c r="P106" s="111" t="n"/>
      <c r="Q106" s="111" t="n"/>
      <c r="R106" s="96" t="n"/>
      <c r="S106" s="96" t="n"/>
      <c r="T106" s="96" t="inlineStr">
        <is>
          <t>BKK01</t>
        </is>
      </c>
      <c r="U106" s="96" t="inlineStr">
        <is>
          <t>THBKK</t>
        </is>
      </c>
      <c r="V106" s="161" t="inlineStr">
        <is>
          <t>2026-10-16</t>
        </is>
      </c>
      <c r="W106" s="96" t="inlineStr">
        <is>
          <t>JPKSM</t>
        </is>
      </c>
      <c r="X106" s="161" t="inlineStr">
        <is>
          <t>2026-10-25</t>
        </is>
      </c>
      <c r="Y106" s="97" t="n"/>
      <c r="Z106" s="97" t="n"/>
      <c r="AA106" s="97" t="n"/>
      <c r="AB106" s="97" t="n"/>
      <c r="AC106" s="97" t="n"/>
      <c r="AD106" s="161" t="inlineStr">
        <is>
          <t>2026-10-14</t>
        </is>
      </c>
      <c r="AE106" s="174" t="inlineStr">
        <is>
          <t>0021</t>
        </is>
      </c>
      <c r="AF106" s="96" t="inlineStr">
        <is>
          <t>TBKK42</t>
        </is>
      </c>
      <c r="AG106" s="97" t="n"/>
      <c r="AH106" s="97" t="n"/>
      <c r="AI106" s="97" t="n"/>
      <c r="AJ106" s="96" t="inlineStr">
        <is>
          <t>SANSHO CO., LTD.</t>
        </is>
      </c>
      <c r="AK106" s="130" t="n">
        <v>0</v>
      </c>
    </row>
    <row r="107" ht="12" customHeight="1">
      <c r="A107" s="108" t="inlineStr">
        <is>
          <t>SKLU1601498</t>
        </is>
      </c>
      <c r="B107" s="108" t="inlineStr">
        <is>
          <t>BKK01</t>
        </is>
      </c>
      <c r="C107" s="108" t="inlineStr">
        <is>
          <t>IFV</t>
        </is>
      </c>
      <c r="D107" s="172" t="inlineStr">
        <is>
          <t>2026-10-12</t>
        </is>
      </c>
      <c r="E107" s="173" t="inlineStr">
        <is>
          <t>1320</t>
        </is>
      </c>
      <c r="F107" s="96" t="inlineStr">
        <is>
          <t>HASLS22261000002</t>
        </is>
      </c>
      <c r="G107" s="96" t="inlineStr">
        <is>
          <t>THAI TORAY SYNTHETICS  CO., LTD.</t>
        </is>
      </c>
      <c r="H107" s="111" t="inlineStr">
        <is>
          <t>22GP</t>
        </is>
      </c>
      <c r="I107" s="96" t="n"/>
      <c r="J107" s="96" t="inlineStr">
        <is>
          <t>Chuanchuen</t>
        </is>
      </c>
      <c r="K107" s="96" t="inlineStr">
        <is>
          <t>SD</t>
        </is>
      </c>
      <c r="L107" s="111" t="inlineStr">
        <is>
          <t>Full</t>
        </is>
      </c>
      <c r="M107" s="96" t="inlineStr">
        <is>
          <t>HASLS22261000002</t>
        </is>
      </c>
      <c r="N107" s="96" t="inlineStr">
        <is>
          <t xml:space="preserve">20'x1 </t>
        </is>
      </c>
      <c r="O107" s="111" t="inlineStr">
        <is>
          <t>2016</t>
        </is>
      </c>
      <c r="P107" s="111" t="n"/>
      <c r="Q107" s="111" t="n"/>
      <c r="R107" s="96" t="n"/>
      <c r="S107" s="96" t="n"/>
      <c r="T107" s="96" t="inlineStr">
        <is>
          <t>BKK01</t>
        </is>
      </c>
      <c r="U107" s="96" t="inlineStr">
        <is>
          <t>THBKK</t>
        </is>
      </c>
      <c r="V107" s="161" t="inlineStr">
        <is>
          <t>2026-10-16</t>
        </is>
      </c>
      <c r="W107" s="96" t="inlineStr">
        <is>
          <t>JPKNZ</t>
        </is>
      </c>
      <c r="X107" s="161" t="inlineStr">
        <is>
          <t>2026-10-25</t>
        </is>
      </c>
      <c r="Y107" s="97" t="n"/>
      <c r="Z107" s="97" t="n"/>
      <c r="AA107" s="97" t="n"/>
      <c r="AB107" s="97" t="n"/>
      <c r="AC107" s="97" t="n"/>
      <c r="AD107" s="161" t="inlineStr">
        <is>
          <t>2026-10-12</t>
        </is>
      </c>
      <c r="AE107" s="174" t="inlineStr">
        <is>
          <t>1909</t>
        </is>
      </c>
      <c r="AF107" s="96" t="inlineStr">
        <is>
          <t>TBKK07</t>
        </is>
      </c>
      <c r="AG107" s="97" t="n"/>
      <c r="AH107" s="97" t="n"/>
      <c r="AI107" s="97" t="n"/>
      <c r="AJ107" s="96" t="inlineStr">
        <is>
          <t>TORAY INTERNATIONAL, INC.</t>
        </is>
      </c>
      <c r="AK107" s="130" t="n">
        <v>0</v>
      </c>
    </row>
    <row r="108" ht="12" customHeight="1">
      <c r="A108" s="108" t="inlineStr">
        <is>
          <t>SKLU1620219</t>
        </is>
      </c>
      <c r="B108" s="108" t="inlineStr">
        <is>
          <t>BKK01</t>
        </is>
      </c>
      <c r="C108" s="108" t="inlineStr">
        <is>
          <t>IFV</t>
        </is>
      </c>
      <c r="D108" s="172" t="inlineStr">
        <is>
          <t>2026-10-12</t>
        </is>
      </c>
      <c r="E108" s="173" t="inlineStr">
        <is>
          <t>2346</t>
        </is>
      </c>
      <c r="F108" s="96" t="inlineStr">
        <is>
          <t>HASLS22260901935</t>
        </is>
      </c>
      <c r="G108" s="96" t="inlineStr">
        <is>
          <t>THAI AGRI FOODS PUBLIC COMPANY LIMITED</t>
        </is>
      </c>
      <c r="H108" s="111" t="inlineStr">
        <is>
          <t>22GP</t>
        </is>
      </c>
      <c r="I108" s="96" t="n"/>
      <c r="J108" s="96" t="inlineStr">
        <is>
          <t>Chuanchuen</t>
        </is>
      </c>
      <c r="K108" s="96" t="inlineStr">
        <is>
          <t>SD</t>
        </is>
      </c>
      <c r="L108" s="111" t="inlineStr">
        <is>
          <t>Full</t>
        </is>
      </c>
      <c r="M108" s="96" t="inlineStr">
        <is>
          <t>HASLS22260901935</t>
        </is>
      </c>
      <c r="N108" s="96" t="inlineStr">
        <is>
          <t xml:space="preserve">20'x1 </t>
        </is>
      </c>
      <c r="O108" s="111" t="inlineStr">
        <is>
          <t>2016</t>
        </is>
      </c>
      <c r="P108" s="111" t="n"/>
      <c r="Q108" s="111" t="n"/>
      <c r="R108" s="96" t="n"/>
      <c r="S108" s="96" t="n"/>
      <c r="T108" s="96" t="inlineStr">
        <is>
          <t>BKK01</t>
        </is>
      </c>
      <c r="U108" s="96" t="inlineStr">
        <is>
          <t>THBKK</t>
        </is>
      </c>
      <c r="V108" s="161" t="inlineStr">
        <is>
          <t>2026-10-16</t>
        </is>
      </c>
      <c r="W108" s="96" t="inlineStr">
        <is>
          <t>RUVVO</t>
        </is>
      </c>
      <c r="X108" s="161" t="inlineStr">
        <is>
          <t>2026-10-25</t>
        </is>
      </c>
      <c r="Y108" s="97" t="n"/>
      <c r="Z108" s="97" t="n"/>
      <c r="AA108" s="97" t="n"/>
      <c r="AB108" s="97" t="n"/>
      <c r="AC108" s="97" t="n"/>
      <c r="AD108" s="161" t="inlineStr">
        <is>
          <t>2026-10-15</t>
        </is>
      </c>
      <c r="AE108" s="174" t="inlineStr">
        <is>
          <t>1123</t>
        </is>
      </c>
      <c r="AF108" s="96" t="inlineStr">
        <is>
          <t>TBKK07</t>
        </is>
      </c>
      <c r="AG108" s="97" t="n"/>
      <c r="AH108" s="97" t="n"/>
      <c r="AI108" s="97" t="n"/>
      <c r="AJ108" s="96" t="inlineStr">
        <is>
          <t>EXIM PACIFIC LLC. RUSSIA,</t>
        </is>
      </c>
      <c r="AK108" s="130" t="n">
        <v>0</v>
      </c>
    </row>
    <row r="109" ht="12" customHeight="1">
      <c r="A109" s="108" t="inlineStr">
        <is>
          <t>SKLU1643050</t>
        </is>
      </c>
      <c r="B109" s="108" t="inlineStr">
        <is>
          <t>BKK01</t>
        </is>
      </c>
      <c r="C109" s="108" t="inlineStr">
        <is>
          <t>IFV</t>
        </is>
      </c>
      <c r="D109" s="172" t="inlineStr">
        <is>
          <t>2026-10-11</t>
        </is>
      </c>
      <c r="E109" s="173" t="inlineStr">
        <is>
          <t>0322</t>
        </is>
      </c>
      <c r="F109" s="96" t="inlineStr">
        <is>
          <t>HASLS22260901782</t>
        </is>
      </c>
      <c r="G109" s="96" t="inlineStr">
        <is>
          <t>BORNEO LOGISTICS CO., LTD.</t>
        </is>
      </c>
      <c r="H109" s="111" t="inlineStr">
        <is>
          <t>22GP</t>
        </is>
      </c>
      <c r="I109" s="96" t="n"/>
      <c r="J109" s="96" t="inlineStr">
        <is>
          <t>Sirichai Prayochananon</t>
        </is>
      </c>
      <c r="K109" s="96" t="inlineStr">
        <is>
          <t>SD</t>
        </is>
      </c>
      <c r="L109" s="111" t="inlineStr">
        <is>
          <t>Full</t>
        </is>
      </c>
      <c r="M109" s="96" t="inlineStr">
        <is>
          <t>HASLS22260901782</t>
        </is>
      </c>
      <c r="N109" s="96" t="inlineStr">
        <is>
          <t xml:space="preserve">20'x1 </t>
        </is>
      </c>
      <c r="O109" s="111" t="inlineStr">
        <is>
          <t>2016</t>
        </is>
      </c>
      <c r="P109" s="111" t="n"/>
      <c r="Q109" s="111" t="n"/>
      <c r="R109" s="96" t="n"/>
      <c r="S109" s="96" t="n"/>
      <c r="T109" s="96" t="inlineStr">
        <is>
          <t>BKK01</t>
        </is>
      </c>
      <c r="U109" s="96" t="inlineStr">
        <is>
          <t>THBKK</t>
        </is>
      </c>
      <c r="V109" s="161" t="inlineStr">
        <is>
          <t>2026-10-16</t>
        </is>
      </c>
      <c r="W109" s="96" t="inlineStr">
        <is>
          <t>JPHHE</t>
        </is>
      </c>
      <c r="X109" s="161" t="inlineStr">
        <is>
          <t>2026-10-25</t>
        </is>
      </c>
      <c r="Y109" s="97" t="n"/>
      <c r="Z109" s="97" t="n"/>
      <c r="AA109" s="97" t="n"/>
      <c r="AB109" s="97" t="n"/>
      <c r="AC109" s="97" t="n"/>
      <c r="AD109" s="161" t="inlineStr">
        <is>
          <t>2026-10-11</t>
        </is>
      </c>
      <c r="AE109" s="174" t="inlineStr">
        <is>
          <t>2325</t>
        </is>
      </c>
      <c r="AF109" s="96" t="inlineStr">
        <is>
          <t>TBKK42</t>
        </is>
      </c>
      <c r="AG109" s="97" t="n"/>
      <c r="AH109" s="97" t="n"/>
      <c r="AI109" s="97" t="n"/>
      <c r="AJ109" s="96" t="inlineStr">
        <is>
          <t>VOX TRADING CO.,LTD.</t>
        </is>
      </c>
      <c r="AK109" s="130" t="n">
        <v>0</v>
      </c>
    </row>
    <row r="110" ht="12" customHeight="1">
      <c r="A110" s="108" t="inlineStr">
        <is>
          <t>SKLU1650379</t>
        </is>
      </c>
      <c r="B110" s="108" t="inlineStr">
        <is>
          <t>BKK01</t>
        </is>
      </c>
      <c r="C110" s="108" t="inlineStr">
        <is>
          <t>IFV</t>
        </is>
      </c>
      <c r="D110" s="172" t="inlineStr">
        <is>
          <t>2026-10-12</t>
        </is>
      </c>
      <c r="E110" s="173" t="inlineStr">
        <is>
          <t>1952</t>
        </is>
      </c>
      <c r="F110" s="96" t="inlineStr">
        <is>
          <t>HASLS22260902367</t>
        </is>
      </c>
      <c r="G110" s="96" t="inlineStr">
        <is>
          <t>PK INTERFREIGHT CO., LTD.</t>
        </is>
      </c>
      <c r="H110" s="111" t="inlineStr">
        <is>
          <t>22GP</t>
        </is>
      </c>
      <c r="I110" s="96" t="n"/>
      <c r="J110" s="96" t="inlineStr">
        <is>
          <t>Sirichai Prayochananon</t>
        </is>
      </c>
      <c r="K110" s="96" t="inlineStr">
        <is>
          <t>SD</t>
        </is>
      </c>
      <c r="L110" s="111" t="inlineStr">
        <is>
          <t>Full</t>
        </is>
      </c>
      <c r="M110" s="96" t="inlineStr">
        <is>
          <t>HASLS22260902367</t>
        </is>
      </c>
      <c r="N110" s="96" t="inlineStr">
        <is>
          <t xml:space="preserve">20'x1 </t>
        </is>
      </c>
      <c r="O110" s="111" t="inlineStr">
        <is>
          <t>2016</t>
        </is>
      </c>
      <c r="P110" s="111" t="n"/>
      <c r="Q110" s="111" t="n"/>
      <c r="R110" s="96" t="n"/>
      <c r="S110" s="96" t="n"/>
      <c r="T110" s="96" t="inlineStr">
        <is>
          <t>BKK01</t>
        </is>
      </c>
      <c r="U110" s="96" t="inlineStr">
        <is>
          <t>THBKK</t>
        </is>
      </c>
      <c r="V110" s="161" t="inlineStr">
        <is>
          <t>2026-10-16</t>
        </is>
      </c>
      <c r="W110" s="96" t="inlineStr">
        <is>
          <t>VNSGN</t>
        </is>
      </c>
      <c r="X110" s="161" t="inlineStr">
        <is>
          <t>2026-10-18</t>
        </is>
      </c>
      <c r="Y110" s="97" t="n"/>
      <c r="Z110" s="97" t="n"/>
      <c r="AA110" s="97" t="n"/>
      <c r="AB110" s="97" t="n"/>
      <c r="AC110" s="97" t="n"/>
      <c r="AD110" s="161" t="inlineStr">
        <is>
          <t>2026-10-14</t>
        </is>
      </c>
      <c r="AE110" s="174" t="inlineStr">
        <is>
          <t>0021</t>
        </is>
      </c>
      <c r="AF110" s="96" t="inlineStr">
        <is>
          <t>TBKK42</t>
        </is>
      </c>
      <c r="AG110" s="97" t="n"/>
      <c r="AH110" s="97" t="n"/>
      <c r="AI110" s="97" t="n"/>
      <c r="AJ110" s="96" t="inlineStr">
        <is>
          <t>PAM CARGO INTERNATIONAL CO., LTD</t>
        </is>
      </c>
      <c r="AK110" s="130" t="n">
        <v>0</v>
      </c>
    </row>
    <row r="111" ht="12" customHeight="1">
      <c r="A111" s="108" t="inlineStr">
        <is>
          <t>SKLU1650487</t>
        </is>
      </c>
      <c r="B111" s="108" t="inlineStr">
        <is>
          <t>BKK04</t>
        </is>
      </c>
      <c r="C111" s="108" t="inlineStr">
        <is>
          <t>IFV</t>
        </is>
      </c>
      <c r="D111" s="172" t="inlineStr">
        <is>
          <t>2026-10-03</t>
        </is>
      </c>
      <c r="E111" s="173" t="inlineStr">
        <is>
          <t>1255</t>
        </is>
      </c>
      <c r="F111" s="96" t="inlineStr">
        <is>
          <t>HASLS22260801865</t>
        </is>
      </c>
      <c r="G111" s="96" t="inlineStr">
        <is>
          <t>STARFISH CO., LTD.</t>
        </is>
      </c>
      <c r="H111" s="111" t="inlineStr">
        <is>
          <t>22GP</t>
        </is>
      </c>
      <c r="I111" s="96" t="n"/>
      <c r="J111" s="96" t="inlineStr">
        <is>
          <t>Sirichai Prayochananon</t>
        </is>
      </c>
      <c r="K111" s="96" t="inlineStr">
        <is>
          <t>SD</t>
        </is>
      </c>
      <c r="L111" s="111" t="inlineStr">
        <is>
          <t>Full</t>
        </is>
      </c>
      <c r="M111" s="96" t="inlineStr">
        <is>
          <t>HASLS22260801865</t>
        </is>
      </c>
      <c r="N111" s="96" t="inlineStr">
        <is>
          <t xml:space="preserve">20'x10 </t>
        </is>
      </c>
      <c r="O111" s="111" t="inlineStr">
        <is>
          <t>2016</t>
        </is>
      </c>
      <c r="P111" s="111" t="n"/>
      <c r="Q111" s="111" t="n"/>
      <c r="R111" s="96" t="n"/>
      <c r="S111" s="96" t="n"/>
      <c r="T111" s="96" t="inlineStr">
        <is>
          <t>BKK01</t>
        </is>
      </c>
      <c r="U111" s="96" t="inlineStr">
        <is>
          <t>THBKK</t>
        </is>
      </c>
      <c r="V111" s="161" t="inlineStr">
        <is>
          <t>2026-10-16</t>
        </is>
      </c>
      <c r="W111" s="96" t="inlineStr">
        <is>
          <t>JPSEN</t>
        </is>
      </c>
      <c r="X111" s="161" t="inlineStr">
        <is>
          <t>2026-10-25</t>
        </is>
      </c>
      <c r="Y111" s="97" t="n"/>
      <c r="Z111" s="97" t="n"/>
      <c r="AA111" s="97" t="n"/>
      <c r="AB111" s="97" t="n"/>
      <c r="AC111" s="97" t="n"/>
      <c r="AD111" s="161" t="inlineStr">
        <is>
          <t>2026-10-04</t>
        </is>
      </c>
      <c r="AE111" s="174" t="inlineStr">
        <is>
          <t>2005</t>
        </is>
      </c>
      <c r="AF111" s="96" t="inlineStr">
        <is>
          <t>TBKK42</t>
        </is>
      </c>
      <c r="AG111" s="97" t="n"/>
      <c r="AH111" s="97" t="n"/>
      <c r="AI111" s="97" t="n"/>
      <c r="AJ111" s="96" t="inlineStr">
        <is>
          <t>TO ORDER OF NISSUI CORPORATION.</t>
        </is>
      </c>
      <c r="AK111" s="130" t="n">
        <v>0</v>
      </c>
    </row>
    <row r="112" ht="12" customHeight="1">
      <c r="A112" s="108" t="inlineStr">
        <is>
          <t>SKLU1654179</t>
        </is>
      </c>
      <c r="B112" s="108" t="inlineStr">
        <is>
          <t>BKK01</t>
        </is>
      </c>
      <c r="C112" s="108" t="inlineStr">
        <is>
          <t>IFV</t>
        </is>
      </c>
      <c r="D112" s="172" t="inlineStr">
        <is>
          <t>2026-10-12</t>
        </is>
      </c>
      <c r="E112" s="173" t="inlineStr">
        <is>
          <t>1920</t>
        </is>
      </c>
      <c r="F112" s="96" t="inlineStr">
        <is>
          <t>HASLS22260901669</t>
        </is>
      </c>
      <c r="G112" s="96" t="inlineStr">
        <is>
          <t>SEA FLEXI LOGISTICS CO.,LTD.</t>
        </is>
      </c>
      <c r="H112" s="111" t="inlineStr">
        <is>
          <t>22GP</t>
        </is>
      </c>
      <c r="I112" s="96" t="n"/>
      <c r="J112" s="96" t="inlineStr">
        <is>
          <t>Sirichai Prayochananon</t>
        </is>
      </c>
      <c r="K112" s="96" t="inlineStr">
        <is>
          <t>SD</t>
        </is>
      </c>
      <c r="L112" s="111" t="inlineStr">
        <is>
          <t>Full</t>
        </is>
      </c>
      <c r="M112" s="96" t="inlineStr">
        <is>
          <t>HASLS22260901669</t>
        </is>
      </c>
      <c r="N112" s="96" t="inlineStr">
        <is>
          <t xml:space="preserve">20'x7 </t>
        </is>
      </c>
      <c r="O112" s="111" t="inlineStr">
        <is>
          <t>2016</t>
        </is>
      </c>
      <c r="P112" s="111" t="n"/>
      <c r="Q112" s="111" t="n"/>
      <c r="R112" s="96" t="n"/>
      <c r="S112" s="96" t="n"/>
      <c r="T112" s="96" t="inlineStr">
        <is>
          <t>BKK01</t>
        </is>
      </c>
      <c r="U112" s="96" t="inlineStr">
        <is>
          <t>THBKK</t>
        </is>
      </c>
      <c r="V112" s="161" t="inlineStr">
        <is>
          <t>2026-10-16</t>
        </is>
      </c>
      <c r="W112" s="96" t="inlineStr">
        <is>
          <t>VNSGN</t>
        </is>
      </c>
      <c r="X112" s="161" t="inlineStr">
        <is>
          <t>2026-10-18</t>
        </is>
      </c>
      <c r="Y112" s="97" t="n"/>
      <c r="Z112" s="97" t="n"/>
      <c r="AA112" s="97" t="n"/>
      <c r="AB112" s="97" t="n"/>
      <c r="AC112" s="97" t="n"/>
      <c r="AD112" s="161" t="inlineStr">
        <is>
          <t>2026-10-14</t>
        </is>
      </c>
      <c r="AE112" s="174" t="inlineStr">
        <is>
          <t>0021</t>
        </is>
      </c>
      <c r="AF112" s="96" t="inlineStr">
        <is>
          <t>TBKK42</t>
        </is>
      </c>
      <c r="AG112" s="97" t="n"/>
      <c r="AH112" s="97" t="n"/>
      <c r="AI112" s="97" t="n"/>
      <c r="AJ112" s="96" t="inlineStr">
        <is>
          <t>MEKONG COMMODITIES JSC</t>
        </is>
      </c>
      <c r="AK112" s="130" t="n">
        <v>0</v>
      </c>
    </row>
    <row r="113" ht="12" customHeight="1">
      <c r="A113" s="108" t="inlineStr">
        <is>
          <t>SKLU1654688</t>
        </is>
      </c>
      <c r="B113" s="108" t="inlineStr">
        <is>
          <t>BKK01</t>
        </is>
      </c>
      <c r="C113" s="108" t="inlineStr">
        <is>
          <t>IFV</t>
        </is>
      </c>
      <c r="D113" s="172" t="inlineStr">
        <is>
          <t>2026-10-10</t>
        </is>
      </c>
      <c r="E113" s="173" t="inlineStr">
        <is>
          <t>0102</t>
        </is>
      </c>
      <c r="F113" s="96" t="inlineStr">
        <is>
          <t>HASLS22260902094</t>
        </is>
      </c>
      <c r="G113" s="96" t="inlineStr">
        <is>
          <t>BIRLA CARBON (THAILAND) PUBLIC COMPANY LIMITED</t>
        </is>
      </c>
      <c r="H113" s="111" t="inlineStr">
        <is>
          <t>22GP</t>
        </is>
      </c>
      <c r="I113" s="96" t="n"/>
      <c r="J113" s="96" t="inlineStr">
        <is>
          <t>Sirichai Prayochananon</t>
        </is>
      </c>
      <c r="K113" s="96" t="inlineStr">
        <is>
          <t>SD</t>
        </is>
      </c>
      <c r="L113" s="111" t="inlineStr">
        <is>
          <t>Full</t>
        </is>
      </c>
      <c r="M113" s="96" t="inlineStr">
        <is>
          <t>HASLS22260902094</t>
        </is>
      </c>
      <c r="N113" s="96" t="inlineStr">
        <is>
          <t xml:space="preserve">20'x4 </t>
        </is>
      </c>
      <c r="O113" s="111" t="inlineStr">
        <is>
          <t>2016</t>
        </is>
      </c>
      <c r="P113" s="111" t="n"/>
      <c r="Q113" s="111" t="n"/>
      <c r="R113" s="96" t="n"/>
      <c r="S113" s="96" t="n"/>
      <c r="T113" s="96" t="inlineStr">
        <is>
          <t>BKK01</t>
        </is>
      </c>
      <c r="U113" s="96" t="inlineStr">
        <is>
          <t>THBKK</t>
        </is>
      </c>
      <c r="V113" s="161" t="inlineStr">
        <is>
          <t>2026-10-16</t>
        </is>
      </c>
      <c r="W113" s="96" t="inlineStr">
        <is>
          <t>JPUKB</t>
        </is>
      </c>
      <c r="X113" s="161" t="inlineStr">
        <is>
          <t>2026-10-25</t>
        </is>
      </c>
      <c r="Y113" s="97" t="n"/>
      <c r="Z113" s="97" t="n"/>
      <c r="AA113" s="97" t="n"/>
      <c r="AB113" s="97" t="n"/>
      <c r="AC113" s="97" t="n"/>
      <c r="AD113" s="161" t="inlineStr">
        <is>
          <t>2026-10-11</t>
        </is>
      </c>
      <c r="AE113" s="174" t="inlineStr">
        <is>
          <t>2325</t>
        </is>
      </c>
      <c r="AF113" s="96" t="inlineStr">
        <is>
          <t>TBKK42</t>
        </is>
      </c>
      <c r="AG113" s="97" t="n"/>
      <c r="AH113" s="97" t="n"/>
      <c r="AI113" s="97" t="n"/>
      <c r="AJ113" s="96" t="inlineStr">
        <is>
          <t>NIPPON GIANT TIRE CO.,LTD.</t>
        </is>
      </c>
      <c r="AK113" s="130" t="n">
        <v>0</v>
      </c>
    </row>
    <row r="114" ht="12" customHeight="1">
      <c r="A114" s="108" t="inlineStr">
        <is>
          <t>SKLU1658934</t>
        </is>
      </c>
      <c r="B114" s="108" t="inlineStr">
        <is>
          <t>BKK01</t>
        </is>
      </c>
      <c r="C114" s="108" t="inlineStr">
        <is>
          <t>IFV</t>
        </is>
      </c>
      <c r="D114" s="172" t="inlineStr">
        <is>
          <t>2026-10-12</t>
        </is>
      </c>
      <c r="E114" s="173" t="inlineStr">
        <is>
          <t>1418</t>
        </is>
      </c>
      <c r="F114" s="96" t="inlineStr">
        <is>
          <t>HASLS22260801161</t>
        </is>
      </c>
      <c r="G114" s="96" t="inlineStr">
        <is>
          <t>MEGALOAD DEVELOPMENT LOGISTICS CO., LTD.</t>
        </is>
      </c>
      <c r="H114" s="111" t="inlineStr">
        <is>
          <t>22GP</t>
        </is>
      </c>
      <c r="I114" s="96" t="n"/>
      <c r="J114" s="96" t="inlineStr">
        <is>
          <t>Chuanchuen</t>
        </is>
      </c>
      <c r="K114" s="96" t="inlineStr">
        <is>
          <t>SD</t>
        </is>
      </c>
      <c r="L114" s="111" t="inlineStr">
        <is>
          <t>Full</t>
        </is>
      </c>
      <c r="M114" s="96" t="inlineStr">
        <is>
          <t>HASLS22260801161</t>
        </is>
      </c>
      <c r="N114" s="96" t="inlineStr">
        <is>
          <t xml:space="preserve">20'x13 </t>
        </is>
      </c>
      <c r="O114" s="111" t="inlineStr">
        <is>
          <t>2016</t>
        </is>
      </c>
      <c r="P114" s="111" t="n"/>
      <c r="Q114" s="111" t="n"/>
      <c r="R114" s="96" t="n"/>
      <c r="S114" s="96" t="n"/>
      <c r="T114" s="96" t="inlineStr">
        <is>
          <t>BKK01</t>
        </is>
      </c>
      <c r="U114" s="96" t="inlineStr">
        <is>
          <t>THBKK</t>
        </is>
      </c>
      <c r="V114" s="161" t="inlineStr">
        <is>
          <t>2026-10-16</t>
        </is>
      </c>
      <c r="W114" s="96" t="inlineStr">
        <is>
          <t>JPKSM</t>
        </is>
      </c>
      <c r="X114" s="161" t="inlineStr">
        <is>
          <t>2026-10-25</t>
        </is>
      </c>
      <c r="Y114" s="97" t="n"/>
      <c r="Z114" s="97" t="n"/>
      <c r="AA114" s="97" t="n"/>
      <c r="AB114" s="97" t="n"/>
      <c r="AC114" s="97" t="n"/>
      <c r="AD114" s="161" t="inlineStr">
        <is>
          <t>2026-10-12</t>
        </is>
      </c>
      <c r="AE114" s="174" t="inlineStr">
        <is>
          <t>1909</t>
        </is>
      </c>
      <c r="AF114" s="96" t="inlineStr">
        <is>
          <t>TBKK07</t>
        </is>
      </c>
      <c r="AG114" s="97" t="n"/>
      <c r="AH114" s="97" t="n"/>
      <c r="AI114" s="97" t="n"/>
      <c r="AJ114" s="96" t="inlineStr">
        <is>
          <t>SANSHO CO., LTD.</t>
        </is>
      </c>
      <c r="AK114" s="130" t="n">
        <v>0</v>
      </c>
    </row>
    <row r="115" ht="12" customHeight="1">
      <c r="A115" s="108" t="inlineStr">
        <is>
          <t>SKLU1803122</t>
        </is>
      </c>
      <c r="B115" s="108" t="inlineStr">
        <is>
          <t>BKK01</t>
        </is>
      </c>
      <c r="C115" s="108" t="inlineStr">
        <is>
          <t>IFV</t>
        </is>
      </c>
      <c r="D115" s="172" t="inlineStr">
        <is>
          <t>2026-10-12</t>
        </is>
      </c>
      <c r="E115" s="173" t="inlineStr">
        <is>
          <t>2001</t>
        </is>
      </c>
      <c r="F115" s="96" t="inlineStr">
        <is>
          <t>HASLS22260902760</t>
        </is>
      </c>
      <c r="G115" s="96" t="inlineStr">
        <is>
          <t>THAI AGRI FOODS PUBLIC COMPANY LIMITED</t>
        </is>
      </c>
      <c r="H115" s="111" t="inlineStr">
        <is>
          <t>22GP</t>
        </is>
      </c>
      <c r="I115" s="96" t="n"/>
      <c r="J115" s="96" t="inlineStr">
        <is>
          <t>Chuanchuen</t>
        </is>
      </c>
      <c r="K115" s="96" t="inlineStr">
        <is>
          <t>SD</t>
        </is>
      </c>
      <c r="L115" s="111" t="inlineStr">
        <is>
          <t>Full</t>
        </is>
      </c>
      <c r="M115" s="96" t="inlineStr">
        <is>
          <t>HASLS22260902760</t>
        </is>
      </c>
      <c r="N115" s="96" t="inlineStr">
        <is>
          <t xml:space="preserve">20'x1 </t>
        </is>
      </c>
      <c r="O115" s="111" t="inlineStr">
        <is>
          <t>2018</t>
        </is>
      </c>
      <c r="P115" s="111" t="n"/>
      <c r="Q115" s="111" t="n"/>
      <c r="R115" s="96" t="n"/>
      <c r="S115" s="96" t="n"/>
      <c r="T115" s="96" t="inlineStr">
        <is>
          <t>BKK01</t>
        </is>
      </c>
      <c r="U115" s="96" t="inlineStr">
        <is>
          <t>THBKK</t>
        </is>
      </c>
      <c r="V115" s="161" t="inlineStr">
        <is>
          <t>2026-10-16</t>
        </is>
      </c>
      <c r="W115" s="96" t="inlineStr">
        <is>
          <t>RUVVO</t>
        </is>
      </c>
      <c r="X115" s="161" t="inlineStr">
        <is>
          <t>2026-10-25</t>
        </is>
      </c>
      <c r="Y115" s="97" t="n"/>
      <c r="Z115" s="97" t="n"/>
      <c r="AA115" s="97" t="n"/>
      <c r="AB115" s="97" t="n"/>
      <c r="AC115" s="97" t="n"/>
      <c r="AD115" s="161" t="inlineStr">
        <is>
          <t>2026-10-15</t>
        </is>
      </c>
      <c r="AE115" s="174" t="inlineStr">
        <is>
          <t>1123</t>
        </is>
      </c>
      <c r="AF115" s="96" t="inlineStr">
        <is>
          <t>TBKK07</t>
        </is>
      </c>
      <c r="AG115" s="97" t="n"/>
      <c r="AH115" s="97" t="n"/>
      <c r="AI115" s="97" t="n"/>
      <c r="AJ115" s="96" t="inlineStr">
        <is>
          <t>EXIM PACIFIC LLC. RUSSIA,</t>
        </is>
      </c>
      <c r="AK115" s="130" t="n">
        <v>0</v>
      </c>
    </row>
    <row r="116" ht="12" customHeight="1">
      <c r="A116" s="108" t="inlineStr">
        <is>
          <t>SKLU1808280</t>
        </is>
      </c>
      <c r="B116" s="108" t="inlineStr">
        <is>
          <t>BKK01</t>
        </is>
      </c>
      <c r="C116" s="108" t="inlineStr">
        <is>
          <t>IFV</t>
        </is>
      </c>
      <c r="D116" s="172" t="inlineStr">
        <is>
          <t>2026-10-12</t>
        </is>
      </c>
      <c r="E116" s="173" t="inlineStr">
        <is>
          <t>1427</t>
        </is>
      </c>
      <c r="F116" s="96" t="inlineStr">
        <is>
          <t>HASLS22260801364</t>
        </is>
      </c>
      <c r="G116" s="96" t="inlineStr">
        <is>
          <t>ACCORD PILOT LOGISTICS (THAILAND) CO., LTD.</t>
        </is>
      </c>
      <c r="H116" s="111" t="inlineStr">
        <is>
          <t>22GP</t>
        </is>
      </c>
      <c r="I116" s="96" t="n"/>
      <c r="J116" s="96" t="inlineStr">
        <is>
          <t>Chuanchuen</t>
        </is>
      </c>
      <c r="K116" s="96" t="inlineStr">
        <is>
          <t>SD</t>
        </is>
      </c>
      <c r="L116" s="111" t="inlineStr">
        <is>
          <t>Full</t>
        </is>
      </c>
      <c r="M116" s="96" t="inlineStr">
        <is>
          <t>HASLS22260801364</t>
        </is>
      </c>
      <c r="N116" s="96" t="inlineStr">
        <is>
          <t xml:space="preserve">20'x1 </t>
        </is>
      </c>
      <c r="O116" s="111" t="inlineStr">
        <is>
          <t>2018</t>
        </is>
      </c>
      <c r="P116" s="111" t="n"/>
      <c r="Q116" s="111" t="n"/>
      <c r="R116" s="96" t="n"/>
      <c r="S116" s="96" t="n"/>
      <c r="T116" s="96" t="inlineStr">
        <is>
          <t>BKK01</t>
        </is>
      </c>
      <c r="U116" s="96" t="inlineStr">
        <is>
          <t>THBKK</t>
        </is>
      </c>
      <c r="V116" s="161" t="inlineStr">
        <is>
          <t>2026-10-16</t>
        </is>
      </c>
      <c r="W116" s="96" t="inlineStr">
        <is>
          <t>VNSGN</t>
        </is>
      </c>
      <c r="X116" s="161" t="inlineStr">
        <is>
          <t>2026-10-18</t>
        </is>
      </c>
      <c r="Y116" s="97" t="n"/>
      <c r="Z116" s="97" t="n"/>
      <c r="AA116" s="97" t="n"/>
      <c r="AB116" s="97" t="n"/>
      <c r="AC116" s="97" t="n"/>
      <c r="AD116" s="161" t="inlineStr">
        <is>
          <t>2026-10-12</t>
        </is>
      </c>
      <c r="AE116" s="174" t="inlineStr">
        <is>
          <t>1911</t>
        </is>
      </c>
      <c r="AF116" s="96" t="inlineStr">
        <is>
          <t>TBKK07</t>
        </is>
      </c>
      <c r="AG116" s="97" t="n"/>
      <c r="AH116" s="97" t="n"/>
      <c r="AI116" s="97" t="n"/>
      <c r="AJ116" s="96" t="inlineStr">
        <is>
          <t>FOODTECH JOINT STOCK COMPANY</t>
        </is>
      </c>
      <c r="AK116" s="130" t="n">
        <v>0</v>
      </c>
    </row>
    <row r="117" ht="12" customHeight="1">
      <c r="A117" s="108" t="inlineStr">
        <is>
          <t>SKLU1809706</t>
        </is>
      </c>
      <c r="B117" s="108" t="inlineStr">
        <is>
          <t>BKK01</t>
        </is>
      </c>
      <c r="C117" s="108" t="inlineStr">
        <is>
          <t>IFV</t>
        </is>
      </c>
      <c r="D117" s="172" t="inlineStr">
        <is>
          <t>2026-10-10</t>
        </is>
      </c>
      <c r="E117" s="173" t="inlineStr">
        <is>
          <t>1657</t>
        </is>
      </c>
      <c r="F117" s="96" t="inlineStr">
        <is>
          <t>HASLS22260902525</t>
        </is>
      </c>
      <c r="G117" s="96" t="inlineStr">
        <is>
          <t>LPK GLOBAL TRADE CO.,LTD.</t>
        </is>
      </c>
      <c r="H117" s="111" t="inlineStr">
        <is>
          <t>22GP</t>
        </is>
      </c>
      <c r="I117" s="96" t="n"/>
      <c r="J117" s="96" t="inlineStr">
        <is>
          <t>Chuanchuen</t>
        </is>
      </c>
      <c r="K117" s="96" t="inlineStr">
        <is>
          <t>SD</t>
        </is>
      </c>
      <c r="L117" s="111" t="inlineStr">
        <is>
          <t>Full</t>
        </is>
      </c>
      <c r="M117" s="96" t="inlineStr">
        <is>
          <t>HASLS22260902525</t>
        </is>
      </c>
      <c r="N117" s="96" t="inlineStr">
        <is>
          <t xml:space="preserve">20'x1 </t>
        </is>
      </c>
      <c r="O117" s="111" t="inlineStr">
        <is>
          <t>2018</t>
        </is>
      </c>
      <c r="P117" s="111" t="n"/>
      <c r="Q117" s="111" t="n"/>
      <c r="R117" s="96" t="n"/>
      <c r="S117" s="96" t="n"/>
      <c r="T117" s="96" t="inlineStr">
        <is>
          <t>BKK01</t>
        </is>
      </c>
      <c r="U117" s="96" t="inlineStr">
        <is>
          <t>THBKK</t>
        </is>
      </c>
      <c r="V117" s="161" t="inlineStr">
        <is>
          <t>2026-10-16</t>
        </is>
      </c>
      <c r="W117" s="96" t="inlineStr">
        <is>
          <t>JPOSA</t>
        </is>
      </c>
      <c r="X117" s="161" t="inlineStr">
        <is>
          <t>2026-10-25</t>
        </is>
      </c>
      <c r="Y117" s="97" t="n"/>
      <c r="Z117" s="97" t="n"/>
      <c r="AA117" s="97" t="n"/>
      <c r="AB117" s="97" t="n"/>
      <c r="AC117" s="97" t="n"/>
      <c r="AD117" s="161" t="inlineStr">
        <is>
          <t>2026-10-15</t>
        </is>
      </c>
      <c r="AE117" s="174" t="inlineStr">
        <is>
          <t>1123</t>
        </is>
      </c>
      <c r="AF117" s="96" t="inlineStr">
        <is>
          <t>TBKK07</t>
        </is>
      </c>
      <c r="AG117" s="97" t="n"/>
      <c r="AH117" s="97" t="n"/>
      <c r="AI117" s="97" t="n"/>
      <c r="AJ117" s="96" t="inlineStr">
        <is>
          <t>WAKOH METAL CO., LTD</t>
        </is>
      </c>
      <c r="AK117" s="130" t="n">
        <v>0</v>
      </c>
    </row>
    <row r="118" ht="12" customHeight="1">
      <c r="A118" s="108" t="inlineStr">
        <is>
          <t>SKLU1823026</t>
        </is>
      </c>
      <c r="B118" s="108" t="inlineStr">
        <is>
          <t>BKK04</t>
        </is>
      </c>
      <c r="C118" s="108" t="inlineStr">
        <is>
          <t>IFV</t>
        </is>
      </c>
      <c r="D118" s="172" t="inlineStr">
        <is>
          <t>2026-10-04</t>
        </is>
      </c>
      <c r="E118" s="173" t="inlineStr">
        <is>
          <t>0328</t>
        </is>
      </c>
      <c r="F118" s="96" t="inlineStr">
        <is>
          <t>HASLS22260901974</t>
        </is>
      </c>
      <c r="G118" s="96" t="inlineStr">
        <is>
          <t>SCGJWD LOGISTICS PUBLIC COMPANY LIMITED</t>
        </is>
      </c>
      <c r="H118" s="111" t="inlineStr">
        <is>
          <t>22GP</t>
        </is>
      </c>
      <c r="I118" s="96" t="n"/>
      <c r="J118" s="96" t="inlineStr">
        <is>
          <t>Sirichai Prayochananon</t>
        </is>
      </c>
      <c r="K118" s="96" t="inlineStr">
        <is>
          <t>SD</t>
        </is>
      </c>
      <c r="L118" s="111" t="inlineStr">
        <is>
          <t>Full</t>
        </is>
      </c>
      <c r="M118" s="96" t="inlineStr">
        <is>
          <t>HASLS22260901974</t>
        </is>
      </c>
      <c r="N118" s="96" t="inlineStr">
        <is>
          <t xml:space="preserve">20'x2 </t>
        </is>
      </c>
      <c r="O118" s="111" t="inlineStr">
        <is>
          <t>2018</t>
        </is>
      </c>
      <c r="P118" s="111" t="n"/>
      <c r="Q118" s="111" t="n"/>
      <c r="R118" s="96" t="n"/>
      <c r="S118" s="96" t="n"/>
      <c r="T118" s="96" t="inlineStr">
        <is>
          <t>BKK01</t>
        </is>
      </c>
      <c r="U118" s="96" t="inlineStr">
        <is>
          <t>THBKK</t>
        </is>
      </c>
      <c r="V118" s="161" t="inlineStr">
        <is>
          <t>2026-10-16</t>
        </is>
      </c>
      <c r="W118" s="96" t="inlineStr">
        <is>
          <t>JPIYM</t>
        </is>
      </c>
      <c r="X118" s="161" t="inlineStr">
        <is>
          <t>2026-10-25</t>
        </is>
      </c>
      <c r="Y118" s="97" t="n"/>
      <c r="Z118" s="97" t="n"/>
      <c r="AA118" s="97" t="n"/>
      <c r="AB118" s="97" t="n"/>
      <c r="AC118" s="97" t="n"/>
      <c r="AD118" s="161" t="inlineStr">
        <is>
          <t>2026-10-04</t>
        </is>
      </c>
      <c r="AE118" s="174" t="inlineStr">
        <is>
          <t>2005</t>
        </is>
      </c>
      <c r="AF118" s="96" t="inlineStr">
        <is>
          <t>TBKK42</t>
        </is>
      </c>
      <c r="AG118" s="97" t="n"/>
      <c r="AH118" s="97" t="n"/>
      <c r="AI118" s="97" t="n"/>
      <c r="AJ118" s="96" t="inlineStr">
        <is>
          <t>USUI METALS CORPORATION</t>
        </is>
      </c>
      <c r="AK118" s="130" t="n">
        <v>0</v>
      </c>
    </row>
    <row r="119" ht="12" customHeight="1">
      <c r="A119" s="108" t="inlineStr">
        <is>
          <t>SKLU1823392</t>
        </is>
      </c>
      <c r="B119" s="108" t="inlineStr">
        <is>
          <t>BKK01</t>
        </is>
      </c>
      <c r="C119" s="108" t="inlineStr">
        <is>
          <t>IFV</t>
        </is>
      </c>
      <c r="D119" s="172" t="inlineStr">
        <is>
          <t>2026-10-12</t>
        </is>
      </c>
      <c r="E119" s="173" t="inlineStr">
        <is>
          <t>1643</t>
        </is>
      </c>
      <c r="F119" s="96" t="inlineStr">
        <is>
          <t>HASLS22260801161</t>
        </is>
      </c>
      <c r="G119" s="96" t="inlineStr">
        <is>
          <t>MEGALOAD DEVELOPMENT LOGISTICS CO., LTD.</t>
        </is>
      </c>
      <c r="H119" s="111" t="inlineStr">
        <is>
          <t>22GP</t>
        </is>
      </c>
      <c r="I119" s="96" t="n"/>
      <c r="J119" s="96" t="inlineStr">
        <is>
          <t>Chuanchuen</t>
        </is>
      </c>
      <c r="K119" s="96" t="inlineStr">
        <is>
          <t>SD</t>
        </is>
      </c>
      <c r="L119" s="111" t="inlineStr">
        <is>
          <t>Full</t>
        </is>
      </c>
      <c r="M119" s="96" t="inlineStr">
        <is>
          <t>HASLS22260801161</t>
        </is>
      </c>
      <c r="N119" s="96" t="inlineStr">
        <is>
          <t xml:space="preserve">20'x13 </t>
        </is>
      </c>
      <c r="O119" s="111" t="inlineStr">
        <is>
          <t>2018</t>
        </is>
      </c>
      <c r="P119" s="111" t="n"/>
      <c r="Q119" s="111" t="n"/>
      <c r="R119" s="96" t="n"/>
      <c r="S119" s="96" t="n"/>
      <c r="T119" s="96" t="inlineStr">
        <is>
          <t>BKK01</t>
        </is>
      </c>
      <c r="U119" s="96" t="inlineStr">
        <is>
          <t>THBKK</t>
        </is>
      </c>
      <c r="V119" s="161" t="inlineStr">
        <is>
          <t>2026-10-16</t>
        </is>
      </c>
      <c r="W119" s="96" t="inlineStr">
        <is>
          <t>JPKSM</t>
        </is>
      </c>
      <c r="X119" s="161" t="inlineStr">
        <is>
          <t>2026-10-25</t>
        </is>
      </c>
      <c r="Y119" s="97" t="n"/>
      <c r="Z119" s="97" t="n"/>
      <c r="AA119" s="97" t="n"/>
      <c r="AB119" s="97" t="n"/>
      <c r="AC119" s="97" t="n"/>
      <c r="AD119" s="161" t="inlineStr">
        <is>
          <t>2026-10-12</t>
        </is>
      </c>
      <c r="AE119" s="174" t="inlineStr">
        <is>
          <t>1909</t>
        </is>
      </c>
      <c r="AF119" s="96" t="inlineStr">
        <is>
          <t>TBKK07</t>
        </is>
      </c>
      <c r="AG119" s="97" t="n"/>
      <c r="AH119" s="97" t="n"/>
      <c r="AI119" s="97" t="n"/>
      <c r="AJ119" s="96" t="inlineStr">
        <is>
          <t>SANSHO CO., LTD.</t>
        </is>
      </c>
      <c r="AK119" s="130" t="n">
        <v>0</v>
      </c>
    </row>
    <row r="120" ht="12" customHeight="1">
      <c r="A120" s="108" t="inlineStr">
        <is>
          <t>SKLU1954936</t>
        </is>
      </c>
      <c r="B120" s="108" t="inlineStr">
        <is>
          <t>BKK04</t>
        </is>
      </c>
      <c r="C120" s="108" t="inlineStr">
        <is>
          <t>IFV</t>
        </is>
      </c>
      <c r="D120" s="172" t="inlineStr">
        <is>
          <t>2026-10-03</t>
        </is>
      </c>
      <c r="E120" s="173" t="inlineStr">
        <is>
          <t>1114</t>
        </is>
      </c>
      <c r="F120" s="96" t="inlineStr">
        <is>
          <t>HASLS22260801865</t>
        </is>
      </c>
      <c r="G120" s="96" t="inlineStr">
        <is>
          <t>STARFISH CO., LTD.</t>
        </is>
      </c>
      <c r="H120" s="111" t="inlineStr">
        <is>
          <t>22GP</t>
        </is>
      </c>
      <c r="I120" s="96" t="n"/>
      <c r="J120" s="96" t="inlineStr">
        <is>
          <t>Sirichai Prayochananon</t>
        </is>
      </c>
      <c r="K120" s="96" t="inlineStr">
        <is>
          <t>SD</t>
        </is>
      </c>
      <c r="L120" s="111" t="inlineStr">
        <is>
          <t>Full</t>
        </is>
      </c>
      <c r="M120" s="96" t="inlineStr">
        <is>
          <t>HASLS22260801865</t>
        </is>
      </c>
      <c r="N120" s="96" t="inlineStr">
        <is>
          <t xml:space="preserve">20'x10 </t>
        </is>
      </c>
      <c r="O120" s="111" t="inlineStr">
        <is>
          <t>2019</t>
        </is>
      </c>
      <c r="P120" s="111" t="n"/>
      <c r="Q120" s="111" t="n"/>
      <c r="R120" s="96" t="n"/>
      <c r="S120" s="96" t="n"/>
      <c r="T120" s="96" t="inlineStr">
        <is>
          <t>BKK01</t>
        </is>
      </c>
      <c r="U120" s="96" t="inlineStr">
        <is>
          <t>THBKK</t>
        </is>
      </c>
      <c r="V120" s="161" t="inlineStr">
        <is>
          <t>2026-10-16</t>
        </is>
      </c>
      <c r="W120" s="96" t="inlineStr">
        <is>
          <t>JPSEN</t>
        </is>
      </c>
      <c r="X120" s="161" t="inlineStr">
        <is>
          <t>2026-10-25</t>
        </is>
      </c>
      <c r="Y120" s="97" t="n"/>
      <c r="Z120" s="97" t="n"/>
      <c r="AA120" s="97" t="n"/>
      <c r="AB120" s="97" t="n"/>
      <c r="AC120" s="97" t="n"/>
      <c r="AD120" s="161" t="inlineStr">
        <is>
          <t>2026-10-04</t>
        </is>
      </c>
      <c r="AE120" s="174" t="inlineStr">
        <is>
          <t>2005</t>
        </is>
      </c>
      <c r="AF120" s="96" t="inlineStr">
        <is>
          <t>TBKK42</t>
        </is>
      </c>
      <c r="AG120" s="97" t="n"/>
      <c r="AH120" s="97" t="n"/>
      <c r="AI120" s="97" t="n"/>
      <c r="AJ120" s="96" t="inlineStr">
        <is>
          <t>TO ORDER OF NISSUI CORPORATION.</t>
        </is>
      </c>
      <c r="AK120" s="130" t="n">
        <v>0</v>
      </c>
    </row>
    <row r="121" ht="12" customHeight="1">
      <c r="A121" s="108" t="inlineStr">
        <is>
          <t>SKLU1957128</t>
        </is>
      </c>
      <c r="B121" s="108" t="inlineStr">
        <is>
          <t>BKK01</t>
        </is>
      </c>
      <c r="C121" s="108" t="inlineStr">
        <is>
          <t>IFV</t>
        </is>
      </c>
      <c r="D121" s="172" t="inlineStr">
        <is>
          <t>2026-10-12</t>
        </is>
      </c>
      <c r="E121" s="173" t="inlineStr">
        <is>
          <t>1312</t>
        </is>
      </c>
      <c r="F121" s="96" t="inlineStr">
        <is>
          <t>HASLS22260901930</t>
        </is>
      </c>
      <c r="G121" s="96" t="inlineStr">
        <is>
          <t>THAI AGRI FOODS PUBLIC COMPANY LIMITED</t>
        </is>
      </c>
      <c r="H121" s="111" t="inlineStr">
        <is>
          <t>22GP</t>
        </is>
      </c>
      <c r="I121" s="96" t="n"/>
      <c r="J121" s="96" t="inlineStr">
        <is>
          <t>Chuanchuen</t>
        </is>
      </c>
      <c r="K121" s="96" t="inlineStr">
        <is>
          <t>SD</t>
        </is>
      </c>
      <c r="L121" s="111" t="inlineStr">
        <is>
          <t>Full</t>
        </is>
      </c>
      <c r="M121" s="96" t="inlineStr">
        <is>
          <t>HASLS22260901930</t>
        </is>
      </c>
      <c r="N121" s="96" t="inlineStr">
        <is>
          <t xml:space="preserve">20'x1 </t>
        </is>
      </c>
      <c r="O121" s="111" t="inlineStr">
        <is>
          <t>2019</t>
        </is>
      </c>
      <c r="P121" s="111" t="n"/>
      <c r="Q121" s="111" t="n"/>
      <c r="R121" s="96" t="n"/>
      <c r="S121" s="96" t="n"/>
      <c r="T121" s="96" t="inlineStr">
        <is>
          <t>BKK01</t>
        </is>
      </c>
      <c r="U121" s="96" t="inlineStr">
        <is>
          <t>THBKK</t>
        </is>
      </c>
      <c r="V121" s="161" t="inlineStr">
        <is>
          <t>2026-10-16</t>
        </is>
      </c>
      <c r="W121" s="96" t="inlineStr">
        <is>
          <t>RUVVO</t>
        </is>
      </c>
      <c r="X121" s="161" t="inlineStr">
        <is>
          <t>2026-10-25</t>
        </is>
      </c>
      <c r="Y121" s="97" t="n"/>
      <c r="Z121" s="97" t="n"/>
      <c r="AA121" s="97" t="n"/>
      <c r="AB121" s="97" t="n"/>
      <c r="AC121" s="97" t="n"/>
      <c r="AD121" s="161" t="inlineStr">
        <is>
          <t>2026-10-15</t>
        </is>
      </c>
      <c r="AE121" s="174" t="inlineStr">
        <is>
          <t>1123</t>
        </is>
      </c>
      <c r="AF121" s="96" t="inlineStr">
        <is>
          <t>TBKK07</t>
        </is>
      </c>
      <c r="AG121" s="97" t="n"/>
      <c r="AH121" s="97" t="n"/>
      <c r="AI121" s="97" t="n"/>
      <c r="AJ121" s="96" t="inlineStr">
        <is>
          <t>EXIM PACIFIC LLC. RUSSIA,</t>
        </is>
      </c>
      <c r="AK121" s="130" t="n">
        <v>0</v>
      </c>
    </row>
    <row r="122" ht="12" customHeight="1">
      <c r="A122" s="108" t="inlineStr">
        <is>
          <t>SKLU1959687</t>
        </is>
      </c>
      <c r="B122" s="108" t="inlineStr">
        <is>
          <t>BKK01</t>
        </is>
      </c>
      <c r="C122" s="108" t="inlineStr">
        <is>
          <t>IFV</t>
        </is>
      </c>
      <c r="D122" s="172" t="inlineStr">
        <is>
          <t>2026-10-11</t>
        </is>
      </c>
      <c r="E122" s="173" t="inlineStr">
        <is>
          <t>0000</t>
        </is>
      </c>
      <c r="F122" s="96" t="inlineStr">
        <is>
          <t>HASLS22260900657</t>
        </is>
      </c>
      <c r="G122" s="96" t="inlineStr">
        <is>
          <t>ORIENT STAR INTERNATIONAL LOGISTICS CO., LTD.</t>
        </is>
      </c>
      <c r="H122" s="111" t="inlineStr">
        <is>
          <t>22GP</t>
        </is>
      </c>
      <c r="I122" s="96" t="n"/>
      <c r="J122" s="96" t="inlineStr">
        <is>
          <t>Sirichai Prayochananon</t>
        </is>
      </c>
      <c r="K122" s="96" t="inlineStr">
        <is>
          <t>SD</t>
        </is>
      </c>
      <c r="L122" s="111" t="inlineStr">
        <is>
          <t>Full</t>
        </is>
      </c>
      <c r="M122" s="96" t="inlineStr">
        <is>
          <t>HASLS22260900657</t>
        </is>
      </c>
      <c r="N122" s="96" t="inlineStr">
        <is>
          <t xml:space="preserve">20'x5 </t>
        </is>
      </c>
      <c r="O122" s="111" t="inlineStr">
        <is>
          <t>2019</t>
        </is>
      </c>
      <c r="P122" s="111" t="n"/>
      <c r="Q122" s="111" t="n"/>
      <c r="R122" s="96" t="n"/>
      <c r="S122" s="96" t="n"/>
      <c r="T122" s="96" t="inlineStr">
        <is>
          <t>BKK01</t>
        </is>
      </c>
      <c r="U122" s="96" t="inlineStr">
        <is>
          <t>THBKK</t>
        </is>
      </c>
      <c r="V122" s="161" t="inlineStr">
        <is>
          <t>2026-10-16</t>
        </is>
      </c>
      <c r="W122" s="96" t="inlineStr">
        <is>
          <t>KRPUS</t>
        </is>
      </c>
      <c r="X122" s="161" t="inlineStr">
        <is>
          <t>2026-10-25</t>
        </is>
      </c>
      <c r="Y122" s="97" t="n"/>
      <c r="Z122" s="97" t="n"/>
      <c r="AA122" s="97" t="n"/>
      <c r="AB122" s="97" t="n"/>
      <c r="AC122" s="97" t="n"/>
      <c r="AD122" s="161" t="inlineStr">
        <is>
          <t>2026-10-11</t>
        </is>
      </c>
      <c r="AE122" s="174" t="inlineStr">
        <is>
          <t>2325</t>
        </is>
      </c>
      <c r="AF122" s="96" t="inlineStr">
        <is>
          <t>TBKK42</t>
        </is>
      </c>
      <c r="AG122" s="97" t="n"/>
      <c r="AH122" s="97" t="n"/>
      <c r="AI122" s="97" t="n"/>
      <c r="AJ122" s="96" t="inlineStr">
        <is>
          <t>EXIM LOGISTICS CO., LTD.</t>
        </is>
      </c>
      <c r="AK122" s="130" t="n">
        <v>0</v>
      </c>
    </row>
    <row r="123" ht="12" customHeight="1">
      <c r="A123" s="108" t="inlineStr">
        <is>
          <t>SKLU1975585</t>
        </is>
      </c>
      <c r="B123" s="108" t="inlineStr">
        <is>
          <t>BKK04</t>
        </is>
      </c>
      <c r="C123" s="108" t="inlineStr">
        <is>
          <t>IFV</t>
        </is>
      </c>
      <c r="D123" s="172" t="inlineStr">
        <is>
          <t>2026-10-03</t>
        </is>
      </c>
      <c r="E123" s="173" t="inlineStr">
        <is>
          <t>1554</t>
        </is>
      </c>
      <c r="F123" s="96" t="inlineStr">
        <is>
          <t>HASLS22260801865</t>
        </is>
      </c>
      <c r="G123" s="96" t="inlineStr">
        <is>
          <t>STARFISH CO., LTD.</t>
        </is>
      </c>
      <c r="H123" s="111" t="inlineStr">
        <is>
          <t>22GP</t>
        </is>
      </c>
      <c r="I123" s="96" t="n"/>
      <c r="J123" s="96" t="inlineStr">
        <is>
          <t>Sirichai Prayochananon</t>
        </is>
      </c>
      <c r="K123" s="96" t="inlineStr">
        <is>
          <t>SD</t>
        </is>
      </c>
      <c r="L123" s="111" t="inlineStr">
        <is>
          <t>Full</t>
        </is>
      </c>
      <c r="M123" s="96" t="inlineStr">
        <is>
          <t>HASLS22260801865</t>
        </is>
      </c>
      <c r="N123" s="96" t="inlineStr">
        <is>
          <t xml:space="preserve">20'x10 </t>
        </is>
      </c>
      <c r="O123" s="111" t="inlineStr">
        <is>
          <t>2019</t>
        </is>
      </c>
      <c r="P123" s="111" t="n"/>
      <c r="Q123" s="111" t="n"/>
      <c r="R123" s="96" t="n"/>
      <c r="S123" s="96" t="n"/>
      <c r="T123" s="96" t="inlineStr">
        <is>
          <t>BKK01</t>
        </is>
      </c>
      <c r="U123" s="96" t="inlineStr">
        <is>
          <t>THBKK</t>
        </is>
      </c>
      <c r="V123" s="161" t="inlineStr">
        <is>
          <t>2026-10-16</t>
        </is>
      </c>
      <c r="W123" s="96" t="inlineStr">
        <is>
          <t>JPSEN</t>
        </is>
      </c>
      <c r="X123" s="161" t="inlineStr">
        <is>
          <t>2026-10-25</t>
        </is>
      </c>
      <c r="Y123" s="97" t="n"/>
      <c r="Z123" s="97" t="n"/>
      <c r="AA123" s="97" t="n"/>
      <c r="AB123" s="97" t="n"/>
      <c r="AC123" s="97" t="n"/>
      <c r="AD123" s="161" t="inlineStr">
        <is>
          <t>2026-10-04</t>
        </is>
      </c>
      <c r="AE123" s="174" t="inlineStr">
        <is>
          <t>2005</t>
        </is>
      </c>
      <c r="AF123" s="96" t="inlineStr">
        <is>
          <t>TBKK42</t>
        </is>
      </c>
      <c r="AG123" s="97" t="n"/>
      <c r="AH123" s="97" t="n"/>
      <c r="AI123" s="97" t="n"/>
      <c r="AJ123" s="96" t="inlineStr">
        <is>
          <t>TO ORDER OF NISSUI CORPORATION.</t>
        </is>
      </c>
      <c r="AK123" s="130" t="n">
        <v>0</v>
      </c>
    </row>
    <row r="124" ht="12" customHeight="1">
      <c r="A124" s="108" t="inlineStr">
        <is>
          <t>SKLU1981417</t>
        </is>
      </c>
      <c r="B124" s="108" t="inlineStr">
        <is>
          <t>BKK01</t>
        </is>
      </c>
      <c r="C124" s="108" t="inlineStr">
        <is>
          <t>IFV</t>
        </is>
      </c>
      <c r="D124" s="172" t="inlineStr">
        <is>
          <t>2026-10-11</t>
        </is>
      </c>
      <c r="E124" s="173" t="inlineStr">
        <is>
          <t>0017</t>
        </is>
      </c>
      <c r="F124" s="96" t="inlineStr">
        <is>
          <t>HASLS22260900657</t>
        </is>
      </c>
      <c r="G124" s="96" t="inlineStr">
        <is>
          <t>ORIENT STAR INTERNATIONAL LOGISTICS CO., LTD.</t>
        </is>
      </c>
      <c r="H124" s="111" t="inlineStr">
        <is>
          <t>22GP</t>
        </is>
      </c>
      <c r="I124" s="96" t="n"/>
      <c r="J124" s="96" t="inlineStr">
        <is>
          <t>Sirichai Prayochananon</t>
        </is>
      </c>
      <c r="K124" s="96" t="inlineStr">
        <is>
          <t>SD</t>
        </is>
      </c>
      <c r="L124" s="111" t="inlineStr">
        <is>
          <t>Full</t>
        </is>
      </c>
      <c r="M124" s="96" t="inlineStr">
        <is>
          <t>HASLS22260900657</t>
        </is>
      </c>
      <c r="N124" s="96" t="inlineStr">
        <is>
          <t xml:space="preserve">20'x5 </t>
        </is>
      </c>
      <c r="O124" s="111" t="inlineStr">
        <is>
          <t>2019</t>
        </is>
      </c>
      <c r="P124" s="111" t="n"/>
      <c r="Q124" s="111" t="n"/>
      <c r="R124" s="96" t="n"/>
      <c r="S124" s="96" t="n"/>
      <c r="T124" s="96" t="inlineStr">
        <is>
          <t>BKK01</t>
        </is>
      </c>
      <c r="U124" s="96" t="inlineStr">
        <is>
          <t>THBKK</t>
        </is>
      </c>
      <c r="V124" s="161" t="inlineStr">
        <is>
          <t>2026-10-16</t>
        </is>
      </c>
      <c r="W124" s="96" t="inlineStr">
        <is>
          <t>KRPUS</t>
        </is>
      </c>
      <c r="X124" s="161" t="inlineStr">
        <is>
          <t>2026-10-25</t>
        </is>
      </c>
      <c r="Y124" s="97" t="n"/>
      <c r="Z124" s="97" t="n"/>
      <c r="AA124" s="97" t="n"/>
      <c r="AB124" s="97" t="n"/>
      <c r="AC124" s="97" t="n"/>
      <c r="AD124" s="161" t="inlineStr">
        <is>
          <t>2026-10-11</t>
        </is>
      </c>
      <c r="AE124" s="174" t="inlineStr">
        <is>
          <t>2325</t>
        </is>
      </c>
      <c r="AF124" s="96" t="inlineStr">
        <is>
          <t>TBKK42</t>
        </is>
      </c>
      <c r="AG124" s="97" t="n"/>
      <c r="AH124" s="97" t="n"/>
      <c r="AI124" s="97" t="n"/>
      <c r="AJ124" s="96" t="inlineStr">
        <is>
          <t>EXIM LOGISTICS CO., LTD.</t>
        </is>
      </c>
      <c r="AK124" s="130" t="n">
        <v>0</v>
      </c>
    </row>
    <row r="125" ht="12" customHeight="1">
      <c r="A125" s="108" t="inlineStr">
        <is>
          <t>SKLU1998580</t>
        </is>
      </c>
      <c r="B125" s="108" t="inlineStr">
        <is>
          <t>BKK01</t>
        </is>
      </c>
      <c r="C125" s="108" t="inlineStr">
        <is>
          <t>IFV</t>
        </is>
      </c>
      <c r="D125" s="172" t="inlineStr">
        <is>
          <t>2026-10-12</t>
        </is>
      </c>
      <c r="E125" s="173" t="inlineStr">
        <is>
          <t>2010</t>
        </is>
      </c>
      <c r="F125" s="96" t="inlineStr">
        <is>
          <t>HASLS22260901929</t>
        </is>
      </c>
      <c r="G125" s="96" t="inlineStr">
        <is>
          <t>THAI AGRI FOODS PUBLIC COMPANY LIMITED</t>
        </is>
      </c>
      <c r="H125" s="111" t="inlineStr">
        <is>
          <t>22GP</t>
        </is>
      </c>
      <c r="I125" s="96" t="n"/>
      <c r="J125" s="96" t="inlineStr">
        <is>
          <t>Chuanchuen</t>
        </is>
      </c>
      <c r="K125" s="96" t="inlineStr">
        <is>
          <t>SD</t>
        </is>
      </c>
      <c r="L125" s="111" t="inlineStr">
        <is>
          <t>Full</t>
        </is>
      </c>
      <c r="M125" s="96" t="inlineStr">
        <is>
          <t>HASLS22260901929</t>
        </is>
      </c>
      <c r="N125" s="96" t="inlineStr">
        <is>
          <t xml:space="preserve">20'x1 </t>
        </is>
      </c>
      <c r="O125" s="111" t="inlineStr">
        <is>
          <t>2019</t>
        </is>
      </c>
      <c r="P125" s="111" t="n"/>
      <c r="Q125" s="111" t="n"/>
      <c r="R125" s="96" t="n"/>
      <c r="S125" s="96" t="n"/>
      <c r="T125" s="96" t="inlineStr">
        <is>
          <t>BKK01</t>
        </is>
      </c>
      <c r="U125" s="96" t="inlineStr">
        <is>
          <t>THBKK</t>
        </is>
      </c>
      <c r="V125" s="161" t="inlineStr">
        <is>
          <t>2026-10-16</t>
        </is>
      </c>
      <c r="W125" s="96" t="inlineStr">
        <is>
          <t>RUVVO</t>
        </is>
      </c>
      <c r="X125" s="161" t="inlineStr">
        <is>
          <t>2026-10-25</t>
        </is>
      </c>
      <c r="Y125" s="97" t="n"/>
      <c r="Z125" s="97" t="n"/>
      <c r="AA125" s="97" t="n"/>
      <c r="AB125" s="97" t="n"/>
      <c r="AC125" s="97" t="n"/>
      <c r="AD125" s="161" t="inlineStr">
        <is>
          <t>2026-10-15</t>
        </is>
      </c>
      <c r="AE125" s="174" t="inlineStr">
        <is>
          <t>1123</t>
        </is>
      </c>
      <c r="AF125" s="96" t="inlineStr">
        <is>
          <t>TBKK07</t>
        </is>
      </c>
      <c r="AG125" s="97" t="n"/>
      <c r="AH125" s="97" t="n"/>
      <c r="AI125" s="97" t="n"/>
      <c r="AJ125" s="96" t="inlineStr">
        <is>
          <t>EXIM PACIFIC LLC. RUSSIA,</t>
        </is>
      </c>
      <c r="AK125" s="130" t="n">
        <v>0</v>
      </c>
    </row>
    <row r="126" ht="12" customHeight="1">
      <c r="A126" s="108" t="inlineStr">
        <is>
          <t>SKLU2060382</t>
        </is>
      </c>
      <c r="B126" s="108" t="inlineStr">
        <is>
          <t>BKK04</t>
        </is>
      </c>
      <c r="C126" s="108" t="inlineStr">
        <is>
          <t>IFV</t>
        </is>
      </c>
      <c r="D126" s="172" t="inlineStr">
        <is>
          <t>2026-10-03</t>
        </is>
      </c>
      <c r="E126" s="173" t="inlineStr">
        <is>
          <t>1527</t>
        </is>
      </c>
      <c r="F126" s="96" t="inlineStr">
        <is>
          <t>HASLS22260801865</t>
        </is>
      </c>
      <c r="G126" s="96" t="inlineStr">
        <is>
          <t>STARFISH CO., LTD.</t>
        </is>
      </c>
      <c r="H126" s="111" t="inlineStr">
        <is>
          <t>22GP</t>
        </is>
      </c>
      <c r="I126" s="96" t="n"/>
      <c r="J126" s="96" t="inlineStr">
        <is>
          <t>Sirichai Prayochananon</t>
        </is>
      </c>
      <c r="K126" s="96" t="inlineStr">
        <is>
          <t>SD</t>
        </is>
      </c>
      <c r="L126" s="111" t="inlineStr">
        <is>
          <t>Full</t>
        </is>
      </c>
      <c r="M126" s="96" t="inlineStr">
        <is>
          <t>HASLS22260801865</t>
        </is>
      </c>
      <c r="N126" s="96" t="inlineStr">
        <is>
          <t xml:space="preserve">20'x10 </t>
        </is>
      </c>
      <c r="O126" s="111" t="inlineStr">
        <is>
          <t>2019</t>
        </is>
      </c>
      <c r="P126" s="111" t="n"/>
      <c r="Q126" s="111" t="n"/>
      <c r="R126" s="96" t="n"/>
      <c r="S126" s="96" t="n"/>
      <c r="T126" s="96" t="inlineStr">
        <is>
          <t>BKK01</t>
        </is>
      </c>
      <c r="U126" s="96" t="inlineStr">
        <is>
          <t>THBKK</t>
        </is>
      </c>
      <c r="V126" s="161" t="inlineStr">
        <is>
          <t>2026-10-16</t>
        </is>
      </c>
      <c r="W126" s="96" t="inlineStr">
        <is>
          <t>JPSEN</t>
        </is>
      </c>
      <c r="X126" s="161" t="inlineStr">
        <is>
          <t>2026-10-25</t>
        </is>
      </c>
      <c r="Y126" s="97" t="n"/>
      <c r="Z126" s="97" t="n"/>
      <c r="AA126" s="97" t="n"/>
      <c r="AB126" s="97" t="n"/>
      <c r="AC126" s="97" t="n"/>
      <c r="AD126" s="161" t="inlineStr">
        <is>
          <t>2026-10-04</t>
        </is>
      </c>
      <c r="AE126" s="174" t="inlineStr">
        <is>
          <t>2005</t>
        </is>
      </c>
      <c r="AF126" s="96" t="inlineStr">
        <is>
          <t>TBKK42</t>
        </is>
      </c>
      <c r="AG126" s="97" t="n"/>
      <c r="AH126" s="97" t="n"/>
      <c r="AI126" s="97" t="n"/>
      <c r="AJ126" s="96" t="inlineStr">
        <is>
          <t>TO ORDER OF NISSUI CORPORATION.</t>
        </is>
      </c>
      <c r="AK126" s="130" t="n">
        <v>0</v>
      </c>
    </row>
    <row r="127" ht="12" customHeight="1">
      <c r="A127" s="108" t="inlineStr">
        <is>
          <t>SKLU2120603</t>
        </is>
      </c>
      <c r="B127" s="108" t="inlineStr">
        <is>
          <t>BKK04</t>
        </is>
      </c>
      <c r="C127" s="108" t="inlineStr">
        <is>
          <t>IFV</t>
        </is>
      </c>
      <c r="D127" s="172" t="inlineStr">
        <is>
          <t>2026-10-03</t>
        </is>
      </c>
      <c r="E127" s="173" t="inlineStr">
        <is>
          <t>1101</t>
        </is>
      </c>
      <c r="F127" s="96" t="inlineStr">
        <is>
          <t>HASLS22260801865</t>
        </is>
      </c>
      <c r="G127" s="96" t="inlineStr">
        <is>
          <t>STARFISH CO., LTD.</t>
        </is>
      </c>
      <c r="H127" s="111" t="inlineStr">
        <is>
          <t>22GP</t>
        </is>
      </c>
      <c r="I127" s="96" t="n"/>
      <c r="J127" s="96" t="inlineStr">
        <is>
          <t>Sirichai Prayochananon</t>
        </is>
      </c>
      <c r="K127" s="96" t="inlineStr">
        <is>
          <t>SD</t>
        </is>
      </c>
      <c r="L127" s="111" t="inlineStr">
        <is>
          <t>Full</t>
        </is>
      </c>
      <c r="M127" s="96" t="inlineStr">
        <is>
          <t>HASLS22260801865</t>
        </is>
      </c>
      <c r="N127" s="96" t="inlineStr">
        <is>
          <t xml:space="preserve">20'x10 </t>
        </is>
      </c>
      <c r="O127" s="111" t="inlineStr">
        <is>
          <t>2021</t>
        </is>
      </c>
      <c r="P127" s="111" t="n"/>
      <c r="Q127" s="111" t="n"/>
      <c r="R127" s="96" t="n"/>
      <c r="S127" s="96" t="n"/>
      <c r="T127" s="96" t="inlineStr">
        <is>
          <t>BKK01</t>
        </is>
      </c>
      <c r="U127" s="96" t="inlineStr">
        <is>
          <t>THBKK</t>
        </is>
      </c>
      <c r="V127" s="161" t="inlineStr">
        <is>
          <t>2026-10-16</t>
        </is>
      </c>
      <c r="W127" s="96" t="inlineStr">
        <is>
          <t>JPSEN</t>
        </is>
      </c>
      <c r="X127" s="161" t="inlineStr">
        <is>
          <t>2026-10-25</t>
        </is>
      </c>
      <c r="Y127" s="97" t="n"/>
      <c r="Z127" s="97" t="n"/>
      <c r="AA127" s="97" t="n"/>
      <c r="AB127" s="97" t="n"/>
      <c r="AC127" s="97" t="n"/>
      <c r="AD127" s="161" t="inlineStr">
        <is>
          <t>2026-10-04</t>
        </is>
      </c>
      <c r="AE127" s="174" t="inlineStr">
        <is>
          <t>2005</t>
        </is>
      </c>
      <c r="AF127" s="96" t="inlineStr">
        <is>
          <t>TBKK42</t>
        </is>
      </c>
      <c r="AG127" s="97" t="n"/>
      <c r="AH127" s="97" t="n"/>
      <c r="AI127" s="97" t="n"/>
      <c r="AJ127" s="96" t="inlineStr">
        <is>
          <t>TO ORDER OF NISSUI CORPORATION.</t>
        </is>
      </c>
      <c r="AK127" s="130" t="n">
        <v>0</v>
      </c>
    </row>
    <row r="128" ht="12" customHeight="1">
      <c r="A128" s="108" t="inlineStr">
        <is>
          <t>SKLU2318815</t>
        </is>
      </c>
      <c r="B128" s="108" t="inlineStr">
        <is>
          <t>BKK04</t>
        </is>
      </c>
      <c r="C128" s="108" t="inlineStr">
        <is>
          <t>IFV</t>
        </is>
      </c>
      <c r="D128" s="172" t="inlineStr">
        <is>
          <t>2026-10-03</t>
        </is>
      </c>
      <c r="E128" s="173" t="inlineStr">
        <is>
          <t>1222</t>
        </is>
      </c>
      <c r="F128" s="96" t="inlineStr">
        <is>
          <t>HASLS22260901974</t>
        </is>
      </c>
      <c r="G128" s="96" t="inlineStr">
        <is>
          <t>SCGJWD LOGISTICS PUBLIC COMPANY LIMITED</t>
        </is>
      </c>
      <c r="H128" s="111" t="inlineStr">
        <is>
          <t>22GP</t>
        </is>
      </c>
      <c r="I128" s="96" t="n"/>
      <c r="J128" s="96" t="inlineStr">
        <is>
          <t>Sirichai Prayochananon</t>
        </is>
      </c>
      <c r="K128" s="96" t="inlineStr">
        <is>
          <t>SD</t>
        </is>
      </c>
      <c r="L128" s="111" t="inlineStr">
        <is>
          <t>Full</t>
        </is>
      </c>
      <c r="M128" s="96" t="inlineStr">
        <is>
          <t>HASLS22260901974</t>
        </is>
      </c>
      <c r="N128" s="96" t="inlineStr">
        <is>
          <t xml:space="preserve">20'x2 </t>
        </is>
      </c>
      <c r="O128" s="111" t="inlineStr">
        <is>
          <t>2023</t>
        </is>
      </c>
      <c r="P128" s="111" t="n"/>
      <c r="Q128" s="111" t="n"/>
      <c r="R128" s="96" t="n"/>
      <c r="S128" s="96" t="n"/>
      <c r="T128" s="96" t="inlineStr">
        <is>
          <t>BKK01</t>
        </is>
      </c>
      <c r="U128" s="96" t="inlineStr">
        <is>
          <t>THBKK</t>
        </is>
      </c>
      <c r="V128" s="161" t="inlineStr">
        <is>
          <t>2026-10-16</t>
        </is>
      </c>
      <c r="W128" s="96" t="inlineStr">
        <is>
          <t>JPIYM</t>
        </is>
      </c>
      <c r="X128" s="161" t="inlineStr">
        <is>
          <t>2026-10-25</t>
        </is>
      </c>
      <c r="Y128" s="97" t="n"/>
      <c r="Z128" s="97" t="n"/>
      <c r="AA128" s="97" t="n"/>
      <c r="AB128" s="97" t="n"/>
      <c r="AC128" s="97" t="n"/>
      <c r="AD128" s="161" t="inlineStr">
        <is>
          <t>2026-10-04</t>
        </is>
      </c>
      <c r="AE128" s="174" t="inlineStr">
        <is>
          <t>2005</t>
        </is>
      </c>
      <c r="AF128" s="96" t="inlineStr">
        <is>
          <t>TBKK42</t>
        </is>
      </c>
      <c r="AG128" s="97" t="n"/>
      <c r="AH128" s="97" t="n"/>
      <c r="AI128" s="97" t="n"/>
      <c r="AJ128" s="96" t="inlineStr">
        <is>
          <t>USUI METALS CORPORATION</t>
        </is>
      </c>
      <c r="AK128" s="130" t="n">
        <v>0</v>
      </c>
    </row>
    <row r="129" ht="12" customHeight="1">
      <c r="A129" s="108" t="inlineStr">
        <is>
          <t>SKLU2323690</t>
        </is>
      </c>
      <c r="B129" s="108" t="inlineStr">
        <is>
          <t>BKK01</t>
        </is>
      </c>
      <c r="C129" s="108" t="inlineStr">
        <is>
          <t>IFV</t>
        </is>
      </c>
      <c r="D129" s="172" t="inlineStr">
        <is>
          <t>2026-10-11</t>
        </is>
      </c>
      <c r="E129" s="173" t="inlineStr">
        <is>
          <t>0012</t>
        </is>
      </c>
      <c r="F129" s="96" t="inlineStr">
        <is>
          <t>HASLS22260900657</t>
        </is>
      </c>
      <c r="G129" s="96" t="inlineStr">
        <is>
          <t>ORIENT STAR INTERNATIONAL LOGISTICS CO., LTD.</t>
        </is>
      </c>
      <c r="H129" s="111" t="inlineStr">
        <is>
          <t>22GP</t>
        </is>
      </c>
      <c r="I129" s="96" t="n"/>
      <c r="J129" s="96" t="inlineStr">
        <is>
          <t>Sirichai Prayochananon</t>
        </is>
      </c>
      <c r="K129" s="96" t="inlineStr">
        <is>
          <t>SD</t>
        </is>
      </c>
      <c r="L129" s="111" t="inlineStr">
        <is>
          <t>Full</t>
        </is>
      </c>
      <c r="M129" s="96" t="inlineStr">
        <is>
          <t>HASLS22260900657</t>
        </is>
      </c>
      <c r="N129" s="96" t="inlineStr">
        <is>
          <t xml:space="preserve">20'x5 </t>
        </is>
      </c>
      <c r="O129" s="111" t="inlineStr">
        <is>
          <t>2023</t>
        </is>
      </c>
      <c r="P129" s="111" t="n"/>
      <c r="Q129" s="111" t="n"/>
      <c r="R129" s="96" t="n"/>
      <c r="S129" s="96" t="n"/>
      <c r="T129" s="96" t="inlineStr">
        <is>
          <t>BKK01</t>
        </is>
      </c>
      <c r="U129" s="96" t="inlineStr">
        <is>
          <t>THBKK</t>
        </is>
      </c>
      <c r="V129" s="161" t="inlineStr">
        <is>
          <t>2026-10-16</t>
        </is>
      </c>
      <c r="W129" s="96" t="inlineStr">
        <is>
          <t>KRPUS</t>
        </is>
      </c>
      <c r="X129" s="161" t="inlineStr">
        <is>
          <t>2026-10-25</t>
        </is>
      </c>
      <c r="Y129" s="97" t="n"/>
      <c r="Z129" s="97" t="n"/>
      <c r="AA129" s="97" t="n"/>
      <c r="AB129" s="97" t="n"/>
      <c r="AC129" s="97" t="n"/>
      <c r="AD129" s="161" t="inlineStr">
        <is>
          <t>2026-10-11</t>
        </is>
      </c>
      <c r="AE129" s="174" t="inlineStr">
        <is>
          <t>2325</t>
        </is>
      </c>
      <c r="AF129" s="96" t="inlineStr">
        <is>
          <t>TBKK42</t>
        </is>
      </c>
      <c r="AG129" s="97" t="n"/>
      <c r="AH129" s="97" t="n"/>
      <c r="AI129" s="97" t="n"/>
      <c r="AJ129" s="96" t="inlineStr">
        <is>
          <t>EXIM LOGISTICS CO., LTD.</t>
        </is>
      </c>
      <c r="AK129" s="130" t="n">
        <v>0</v>
      </c>
    </row>
    <row r="130" ht="12" customHeight="1">
      <c r="A130" s="108" t="inlineStr">
        <is>
          <t>SKLU2410454</t>
        </is>
      </c>
      <c r="B130" s="108" t="inlineStr">
        <is>
          <t>BKK04</t>
        </is>
      </c>
      <c r="C130" s="108" t="inlineStr">
        <is>
          <t>IFV</t>
        </is>
      </c>
      <c r="D130" s="172" t="inlineStr">
        <is>
          <t>2026-10-03</t>
        </is>
      </c>
      <c r="E130" s="173" t="inlineStr">
        <is>
          <t>1642</t>
        </is>
      </c>
      <c r="F130" s="96" t="inlineStr">
        <is>
          <t>HASLS22260801865</t>
        </is>
      </c>
      <c r="G130" s="96" t="inlineStr">
        <is>
          <t>STARFISH CO., LTD.</t>
        </is>
      </c>
      <c r="H130" s="111" t="inlineStr">
        <is>
          <t>22GP</t>
        </is>
      </c>
      <c r="I130" s="96" t="n"/>
      <c r="J130" s="96" t="inlineStr">
        <is>
          <t>Sirichai Prayochananon</t>
        </is>
      </c>
      <c r="K130" s="96" t="inlineStr">
        <is>
          <t>SD</t>
        </is>
      </c>
      <c r="L130" s="111" t="inlineStr">
        <is>
          <t>Full</t>
        </is>
      </c>
      <c r="M130" s="96" t="inlineStr">
        <is>
          <t>HASLS22260801865</t>
        </is>
      </c>
      <c r="N130" s="96" t="inlineStr">
        <is>
          <t xml:space="preserve">20'x10 </t>
        </is>
      </c>
      <c r="O130" s="111" t="inlineStr">
        <is>
          <t>2024</t>
        </is>
      </c>
      <c r="P130" s="111" t="n"/>
      <c r="Q130" s="111" t="n"/>
      <c r="R130" s="96" t="n"/>
      <c r="S130" s="96" t="n"/>
      <c r="T130" s="96" t="inlineStr">
        <is>
          <t>BKK01</t>
        </is>
      </c>
      <c r="U130" s="96" t="inlineStr">
        <is>
          <t>THBKK</t>
        </is>
      </c>
      <c r="V130" s="161" t="inlineStr">
        <is>
          <t>2026-10-16</t>
        </is>
      </c>
      <c r="W130" s="96" t="inlineStr">
        <is>
          <t>JPSEN</t>
        </is>
      </c>
      <c r="X130" s="161" t="inlineStr">
        <is>
          <t>2026-10-25</t>
        </is>
      </c>
      <c r="Y130" s="97" t="n"/>
      <c r="Z130" s="97" t="n"/>
      <c r="AA130" s="97" t="n"/>
      <c r="AB130" s="97" t="n"/>
      <c r="AC130" s="97" t="n"/>
      <c r="AD130" s="161" t="inlineStr">
        <is>
          <t>2026-10-04</t>
        </is>
      </c>
      <c r="AE130" s="174" t="inlineStr">
        <is>
          <t>2005</t>
        </is>
      </c>
      <c r="AF130" s="96" t="inlineStr">
        <is>
          <t>TBKK42</t>
        </is>
      </c>
      <c r="AG130" s="97" t="n"/>
      <c r="AH130" s="97" t="n"/>
      <c r="AI130" s="97" t="n"/>
      <c r="AJ130" s="96" t="inlineStr">
        <is>
          <t>TO ORDER OF NISSUI CORPORATION.</t>
        </is>
      </c>
      <c r="AK130" s="130" t="n">
        <v>0</v>
      </c>
    </row>
    <row r="131" ht="12" customHeight="1">
      <c r="A131" s="108" t="inlineStr">
        <is>
          <t>SKLU2415775</t>
        </is>
      </c>
      <c r="B131" s="108" t="inlineStr">
        <is>
          <t>BKK01</t>
        </is>
      </c>
      <c r="C131" s="108" t="inlineStr">
        <is>
          <t>IFV</t>
        </is>
      </c>
      <c r="D131" s="172" t="inlineStr">
        <is>
          <t>2026-10-12</t>
        </is>
      </c>
      <c r="E131" s="173" t="inlineStr">
        <is>
          <t>1930</t>
        </is>
      </c>
      <c r="F131" s="96" t="inlineStr">
        <is>
          <t>HASLS22260901669</t>
        </is>
      </c>
      <c r="G131" s="96" t="inlineStr">
        <is>
          <t>SEA FLEXI LOGISTICS CO.,LTD.</t>
        </is>
      </c>
      <c r="H131" s="111" t="inlineStr">
        <is>
          <t>22GP</t>
        </is>
      </c>
      <c r="I131" s="96" t="n"/>
      <c r="J131" s="96" t="inlineStr">
        <is>
          <t>Sirichai Prayochananon</t>
        </is>
      </c>
      <c r="K131" s="96" t="inlineStr">
        <is>
          <t>SD</t>
        </is>
      </c>
      <c r="L131" s="111" t="inlineStr">
        <is>
          <t>Full</t>
        </is>
      </c>
      <c r="M131" s="96" t="inlineStr">
        <is>
          <t>HASLS22260901669</t>
        </is>
      </c>
      <c r="N131" s="96" t="inlineStr">
        <is>
          <t xml:space="preserve">20'x7 </t>
        </is>
      </c>
      <c r="O131" s="111" t="inlineStr">
        <is>
          <t>2024</t>
        </is>
      </c>
      <c r="P131" s="111" t="n"/>
      <c r="Q131" s="111" t="n"/>
      <c r="R131" s="96" t="n"/>
      <c r="S131" s="96" t="n"/>
      <c r="T131" s="96" t="inlineStr">
        <is>
          <t>BKK01</t>
        </is>
      </c>
      <c r="U131" s="96" t="inlineStr">
        <is>
          <t>THBKK</t>
        </is>
      </c>
      <c r="V131" s="161" t="inlineStr">
        <is>
          <t>2026-10-16</t>
        </is>
      </c>
      <c r="W131" s="96" t="inlineStr">
        <is>
          <t>VNSGN</t>
        </is>
      </c>
      <c r="X131" s="161" t="inlineStr">
        <is>
          <t>2026-10-18</t>
        </is>
      </c>
      <c r="Y131" s="97" t="n"/>
      <c r="Z131" s="97" t="n"/>
      <c r="AA131" s="97" t="n"/>
      <c r="AB131" s="97" t="n"/>
      <c r="AC131" s="97" t="n"/>
      <c r="AD131" s="161" t="inlineStr">
        <is>
          <t>2026-10-14</t>
        </is>
      </c>
      <c r="AE131" s="174" t="inlineStr">
        <is>
          <t>0021</t>
        </is>
      </c>
      <c r="AF131" s="96" t="inlineStr">
        <is>
          <t>TBKK42</t>
        </is>
      </c>
      <c r="AG131" s="97" t="n"/>
      <c r="AH131" s="97" t="n"/>
      <c r="AI131" s="97" t="n"/>
      <c r="AJ131" s="96" t="inlineStr">
        <is>
          <t>MEKONG COMMODITIES JSC</t>
        </is>
      </c>
      <c r="AK131" s="130" t="n">
        <v>0</v>
      </c>
    </row>
    <row r="132" ht="12" customHeight="1">
      <c r="A132" s="108" t="inlineStr">
        <is>
          <t>SKLU2426527</t>
        </is>
      </c>
      <c r="B132" s="108" t="inlineStr">
        <is>
          <t>BKK01</t>
        </is>
      </c>
      <c r="C132" s="108" t="inlineStr">
        <is>
          <t>IFV</t>
        </is>
      </c>
      <c r="D132" s="172" t="inlineStr">
        <is>
          <t>2026-10-02</t>
        </is>
      </c>
      <c r="E132" s="173" t="inlineStr">
        <is>
          <t>1214</t>
        </is>
      </c>
      <c r="F132" s="96" t="inlineStr">
        <is>
          <t>HASLS22260902209</t>
        </is>
      </c>
      <c r="G132" s="96" t="inlineStr">
        <is>
          <t>SUNFLOWER AGRO CO LTD</t>
        </is>
      </c>
      <c r="H132" s="111" t="inlineStr">
        <is>
          <t>22GP</t>
        </is>
      </c>
      <c r="I132" s="96" t="n"/>
      <c r="J132" s="96" t="inlineStr">
        <is>
          <t>Chuanchuen</t>
        </is>
      </c>
      <c r="K132" s="96" t="inlineStr">
        <is>
          <t>SD</t>
        </is>
      </c>
      <c r="L132" s="111" t="inlineStr">
        <is>
          <t>Full</t>
        </is>
      </c>
      <c r="M132" s="96" t="inlineStr">
        <is>
          <t>HASLS22260902209</t>
        </is>
      </c>
      <c r="N132" s="96" t="inlineStr">
        <is>
          <t xml:space="preserve">20'x1 </t>
        </is>
      </c>
      <c r="O132" s="111" t="inlineStr">
        <is>
          <t>2024</t>
        </is>
      </c>
      <c r="P132" s="111" t="n"/>
      <c r="Q132" s="111" t="n"/>
      <c r="R132" s="96" t="n"/>
      <c r="S132" s="96" t="n"/>
      <c r="T132" s="96" t="inlineStr">
        <is>
          <t>BKK01</t>
        </is>
      </c>
      <c r="U132" s="96" t="inlineStr">
        <is>
          <t>THBKK</t>
        </is>
      </c>
      <c r="V132" s="161" t="inlineStr">
        <is>
          <t>2026-10-16</t>
        </is>
      </c>
      <c r="W132" s="96" t="inlineStr">
        <is>
          <t>KRPUS</t>
        </is>
      </c>
      <c r="X132" s="161" t="inlineStr">
        <is>
          <t>2026-10-25</t>
        </is>
      </c>
      <c r="Y132" s="97" t="n"/>
      <c r="Z132" s="97" t="n"/>
      <c r="AA132" s="97" t="n"/>
      <c r="AB132" s="97" t="n"/>
      <c r="AC132" s="97" t="n"/>
      <c r="AD132" s="161" t="inlineStr">
        <is>
          <t>2026-10-02</t>
        </is>
      </c>
      <c r="AE132" s="174" t="inlineStr">
        <is>
          <t>2027</t>
        </is>
      </c>
      <c r="AF132" s="96" t="inlineStr">
        <is>
          <t>TBKK07</t>
        </is>
      </c>
      <c r="AG132" s="97" t="n"/>
      <c r="AH132" s="97" t="n"/>
      <c r="AI132" s="97" t="n"/>
      <c r="AJ132" s="96" t="inlineStr">
        <is>
          <t>KOSPA TRADING COMPANY</t>
        </is>
      </c>
      <c r="AK132" s="130" t="n">
        <v>0</v>
      </c>
    </row>
    <row r="133" ht="12" customHeight="1">
      <c r="A133" s="108" t="inlineStr">
        <is>
          <t>SKLU2471871</t>
        </is>
      </c>
      <c r="B133" s="108" t="inlineStr">
        <is>
          <t>BKK01</t>
        </is>
      </c>
      <c r="C133" s="108" t="inlineStr">
        <is>
          <t>IFV</t>
        </is>
      </c>
      <c r="D133" s="172" t="inlineStr">
        <is>
          <t>2026-10-12</t>
        </is>
      </c>
      <c r="E133" s="173" t="inlineStr">
        <is>
          <t>1316</t>
        </is>
      </c>
      <c r="F133" s="96" t="inlineStr">
        <is>
          <t>HASLS22260902658</t>
        </is>
      </c>
      <c r="G133" s="96" t="inlineStr">
        <is>
          <t>GOLDEN WORLD LOGISTICS CO., LTD.</t>
        </is>
      </c>
      <c r="H133" s="111" t="inlineStr">
        <is>
          <t>22GP</t>
        </is>
      </c>
      <c r="I133" s="96" t="n"/>
      <c r="J133" s="96" t="inlineStr">
        <is>
          <t>Chuanchuen</t>
        </is>
      </c>
      <c r="K133" s="96" t="inlineStr">
        <is>
          <t>SD</t>
        </is>
      </c>
      <c r="L133" s="111" t="inlineStr">
        <is>
          <t>Full</t>
        </is>
      </c>
      <c r="M133" s="96" t="inlineStr">
        <is>
          <t>HASLS22260902658</t>
        </is>
      </c>
      <c r="N133" s="96" t="inlineStr">
        <is>
          <t xml:space="preserve">20'x4 </t>
        </is>
      </c>
      <c r="O133" s="111" t="inlineStr">
        <is>
          <t>2024</t>
        </is>
      </c>
      <c r="P133" s="111" t="n"/>
      <c r="Q133" s="111" t="n"/>
      <c r="R133" s="96" t="n"/>
      <c r="S133" s="96" t="n"/>
      <c r="T133" s="96" t="inlineStr">
        <is>
          <t>BKK01</t>
        </is>
      </c>
      <c r="U133" s="96" t="inlineStr">
        <is>
          <t>THBKK</t>
        </is>
      </c>
      <c r="V133" s="161" t="inlineStr">
        <is>
          <t>2026-10-16</t>
        </is>
      </c>
      <c r="W133" s="96" t="inlineStr">
        <is>
          <t>VNSGN</t>
        </is>
      </c>
      <c r="X133" s="161" t="inlineStr">
        <is>
          <t>2026-10-18</t>
        </is>
      </c>
      <c r="Y133" s="97" t="n"/>
      <c r="Z133" s="97" t="n"/>
      <c r="AA133" s="97" t="n"/>
      <c r="AB133" s="97" t="n"/>
      <c r="AC133" s="97" t="n"/>
      <c r="AD133" s="161" t="inlineStr">
        <is>
          <t>2026-10-12</t>
        </is>
      </c>
      <c r="AE133" s="174" t="inlineStr">
        <is>
          <t>1911</t>
        </is>
      </c>
      <c r="AF133" s="96" t="inlineStr">
        <is>
          <t>TBKK07</t>
        </is>
      </c>
      <c r="AG133" s="97" t="n"/>
      <c r="AH133" s="97" t="n"/>
      <c r="AI133" s="97" t="n"/>
      <c r="AJ133" s="96" t="inlineStr">
        <is>
          <t>UNI-PRESIDENT VIETNAM CO.,LTD</t>
        </is>
      </c>
      <c r="AK133" s="130" t="n">
        <v>0</v>
      </c>
    </row>
    <row r="134" ht="12" customHeight="1">
      <c r="A134" s="108" t="inlineStr">
        <is>
          <t>SKLU2471953</t>
        </is>
      </c>
      <c r="B134" s="108" t="inlineStr">
        <is>
          <t>BKK01</t>
        </is>
      </c>
      <c r="C134" s="108" t="inlineStr">
        <is>
          <t>IFV</t>
        </is>
      </c>
      <c r="D134" s="172" t="inlineStr">
        <is>
          <t>2026-10-13</t>
        </is>
      </c>
      <c r="E134" s="173" t="inlineStr">
        <is>
          <t>1908</t>
        </is>
      </c>
      <c r="F134" s="96" t="inlineStr">
        <is>
          <t>HASLS22260902184</t>
        </is>
      </c>
      <c r="G134" s="96" t="inlineStr">
        <is>
          <t>BIRLA CARBON (THAILAND) PUBLIC COMPANY LIMITED</t>
        </is>
      </c>
      <c r="H134" s="111" t="inlineStr">
        <is>
          <t>22GP</t>
        </is>
      </c>
      <c r="I134" s="96" t="n"/>
      <c r="J134" s="96" t="inlineStr">
        <is>
          <t>Sirichai Prayochananon</t>
        </is>
      </c>
      <c r="K134" s="96" t="inlineStr">
        <is>
          <t>SD</t>
        </is>
      </c>
      <c r="L134" s="111" t="inlineStr">
        <is>
          <t>Full</t>
        </is>
      </c>
      <c r="M134" s="96" t="inlineStr">
        <is>
          <t>HASLS22260902184</t>
        </is>
      </c>
      <c r="N134" s="96" t="inlineStr">
        <is>
          <t xml:space="preserve">20'x4 </t>
        </is>
      </c>
      <c r="O134" s="111" t="inlineStr">
        <is>
          <t>2024</t>
        </is>
      </c>
      <c r="P134" s="111" t="n"/>
      <c r="Q134" s="111" t="n"/>
      <c r="R134" s="96" t="n"/>
      <c r="S134" s="96" t="n"/>
      <c r="T134" s="96" t="inlineStr">
        <is>
          <t>BKK01</t>
        </is>
      </c>
      <c r="U134" s="96" t="inlineStr">
        <is>
          <t>THBKK</t>
        </is>
      </c>
      <c r="V134" s="161" t="inlineStr">
        <is>
          <t>2026-10-16</t>
        </is>
      </c>
      <c r="W134" s="96" t="inlineStr">
        <is>
          <t>JPUKB</t>
        </is>
      </c>
      <c r="X134" s="161" t="inlineStr">
        <is>
          <t>2026-10-25</t>
        </is>
      </c>
      <c r="Y134" s="97" t="n"/>
      <c r="Z134" s="97" t="n"/>
      <c r="AA134" s="97" t="n"/>
      <c r="AB134" s="97" t="n"/>
      <c r="AC134" s="97" t="n"/>
      <c r="AD134" s="161" t="inlineStr">
        <is>
          <t>2026-10-14</t>
        </is>
      </c>
      <c r="AE134" s="174" t="inlineStr">
        <is>
          <t>0021</t>
        </is>
      </c>
      <c r="AF134" s="96" t="inlineStr">
        <is>
          <t>TBKK42</t>
        </is>
      </c>
      <c r="AG134" s="97" t="n"/>
      <c r="AH134" s="97" t="n"/>
      <c r="AI134" s="97" t="n"/>
      <c r="AJ134" s="96" t="inlineStr">
        <is>
          <t>NIPPON GIANT TIRE CO.,LTD.</t>
        </is>
      </c>
      <c r="AK134" s="130" t="n">
        <v>0</v>
      </c>
    </row>
    <row r="135" ht="12" customHeight="1">
      <c r="A135" s="108" t="inlineStr">
        <is>
          <t>SKLU2483050</t>
        </is>
      </c>
      <c r="B135" s="108" t="inlineStr">
        <is>
          <t>BKK04</t>
        </is>
      </c>
      <c r="C135" s="108" t="inlineStr">
        <is>
          <t>IFV</t>
        </is>
      </c>
      <c r="D135" s="172" t="inlineStr">
        <is>
          <t>2026-10-03</t>
        </is>
      </c>
      <c r="E135" s="173" t="inlineStr">
        <is>
          <t>1810</t>
        </is>
      </c>
      <c r="F135" s="96" t="inlineStr">
        <is>
          <t>HASLS22260801865</t>
        </is>
      </c>
      <c r="G135" s="96" t="inlineStr">
        <is>
          <t>STARFISH CO., LTD.</t>
        </is>
      </c>
      <c r="H135" s="111" t="inlineStr">
        <is>
          <t>22GP</t>
        </is>
      </c>
      <c r="I135" s="96" t="n"/>
      <c r="J135" s="96" t="inlineStr">
        <is>
          <t>Sirichai Prayochananon</t>
        </is>
      </c>
      <c r="K135" s="96" t="inlineStr">
        <is>
          <t>SD</t>
        </is>
      </c>
      <c r="L135" s="111" t="inlineStr">
        <is>
          <t>Full</t>
        </is>
      </c>
      <c r="M135" s="96" t="inlineStr">
        <is>
          <t>HASLS22260801865</t>
        </is>
      </c>
      <c r="N135" s="96" t="inlineStr">
        <is>
          <t xml:space="preserve">20'x10 </t>
        </is>
      </c>
      <c r="O135" s="111" t="inlineStr">
        <is>
          <t>2024</t>
        </is>
      </c>
      <c r="P135" s="111" t="n"/>
      <c r="Q135" s="111" t="n"/>
      <c r="R135" s="96" t="n"/>
      <c r="S135" s="96" t="n"/>
      <c r="T135" s="96" t="inlineStr">
        <is>
          <t>BKK01</t>
        </is>
      </c>
      <c r="U135" s="96" t="inlineStr">
        <is>
          <t>THBKK</t>
        </is>
      </c>
      <c r="V135" s="161" t="inlineStr">
        <is>
          <t>2026-10-16</t>
        </is>
      </c>
      <c r="W135" s="96" t="inlineStr">
        <is>
          <t>JPSEN</t>
        </is>
      </c>
      <c r="X135" s="161" t="inlineStr">
        <is>
          <t>2026-10-25</t>
        </is>
      </c>
      <c r="Y135" s="97" t="n"/>
      <c r="Z135" s="97" t="n"/>
      <c r="AA135" s="97" t="n"/>
      <c r="AB135" s="97" t="n"/>
      <c r="AC135" s="97" t="n"/>
      <c r="AD135" s="161" t="inlineStr">
        <is>
          <t>2026-10-04</t>
        </is>
      </c>
      <c r="AE135" s="174" t="inlineStr">
        <is>
          <t>2005</t>
        </is>
      </c>
      <c r="AF135" s="96" t="inlineStr">
        <is>
          <t>TBKK42</t>
        </is>
      </c>
      <c r="AG135" s="97" t="n"/>
      <c r="AH135" s="97" t="n"/>
      <c r="AI135" s="97" t="n"/>
      <c r="AJ135" s="96" t="inlineStr">
        <is>
          <t>TO ORDER OF NISSUI CORPORATION.</t>
        </is>
      </c>
      <c r="AK135" s="130" t="n">
        <v>0</v>
      </c>
    </row>
    <row r="136" ht="12" customHeight="1">
      <c r="A136" s="108" t="inlineStr">
        <is>
          <t>SKLU2484101</t>
        </is>
      </c>
      <c r="B136" s="108" t="inlineStr">
        <is>
          <t>BKK01</t>
        </is>
      </c>
      <c r="C136" s="108" t="inlineStr">
        <is>
          <t>IFV</t>
        </is>
      </c>
      <c r="D136" s="172" t="inlineStr">
        <is>
          <t>2026-10-13</t>
        </is>
      </c>
      <c r="E136" s="173" t="inlineStr">
        <is>
          <t>1908</t>
        </is>
      </c>
      <c r="F136" s="96" t="inlineStr">
        <is>
          <t>HASLS22260902184</t>
        </is>
      </c>
      <c r="G136" s="96" t="inlineStr">
        <is>
          <t>BIRLA CARBON (THAILAND) PUBLIC COMPANY LIMITED</t>
        </is>
      </c>
      <c r="H136" s="111" t="inlineStr">
        <is>
          <t>22GP</t>
        </is>
      </c>
      <c r="I136" s="96" t="n"/>
      <c r="J136" s="96" t="inlineStr">
        <is>
          <t>Sirichai Prayochananon</t>
        </is>
      </c>
      <c r="K136" s="96" t="inlineStr">
        <is>
          <t>SD</t>
        </is>
      </c>
      <c r="L136" s="111" t="inlineStr">
        <is>
          <t>Full</t>
        </is>
      </c>
      <c r="M136" s="96" t="inlineStr">
        <is>
          <t>HASLS22260902184</t>
        </is>
      </c>
      <c r="N136" s="96" t="inlineStr">
        <is>
          <t xml:space="preserve">20'x4 </t>
        </is>
      </c>
      <c r="O136" s="111" t="inlineStr">
        <is>
          <t>2024</t>
        </is>
      </c>
      <c r="P136" s="111" t="n"/>
      <c r="Q136" s="111" t="n"/>
      <c r="R136" s="96" t="n"/>
      <c r="S136" s="96" t="n"/>
      <c r="T136" s="96" t="inlineStr">
        <is>
          <t>BKK01</t>
        </is>
      </c>
      <c r="U136" s="96" t="inlineStr">
        <is>
          <t>THBKK</t>
        </is>
      </c>
      <c r="V136" s="161" t="inlineStr">
        <is>
          <t>2026-10-16</t>
        </is>
      </c>
      <c r="W136" s="96" t="inlineStr">
        <is>
          <t>JPUKB</t>
        </is>
      </c>
      <c r="X136" s="161" t="inlineStr">
        <is>
          <t>2026-10-25</t>
        </is>
      </c>
      <c r="Y136" s="97" t="n"/>
      <c r="Z136" s="97" t="n"/>
      <c r="AA136" s="97" t="n"/>
      <c r="AB136" s="97" t="n"/>
      <c r="AC136" s="97" t="n"/>
      <c r="AD136" s="161" t="inlineStr">
        <is>
          <t>2026-10-14</t>
        </is>
      </c>
      <c r="AE136" s="174" t="inlineStr">
        <is>
          <t>0021</t>
        </is>
      </c>
      <c r="AF136" s="96" t="inlineStr">
        <is>
          <t>TBKK42</t>
        </is>
      </c>
      <c r="AG136" s="97" t="n"/>
      <c r="AH136" s="97" t="n"/>
      <c r="AI136" s="97" t="n"/>
      <c r="AJ136" s="96" t="inlineStr">
        <is>
          <t>NIPPON GIANT TIRE CO.,LTD.</t>
        </is>
      </c>
      <c r="AK136" s="130" t="n">
        <v>0</v>
      </c>
    </row>
    <row r="137" ht="12" customHeight="1">
      <c r="A137" s="108" t="inlineStr">
        <is>
          <t>SKLU3511011</t>
        </is>
      </c>
      <c r="B137" s="108" t="inlineStr">
        <is>
          <t>BKK01</t>
        </is>
      </c>
      <c r="C137" s="108" t="inlineStr">
        <is>
          <t>IFV</t>
        </is>
      </c>
      <c r="D137" s="172" t="inlineStr">
        <is>
          <t>2026-10-13</t>
        </is>
      </c>
      <c r="E137" s="173" t="inlineStr">
        <is>
          <t>0014</t>
        </is>
      </c>
      <c r="F137" s="96" t="inlineStr">
        <is>
          <t>HASLS22260801161</t>
        </is>
      </c>
      <c r="G137" s="96" t="inlineStr">
        <is>
          <t>MEGALOAD DEVELOPMENT LOGISTICS CO., LTD.</t>
        </is>
      </c>
      <c r="H137" s="111" t="inlineStr">
        <is>
          <t>22GP</t>
        </is>
      </c>
      <c r="I137" s="96" t="n"/>
      <c r="J137" s="96" t="inlineStr">
        <is>
          <t>Sirichai Prayochananon</t>
        </is>
      </c>
      <c r="K137" s="96" t="inlineStr">
        <is>
          <t>SD</t>
        </is>
      </c>
      <c r="L137" s="111" t="inlineStr">
        <is>
          <t>Full</t>
        </is>
      </c>
      <c r="M137" s="96" t="inlineStr">
        <is>
          <t>HASLS22260801161</t>
        </is>
      </c>
      <c r="N137" s="96" t="inlineStr">
        <is>
          <t xml:space="preserve">20'x13 </t>
        </is>
      </c>
      <c r="O137" s="111" t="inlineStr">
        <is>
          <t>2015</t>
        </is>
      </c>
      <c r="P137" s="111" t="n"/>
      <c r="Q137" s="111" t="n"/>
      <c r="R137" s="96" t="n"/>
      <c r="S137" s="96" t="n"/>
      <c r="T137" s="96" t="inlineStr">
        <is>
          <t>BKK01</t>
        </is>
      </c>
      <c r="U137" s="96" t="inlineStr">
        <is>
          <t>THBKK</t>
        </is>
      </c>
      <c r="V137" s="161" t="inlineStr">
        <is>
          <t>2026-10-16</t>
        </is>
      </c>
      <c r="W137" s="96" t="inlineStr">
        <is>
          <t>JPKSM</t>
        </is>
      </c>
      <c r="X137" s="161" t="inlineStr">
        <is>
          <t>2026-10-25</t>
        </is>
      </c>
      <c r="Y137" s="97" t="n"/>
      <c r="Z137" s="97" t="n"/>
      <c r="AA137" s="97" t="n"/>
      <c r="AB137" s="97" t="n"/>
      <c r="AC137" s="97" t="n"/>
      <c r="AD137" s="161" t="inlineStr">
        <is>
          <t>2026-10-14</t>
        </is>
      </c>
      <c r="AE137" s="174" t="inlineStr">
        <is>
          <t>0021</t>
        </is>
      </c>
      <c r="AF137" s="96" t="inlineStr">
        <is>
          <t>TBKK42</t>
        </is>
      </c>
      <c r="AG137" s="97" t="n"/>
      <c r="AH137" s="97" t="n"/>
      <c r="AI137" s="97" t="n"/>
      <c r="AJ137" s="96" t="inlineStr">
        <is>
          <t>SANSHO CO., LTD.</t>
        </is>
      </c>
      <c r="AK137" s="130" t="n">
        <v>0</v>
      </c>
    </row>
    <row r="138" ht="12" customHeight="1">
      <c r="A138" s="108" t="inlineStr">
        <is>
          <t>SKRU9909262</t>
        </is>
      </c>
      <c r="B138" s="108" t="inlineStr">
        <is>
          <t>BKK01</t>
        </is>
      </c>
      <c r="C138" s="108" t="inlineStr">
        <is>
          <t>IFV</t>
        </is>
      </c>
      <c r="D138" s="172" t="inlineStr">
        <is>
          <t>2026-10-12</t>
        </is>
      </c>
      <c r="E138" s="173" t="inlineStr">
        <is>
          <t>2222</t>
        </is>
      </c>
      <c r="F138" s="96" t="inlineStr">
        <is>
          <t>HASLS22260902791</t>
        </is>
      </c>
      <c r="G138" s="96" t="inlineStr">
        <is>
          <t>VENTE TRADE CO.,LTD.</t>
        </is>
      </c>
      <c r="H138" s="111" t="inlineStr">
        <is>
          <t>45RE</t>
        </is>
      </c>
      <c r="I138" s="96" t="n"/>
      <c r="J138" s="96" t="inlineStr">
        <is>
          <t>Sirichai Prayochananon</t>
        </is>
      </c>
      <c r="K138" s="96" t="inlineStr">
        <is>
          <t>SD</t>
        </is>
      </c>
      <c r="L138" s="111" t="inlineStr">
        <is>
          <t>Full</t>
        </is>
      </c>
      <c r="M138" s="96" t="inlineStr">
        <is>
          <t>HASLS22260902791</t>
        </is>
      </c>
      <c r="N138" s="96" t="inlineStr">
        <is>
          <t xml:space="preserve">R40Hx7 </t>
        </is>
      </c>
      <c r="O138" s="111" t="inlineStr">
        <is>
          <t>2019</t>
        </is>
      </c>
      <c r="P138" s="111" t="inlineStr">
        <is>
          <t>CARRIER</t>
        </is>
      </c>
      <c r="Q138" s="111" t="n"/>
      <c r="R138" s="96" t="n"/>
      <c r="S138" s="96" t="n"/>
      <c r="T138" s="96" t="inlineStr">
        <is>
          <t>BKK01</t>
        </is>
      </c>
      <c r="U138" s="96" t="inlineStr">
        <is>
          <t>THBKK</t>
        </is>
      </c>
      <c r="V138" s="161" t="inlineStr">
        <is>
          <t>2026-10-16</t>
        </is>
      </c>
      <c r="W138" s="96" t="inlineStr">
        <is>
          <t>RUVVO</t>
        </is>
      </c>
      <c r="X138" s="161" t="inlineStr">
        <is>
          <t>2026-10-25</t>
        </is>
      </c>
      <c r="Y138" s="97" t="n"/>
      <c r="Z138" s="97" t="n"/>
      <c r="AA138" s="97" t="n"/>
      <c r="AB138" s="97" t="n"/>
      <c r="AC138" s="97" t="n"/>
      <c r="AD138" s="161" t="inlineStr">
        <is>
          <t>2026-10-14</t>
        </is>
      </c>
      <c r="AE138" s="174" t="inlineStr">
        <is>
          <t>0021</t>
        </is>
      </c>
      <c r="AF138" s="96" t="inlineStr">
        <is>
          <t>TBKK42</t>
        </is>
      </c>
      <c r="AG138" s="97" t="n"/>
      <c r="AH138" s="97" t="n"/>
      <c r="AI138" s="97" t="n"/>
      <c r="AJ138" s="96" t="inlineStr">
        <is>
          <t>RVI (RUSSIAN VENTURE INVESTMENTS)</t>
        </is>
      </c>
      <c r="AK138" s="130" t="n">
        <v>0</v>
      </c>
    </row>
    <row r="139" ht="12" customHeight="1">
      <c r="A139" s="108" t="inlineStr">
        <is>
          <t>TCLU3361047</t>
        </is>
      </c>
      <c r="B139" s="108" t="inlineStr">
        <is>
          <t>BKK01</t>
        </is>
      </c>
      <c r="C139" s="108" t="inlineStr">
        <is>
          <t>IFV</t>
        </is>
      </c>
      <c r="D139" s="172" t="inlineStr">
        <is>
          <t>2026-10-12</t>
        </is>
      </c>
      <c r="E139" s="173" t="inlineStr">
        <is>
          <t>0357</t>
        </is>
      </c>
      <c r="F139" s="96" t="inlineStr">
        <is>
          <t>HASLS22260901932</t>
        </is>
      </c>
      <c r="G139" s="96" t="inlineStr">
        <is>
          <t>THAI AGRI FOODS PUBLIC COMPANY LIMITED</t>
        </is>
      </c>
      <c r="H139" s="111" t="inlineStr">
        <is>
          <t>22GP</t>
        </is>
      </c>
      <c r="I139" s="96" t="n"/>
      <c r="J139" s="96" t="inlineStr">
        <is>
          <t>Chuanchuen</t>
        </is>
      </c>
      <c r="K139" s="96" t="inlineStr">
        <is>
          <t>SD</t>
        </is>
      </c>
      <c r="L139" s="111" t="inlineStr">
        <is>
          <t>Full</t>
        </is>
      </c>
      <c r="M139" s="96" t="inlineStr">
        <is>
          <t>HASLS22260901932</t>
        </is>
      </c>
      <c r="N139" s="96" t="inlineStr">
        <is>
          <t xml:space="preserve">20'x1 </t>
        </is>
      </c>
      <c r="O139" s="111" t="inlineStr">
        <is>
          <t>2012</t>
        </is>
      </c>
      <c r="P139" s="111" t="n"/>
      <c r="Q139" s="111" t="n"/>
      <c r="R139" s="96" t="n"/>
      <c r="S139" s="96" t="n"/>
      <c r="T139" s="96" t="inlineStr">
        <is>
          <t>BKK01</t>
        </is>
      </c>
      <c r="U139" s="96" t="inlineStr">
        <is>
          <t>THBKK</t>
        </is>
      </c>
      <c r="V139" s="161" t="inlineStr">
        <is>
          <t>2026-10-16</t>
        </is>
      </c>
      <c r="W139" s="96" t="inlineStr">
        <is>
          <t>RUVVO</t>
        </is>
      </c>
      <c r="X139" s="161" t="inlineStr">
        <is>
          <t>2026-10-25</t>
        </is>
      </c>
      <c r="Y139" s="97" t="n"/>
      <c r="Z139" s="97" t="n"/>
      <c r="AA139" s="97" t="n"/>
      <c r="AB139" s="97" t="n"/>
      <c r="AC139" s="97" t="n"/>
      <c r="AD139" s="161" t="inlineStr">
        <is>
          <t>2026-10-15</t>
        </is>
      </c>
      <c r="AE139" s="174" t="inlineStr">
        <is>
          <t>1123</t>
        </is>
      </c>
      <c r="AF139" s="96" t="inlineStr">
        <is>
          <t>TBKK07</t>
        </is>
      </c>
      <c r="AG139" s="97" t="n"/>
      <c r="AH139" s="97" t="n"/>
      <c r="AI139" s="97" t="n"/>
      <c r="AJ139" s="96" t="inlineStr">
        <is>
          <t>EXIM PACIFIC LLC. RUSSIA,</t>
        </is>
      </c>
      <c r="AK139" s="130" t="n">
        <v>0</v>
      </c>
    </row>
    <row r="140" ht="12" customHeight="1">
      <c r="A140" s="108" t="inlineStr">
        <is>
          <t>TEMU5121525</t>
        </is>
      </c>
      <c r="B140" s="108" t="inlineStr">
        <is>
          <t>BKK01</t>
        </is>
      </c>
      <c r="C140" s="108" t="inlineStr">
        <is>
          <t>IFV</t>
        </is>
      </c>
      <c r="D140" s="172" t="inlineStr">
        <is>
          <t>2026-10-11</t>
        </is>
      </c>
      <c r="E140" s="173" t="inlineStr">
        <is>
          <t>0418</t>
        </is>
      </c>
      <c r="F140" s="96" t="inlineStr">
        <is>
          <t>HASLS22260902262</t>
        </is>
      </c>
      <c r="G140" s="96" t="inlineStr">
        <is>
          <t>SCAN GLOBAL LOGISTICS CO., LTD.</t>
        </is>
      </c>
      <c r="H140" s="111" t="inlineStr">
        <is>
          <t>22GP</t>
        </is>
      </c>
      <c r="I140" s="96" t="n"/>
      <c r="J140" s="96" t="inlineStr">
        <is>
          <t>Sirichai Prayochananon</t>
        </is>
      </c>
      <c r="K140" s="96" t="inlineStr">
        <is>
          <t>SD</t>
        </is>
      </c>
      <c r="L140" s="111" t="inlineStr">
        <is>
          <t>Full</t>
        </is>
      </c>
      <c r="M140" s="96" t="inlineStr">
        <is>
          <t>HASLS22260902262</t>
        </is>
      </c>
      <c r="N140" s="96" t="inlineStr">
        <is>
          <t xml:space="preserve">20'x1 </t>
        </is>
      </c>
      <c r="O140" s="111" t="inlineStr">
        <is>
          <t>2014</t>
        </is>
      </c>
      <c r="P140" s="111" t="n"/>
      <c r="Q140" s="111" t="n"/>
      <c r="R140" s="96" t="n"/>
      <c r="S140" s="96" t="n"/>
      <c r="T140" s="96" t="inlineStr">
        <is>
          <t>BKK01</t>
        </is>
      </c>
      <c r="U140" s="96" t="inlineStr">
        <is>
          <t>THBKK</t>
        </is>
      </c>
      <c r="V140" s="161" t="inlineStr">
        <is>
          <t>2026-10-16</t>
        </is>
      </c>
      <c r="W140" s="96" t="inlineStr">
        <is>
          <t>JPSMZ</t>
        </is>
      </c>
      <c r="X140" s="161" t="inlineStr">
        <is>
          <t>2026-10-25</t>
        </is>
      </c>
      <c r="Y140" s="97" t="n"/>
      <c r="Z140" s="97" t="n"/>
      <c r="AA140" s="97" t="n"/>
      <c r="AB140" s="97" t="n"/>
      <c r="AC140" s="97" t="n"/>
      <c r="AD140" s="161" t="inlineStr">
        <is>
          <t>2026-10-11</t>
        </is>
      </c>
      <c r="AE140" s="174" t="inlineStr">
        <is>
          <t>2325</t>
        </is>
      </c>
      <c r="AF140" s="96" t="inlineStr">
        <is>
          <t>TBKK42</t>
        </is>
      </c>
      <c r="AG140" s="97" t="n"/>
      <c r="AH140" s="97" t="n"/>
      <c r="AI140" s="97" t="n"/>
      <c r="AJ140" s="96" t="inlineStr">
        <is>
          <t>SCAN GLOBAL LOGISTICS K.K.</t>
        </is>
      </c>
      <c r="AK140" s="130" t="n">
        <v>0</v>
      </c>
    </row>
    <row r="141" ht="12" customHeight="1">
      <c r="A141" s="108" t="inlineStr">
        <is>
          <t>TEMU9748750</t>
        </is>
      </c>
      <c r="B141" s="108" t="inlineStr">
        <is>
          <t>BKK01</t>
        </is>
      </c>
      <c r="C141" s="108" t="inlineStr">
        <is>
          <t>IFV</t>
        </is>
      </c>
      <c r="D141" s="172" t="inlineStr">
        <is>
          <t>2026-10-12</t>
        </is>
      </c>
      <c r="E141" s="173" t="inlineStr">
        <is>
          <t>2243</t>
        </is>
      </c>
      <c r="F141" s="96" t="inlineStr">
        <is>
          <t>HASLS22260902791</t>
        </is>
      </c>
      <c r="G141" s="96" t="inlineStr">
        <is>
          <t>VENTE TRADE CO.,LTD.</t>
        </is>
      </c>
      <c r="H141" s="111" t="inlineStr">
        <is>
          <t>45RE</t>
        </is>
      </c>
      <c r="I141" s="96" t="n"/>
      <c r="J141" s="96" t="inlineStr">
        <is>
          <t>Sirichai Prayochananon</t>
        </is>
      </c>
      <c r="K141" s="96" t="inlineStr">
        <is>
          <t>SD</t>
        </is>
      </c>
      <c r="L141" s="111" t="inlineStr">
        <is>
          <t>Full</t>
        </is>
      </c>
      <c r="M141" s="96" t="inlineStr">
        <is>
          <t>HASLS22260902791</t>
        </is>
      </c>
      <c r="N141" s="96" t="inlineStr">
        <is>
          <t xml:space="preserve">R40Hx7 </t>
        </is>
      </c>
      <c r="O141" s="111" t="inlineStr">
        <is>
          <t>2020</t>
        </is>
      </c>
      <c r="P141" s="111" t="inlineStr">
        <is>
          <t>THERMOKING</t>
        </is>
      </c>
      <c r="Q141" s="111" t="inlineStr">
        <is>
          <t>MAGNUM PLUS</t>
        </is>
      </c>
      <c r="R141" s="96" t="n"/>
      <c r="S141" s="96" t="n"/>
      <c r="T141" s="96" t="inlineStr">
        <is>
          <t>BKK01</t>
        </is>
      </c>
      <c r="U141" s="96" t="inlineStr">
        <is>
          <t>THBKK</t>
        </is>
      </c>
      <c r="V141" s="161" t="inlineStr">
        <is>
          <t>2026-10-16</t>
        </is>
      </c>
      <c r="W141" s="96" t="inlineStr">
        <is>
          <t>RUVVO</t>
        </is>
      </c>
      <c r="X141" s="161" t="inlineStr">
        <is>
          <t>2026-10-25</t>
        </is>
      </c>
      <c r="Y141" s="97" t="n"/>
      <c r="Z141" s="97" t="n"/>
      <c r="AA141" s="97" t="n"/>
      <c r="AB141" s="97" t="n"/>
      <c r="AC141" s="97" t="n"/>
      <c r="AD141" s="161" t="inlineStr">
        <is>
          <t>2026-10-14</t>
        </is>
      </c>
      <c r="AE141" s="174" t="inlineStr">
        <is>
          <t>0021</t>
        </is>
      </c>
      <c r="AF141" s="96" t="inlineStr">
        <is>
          <t>TBKK42</t>
        </is>
      </c>
      <c r="AG141" s="97" t="n"/>
      <c r="AH141" s="97" t="n"/>
      <c r="AI141" s="97" t="n"/>
      <c r="AJ141" s="96" t="inlineStr">
        <is>
          <t>RVI (RUSSIAN VENTURE INVESTMENTS)</t>
        </is>
      </c>
      <c r="AK141" s="130" t="n">
        <v>0</v>
      </c>
    </row>
    <row r="142" ht="12" customHeight="1">
      <c r="A142" s="108" t="inlineStr">
        <is>
          <t>TRHU2722779</t>
        </is>
      </c>
      <c r="B142" s="108" t="inlineStr">
        <is>
          <t>BKK01</t>
        </is>
      </c>
      <c r="C142" s="108" t="inlineStr">
        <is>
          <t>IFV</t>
        </is>
      </c>
      <c r="D142" s="172" t="inlineStr">
        <is>
          <t>2026-10-13</t>
        </is>
      </c>
      <c r="E142" s="173" t="inlineStr">
        <is>
          <t>0929</t>
        </is>
      </c>
      <c r="F142" s="96" t="inlineStr">
        <is>
          <t>HASLS22260801161</t>
        </is>
      </c>
      <c r="G142" s="96" t="inlineStr">
        <is>
          <t>MEGALOAD DEVELOPMENT LOGISTICS CO., LTD.</t>
        </is>
      </c>
      <c r="H142" s="111" t="inlineStr">
        <is>
          <t>22GP</t>
        </is>
      </c>
      <c r="I142" s="96" t="n"/>
      <c r="J142" s="96" t="inlineStr">
        <is>
          <t>Sirichai Prayochananon</t>
        </is>
      </c>
      <c r="K142" s="96" t="inlineStr">
        <is>
          <t>SD</t>
        </is>
      </c>
      <c r="L142" s="111" t="inlineStr">
        <is>
          <t>Full</t>
        </is>
      </c>
      <c r="M142" s="96" t="inlineStr">
        <is>
          <t>HASLS22260801161</t>
        </is>
      </c>
      <c r="N142" s="96" t="inlineStr">
        <is>
          <t xml:space="preserve">20'x13 </t>
        </is>
      </c>
      <c r="O142" s="111" t="inlineStr">
        <is>
          <t>2012</t>
        </is>
      </c>
      <c r="P142" s="111" t="n"/>
      <c r="Q142" s="111" t="n"/>
      <c r="R142" s="96" t="n"/>
      <c r="S142" s="96" t="n"/>
      <c r="T142" s="96" t="inlineStr">
        <is>
          <t>BKK01</t>
        </is>
      </c>
      <c r="U142" s="96" t="inlineStr">
        <is>
          <t>THBKK</t>
        </is>
      </c>
      <c r="V142" s="161" t="inlineStr">
        <is>
          <t>2026-10-16</t>
        </is>
      </c>
      <c r="W142" s="96" t="inlineStr">
        <is>
          <t>JPKSM</t>
        </is>
      </c>
      <c r="X142" s="161" t="inlineStr">
        <is>
          <t>2026-10-25</t>
        </is>
      </c>
      <c r="Y142" s="97" t="n"/>
      <c r="Z142" s="97" t="n"/>
      <c r="AA142" s="97" t="n"/>
      <c r="AB142" s="97" t="n"/>
      <c r="AC142" s="97" t="n"/>
      <c r="AD142" s="161" t="inlineStr">
        <is>
          <t>2026-10-14</t>
        </is>
      </c>
      <c r="AE142" s="174" t="inlineStr">
        <is>
          <t>0021</t>
        </is>
      </c>
      <c r="AF142" s="96" t="inlineStr">
        <is>
          <t>TBKK42</t>
        </is>
      </c>
      <c r="AG142" s="97" t="n"/>
      <c r="AH142" s="97" t="n"/>
      <c r="AI142" s="97" t="n"/>
      <c r="AJ142" s="96" t="inlineStr">
        <is>
          <t>SANSHO CO., LTD.</t>
        </is>
      </c>
      <c r="AK142" s="130" t="n">
        <v>0</v>
      </c>
    </row>
    <row r="143" ht="12" customHeight="1">
      <c r="A143" s="108" t="inlineStr">
        <is>
          <t>TRHU4863610</t>
        </is>
      </c>
      <c r="B143" s="108" t="inlineStr">
        <is>
          <t>BKK01</t>
        </is>
      </c>
      <c r="C143" s="108" t="inlineStr">
        <is>
          <t>IFV</t>
        </is>
      </c>
      <c r="D143" s="172" t="inlineStr">
        <is>
          <t>2026-10-10</t>
        </is>
      </c>
      <c r="E143" s="173" t="inlineStr">
        <is>
          <t>0241</t>
        </is>
      </c>
      <c r="F143" s="96" t="inlineStr">
        <is>
          <t>HASLS22260901777</t>
        </is>
      </c>
      <c r="G143" s="96" t="inlineStr">
        <is>
          <t>MULFRO (THAILAND) CO., LTD.</t>
        </is>
      </c>
      <c r="H143" s="111" t="inlineStr">
        <is>
          <t>45GP</t>
        </is>
      </c>
      <c r="I143" s="96" t="n"/>
      <c r="J143" s="96" t="inlineStr">
        <is>
          <t>Sirichai Prayochananon</t>
        </is>
      </c>
      <c r="K143" s="96" t="inlineStr">
        <is>
          <t>SD</t>
        </is>
      </c>
      <c r="L143" s="111" t="inlineStr">
        <is>
          <t>Full</t>
        </is>
      </c>
      <c r="M143" s="96" t="inlineStr">
        <is>
          <t>HASLS22260901777</t>
        </is>
      </c>
      <c r="N143" s="96" t="inlineStr">
        <is>
          <t xml:space="preserve">40Hx1 </t>
        </is>
      </c>
      <c r="O143" s="111" t="inlineStr">
        <is>
          <t>2020</t>
        </is>
      </c>
      <c r="P143" s="111" t="n"/>
      <c r="Q143" s="111" t="n"/>
      <c r="R143" s="96" t="n"/>
      <c r="S143" s="96" t="n"/>
      <c r="T143" s="96" t="inlineStr">
        <is>
          <t>BKK01</t>
        </is>
      </c>
      <c r="U143" s="96" t="inlineStr">
        <is>
          <t>THBKK</t>
        </is>
      </c>
      <c r="V143" s="161" t="inlineStr">
        <is>
          <t>2026-10-16</t>
        </is>
      </c>
      <c r="W143" s="96" t="inlineStr">
        <is>
          <t>JPMYJ</t>
        </is>
      </c>
      <c r="X143" s="161" t="inlineStr">
        <is>
          <t>2026-10-25</t>
        </is>
      </c>
      <c r="Y143" s="97" t="n"/>
      <c r="Z143" s="97" t="n"/>
      <c r="AA143" s="97" t="n"/>
      <c r="AB143" s="97" t="n"/>
      <c r="AC143" s="97" t="n"/>
      <c r="AD143" s="161" t="inlineStr">
        <is>
          <t>2026-10-11</t>
        </is>
      </c>
      <c r="AE143" s="174" t="inlineStr">
        <is>
          <t>2325</t>
        </is>
      </c>
      <c r="AF143" s="96" t="inlineStr">
        <is>
          <t>TBKK42</t>
        </is>
      </c>
      <c r="AG143" s="97" t="n"/>
      <c r="AH143" s="97" t="n"/>
      <c r="AI143" s="97" t="n"/>
      <c r="AJ143" s="96" t="inlineStr">
        <is>
          <t>TO ORDER OF SHIPPER</t>
        </is>
      </c>
      <c r="AK143" s="130" t="n">
        <v>0</v>
      </c>
    </row>
    <row r="144" ht="12" customHeight="1">
      <c r="A144" s="108" t="inlineStr">
        <is>
          <t>TRHU6362665</t>
        </is>
      </c>
      <c r="B144" s="108" t="inlineStr">
        <is>
          <t>BKK01</t>
        </is>
      </c>
      <c r="C144" s="108" t="inlineStr">
        <is>
          <t>IFV</t>
        </is>
      </c>
      <c r="D144" s="172" t="inlineStr">
        <is>
          <t>2026-10-12</t>
        </is>
      </c>
      <c r="E144" s="173" t="inlineStr">
        <is>
          <t>2311</t>
        </is>
      </c>
      <c r="F144" s="96" t="inlineStr">
        <is>
          <t>HASLS22260902222</t>
        </is>
      </c>
      <c r="G144" s="96" t="inlineStr">
        <is>
          <t>CAPRICORN LOGISTICS CO., LTD.</t>
        </is>
      </c>
      <c r="H144" s="111" t="inlineStr">
        <is>
          <t>45GP</t>
        </is>
      </c>
      <c r="I144" s="96" t="n"/>
      <c r="J144" s="96" t="inlineStr">
        <is>
          <t>Sirichai Prayochananon</t>
        </is>
      </c>
      <c r="K144" s="96" t="inlineStr">
        <is>
          <t>SD</t>
        </is>
      </c>
      <c r="L144" s="111" t="inlineStr">
        <is>
          <t>Full</t>
        </is>
      </c>
      <c r="M144" s="96" t="inlineStr">
        <is>
          <t>HASLS22260902222</t>
        </is>
      </c>
      <c r="N144" s="96" t="inlineStr">
        <is>
          <t xml:space="preserve">40Hx5 </t>
        </is>
      </c>
      <c r="O144" s="111" t="inlineStr">
        <is>
          <t>2021</t>
        </is>
      </c>
      <c r="P144" s="111" t="n"/>
      <c r="Q144" s="111" t="n"/>
      <c r="R144" s="96" t="n"/>
      <c r="S144" s="96" t="n"/>
      <c r="T144" s="96" t="inlineStr">
        <is>
          <t>BKK01</t>
        </is>
      </c>
      <c r="U144" s="96" t="inlineStr">
        <is>
          <t>THBKK</t>
        </is>
      </c>
      <c r="V144" s="161" t="inlineStr">
        <is>
          <t>2026-10-16</t>
        </is>
      </c>
      <c r="W144" s="96" t="inlineStr">
        <is>
          <t>VNSGN</t>
        </is>
      </c>
      <c r="X144" s="161" t="inlineStr">
        <is>
          <t>2026-10-18</t>
        </is>
      </c>
      <c r="Y144" s="97" t="n"/>
      <c r="Z144" s="97" t="n"/>
      <c r="AA144" s="97" t="n"/>
      <c r="AB144" s="97" t="n"/>
      <c r="AC144" s="97" t="n"/>
      <c r="AD144" s="161" t="inlineStr">
        <is>
          <t>2026-10-14</t>
        </is>
      </c>
      <c r="AE144" s="174" t="inlineStr">
        <is>
          <t>0021</t>
        </is>
      </c>
      <c r="AF144" s="96" t="inlineStr">
        <is>
          <t>TBKK42</t>
        </is>
      </c>
      <c r="AG144" s="97" t="n"/>
      <c r="AH144" s="97" t="n"/>
      <c r="AI144" s="97" t="n"/>
      <c r="AJ144" s="96" t="inlineStr">
        <is>
          <t>GIA NGUYEN INT'L LOGISTICS CO., LTD</t>
        </is>
      </c>
      <c r="AK144" s="130" t="n">
        <v>0</v>
      </c>
    </row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145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110415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110415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BEAU2356214</t>
        </is>
      </c>
      <c r="B3" s="4" t="str">
        <f>IF(C3=Charge!$M$1,Charge!$J$1,IF(C3=Charge!$M$23,Charge!$J$23,IF(C3=Charge!$M$17,Charge!$J$17,IF(C3=Charge!$N$17,Charge!$J$17,Charge!$J$7))))</f>
        <v>G3</v>
      </c>
      <c r="C3" s="61" t="str">
        <f>VLOOKUP(A3,'1.Loading'!A:R,14,FALSE)</f>
        <v>BKK01</v>
      </c>
      <c r="D3" s="61" t="str">
        <f>VLOOKUP(A3,'1.Loading'!A:R,17,FALSE)</f>
        <v>HASLS22260801865</v>
      </c>
      <c r="E3" s="62" t="str">
        <f>VLOOKUP(D3,'2.Bookinglist'!A:CT,27,FALSE)</f>
        <v>STARFISH CO., LTD.</v>
      </c>
      <c r="F3" s="62" t="str">
        <f>VLOOKUP(D3,'2.Bookinglist'!A:CT,28,FALSE)</f>
        <v>STARFISH CO., LTD.</v>
      </c>
      <c r="G3" s="60">
        <f>VLOOKUP(D3,'2.Bookinglist'!A:E,5,FALSE)</f>
        <v>0</v>
      </c>
      <c r="H3" s="61" t="str">
        <f>VLOOKUP(D3,'2.Bookinglist'!A:CT,15,FALSE)</f>
        <v>THBKK</v>
      </c>
      <c r="I3" s="61" t="str">
        <f>VLOOKUP(D3,'2.Bookinglist'!A:CT,19,FALSE)</f>
        <v>JPSEN</v>
      </c>
      <c r="J3" s="61" t="str">
        <f>VLOOKUP(D3,'2.Bookinglist'!A:CT,26,FALSE)</f>
        <v>KRPUS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SWIC</v>
      </c>
      <c r="P3" s="61" t="str">
        <f>VLOOKUP(A3,'1.Loading'!A:R,4,FALSE)</f>
        <v>2611N</v>
      </c>
      <c r="Q3" s="61" t="str">
        <f>VLOOKUP(D3,'2.Bookinglist'!A:CT,12,FALSE)</f>
        <v>KHS1</v>
      </c>
      <c r="R3" s="60" t="str">
        <f>IF(LEFT(K3,2)="22","20'","40'")</f>
        <v>20'</v>
      </c>
      <c r="S3" s="101" t="n"/>
      <c r="T3" s="61" t="str">
        <f>VLOOKUP(A3,'1.Loading'!A:R,2,FALSE)</f>
        <v>2026-10-16</v>
      </c>
      <c r="U3" s="63">
        <f>T3-S3</f>
        <v>46311</v>
      </c>
      <c r="V3" s="178" t="n"/>
      <c r="W3" s="61" t="str">
        <f>VLOOKUP(A3,'3.GateMove'!A:D,4,FALSE)</f>
        <v>2026-10-03</v>
      </c>
      <c r="X3" s="63">
        <f>((T3-W3)+1)</f>
        <v>14</v>
      </c>
      <c r="Y3" s="64">
        <f>IF(AND(OR(C3="BKK01",C3="BKK04"),L3="CFS/CY"),0,IF(M3="DG",1,IF(LEFT(C3,3)="LCH",7,IF(C3="BKK02",5,3))))</f>
        <v>3</v>
      </c>
      <c r="Z3" s="63">
        <f>IF(IF(AND(AC3="TML",AB3&gt;0),((T3-W3)+1)-AB3,((T3-W3)+1)-Y3)&gt;0,IF(AND(AC3="TML",AB3&gt;0),((T3-W3)+1)-AB3,((T3-W3)+1)-Y3),0)</f>
        <v>11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2220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46312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2220</v>
      </c>
      <c r="AJ3" s="70" t="n"/>
      <c r="AK3" s="62" t="str">
        <f>VLOOKUP(D3,'2.Bookinglist'!A:CT,40,FALSE)</f>
        <v>Dharaporn</v>
      </c>
      <c r="AL3" s="60" t="str">
        <f>VLOOKUP(D3,'2.Bookinglist'!A:CW,101,FALSE)</f>
        <v>2026-10-15</v>
      </c>
      <c r="AM3" s="60" t="str">
        <f>VLOOKUP(D3,'2.Bookinglist'!A:BK,63,FALSE)</f>
        <v>BKK27</v>
      </c>
      <c r="AN3" s="62" t="str">
        <f>VLOOKUP(D3,'2.Bookinglist'!A:AZ,52,FALSE)</f>
        <v>[FIX]Pickup : 2026-10-02, Return : 2026-10-03</v>
      </c>
      <c r="AO3" s="62" t="str">
        <f>VLOOKUP(D3,'2.Bookinglist'!A:CY,103,FALSE)</f>
        <v>ROLL OVER FROM PREVIOUS VSL SWSP 2609N BY ALLOCATON TEAM MS.TARN APPROVED COST IS UNDER HA DD.4/10</v>
      </c>
    </row>
    <row r="4" ht="12.95" customHeight="1">
      <c r="A4" s="96" t="inlineStr">
        <is>
          <t>BEAU2478233</t>
        </is>
      </c>
      <c r="B4" s="184" t="str">
        <f>IF(C4=Charge!$M$1,Charge!$J$1,IF(C4=Charge!$M$23,Charge!$J$23,IF(C4=Charge!$M$17,Charge!$J$17,IF(C4=Charge!$N$17,Charge!$J$17,Charge!$J$7))))</f>
        <v>G3</v>
      </c>
      <c r="C4" s="61" t="str">
        <f>VLOOKUP(A4,'1.Loading'!A:R,14,FALSE)</f>
        <v>BKK01</v>
      </c>
      <c r="D4" s="61" t="str">
        <f>VLOOKUP(A4,'1.Loading'!A:R,17,FALSE)</f>
        <v>HASLS22260801161</v>
      </c>
      <c r="E4" s="62" t="str">
        <f>VLOOKUP(D4,'2.Bookinglist'!A:CT,27,FALSE)</f>
        <v>MEGALOAD DEVELOPMENT LOGISTICS CO., LTD.</v>
      </c>
      <c r="F4" s="62" t="str">
        <f>VLOOKUP(D4,'2.Bookinglist'!A:CT,28,FALSE)</f>
        <v>FISHMEAL MARKETING DEVELOPMENT CO., LTD.</v>
      </c>
      <c r="G4" s="60">
        <f>VLOOKUP(D4,'2.Bookinglist'!A:E,5,FALSE)</f>
        <v>0</v>
      </c>
      <c r="H4" s="61" t="str">
        <f>VLOOKUP(D4,'2.Bookinglist'!A:CT,15,FALSE)</f>
        <v>THBKK</v>
      </c>
      <c r="I4" s="61" t="str">
        <f>VLOOKUP(D4,'2.Bookinglist'!A:CT,19,FALSE)</f>
        <v>JPKSM</v>
      </c>
      <c r="J4" s="61" t="str">
        <f>VLOOKUP(D4,'2.Bookinglist'!A:CT,26,FALSE)</f>
        <v>KRPUS</v>
      </c>
      <c r="K4" s="61" t="str">
        <f>VLOOKUP(A4,'1.Loading'!A:R,5,FALSE)</f>
        <v>22GP</v>
      </c>
      <c r="L4" s="60" t="str">
        <f>VLOOKUP(D4,'2.Bookinglist'!A:CT,85,FALSE)</f>
        <v>CY/CY</v>
      </c>
      <c r="M4" s="60" t="str">
        <f>IF(VLOOKUP(D4,'2.Bookinglist'!A:CT,43,FALSE)=0,"","DG")</f>
        <v>DG</v>
      </c>
      <c r="N4" s="60" t="str">
        <f>IF(RIGHT(K4,2)="RE","RF","")</f>
        <v/>
      </c>
      <c r="O4" s="61" t="str">
        <f>VLOOKUP(A4,'1.Loading'!A:R,3,FALSE)</f>
        <v>SWIC</v>
      </c>
      <c r="P4" s="61" t="str">
        <f>VLOOKUP(A4,'1.Loading'!A:R,4,FALSE)</f>
        <v>2611N</v>
      </c>
      <c r="Q4" s="61" t="str">
        <f>VLOOKUP(D4,'2.Bookinglist'!A:CT,12,FALSE)</f>
        <v>KHS1</v>
      </c>
      <c r="R4" s="60" t="str">
        <f>IF(LEFT(K4,2)="22","20'","40'")</f>
        <v>20'</v>
      </c>
      <c r="S4" s="185" t="n"/>
      <c r="T4" s="61" t="str">
        <f>VLOOKUP(A4,'1.Loading'!A:R,2,FALSE)</f>
        <v>2026-10-16</v>
      </c>
      <c r="U4" s="63">
        <f>T4-S4</f>
        <v>46311</v>
      </c>
      <c r="V4" s="186" t="n"/>
      <c r="W4" s="61" t="str">
        <f>VLOOKUP(A4,'3.GateMove'!A:D,4,FALSE)</f>
        <v>2026-10-12</v>
      </c>
      <c r="X4" s="63">
        <f>((T4-W4)+1)</f>
        <v>5</v>
      </c>
      <c r="Y4" s="64">
        <f>IF(AND(OR(C4="BKK01",C4="BKK04"),L4="CFS/CY"),0,IF(M4="DG",1,IF(LEFT(C4,3)="LCH",7,IF(C4="BKK02",5,3))))</f>
        <v>1</v>
      </c>
      <c r="Z4" s="63">
        <f>IF(IF(AND(AC4="TML",AB4&gt;0),((T4-W4)+1)-AB4,((T4-W4)+1)-Y4)&gt;0,IF(AND(AC4="TML",AB4&gt;0),((T4-W4)+1)-AB4,((T4-W4)+1)-Y4),0)</f>
        <v>4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1920</v>
      </c>
      <c r="AB4" s="184" t="n"/>
      <c r="AC4" s="184" t="n"/>
      <c r="AD4" s="60">
        <f>IF(M4="DG",3,IF(N4="RF",3,5))+IF(AND(LEFT(C4,3)="BKK",N4="RF",Q4="KTS"),1,0)+IF(Q4="KHS",1,0)</f>
        <v>3</v>
      </c>
      <c r="AE4" s="63">
        <f>(T4-V4)+1</f>
        <v>46312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1920</v>
      </c>
      <c r="AJ4" s="188" t="n"/>
      <c r="AK4" s="62" t="str">
        <f>VLOOKUP(D4,'2.Bookinglist'!A:CT,40,FALSE)</f>
        <v>Tarn(Supaporn)</v>
      </c>
      <c r="AL4" s="60" t="str">
        <f>VLOOKUP(D4,'2.Bookinglist'!A:CW,101,FALSE)</f>
        <v>2026-10-12</v>
      </c>
      <c r="AM4" s="60" t="str">
        <f>VLOOKUP(D4,'2.Bookinglist'!A:BK,63,FALSE)</f>
        <v>BKK27</v>
      </c>
      <c r="AN4" s="62" t="str">
        <f>VLOOKUP(D4,'2.Bookinglist'!A:AZ,52,FALSE)</f>
        <v>[FIX][FIX]** APPROVAL DG BY MR.M.J CHANG DD.30/09/2026 ** DG22GPx13 (CLS 9 / UN 2216)  
Pickup : 2026-10-10, Return : 2026-09-10 
EXTEND  CLS TIME 13/23.59 FIRST DATE CAN RETURN CNTR DD.13/10</v>
      </c>
      <c r="AO4" s="62">
        <f>VLOOKUP(D4,'2.Bookinglist'!A:CY,103,FALSE)</f>
        <v>0</v>
      </c>
    </row>
    <row r="5" ht="12.95" customHeight="1">
      <c r="A5" s="96" t="inlineStr">
        <is>
          <t>BEAU2860246</t>
        </is>
      </c>
      <c r="B5" s="184" t="str">
        <f>IF(C5=Charge!$M$1,Charge!$J$1,IF(C5=Charge!$M$23,Charge!$J$23,IF(C5=Charge!$M$17,Charge!$J$17,IF(C5=Charge!$N$17,Charge!$J$17,Charge!$J$7))))</f>
        <v>G3</v>
      </c>
      <c r="C5" s="61" t="str">
        <f>VLOOKUP(A5,'1.Loading'!A:R,14,FALSE)</f>
        <v>BKK01</v>
      </c>
      <c r="D5" s="61" t="str">
        <f>VLOOKUP(A5,'1.Loading'!A:R,17,FALSE)</f>
        <v>HASLS22260801161</v>
      </c>
      <c r="E5" s="62" t="str">
        <f>VLOOKUP(D5,'2.Bookinglist'!A:CT,27,FALSE)</f>
        <v>MEGALOAD DEVELOPMENT LOGISTICS CO., LTD.</v>
      </c>
      <c r="F5" s="62" t="str">
        <f>VLOOKUP(D5,'2.Bookinglist'!A:CT,28,FALSE)</f>
        <v>FISHMEAL MARKETING DEVELOPMENT CO., LTD.</v>
      </c>
      <c r="G5" s="60">
        <f>VLOOKUP(D5,'2.Bookinglist'!A:E,5,FALSE)</f>
        <v>0</v>
      </c>
      <c r="H5" s="61" t="str">
        <f>VLOOKUP(D5,'2.Bookinglist'!A:CT,15,FALSE)</f>
        <v>THBKK</v>
      </c>
      <c r="I5" s="61" t="str">
        <f>VLOOKUP(D5,'2.Bookinglist'!A:CT,19,FALSE)</f>
        <v>JPKSM</v>
      </c>
      <c r="J5" s="61" t="str">
        <f>VLOOKUP(D5,'2.Bookinglist'!A:CT,26,FALSE)</f>
        <v>KRPUS</v>
      </c>
      <c r="K5" s="61" t="str">
        <f>VLOOKUP(A5,'1.Loading'!A:R,5,FALSE)</f>
        <v>22GP</v>
      </c>
      <c r="L5" s="60" t="str">
        <f>VLOOKUP(D5,'2.Bookinglist'!A:CT,85,FALSE)</f>
        <v>CY/CY</v>
      </c>
      <c r="M5" s="60" t="str">
        <f>IF(VLOOKUP(D5,'2.Bookinglist'!A:CT,43,FALSE)=0,"","DG")</f>
        <v>DG</v>
      </c>
      <c r="N5" s="60" t="str">
        <f>IF(RIGHT(K5,2)="RE","RF","")</f>
        <v/>
      </c>
      <c r="O5" s="61" t="str">
        <f>VLOOKUP(A5,'1.Loading'!A:R,3,FALSE)</f>
        <v>SWIC</v>
      </c>
      <c r="P5" s="61" t="str">
        <f>VLOOKUP(A5,'1.Loading'!A:R,4,FALSE)</f>
        <v>2611N</v>
      </c>
      <c r="Q5" s="61" t="str">
        <f>VLOOKUP(D5,'2.Bookinglist'!A:CT,12,FALSE)</f>
        <v>KHS1</v>
      </c>
      <c r="R5" s="60" t="str">
        <f>IF(LEFT(K5,2)="22","20'","40'")</f>
        <v>20'</v>
      </c>
      <c r="S5" s="185" t="n"/>
      <c r="T5" s="61" t="str">
        <f>VLOOKUP(A5,'1.Loading'!A:R,2,FALSE)</f>
        <v>2026-10-16</v>
      </c>
      <c r="U5" s="63">
        <f>T5-S5</f>
        <v>46311</v>
      </c>
      <c r="V5" s="186" t="n"/>
      <c r="W5" s="61" t="str">
        <f>VLOOKUP(A5,'3.GateMove'!A:D,4,FALSE)</f>
        <v>2026-10-13</v>
      </c>
      <c r="X5" s="63">
        <f>((T5-W5)+1)</f>
        <v>4</v>
      </c>
      <c r="Y5" s="64">
        <f>IF(AND(OR(C5="BKK01",C5="BKK04"),L5="CFS/CY"),0,IF(M5="DG",1,IF(LEFT(C5,3)="LCH",7,IF(C5="BKK02",5,3))))</f>
        <v>1</v>
      </c>
      <c r="Z5" s="63">
        <f>IF(IF(AND(AC5="TML",AB5&gt;0),((T5-W5)+1)-AB5,((T5-W5)+1)-Y5)&gt;0,IF(AND(AC5="TML",AB5&gt;0),((T5-W5)+1)-AB5,((T5-W5)+1)-Y5),0)</f>
        <v>3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1440</v>
      </c>
      <c r="AB5" s="184" t="n"/>
      <c r="AC5" s="184" t="n"/>
      <c r="AD5" s="60">
        <f>IF(M5="DG",3,IF(N5="RF",3,5))+IF(AND(LEFT(C5,3)="BKK",N5="RF",Q5="KTS"),1,0)+IF(Q5="KHS",1,0)</f>
        <v>3</v>
      </c>
      <c r="AE5" s="63">
        <f>(T5-V5)+1</f>
        <v>46312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1440</v>
      </c>
      <c r="AJ5" s="188" t="n"/>
      <c r="AK5" s="62" t="str">
        <f>VLOOKUP(D5,'2.Bookinglist'!A:CT,40,FALSE)</f>
        <v>Tarn(Supaporn)</v>
      </c>
      <c r="AL5" s="60" t="str">
        <f>VLOOKUP(D5,'2.Bookinglist'!A:CW,101,FALSE)</f>
        <v>2026-10-12</v>
      </c>
      <c r="AM5" s="60" t="str">
        <f>VLOOKUP(D5,'2.Bookinglist'!A:BK,63,FALSE)</f>
        <v>BKK27</v>
      </c>
      <c r="AN5" s="62" t="str">
        <f>VLOOKUP(D5,'2.Bookinglist'!A:AZ,52,FALSE)</f>
        <v>[FIX][FIX]** APPROVAL DG BY MR.M.J CHANG DD.30/09/2026 ** DG22GPx13 (CLS 9 / UN 2216)  
Pickup : 2026-10-10, Return : 2026-09-10 
EXTEND  CLS TIME 13/23.59 FIRST DATE CAN RETURN CNTR DD.13/10</v>
      </c>
      <c r="AO5" s="62">
        <f>VLOOKUP(D5,'2.Bookinglist'!A:CY,103,FALSE)</f>
        <v>0</v>
      </c>
    </row>
    <row r="6" ht="12.95" customHeight="1">
      <c r="A6" s="96" t="inlineStr">
        <is>
          <t>BEAU2862260</t>
        </is>
      </c>
      <c r="B6" s="184" t="str">
        <f>IF(C6=Charge!$M$1,Charge!$J$1,IF(C6=Charge!$M$23,Charge!$J$23,IF(C6=Charge!$M$17,Charge!$J$17,IF(C6=Charge!$N$17,Charge!$J$17,Charge!$J$7))))</f>
        <v>G3</v>
      </c>
      <c r="C6" s="61" t="str">
        <f>VLOOKUP(A6,'1.Loading'!A:R,14,FALSE)</f>
        <v>BKK01</v>
      </c>
      <c r="D6" s="61" t="str">
        <f>VLOOKUP(A6,'1.Loading'!A:R,17,FALSE)</f>
        <v>HASLS22260801865</v>
      </c>
      <c r="E6" s="62" t="str">
        <f>VLOOKUP(D6,'2.Bookinglist'!A:CT,27,FALSE)</f>
        <v>STARFISH CO., LTD.</v>
      </c>
      <c r="F6" s="62" t="str">
        <f>VLOOKUP(D6,'2.Bookinglist'!A:CT,28,FALSE)</f>
        <v>STARFISH CO., LTD.</v>
      </c>
      <c r="G6" s="60">
        <f>VLOOKUP(D6,'2.Bookinglist'!A:E,5,FALSE)</f>
        <v>0</v>
      </c>
      <c r="H6" s="61" t="str">
        <f>VLOOKUP(D6,'2.Bookinglist'!A:CT,15,FALSE)</f>
        <v>THBKK</v>
      </c>
      <c r="I6" s="61" t="str">
        <f>VLOOKUP(D6,'2.Bookinglist'!A:CT,19,FALSE)</f>
        <v>JPSEN</v>
      </c>
      <c r="J6" s="61" t="str">
        <f>VLOOKUP(D6,'2.Bookinglist'!A:CT,26,FALSE)</f>
        <v>KRPUS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SWIC</v>
      </c>
      <c r="P6" s="61" t="str">
        <f>VLOOKUP(A6,'1.Loading'!A:R,4,FALSE)</f>
        <v>2611N</v>
      </c>
      <c r="Q6" s="61" t="str">
        <f>VLOOKUP(D6,'2.Bookinglist'!A:CT,12,FALSE)</f>
        <v>KHS1</v>
      </c>
      <c r="R6" s="60" t="str">
        <f>IF(LEFT(K6,2)="22","20'","40'")</f>
        <v>20'</v>
      </c>
      <c r="S6" s="185" t="n"/>
      <c r="T6" s="61" t="str">
        <f>VLOOKUP(A6,'1.Loading'!A:R,2,FALSE)</f>
        <v>2026-10-16</v>
      </c>
      <c r="U6" s="63">
        <f>T6-S6</f>
        <v>46311</v>
      </c>
      <c r="V6" s="186" t="n"/>
      <c r="W6" s="61" t="str">
        <f>VLOOKUP(A6,'3.GateMove'!A:D,4,FALSE)</f>
        <v>2026-10-03</v>
      </c>
      <c r="X6" s="63">
        <f>((T6-W6)+1)</f>
        <v>14</v>
      </c>
      <c r="Y6" s="64">
        <f>IF(AND(OR(C6="BKK01",C6="BKK04"),L6="CFS/CY"),0,IF(M6="DG",1,IF(LEFT(C6,3)="LCH",7,IF(C6="BKK02",5,3))))</f>
        <v>3</v>
      </c>
      <c r="Z6" s="63">
        <f>IF(IF(AND(AC6="TML",AB6&gt;0),((T6-W6)+1)-AB6,((T6-W6)+1)-Y6)&gt;0,IF(AND(AC6="TML",AB6&gt;0),((T6-W6)+1)-AB6,((T6-W6)+1)-Y6),0)</f>
        <v>11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2220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46312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2220</v>
      </c>
      <c r="AJ6" s="188" t="n"/>
      <c r="AK6" s="62" t="str">
        <f>VLOOKUP(D6,'2.Bookinglist'!A:CT,40,FALSE)</f>
        <v>Dharaporn</v>
      </c>
      <c r="AL6" s="60" t="str">
        <f>VLOOKUP(D6,'2.Bookinglist'!A:CW,101,FALSE)</f>
        <v>2026-10-15</v>
      </c>
      <c r="AM6" s="60" t="str">
        <f>VLOOKUP(D6,'2.Bookinglist'!A:BK,63,FALSE)</f>
        <v>BKK27</v>
      </c>
      <c r="AN6" s="62" t="str">
        <f>VLOOKUP(D6,'2.Bookinglist'!A:AZ,52,FALSE)</f>
        <v>[FIX]Pickup : 2026-10-02, Return : 2026-10-03</v>
      </c>
      <c r="AO6" s="62" t="str">
        <f>VLOOKUP(D6,'2.Bookinglist'!A:CY,103,FALSE)</f>
        <v>ROLL OVER FROM PREVIOUS VSL SWSP 2609N BY ALLOCATON TEAM MS.TARN APPROVED COST IS UNDER HA DD.4/10</v>
      </c>
    </row>
    <row r="7" ht="12.95" customHeight="1">
      <c r="A7" s="96" t="inlineStr">
        <is>
          <t>DFSU3102843</t>
        </is>
      </c>
      <c r="B7" s="184" t="str">
        <f>IF(C7=Charge!$M$1,Charge!$J$1,IF(C7=Charge!$M$23,Charge!$J$23,IF(C7=Charge!$M$17,Charge!$J$17,IF(C7=Charge!$N$17,Charge!$J$17,Charge!$J$7))))</f>
        <v>G3</v>
      </c>
      <c r="C7" s="61" t="str">
        <f>VLOOKUP(A7,'1.Loading'!A:R,14,FALSE)</f>
        <v>BKK01</v>
      </c>
      <c r="D7" s="61" t="str">
        <f>VLOOKUP(A7,'1.Loading'!A:R,17,FALSE)</f>
        <v>HASLS22260801161</v>
      </c>
      <c r="E7" s="62" t="str">
        <f>VLOOKUP(D7,'2.Bookinglist'!A:CT,27,FALSE)</f>
        <v>MEGALOAD DEVELOPMENT LOGISTICS CO., LTD.</v>
      </c>
      <c r="F7" s="62" t="str">
        <f>VLOOKUP(D7,'2.Bookinglist'!A:CT,28,FALSE)</f>
        <v>FISHMEAL MARKETING DEVELOPMENT CO., LTD.</v>
      </c>
      <c r="G7" s="60">
        <f>VLOOKUP(D7,'2.Bookinglist'!A:E,5,FALSE)</f>
        <v>0</v>
      </c>
      <c r="H7" s="61" t="str">
        <f>VLOOKUP(D7,'2.Bookinglist'!A:CT,15,FALSE)</f>
        <v>THBKK</v>
      </c>
      <c r="I7" s="61" t="str">
        <f>VLOOKUP(D7,'2.Bookinglist'!A:CT,19,FALSE)</f>
        <v>JPKSM</v>
      </c>
      <c r="J7" s="61" t="str">
        <f>VLOOKUP(D7,'2.Bookinglist'!A:CT,26,FALSE)</f>
        <v>KRPUS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>DG</v>
      </c>
      <c r="N7" s="60" t="str">
        <f>IF(RIGHT(K7,2)="RE","RF","")</f>
        <v/>
      </c>
      <c r="O7" s="61" t="str">
        <f>VLOOKUP(A7,'1.Loading'!A:R,3,FALSE)</f>
        <v>SWIC</v>
      </c>
      <c r="P7" s="61" t="str">
        <f>VLOOKUP(A7,'1.Loading'!A:R,4,FALSE)</f>
        <v>2611N</v>
      </c>
      <c r="Q7" s="61" t="str">
        <f>VLOOKUP(D7,'2.Bookinglist'!A:CT,12,FALSE)</f>
        <v>KHS1</v>
      </c>
      <c r="R7" s="60" t="str">
        <f>IF(LEFT(K7,2)="22","20'","40'")</f>
        <v>20'</v>
      </c>
      <c r="S7" s="185" t="n"/>
      <c r="T7" s="61" t="str">
        <f>VLOOKUP(A7,'1.Loading'!A:R,2,FALSE)</f>
        <v>2026-10-16</v>
      </c>
      <c r="U7" s="63">
        <f>T7-S7</f>
        <v>46311</v>
      </c>
      <c r="V7" s="186" t="n"/>
      <c r="W7" s="61" t="str">
        <f>VLOOKUP(A7,'3.GateMove'!A:D,4,FALSE)</f>
        <v>2026-10-12</v>
      </c>
      <c r="X7" s="63">
        <f>((T7-W7)+1)</f>
        <v>5</v>
      </c>
      <c r="Y7" s="64">
        <f>IF(AND(OR(C7="BKK01",C7="BKK04"),L7="CFS/CY"),0,IF(M7="DG",1,IF(LEFT(C7,3)="LCH",7,IF(C7="BKK02",5,3))))</f>
        <v>1</v>
      </c>
      <c r="Z7" s="63">
        <f>IF(IF(AND(AC7="TML",AB7&gt;0),((T7-W7)+1)-AB7,((T7-W7)+1)-Y7)&gt;0,IF(AND(AC7="TML",AB7&gt;0),((T7-W7)+1)-AB7,((T7-W7)+1)-Y7),0)</f>
        <v>4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1920</v>
      </c>
      <c r="AB7" s="184" t="n"/>
      <c r="AC7" s="184" t="n"/>
      <c r="AD7" s="60">
        <f>IF(M7="DG",3,IF(N7="RF",3,5))+IF(AND(LEFT(C7,3)="BKK",N7="RF",Q7="KTS"),1,0)+IF(Q7="KHS",1,0)</f>
        <v>3</v>
      </c>
      <c r="AE7" s="63">
        <f>(T7-V7)+1</f>
        <v>46312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1920</v>
      </c>
      <c r="AJ7" s="188" t="n"/>
      <c r="AK7" s="62" t="str">
        <f>VLOOKUP(D7,'2.Bookinglist'!A:CT,40,FALSE)</f>
        <v>Tarn(Supaporn)</v>
      </c>
      <c r="AL7" s="60" t="str">
        <f>VLOOKUP(D7,'2.Bookinglist'!A:CW,101,FALSE)</f>
        <v>2026-10-12</v>
      </c>
      <c r="AM7" s="60" t="str">
        <f>VLOOKUP(D7,'2.Bookinglist'!A:BK,63,FALSE)</f>
        <v>BKK27</v>
      </c>
      <c r="AN7" s="62" t="str">
        <f>VLOOKUP(D7,'2.Bookinglist'!A:AZ,52,FALSE)</f>
        <v>[FIX][FIX]** APPROVAL DG BY MR.M.J CHANG DD.30/09/2026 ** DG22GPx13 (CLS 9 / UN 2216)  
Pickup : 2026-10-10, Return : 2026-09-10 
EXTEND  CLS TIME 13/23.59 FIRST DATE CAN RETURN CNTR DD.13/10</v>
      </c>
      <c r="AO7" s="62">
        <f>VLOOKUP(D7,'2.Bookinglist'!A:CY,103,FALSE)</f>
        <v>0</v>
      </c>
    </row>
    <row r="8" ht="12.95" customHeight="1">
      <c r="A8" s="96" t="inlineStr">
        <is>
          <t>FCIU7282708</t>
        </is>
      </c>
      <c r="B8" s="184" t="str">
        <f>IF(C8=Charge!$M$1,Charge!$J$1,IF(C8=Charge!$M$23,Charge!$J$23,IF(C8=Charge!$M$17,Charge!$J$17,IF(C8=Charge!$N$17,Charge!$J$17,Charge!$J$7))))</f>
        <v>G3</v>
      </c>
      <c r="C8" s="61" t="str">
        <f>VLOOKUP(A8,'1.Loading'!A:R,14,FALSE)</f>
        <v>BKK01</v>
      </c>
      <c r="D8" s="61" t="str">
        <f>VLOOKUP(A8,'1.Loading'!A:R,17,FALSE)</f>
        <v>HASLS22260902182</v>
      </c>
      <c r="E8" s="62" t="str">
        <f>VLOOKUP(D8,'2.Bookinglist'!A:CT,27,FALSE)</f>
        <v>BIRLA CARBON (THAILAND) PUBLIC COMPANY LIMITED</v>
      </c>
      <c r="F8" s="62" t="str">
        <f>VLOOKUP(D8,'2.Bookinglist'!A:CT,28,FALSE)</f>
        <v>BIRLA CARBON (THAILAND) PUBLIC COMPANY LIMITED</v>
      </c>
      <c r="G8" s="60">
        <f>VLOOKUP(D8,'2.Bookinglist'!A:E,5,FALSE)</f>
        <v>0</v>
      </c>
      <c r="H8" s="61" t="str">
        <f>VLOOKUP(D8,'2.Bookinglist'!A:CT,15,FALSE)</f>
        <v>THBKK</v>
      </c>
      <c r="I8" s="61" t="str">
        <f>VLOOKUP(D8,'2.Bookinglist'!A:CT,19,FALSE)</f>
        <v>VNSGN</v>
      </c>
      <c r="J8" s="61">
        <f>VLOOKUP(D8,'2.Bookinglist'!A:CT,26,FALSE)</f>
        <v>0</v>
      </c>
      <c r="K8" s="61" t="str">
        <f>VLOOKUP(A8,'1.Loading'!A:R,5,FALSE)</f>
        <v>45GP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SWIC</v>
      </c>
      <c r="P8" s="61" t="str">
        <f>VLOOKUP(A8,'1.Loading'!A:R,4,FALSE)</f>
        <v>2611N</v>
      </c>
      <c r="Q8" s="61" t="str">
        <f>VLOOKUP(D8,'2.Bookinglist'!A:CT,12,FALSE)</f>
        <v>KHS1</v>
      </c>
      <c r="R8" s="60" t="str">
        <f>IF(LEFT(K8,2)="22","20'","40'")</f>
        <v>40'</v>
      </c>
      <c r="S8" s="185" t="n"/>
      <c r="T8" s="61" t="str">
        <f>VLOOKUP(A8,'1.Loading'!A:R,2,FALSE)</f>
        <v>2026-10-16</v>
      </c>
      <c r="U8" s="63">
        <f>T8-S8</f>
        <v>46311</v>
      </c>
      <c r="V8" s="186" t="n"/>
      <c r="W8" s="61" t="str">
        <f>VLOOKUP(A8,'3.GateMove'!A:D,4,FALSE)</f>
        <v>2026-10-12</v>
      </c>
      <c r="X8" s="63">
        <f>((T8-W8)+1)</f>
        <v>5</v>
      </c>
      <c r="Y8" s="64">
        <f>IF(AND(OR(C8="BKK01",C8="BKK04"),L8="CFS/CY"),0,IF(M8="DG",1,IF(LEFT(C8,3)="LCH",7,IF(C8="BKK02",5,3))))</f>
        <v>3</v>
      </c>
      <c r="Z8" s="63">
        <f>IF(IF(AND(AC8="TML",AB8&gt;0),((T8-W8)+1)-AB8,((T8-W8)+1)-Y8)&gt;0,IF(AND(AC8="TML",AB8&gt;0),((T8-W8)+1)-AB8,((T8-W8)+1)-Y8),0)</f>
        <v>2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640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46312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640</v>
      </c>
      <c r="AJ8" s="188" t="n"/>
      <c r="AK8" s="62" t="str">
        <f>VLOOKUP(D8,'2.Bookinglist'!A:CT,40,FALSE)</f>
        <v>Dharaporn</v>
      </c>
      <c r="AL8" s="60" t="str">
        <f>VLOOKUP(D8,'2.Bookinglist'!A:CW,101,FALSE)</f>
        <v>2026-10-15</v>
      </c>
      <c r="AM8" s="60" t="str">
        <f>VLOOKUP(D8,'2.Bookinglist'!A:BK,63,FALSE)</f>
        <v>BKK27</v>
      </c>
      <c r="AN8" s="62" t="str">
        <f>VLOOKUP(D8,'2.Bookinglist'!A:AZ,52,FALSE)</f>
        <v>Pickup : 2026-10-10, Return : 2026-10-11
CLS TIME DD.13/10/2026 @ 23.59</v>
      </c>
      <c r="AO8" s="62">
        <f>VLOOKUP(D8,'2.Bookinglist'!A:CY,103,FALSE)</f>
        <v>0</v>
      </c>
    </row>
    <row r="9" ht="12.95" customHeight="1">
      <c r="A9" s="96" t="inlineStr">
        <is>
          <t>FSCU5888721</t>
        </is>
      </c>
      <c r="B9" s="184" t="str">
        <f>IF(C9=Charge!$M$1,Charge!$J$1,IF(C9=Charge!$M$23,Charge!$J$23,IF(C9=Charge!$M$17,Charge!$J$17,IF(C9=Charge!$N$17,Charge!$J$17,Charge!$J$7))))</f>
        <v>G3</v>
      </c>
      <c r="C9" s="61" t="str">
        <f>VLOOKUP(A9,'1.Loading'!A:R,14,FALSE)</f>
        <v>BKK01</v>
      </c>
      <c r="D9" s="61" t="str">
        <f>VLOOKUP(A9,'1.Loading'!A:R,17,FALSE)</f>
        <v>HASLS22260902791</v>
      </c>
      <c r="E9" s="62" t="str">
        <f>VLOOKUP(D9,'2.Bookinglist'!A:CT,27,FALSE)</f>
        <v>VENTE TRADE CO.,LTD.</v>
      </c>
      <c r="F9" s="62" t="str">
        <f>VLOOKUP(D9,'2.Bookinglist'!A:CT,28,FALSE)</f>
        <v>VENTE TRADE CO.,LTD.</v>
      </c>
      <c r="G9" s="60">
        <f>VLOOKUP(D9,'2.Bookinglist'!A:E,5,FALSE)</f>
        <v>0</v>
      </c>
      <c r="H9" s="61" t="str">
        <f>VLOOKUP(D9,'2.Bookinglist'!A:CT,15,FALSE)</f>
        <v>THBKK</v>
      </c>
      <c r="I9" s="61" t="str">
        <f>VLOOKUP(D9,'2.Bookinglist'!A:CT,19,FALSE)</f>
        <v>RUVVO</v>
      </c>
      <c r="J9" s="61" t="str">
        <f>VLOOKUP(D9,'2.Bookinglist'!A:CT,26,FALSE)</f>
        <v>KRPUS</v>
      </c>
      <c r="K9" s="61" t="str">
        <f>VLOOKUP(A9,'1.Loading'!A:R,5,FALSE)</f>
        <v>45RE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>RF</v>
      </c>
      <c r="O9" s="61" t="str">
        <f>VLOOKUP(A9,'1.Loading'!A:R,3,FALSE)</f>
        <v>SWIC</v>
      </c>
      <c r="P9" s="61" t="str">
        <f>VLOOKUP(A9,'1.Loading'!A:R,4,FALSE)</f>
        <v>2611N</v>
      </c>
      <c r="Q9" s="61" t="str">
        <f>VLOOKUP(D9,'2.Bookinglist'!A:CT,12,FALSE)</f>
        <v>KHS1</v>
      </c>
      <c r="R9" s="60" t="str">
        <f>IF(LEFT(K9,2)="22","20'","40'")</f>
        <v>40'</v>
      </c>
      <c r="S9" s="185" t="n"/>
      <c r="T9" s="61" t="str">
        <f>VLOOKUP(A9,'1.Loading'!A:R,2,FALSE)</f>
        <v>2026-10-16</v>
      </c>
      <c r="U9" s="63">
        <f>T9-S9</f>
        <v>46311</v>
      </c>
      <c r="V9" s="186" t="n"/>
      <c r="W9" s="61" t="str">
        <f>VLOOKUP(A9,'3.GateMove'!A:D,4,FALSE)</f>
        <v>2026-10-12</v>
      </c>
      <c r="X9" s="63">
        <f>((T9-W9)+1)</f>
        <v>5</v>
      </c>
      <c r="Y9" s="64">
        <f>IF(AND(OR(C9="BKK01",C9="BKK04"),L9="CFS/CY"),0,IF(M9="DG",1,IF(LEFT(C9,3)="LCH",7,IF(C9="BKK02",5,3))))</f>
        <v>3</v>
      </c>
      <c r="Z9" s="63">
        <f>IF(IF(AND(AC9="TML",AB9&gt;0),((T9-W9)+1)-AB9,((T9-W9)+1)-Y9)&gt;0,IF(AND(AC9="TML",AB9&gt;0),((T9-W9)+1)-AB9,((T9-W9)+1)-Y9),0)</f>
        <v>2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640</v>
      </c>
      <c r="AB9" s="184" t="n"/>
      <c r="AC9" s="184" t="n"/>
      <c r="AD9" s="60">
        <f>IF(M9="DG",3,IF(N9="RF",3,5))+IF(AND(LEFT(C9,3)="BKK",N9="RF",Q9="KTS"),1,0)+IF(Q9="KHS",1,0)</f>
        <v>3</v>
      </c>
      <c r="AE9" s="63">
        <f>(T9-V9)+1</f>
        <v>46312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640</v>
      </c>
      <c r="AJ9" s="188" t="n"/>
      <c r="AK9" s="62" t="str">
        <f>VLOOKUP(D9,'2.Bookinglist'!A:CT,40,FALSE)</f>
        <v>Insuk Heo</v>
      </c>
      <c r="AL9" s="60" t="str">
        <f>VLOOKUP(D9,'2.Bookinglist'!A:CW,101,FALSE)</f>
        <v>2026-10-15</v>
      </c>
      <c r="AM9" s="60" t="str">
        <f>VLOOKUP(D9,'2.Bookinglist'!A:BK,63,FALSE)</f>
        <v>BKK27</v>
      </c>
      <c r="AN9" s="62" t="str">
        <f>VLOOKUP(D9,'2.Bookinglist'!A:AZ,52,FALSE)</f>
        <v>[FIX][FIX]CY-RTN : 09-11/10/2026 (TEMP : +18'C / VENT CLOSE)
CLS TIME DD.13/10/2026 @ 18.00 *1ST RETURN CNTR DD.12/10/2026*</v>
      </c>
      <c r="AO9" s="62">
        <f>VLOOKUP(D9,'2.Bookinglist'!A:CY,103,FALSE)</f>
        <v>0</v>
      </c>
    </row>
    <row r="10" ht="12.95" customHeight="1">
      <c r="A10" s="96" t="inlineStr">
        <is>
          <t>FSCU5892085</t>
        </is>
      </c>
      <c r="B10" s="184" t="str">
        <f>IF(C10=Charge!$M$1,Charge!$J$1,IF(C10=Charge!$M$23,Charge!$J$23,IF(C10=Charge!$M$17,Charge!$J$17,IF(C10=Charge!$N$17,Charge!$J$17,Charge!$J$7))))</f>
        <v>G3</v>
      </c>
      <c r="C10" s="61" t="str">
        <f>VLOOKUP(A10,'1.Loading'!A:R,14,FALSE)</f>
        <v>BKK01</v>
      </c>
      <c r="D10" s="61" t="str">
        <f>VLOOKUP(A10,'1.Loading'!A:R,17,FALSE)</f>
        <v>HASLS22260902368</v>
      </c>
      <c r="E10" s="62" t="str">
        <f>VLOOKUP(D10,'2.Bookinglist'!A:CT,27,FALSE)</f>
        <v>THAI AGRI FOODS PUBLIC COMPANY LIMITED</v>
      </c>
      <c r="F10" s="62" t="str">
        <f>VLOOKUP(D10,'2.Bookinglist'!A:CT,28,FALSE)</f>
        <v>THAI AGRI FOODS PUBLIC COMPANY LIMITED</v>
      </c>
      <c r="G10" s="60">
        <f>VLOOKUP(D10,'2.Bookinglist'!A:E,5,FALSE)</f>
        <v>0</v>
      </c>
      <c r="H10" s="61" t="str">
        <f>VLOOKUP(D10,'2.Bookinglist'!A:CT,15,FALSE)</f>
        <v>THBKK</v>
      </c>
      <c r="I10" s="61" t="str">
        <f>VLOOKUP(D10,'2.Bookinglist'!A:CT,19,FALSE)</f>
        <v>RUVVO</v>
      </c>
      <c r="J10" s="61" t="str">
        <f>VLOOKUP(D10,'2.Bookinglist'!A:CT,26,FALSE)</f>
        <v>KRPUS</v>
      </c>
      <c r="K10" s="61" t="str">
        <f>VLOOKUP(A10,'1.Loading'!A:R,5,FALSE)</f>
        <v>45RE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>RF</v>
      </c>
      <c r="O10" s="61" t="str">
        <f>VLOOKUP(A10,'1.Loading'!A:R,3,FALSE)</f>
        <v>SWIC</v>
      </c>
      <c r="P10" s="61" t="str">
        <f>VLOOKUP(A10,'1.Loading'!A:R,4,FALSE)</f>
        <v>2611N</v>
      </c>
      <c r="Q10" s="61" t="str">
        <f>VLOOKUP(D10,'2.Bookinglist'!A:CT,12,FALSE)</f>
        <v>KHS1</v>
      </c>
      <c r="R10" s="60" t="str">
        <f>IF(LEFT(K10,2)="22","20'","40'")</f>
        <v>40'</v>
      </c>
      <c r="S10" s="185" t="n"/>
      <c r="T10" s="61" t="str">
        <f>VLOOKUP(A10,'1.Loading'!A:R,2,FALSE)</f>
        <v>2026-10-16</v>
      </c>
      <c r="U10" s="63">
        <f>T10-S10</f>
        <v>46311</v>
      </c>
      <c r="V10" s="186" t="n"/>
      <c r="W10" s="61" t="str">
        <f>VLOOKUP(A10,'3.GateMove'!A:D,4,FALSE)</f>
        <v>2026-10-12</v>
      </c>
      <c r="X10" s="63">
        <f>((T10-W10)+1)</f>
        <v>5</v>
      </c>
      <c r="Y10" s="64">
        <f>IF(AND(OR(C10="BKK01",C10="BKK04"),L10="CFS/CY"),0,IF(M10="DG",1,IF(LEFT(C10,3)="LCH",7,IF(C10="BKK02",5,3))))</f>
        <v>3</v>
      </c>
      <c r="Z10" s="63">
        <f>IF(IF(AND(AC10="TML",AB10&gt;0),((T10-W10)+1)-AB10,((T10-W10)+1)-Y10)&gt;0,IF(AND(AC10="TML",AB10&gt;0),((T10-W10)+1)-AB10,((T10-W10)+1)-Y10),0)</f>
        <v>2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640</v>
      </c>
      <c r="AB10" s="184" t="n"/>
      <c r="AC10" s="184" t="n"/>
      <c r="AD10" s="60">
        <f>IF(M10="DG",3,IF(N10="RF",3,5))+IF(AND(LEFT(C10,3)="BKK",N10="RF",Q10="KTS"),1,0)+IF(Q10="KHS",1,0)</f>
        <v>3</v>
      </c>
      <c r="AE10" s="63">
        <f>(T10-V10)+1</f>
        <v>46312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640</v>
      </c>
      <c r="AJ10" s="188" t="n"/>
      <c r="AK10" s="62" t="str">
        <f>VLOOKUP(D10,'2.Bookinglist'!A:CT,40,FALSE)</f>
        <v>Insuk Heo</v>
      </c>
      <c r="AL10" s="60" t="str">
        <f>VLOOKUP(D10,'2.Bookinglist'!A:CW,101,FALSE)</f>
        <v>2026-10-15</v>
      </c>
      <c r="AM10" s="60" t="str">
        <f>VLOOKUP(D10,'2.Bookinglist'!A:BK,63,FALSE)</f>
        <v>BKK27</v>
      </c>
      <c r="AN10" s="62" t="str">
        <f>VLOOKUP(D10,'2.Bookinglist'!A:AZ,52,FALSE)</f>
        <v>[FIX][FIX]Pickup : 2026-10-10, Return : 2026-10-12 (Temp +10.0 / Vent Close) 
CLS TIME 13/10/26 @23.59</v>
      </c>
      <c r="AO10" s="62">
        <f>VLOOKUP(D10,'2.Bookinglist'!A:CY,103,FALSE)</f>
        <v>0</v>
      </c>
    </row>
    <row r="11" ht="12.95" customHeight="1">
      <c r="A11" s="96" t="inlineStr">
        <is>
          <t>FSCU5892193</t>
        </is>
      </c>
      <c r="B11" s="184" t="str">
        <f>IF(C11=Charge!$M$1,Charge!$J$1,IF(C11=Charge!$M$23,Charge!$J$23,IF(C11=Charge!$M$17,Charge!$J$17,IF(C11=Charge!$N$17,Charge!$J$17,Charge!$J$7))))</f>
        <v>G3</v>
      </c>
      <c r="C11" s="61" t="str">
        <f>VLOOKUP(A11,'1.Loading'!A:R,14,FALSE)</f>
        <v>BKK01</v>
      </c>
      <c r="D11" s="61" t="str">
        <f>VLOOKUP(A11,'1.Loading'!A:R,17,FALSE)</f>
        <v>HASLS22260902791</v>
      </c>
      <c r="E11" s="62" t="str">
        <f>VLOOKUP(D11,'2.Bookinglist'!A:CT,27,FALSE)</f>
        <v>VENTE TRADE CO.,LTD.</v>
      </c>
      <c r="F11" s="62" t="str">
        <f>VLOOKUP(D11,'2.Bookinglist'!A:CT,28,FALSE)</f>
        <v>VENTE TRADE CO.,LTD.</v>
      </c>
      <c r="G11" s="60">
        <f>VLOOKUP(D11,'2.Bookinglist'!A:E,5,FALSE)</f>
        <v>0</v>
      </c>
      <c r="H11" s="61" t="str">
        <f>VLOOKUP(D11,'2.Bookinglist'!A:CT,15,FALSE)</f>
        <v>THBKK</v>
      </c>
      <c r="I11" s="61" t="str">
        <f>VLOOKUP(D11,'2.Bookinglist'!A:CT,19,FALSE)</f>
        <v>RUVVO</v>
      </c>
      <c r="J11" s="61" t="str">
        <f>VLOOKUP(D11,'2.Bookinglist'!A:CT,26,FALSE)</f>
        <v>KRPUS</v>
      </c>
      <c r="K11" s="61" t="str">
        <f>VLOOKUP(A11,'1.Loading'!A:R,5,FALSE)</f>
        <v>45RE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>RF</v>
      </c>
      <c r="O11" s="61" t="str">
        <f>VLOOKUP(A11,'1.Loading'!A:R,3,FALSE)</f>
        <v>SWIC</v>
      </c>
      <c r="P11" s="61" t="str">
        <f>VLOOKUP(A11,'1.Loading'!A:R,4,FALSE)</f>
        <v>2611N</v>
      </c>
      <c r="Q11" s="61" t="str">
        <f>VLOOKUP(D11,'2.Bookinglist'!A:CT,12,FALSE)</f>
        <v>KHS1</v>
      </c>
      <c r="R11" s="60" t="str">
        <f>IF(LEFT(K11,2)="22","20'","40'")</f>
        <v>40'</v>
      </c>
      <c r="S11" s="185" t="n"/>
      <c r="T11" s="61" t="str">
        <f>VLOOKUP(A11,'1.Loading'!A:R,2,FALSE)</f>
        <v>2026-10-16</v>
      </c>
      <c r="U11" s="63">
        <f>T11-S11</f>
        <v>46311</v>
      </c>
      <c r="V11" s="186" t="n"/>
      <c r="W11" s="61" t="str">
        <f>VLOOKUP(A11,'3.GateMove'!A:D,4,FALSE)</f>
        <v>2026-10-12</v>
      </c>
      <c r="X11" s="63">
        <f>((T11-W11)+1)</f>
        <v>5</v>
      </c>
      <c r="Y11" s="64">
        <f>IF(AND(OR(C11="BKK01",C11="BKK04"),L11="CFS/CY"),0,IF(M11="DG",1,IF(LEFT(C11,3)="LCH",7,IF(C11="BKK02",5,3))))</f>
        <v>3</v>
      </c>
      <c r="Z11" s="63">
        <f>IF(IF(AND(AC11="TML",AB11&gt;0),((T11-W11)+1)-AB11,((T11-W11)+1)-Y11)&gt;0,IF(AND(AC11="TML",AB11&gt;0),((T11-W11)+1)-AB11,((T11-W11)+1)-Y11),0)</f>
        <v>2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640</v>
      </c>
      <c r="AB11" s="184" t="n"/>
      <c r="AC11" s="184" t="n"/>
      <c r="AD11" s="60">
        <f>IF(M11="DG",3,IF(N11="RF",3,5))+IF(AND(LEFT(C11,3)="BKK",N11="RF",Q11="KTS"),1,0)+IF(Q11="KHS",1,0)</f>
        <v>3</v>
      </c>
      <c r="AE11" s="63">
        <f>(T11-V11)+1</f>
        <v>46312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640</v>
      </c>
      <c r="AJ11" s="188" t="n"/>
      <c r="AK11" s="62" t="str">
        <f>VLOOKUP(D11,'2.Bookinglist'!A:CT,40,FALSE)</f>
        <v>Insuk Heo</v>
      </c>
      <c r="AL11" s="60" t="str">
        <f>VLOOKUP(D11,'2.Bookinglist'!A:CW,101,FALSE)</f>
        <v>2026-10-15</v>
      </c>
      <c r="AM11" s="60" t="str">
        <f>VLOOKUP(D11,'2.Bookinglist'!A:BK,63,FALSE)</f>
        <v>BKK27</v>
      </c>
      <c r="AN11" s="62" t="str">
        <f>VLOOKUP(D11,'2.Bookinglist'!A:AZ,52,FALSE)</f>
        <v>[FIX][FIX]CY-RTN : 09-11/10/2026 (TEMP : +18'C / VENT CLOSE)
CLS TIME DD.13/10/2026 @ 18.00 *1ST RETURN CNTR DD.12/10/2026*</v>
      </c>
      <c r="AO11" s="62">
        <f>VLOOKUP(D11,'2.Bookinglist'!A:CY,103,FALSE)</f>
        <v>0</v>
      </c>
    </row>
    <row r="12" ht="12.95" customHeight="1">
      <c r="A12" s="96" t="inlineStr">
        <is>
          <t>FSCU5893327</t>
        </is>
      </c>
      <c r="B12" s="184" t="str">
        <f>IF(C12=Charge!$M$1,Charge!$J$1,IF(C12=Charge!$M$23,Charge!$J$23,IF(C12=Charge!$M$17,Charge!$J$17,IF(C12=Charge!$N$17,Charge!$J$17,Charge!$J$7))))</f>
        <v>G3</v>
      </c>
      <c r="C12" s="61" t="str">
        <f>VLOOKUP(A12,'1.Loading'!A:R,14,FALSE)</f>
        <v>BKK01</v>
      </c>
      <c r="D12" s="61" t="str">
        <f>VLOOKUP(A12,'1.Loading'!A:R,17,FALSE)</f>
        <v>HASLS22260902365</v>
      </c>
      <c r="E12" s="62" t="str">
        <f>VLOOKUP(D12,'2.Bookinglist'!A:CT,27,FALSE)</f>
        <v>THAI AGRI FOODS PUBLIC COMPANY LIMITED</v>
      </c>
      <c r="F12" s="62" t="str">
        <f>VLOOKUP(D12,'2.Bookinglist'!A:CT,28,FALSE)</f>
        <v>THAI AGRI FOODS PUBLIC COMPANY LIMITED</v>
      </c>
      <c r="G12" s="60">
        <f>VLOOKUP(D12,'2.Bookinglist'!A:E,5,FALSE)</f>
        <v>0</v>
      </c>
      <c r="H12" s="61" t="str">
        <f>VLOOKUP(D12,'2.Bookinglist'!A:CT,15,FALSE)</f>
        <v>THBKK</v>
      </c>
      <c r="I12" s="61" t="str">
        <f>VLOOKUP(D12,'2.Bookinglist'!A:CT,19,FALSE)</f>
        <v>RUVVO</v>
      </c>
      <c r="J12" s="61" t="str">
        <f>VLOOKUP(D12,'2.Bookinglist'!A:CT,26,FALSE)</f>
        <v>KRPUS</v>
      </c>
      <c r="K12" s="61" t="str">
        <f>VLOOKUP(A12,'1.Loading'!A:R,5,FALSE)</f>
        <v>45RE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>RF</v>
      </c>
      <c r="O12" s="61" t="str">
        <f>VLOOKUP(A12,'1.Loading'!A:R,3,FALSE)</f>
        <v>SWIC</v>
      </c>
      <c r="P12" s="61" t="str">
        <f>VLOOKUP(A12,'1.Loading'!A:R,4,FALSE)</f>
        <v>2611N</v>
      </c>
      <c r="Q12" s="61" t="str">
        <f>VLOOKUP(D12,'2.Bookinglist'!A:CT,12,FALSE)</f>
        <v>KHS1</v>
      </c>
      <c r="R12" s="60" t="str">
        <f>IF(LEFT(K12,2)="22","20'","40'")</f>
        <v>40'</v>
      </c>
      <c r="S12" s="185" t="n"/>
      <c r="T12" s="61" t="str">
        <f>VLOOKUP(A12,'1.Loading'!A:R,2,FALSE)</f>
        <v>2026-10-16</v>
      </c>
      <c r="U12" s="63">
        <f>T12-S12</f>
        <v>46311</v>
      </c>
      <c r="V12" s="186" t="n"/>
      <c r="W12" s="61" t="str">
        <f>VLOOKUP(A12,'3.GateMove'!A:D,4,FALSE)</f>
        <v>2026-10-13</v>
      </c>
      <c r="X12" s="63">
        <f>((T12-W12)+1)</f>
        <v>4</v>
      </c>
      <c r="Y12" s="64">
        <f>IF(AND(OR(C12="BKK01",C12="BKK04"),L12="CFS/CY"),0,IF(M12="DG",1,IF(LEFT(C12,3)="LCH",7,IF(C12="BKK02",5,3))))</f>
        <v>3</v>
      </c>
      <c r="Z12" s="63">
        <f>IF(IF(AND(AC12="TML",AB12&gt;0),((T12-W12)+1)-AB12,((T12-W12)+1)-Y12)&gt;0,IF(AND(AC12="TML",AB12&gt;0),((T12-W12)+1)-AB12,((T12-W12)+1)-Y12),0)</f>
        <v>1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320</v>
      </c>
      <c r="AB12" s="184" t="n"/>
      <c r="AC12" s="184" t="n"/>
      <c r="AD12" s="60">
        <f>IF(M12="DG",3,IF(N12="RF",3,5))+IF(AND(LEFT(C12,3)="BKK",N12="RF",Q12="KTS"),1,0)+IF(Q12="KHS",1,0)</f>
        <v>3</v>
      </c>
      <c r="AE12" s="63">
        <f>(T12-V12)+1</f>
        <v>46312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320</v>
      </c>
      <c r="AJ12" s="188" t="n"/>
      <c r="AK12" s="62" t="str">
        <f>VLOOKUP(D12,'2.Bookinglist'!A:CT,40,FALSE)</f>
        <v>Insuk Heo</v>
      </c>
      <c r="AL12" s="60" t="str">
        <f>VLOOKUP(D12,'2.Bookinglist'!A:CW,101,FALSE)</f>
        <v>2026-10-15</v>
      </c>
      <c r="AM12" s="60" t="str">
        <f>VLOOKUP(D12,'2.Bookinglist'!A:BK,63,FALSE)</f>
        <v>BKK27</v>
      </c>
      <c r="AN12" s="62" t="str">
        <f>VLOOKUP(D12,'2.Bookinglist'!A:AZ,52,FALSE)</f>
        <v>[FIX][FIX]Pickup : 2026-10-10, Return : 2026-10-12 (Temp +10.0 / Vent Close) 
CLS TIME 13/10/26 @23.59</v>
      </c>
      <c r="AO12" s="62">
        <f>VLOOKUP(D12,'2.Bookinglist'!A:CY,103,FALSE)</f>
        <v>0</v>
      </c>
    </row>
    <row r="13" ht="12.95" customHeight="1">
      <c r="A13" s="96" t="inlineStr">
        <is>
          <t>FSCU5910044</t>
        </is>
      </c>
      <c r="B13" s="184" t="str">
        <f>IF(C13=Charge!$M$1,Charge!$J$1,IF(C13=Charge!$M$23,Charge!$J$23,IF(C13=Charge!$M$17,Charge!$J$17,IF(C13=Charge!$N$17,Charge!$J$17,Charge!$J$7))))</f>
        <v>G3</v>
      </c>
      <c r="C13" s="61" t="str">
        <f>VLOOKUP(A13,'1.Loading'!A:R,14,FALSE)</f>
        <v>BKK01</v>
      </c>
      <c r="D13" s="61" t="str">
        <f>VLOOKUP(A13,'1.Loading'!A:R,17,FALSE)</f>
        <v>HASLS22260902791</v>
      </c>
      <c r="E13" s="62" t="str">
        <f>VLOOKUP(D13,'2.Bookinglist'!A:CT,27,FALSE)</f>
        <v>VENTE TRADE CO.,LTD.</v>
      </c>
      <c r="F13" s="62" t="str">
        <f>VLOOKUP(D13,'2.Bookinglist'!A:CT,28,FALSE)</f>
        <v>VENTE TRADE CO.,LTD.</v>
      </c>
      <c r="G13" s="60">
        <f>VLOOKUP(D13,'2.Bookinglist'!A:E,5,FALSE)</f>
        <v>0</v>
      </c>
      <c r="H13" s="61" t="str">
        <f>VLOOKUP(D13,'2.Bookinglist'!A:CT,15,FALSE)</f>
        <v>THBKK</v>
      </c>
      <c r="I13" s="61" t="str">
        <f>VLOOKUP(D13,'2.Bookinglist'!A:CT,19,FALSE)</f>
        <v>RUVVO</v>
      </c>
      <c r="J13" s="61" t="str">
        <f>VLOOKUP(D13,'2.Bookinglist'!A:CT,26,FALSE)</f>
        <v>KRPUS</v>
      </c>
      <c r="K13" s="61" t="str">
        <f>VLOOKUP(A13,'1.Loading'!A:R,5,FALSE)</f>
        <v>45RE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>RF</v>
      </c>
      <c r="O13" s="61" t="str">
        <f>VLOOKUP(A13,'1.Loading'!A:R,3,FALSE)</f>
        <v>SWIC</v>
      </c>
      <c r="P13" s="61" t="str">
        <f>VLOOKUP(A13,'1.Loading'!A:R,4,FALSE)</f>
        <v>2611N</v>
      </c>
      <c r="Q13" s="61" t="str">
        <f>VLOOKUP(D13,'2.Bookinglist'!A:CT,12,FALSE)</f>
        <v>KHS1</v>
      </c>
      <c r="R13" s="60" t="str">
        <f>IF(LEFT(K13,2)="22","20'","40'")</f>
        <v>40'</v>
      </c>
      <c r="S13" s="185" t="n"/>
      <c r="T13" s="61" t="str">
        <f>VLOOKUP(A13,'1.Loading'!A:R,2,FALSE)</f>
        <v>2026-10-16</v>
      </c>
      <c r="U13" s="63">
        <f>T13-S13</f>
        <v>46311</v>
      </c>
      <c r="V13" s="186" t="n"/>
      <c r="W13" s="61" t="str">
        <f>VLOOKUP(A13,'3.GateMove'!A:D,4,FALSE)</f>
        <v>2026-10-12</v>
      </c>
      <c r="X13" s="63">
        <f>((T13-W13)+1)</f>
        <v>5</v>
      </c>
      <c r="Y13" s="64">
        <f>IF(AND(OR(C13="BKK01",C13="BKK04"),L13="CFS/CY"),0,IF(M13="DG",1,IF(LEFT(C13,3)="LCH",7,IF(C13="BKK02",5,3))))</f>
        <v>3</v>
      </c>
      <c r="Z13" s="63">
        <f>IF(IF(AND(AC13="TML",AB13&gt;0),((T13-W13)+1)-AB13,((T13-W13)+1)-Y13)&gt;0,IF(AND(AC13="TML",AB13&gt;0),((T13-W13)+1)-AB13,((T13-W13)+1)-Y13),0)</f>
        <v>2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640</v>
      </c>
      <c r="AB13" s="184" t="n"/>
      <c r="AC13" s="184" t="n"/>
      <c r="AD13" s="60">
        <f>IF(M13="DG",3,IF(N13="RF",3,5))+IF(AND(LEFT(C13,3)="BKK",N13="RF",Q13="KTS"),1,0)+IF(Q13="KHS",1,0)</f>
        <v>3</v>
      </c>
      <c r="AE13" s="63">
        <f>(T13-V13)+1</f>
        <v>46312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640</v>
      </c>
      <c r="AJ13" s="188" t="n"/>
      <c r="AK13" s="62" t="str">
        <f>VLOOKUP(D13,'2.Bookinglist'!A:CT,40,FALSE)</f>
        <v>Insuk Heo</v>
      </c>
      <c r="AL13" s="60" t="str">
        <f>VLOOKUP(D13,'2.Bookinglist'!A:CW,101,FALSE)</f>
        <v>2026-10-15</v>
      </c>
      <c r="AM13" s="60" t="str">
        <f>VLOOKUP(D13,'2.Bookinglist'!A:BK,63,FALSE)</f>
        <v>BKK27</v>
      </c>
      <c r="AN13" s="62" t="str">
        <f>VLOOKUP(D13,'2.Bookinglist'!A:AZ,52,FALSE)</f>
        <v>[FIX][FIX]CY-RTN : 09-11/10/2026 (TEMP : +18'C / VENT CLOSE)
CLS TIME DD.13/10/2026 @ 18.00 *1ST RETURN CNTR DD.12/10/2026*</v>
      </c>
      <c r="AO13" s="62">
        <f>VLOOKUP(D13,'2.Bookinglist'!A:CY,103,FALSE)</f>
        <v>0</v>
      </c>
    </row>
    <row r="14" ht="12.95" customHeight="1">
      <c r="A14" s="96" t="inlineStr">
        <is>
          <t>FSCU5910960</t>
        </is>
      </c>
      <c r="B14" s="184" t="str">
        <f>IF(C14=Charge!$M$1,Charge!$J$1,IF(C14=Charge!$M$23,Charge!$J$23,IF(C14=Charge!$M$17,Charge!$J$17,IF(C14=Charge!$N$17,Charge!$J$17,Charge!$J$7))))</f>
        <v>G3</v>
      </c>
      <c r="C14" s="61" t="str">
        <f>VLOOKUP(A14,'1.Loading'!A:R,14,FALSE)</f>
        <v>BKK01</v>
      </c>
      <c r="D14" s="61" t="str">
        <f>VLOOKUP(A14,'1.Loading'!A:R,17,FALSE)</f>
        <v>HASLS22260902791</v>
      </c>
      <c r="E14" s="62" t="str">
        <f>VLOOKUP(D14,'2.Bookinglist'!A:CT,27,FALSE)</f>
        <v>VENTE TRADE CO.,LTD.</v>
      </c>
      <c r="F14" s="62" t="str">
        <f>VLOOKUP(D14,'2.Bookinglist'!A:CT,28,FALSE)</f>
        <v>VENTE TRADE CO.,LTD.</v>
      </c>
      <c r="G14" s="60">
        <f>VLOOKUP(D14,'2.Bookinglist'!A:E,5,FALSE)</f>
        <v>0</v>
      </c>
      <c r="H14" s="61" t="str">
        <f>VLOOKUP(D14,'2.Bookinglist'!A:CT,15,FALSE)</f>
        <v>THBKK</v>
      </c>
      <c r="I14" s="61" t="str">
        <f>VLOOKUP(D14,'2.Bookinglist'!A:CT,19,FALSE)</f>
        <v>RUVVO</v>
      </c>
      <c r="J14" s="61" t="str">
        <f>VLOOKUP(D14,'2.Bookinglist'!A:CT,26,FALSE)</f>
        <v>KRPUS</v>
      </c>
      <c r="K14" s="61" t="str">
        <f>VLOOKUP(A14,'1.Loading'!A:R,5,FALSE)</f>
        <v>45RE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>RF</v>
      </c>
      <c r="O14" s="61" t="str">
        <f>VLOOKUP(A14,'1.Loading'!A:R,3,FALSE)</f>
        <v>SWIC</v>
      </c>
      <c r="P14" s="61" t="str">
        <f>VLOOKUP(A14,'1.Loading'!A:R,4,FALSE)</f>
        <v>2611N</v>
      </c>
      <c r="Q14" s="61" t="str">
        <f>VLOOKUP(D14,'2.Bookinglist'!A:CT,12,FALSE)</f>
        <v>KHS1</v>
      </c>
      <c r="R14" s="60" t="str">
        <f>IF(LEFT(K14,2)="22","20'","40'")</f>
        <v>40'</v>
      </c>
      <c r="S14" s="185" t="n"/>
      <c r="T14" s="61" t="str">
        <f>VLOOKUP(A14,'1.Loading'!A:R,2,FALSE)</f>
        <v>2026-10-16</v>
      </c>
      <c r="U14" s="63">
        <f>T14-S14</f>
        <v>46311</v>
      </c>
      <c r="V14" s="186" t="n"/>
      <c r="W14" s="61" t="str">
        <f>VLOOKUP(A14,'3.GateMove'!A:D,4,FALSE)</f>
        <v>2026-10-12</v>
      </c>
      <c r="X14" s="63">
        <f>((T14-W14)+1)</f>
        <v>5</v>
      </c>
      <c r="Y14" s="64">
        <f>IF(AND(OR(C14="BKK01",C14="BKK04"),L14="CFS/CY"),0,IF(M14="DG",1,IF(LEFT(C14,3)="LCH",7,IF(C14="BKK02",5,3))))</f>
        <v>3</v>
      </c>
      <c r="Z14" s="63">
        <f>IF(IF(AND(AC14="TML",AB14&gt;0),((T14-W14)+1)-AB14,((T14-W14)+1)-Y14)&gt;0,IF(AND(AC14="TML",AB14&gt;0),((T14-W14)+1)-AB14,((T14-W14)+1)-Y14),0)</f>
        <v>2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640</v>
      </c>
      <c r="AB14" s="184" t="n"/>
      <c r="AC14" s="184" t="n"/>
      <c r="AD14" s="60">
        <f>IF(M14="DG",3,IF(N14="RF",3,5))+IF(AND(LEFT(C14,3)="BKK",N14="RF",Q14="KTS"),1,0)+IF(Q14="KHS",1,0)</f>
        <v>3</v>
      </c>
      <c r="AE14" s="63">
        <f>(T14-V14)+1</f>
        <v>46312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640</v>
      </c>
      <c r="AJ14" s="188" t="n"/>
      <c r="AK14" s="62" t="str">
        <f>VLOOKUP(D14,'2.Bookinglist'!A:CT,40,FALSE)</f>
        <v>Insuk Heo</v>
      </c>
      <c r="AL14" s="60" t="str">
        <f>VLOOKUP(D14,'2.Bookinglist'!A:CW,101,FALSE)</f>
        <v>2026-10-15</v>
      </c>
      <c r="AM14" s="60" t="str">
        <f>VLOOKUP(D14,'2.Bookinglist'!A:BK,63,FALSE)</f>
        <v>BKK27</v>
      </c>
      <c r="AN14" s="62" t="str">
        <f>VLOOKUP(D14,'2.Bookinglist'!A:AZ,52,FALSE)</f>
        <v>[FIX][FIX]CY-RTN : 09-11/10/2026 (TEMP : +18'C / VENT CLOSE)
CLS TIME DD.13/10/2026 @ 18.00 *1ST RETURN CNTR DD.12/10/2026*</v>
      </c>
      <c r="AO14" s="62">
        <f>VLOOKUP(D14,'2.Bookinglist'!A:CY,103,FALSE)</f>
        <v>0</v>
      </c>
    </row>
    <row r="15" ht="12.95" customHeight="1">
      <c r="A15" s="96" t="inlineStr">
        <is>
          <t>FSCU5911307</t>
        </is>
      </c>
      <c r="B15" s="184" t="str">
        <f>IF(C15=Charge!$M$1,Charge!$J$1,IF(C15=Charge!$M$23,Charge!$J$23,IF(C15=Charge!$M$17,Charge!$J$17,IF(C15=Charge!$N$17,Charge!$J$17,Charge!$J$7))))</f>
        <v>G3</v>
      </c>
      <c r="C15" s="61" t="str">
        <f>VLOOKUP(A15,'1.Loading'!A:R,14,FALSE)</f>
        <v>BKK01</v>
      </c>
      <c r="D15" s="61" t="str">
        <f>VLOOKUP(A15,'1.Loading'!A:R,17,FALSE)</f>
        <v>HASLS22260902791</v>
      </c>
      <c r="E15" s="62" t="str">
        <f>VLOOKUP(D15,'2.Bookinglist'!A:CT,27,FALSE)</f>
        <v>VENTE TRADE CO.,LTD.</v>
      </c>
      <c r="F15" s="62" t="str">
        <f>VLOOKUP(D15,'2.Bookinglist'!A:CT,28,FALSE)</f>
        <v>VENTE TRADE CO.,LTD.</v>
      </c>
      <c r="G15" s="60">
        <f>VLOOKUP(D15,'2.Bookinglist'!A:E,5,FALSE)</f>
        <v>0</v>
      </c>
      <c r="H15" s="61" t="str">
        <f>VLOOKUP(D15,'2.Bookinglist'!A:CT,15,FALSE)</f>
        <v>THBKK</v>
      </c>
      <c r="I15" s="61" t="str">
        <f>VLOOKUP(D15,'2.Bookinglist'!A:CT,19,FALSE)</f>
        <v>RUVVO</v>
      </c>
      <c r="J15" s="61" t="str">
        <f>VLOOKUP(D15,'2.Bookinglist'!A:CT,26,FALSE)</f>
        <v>KRPUS</v>
      </c>
      <c r="K15" s="61" t="str">
        <f>VLOOKUP(A15,'1.Loading'!A:R,5,FALSE)</f>
        <v>45RE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>RF</v>
      </c>
      <c r="O15" s="61" t="str">
        <f>VLOOKUP(A15,'1.Loading'!A:R,3,FALSE)</f>
        <v>SWIC</v>
      </c>
      <c r="P15" s="61" t="str">
        <f>VLOOKUP(A15,'1.Loading'!A:R,4,FALSE)</f>
        <v>2611N</v>
      </c>
      <c r="Q15" s="61" t="str">
        <f>VLOOKUP(D15,'2.Bookinglist'!A:CT,12,FALSE)</f>
        <v>KHS1</v>
      </c>
      <c r="R15" s="60" t="str">
        <f>IF(LEFT(K15,2)="22","20'","40'")</f>
        <v>40'</v>
      </c>
      <c r="S15" s="185" t="n"/>
      <c r="T15" s="61" t="str">
        <f>VLOOKUP(A15,'1.Loading'!A:R,2,FALSE)</f>
        <v>2026-10-16</v>
      </c>
      <c r="U15" s="63">
        <f>T15-S15</f>
        <v>46311</v>
      </c>
      <c r="V15" s="186" t="n"/>
      <c r="W15" s="61" t="str">
        <f>VLOOKUP(A15,'3.GateMove'!A:D,4,FALSE)</f>
        <v>2026-10-12</v>
      </c>
      <c r="X15" s="63">
        <f>((T15-W15)+1)</f>
        <v>5</v>
      </c>
      <c r="Y15" s="64">
        <f>IF(AND(OR(C15="BKK01",C15="BKK04"),L15="CFS/CY"),0,IF(M15="DG",1,IF(LEFT(C15,3)="LCH",7,IF(C15="BKK02",5,3))))</f>
        <v>3</v>
      </c>
      <c r="Z15" s="63">
        <f>IF(IF(AND(AC15="TML",AB15&gt;0),((T15-W15)+1)-AB15,((T15-W15)+1)-Y15)&gt;0,IF(AND(AC15="TML",AB15&gt;0),((T15-W15)+1)-AB15,((T15-W15)+1)-Y15),0)</f>
        <v>2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640</v>
      </c>
      <c r="AB15" s="184" t="n"/>
      <c r="AC15" s="184" t="n"/>
      <c r="AD15" s="60">
        <f>IF(M15="DG",3,IF(N15="RF",3,5))+IF(AND(LEFT(C15,3)="BKK",N15="RF",Q15="KTS"),1,0)+IF(Q15="KHS",1,0)</f>
        <v>3</v>
      </c>
      <c r="AE15" s="63">
        <f>(T15-V15)+1</f>
        <v>46312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640</v>
      </c>
      <c r="AJ15" s="188" t="n"/>
      <c r="AK15" s="62" t="str">
        <f>VLOOKUP(D15,'2.Bookinglist'!A:CT,40,FALSE)</f>
        <v>Insuk Heo</v>
      </c>
      <c r="AL15" s="60" t="str">
        <f>VLOOKUP(D15,'2.Bookinglist'!A:CW,101,FALSE)</f>
        <v>2026-10-15</v>
      </c>
      <c r="AM15" s="60" t="str">
        <f>VLOOKUP(D15,'2.Bookinglist'!A:BK,63,FALSE)</f>
        <v>BKK27</v>
      </c>
      <c r="AN15" s="62" t="str">
        <f>VLOOKUP(D15,'2.Bookinglist'!A:AZ,52,FALSE)</f>
        <v>[FIX][FIX]CY-RTN : 09-11/10/2026 (TEMP : +18'C / VENT CLOSE)
CLS TIME DD.13/10/2026 @ 18.00 *1ST RETURN CNTR DD.12/10/2026*</v>
      </c>
      <c r="AO15" s="62">
        <f>VLOOKUP(D15,'2.Bookinglist'!A:CY,103,FALSE)</f>
        <v>0</v>
      </c>
    </row>
    <row r="16" ht="12.95" customHeight="1">
      <c r="A16" s="96" t="inlineStr">
        <is>
          <t>GCXU2428285</t>
        </is>
      </c>
      <c r="B16" s="184" t="str">
        <f>IF(C16=Charge!$M$1,Charge!$J$1,IF(C16=Charge!$M$23,Charge!$J$23,IF(C16=Charge!$M$17,Charge!$J$17,IF(C16=Charge!$N$17,Charge!$J$17,Charge!$J$7))))</f>
        <v>G3</v>
      </c>
      <c r="C16" s="61" t="str">
        <f>VLOOKUP(A16,'1.Loading'!A:R,14,FALSE)</f>
        <v>BKK01</v>
      </c>
      <c r="D16" s="61" t="str">
        <f>VLOOKUP(A16,'1.Loading'!A:R,17,FALSE)</f>
        <v>HASLS22260900657</v>
      </c>
      <c r="E16" s="62" t="str">
        <f>VLOOKUP(D16,'2.Bookinglist'!A:CT,27,FALSE)</f>
        <v>ORIENT STAR INTERNATIONAL LOGISTICS CO., LTD.</v>
      </c>
      <c r="F16" s="62" t="str">
        <f>VLOOKUP(D16,'2.Bookinglist'!A:CT,28,FALSE)</f>
        <v>WIDE WATER GATE CO.,LTD</v>
      </c>
      <c r="G16" s="60">
        <f>VLOOKUP(D16,'2.Bookinglist'!A:E,5,FALSE)</f>
        <v>0</v>
      </c>
      <c r="H16" s="61" t="str">
        <f>VLOOKUP(D16,'2.Bookinglist'!A:CT,15,FALSE)</f>
        <v>THBKK</v>
      </c>
      <c r="I16" s="61" t="str">
        <f>VLOOKUP(D16,'2.Bookinglist'!A:CT,19,FALSE)</f>
        <v>KRPUS</v>
      </c>
      <c r="J16" s="61">
        <f>VLOOKUP(D16,'2.Bookinglist'!A:CT,26,FALSE)</f>
        <v>0</v>
      </c>
      <c r="K16" s="61" t="str">
        <f>VLOOKUP(A16,'1.Loading'!A:R,5,FALSE)</f>
        <v>22GP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SWIC</v>
      </c>
      <c r="P16" s="61" t="str">
        <f>VLOOKUP(A16,'1.Loading'!A:R,4,FALSE)</f>
        <v>2611N</v>
      </c>
      <c r="Q16" s="61" t="str">
        <f>VLOOKUP(D16,'2.Bookinglist'!A:CT,12,FALSE)</f>
        <v>KHS1</v>
      </c>
      <c r="R16" s="60" t="str">
        <f>IF(LEFT(K16,2)="22","20'","40'")</f>
        <v>20'</v>
      </c>
      <c r="S16" s="185" t="n"/>
      <c r="T16" s="61" t="str">
        <f>VLOOKUP(A16,'1.Loading'!A:R,2,FALSE)</f>
        <v>2026-10-16</v>
      </c>
      <c r="U16" s="63">
        <f>T16-S16</f>
        <v>46311</v>
      </c>
      <c r="V16" s="186" t="n"/>
      <c r="W16" s="61" t="str">
        <f>VLOOKUP(A16,'3.GateMove'!A:D,4,FALSE)</f>
        <v>2026-10-11</v>
      </c>
      <c r="X16" s="63">
        <f>((T16-W16)+1)</f>
        <v>6</v>
      </c>
      <c r="Y16" s="64">
        <f>IF(AND(OR(C16="BKK01",C16="BKK04"),L16="CFS/CY"),0,IF(M16="DG",1,IF(LEFT(C16,3)="LCH",7,IF(C16="BKK02",5,3))))</f>
        <v>3</v>
      </c>
      <c r="Z16" s="63">
        <f>IF(IF(AND(AC16="TML",AB16&gt;0),((T16-W16)+1)-AB16,((T16-W16)+1)-Y16)&gt;0,IF(AND(AC16="TML",AB16&gt;0),((T16-W16)+1)-AB16,((T16-W16)+1)-Y16),0)</f>
        <v>3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480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46312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480</v>
      </c>
      <c r="AJ16" s="188" t="n"/>
      <c r="AK16" s="62" t="str">
        <f>VLOOKUP(D16,'2.Bookinglist'!A:CT,40,FALSE)</f>
        <v>Kim jaewon</v>
      </c>
      <c r="AL16" s="60" t="str">
        <f>VLOOKUP(D16,'2.Bookinglist'!A:CW,101,FALSE)</f>
        <v>2026-10-15</v>
      </c>
      <c r="AM16" s="60" t="str">
        <f>VLOOKUP(D16,'2.Bookinglist'!A:BK,63,FALSE)</f>
        <v>BKK25</v>
      </c>
      <c r="AN16" s="62" t="str">
        <f>VLOOKUP(D16,'2.Bookinglist'!A:AZ,52,FALSE)</f>
        <v>Pickup : 2026-10-09, Return : 2026-10-11 // FM DJCF 0152N BY HAL DD.28/09
(1ST RETURN 11/10 W/O RENT)</v>
      </c>
      <c r="AO16" s="62">
        <f>VLOOKUP(D16,'2.Bookinglist'!A:CY,103,FALSE)</f>
        <v>0</v>
      </c>
    </row>
    <row r="17" ht="12.95" customHeight="1">
      <c r="A17" s="96" t="inlineStr">
        <is>
          <t>HALU2031228</t>
        </is>
      </c>
      <c r="B17" s="184" t="str">
        <f>IF(C17=Charge!$M$1,Charge!$J$1,IF(C17=Charge!$M$23,Charge!$J$23,IF(C17=Charge!$M$17,Charge!$J$17,IF(C17=Charge!$N$17,Charge!$J$17,Charge!$J$7))))</f>
        <v>G3</v>
      </c>
      <c r="C17" s="61" t="str">
        <f>VLOOKUP(A17,'1.Loading'!A:R,14,FALSE)</f>
        <v>BKK01</v>
      </c>
      <c r="D17" s="61" t="str">
        <f>VLOOKUP(A17,'1.Loading'!A:R,17,FALSE)</f>
        <v>HASLS22260901933</v>
      </c>
      <c r="E17" s="62" t="str">
        <f>VLOOKUP(D17,'2.Bookinglist'!A:CT,27,FALSE)</f>
        <v>THAI AGRI FOODS PUBLIC COMPANY LIMITED</v>
      </c>
      <c r="F17" s="62" t="str">
        <f>VLOOKUP(D17,'2.Bookinglist'!A:CT,28,FALSE)</f>
        <v>THAI AGRI FOODS PUBLIC COMPANY LIMITED</v>
      </c>
      <c r="G17" s="60">
        <f>VLOOKUP(D17,'2.Bookinglist'!A:E,5,FALSE)</f>
        <v>0</v>
      </c>
      <c r="H17" s="61" t="str">
        <f>VLOOKUP(D17,'2.Bookinglist'!A:CT,15,FALSE)</f>
        <v>THBKK</v>
      </c>
      <c r="I17" s="61" t="str">
        <f>VLOOKUP(D17,'2.Bookinglist'!A:CT,19,FALSE)</f>
        <v>RUVVO</v>
      </c>
      <c r="J17" s="61" t="str">
        <f>VLOOKUP(D17,'2.Bookinglist'!A:CT,26,FALSE)</f>
        <v>KRPUS</v>
      </c>
      <c r="K17" s="61" t="str">
        <f>VLOOKUP(A17,'1.Loading'!A:R,5,FALSE)</f>
        <v>22GP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SWIC</v>
      </c>
      <c r="P17" s="61" t="str">
        <f>VLOOKUP(A17,'1.Loading'!A:R,4,FALSE)</f>
        <v>2611N</v>
      </c>
      <c r="Q17" s="61" t="str">
        <f>VLOOKUP(D17,'2.Bookinglist'!A:CT,12,FALSE)</f>
        <v>KHS1</v>
      </c>
      <c r="R17" s="60" t="str">
        <f>IF(LEFT(K17,2)="22","20'","40'")</f>
        <v>20'</v>
      </c>
      <c r="S17" s="185" t="n"/>
      <c r="T17" s="61" t="str">
        <f>VLOOKUP(A17,'1.Loading'!A:R,2,FALSE)</f>
        <v>2026-10-16</v>
      </c>
      <c r="U17" s="63">
        <f>T17-S17</f>
        <v>46311</v>
      </c>
      <c r="V17" s="186" t="n"/>
      <c r="W17" s="61" t="str">
        <f>VLOOKUP(A17,'3.GateMove'!A:D,4,FALSE)</f>
        <v>2026-10-12</v>
      </c>
      <c r="X17" s="63">
        <f>((T17-W17)+1)</f>
        <v>5</v>
      </c>
      <c r="Y17" s="64">
        <f>IF(AND(OR(C17="BKK01",C17="BKK04"),L17="CFS/CY"),0,IF(M17="DG",1,IF(LEFT(C17,3)="LCH",7,IF(C17="BKK02",5,3))))</f>
        <v>3</v>
      </c>
      <c r="Z17" s="63">
        <f>IF(IF(AND(AC17="TML",AB17&gt;0),((T17-W17)+1)-AB17,((T17-W17)+1)-Y17)&gt;0,IF(AND(AC17="TML",AB17&gt;0),((T17-W17)+1)-AB17,((T17-W17)+1)-Y17),0)</f>
        <v>2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320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46312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320</v>
      </c>
      <c r="AJ17" s="188" t="n"/>
      <c r="AK17" s="62" t="str">
        <f>VLOOKUP(D17,'2.Bookinglist'!A:CT,40,FALSE)</f>
        <v>ANNA MARS</v>
      </c>
      <c r="AL17" s="60" t="str">
        <f>VLOOKUP(D17,'2.Bookinglist'!A:CW,101,FALSE)</f>
        <v>2026-10-15</v>
      </c>
      <c r="AM17" s="60" t="str">
        <f>VLOOKUP(D17,'2.Bookinglist'!A:BK,63,FALSE)</f>
        <v>BKK27</v>
      </c>
      <c r="AN17" s="62" t="str">
        <f>VLOOKUP(D17,'2.Bookinglist'!A:AZ,52,FALSE)</f>
        <v>[FIX][FIX]SWIC/2611N/10/24[FIX] Pickup : 2026-10-09, Return : 2026-10-12</v>
      </c>
      <c r="AO17" s="62">
        <f>VLOOKUP(D17,'2.Bookinglist'!A:CY,103,FALSE)</f>
        <v>0</v>
      </c>
    </row>
    <row r="18" ht="12.95" customHeight="1">
      <c r="A18" s="96" t="inlineStr">
        <is>
          <t>HALU2085332</t>
        </is>
      </c>
      <c r="B18" s="184" t="str">
        <f>IF(C18=Charge!$M$1,Charge!$J$1,IF(C18=Charge!$M$23,Charge!$J$23,IF(C18=Charge!$M$17,Charge!$J$17,IF(C18=Charge!$N$17,Charge!$J$17,Charge!$J$7))))</f>
        <v>G3</v>
      </c>
      <c r="C18" s="61" t="str">
        <f>VLOOKUP(A18,'1.Loading'!A:R,14,FALSE)</f>
        <v>BKK01</v>
      </c>
      <c r="D18" s="61" t="str">
        <f>VLOOKUP(A18,'1.Loading'!A:R,17,FALSE)</f>
        <v>HASLS22260801161</v>
      </c>
      <c r="E18" s="62" t="str">
        <f>VLOOKUP(D18,'2.Bookinglist'!A:CT,27,FALSE)</f>
        <v>MEGALOAD DEVELOPMENT LOGISTICS CO., LTD.</v>
      </c>
      <c r="F18" s="62" t="str">
        <f>VLOOKUP(D18,'2.Bookinglist'!A:CT,28,FALSE)</f>
        <v>FISHMEAL MARKETING DEVELOPMENT CO., LTD.</v>
      </c>
      <c r="G18" s="60">
        <f>VLOOKUP(D18,'2.Bookinglist'!A:E,5,FALSE)</f>
        <v>0</v>
      </c>
      <c r="H18" s="61" t="str">
        <f>VLOOKUP(D18,'2.Bookinglist'!A:CT,15,FALSE)</f>
        <v>THBKK</v>
      </c>
      <c r="I18" s="61" t="str">
        <f>VLOOKUP(D18,'2.Bookinglist'!A:CT,19,FALSE)</f>
        <v>JPKSM</v>
      </c>
      <c r="J18" s="61" t="str">
        <f>VLOOKUP(D18,'2.Bookinglist'!A:CT,26,FALSE)</f>
        <v>KRPUS</v>
      </c>
      <c r="K18" s="61" t="str">
        <f>VLOOKUP(A18,'1.Loading'!A:R,5,FALSE)</f>
        <v>22GP</v>
      </c>
      <c r="L18" s="60" t="str">
        <f>VLOOKUP(D18,'2.Bookinglist'!A:CT,85,FALSE)</f>
        <v>CY/CY</v>
      </c>
      <c r="M18" s="60" t="str">
        <f>IF(VLOOKUP(D18,'2.Bookinglist'!A:CT,43,FALSE)=0,"","DG")</f>
        <v>DG</v>
      </c>
      <c r="N18" s="60" t="str">
        <f>IF(RIGHT(K18,2)="RE","RF","")</f>
        <v/>
      </c>
      <c r="O18" s="61" t="str">
        <f>VLOOKUP(A18,'1.Loading'!A:R,3,FALSE)</f>
        <v>SWIC</v>
      </c>
      <c r="P18" s="61" t="str">
        <f>VLOOKUP(A18,'1.Loading'!A:R,4,FALSE)</f>
        <v>2611N</v>
      </c>
      <c r="Q18" s="61" t="str">
        <f>VLOOKUP(D18,'2.Bookinglist'!A:CT,12,FALSE)</f>
        <v>KHS1</v>
      </c>
      <c r="R18" s="60" t="str">
        <f>IF(LEFT(K18,2)="22","20'","40'")</f>
        <v>20'</v>
      </c>
      <c r="S18" s="185" t="n"/>
      <c r="T18" s="61" t="str">
        <f>VLOOKUP(A18,'1.Loading'!A:R,2,FALSE)</f>
        <v>2026-10-16</v>
      </c>
      <c r="U18" s="63">
        <f>T18-S18</f>
        <v>46311</v>
      </c>
      <c r="V18" s="186" t="n"/>
      <c r="W18" s="61" t="str">
        <f>VLOOKUP(A18,'3.GateMove'!A:D,4,FALSE)</f>
        <v>2026-10-12</v>
      </c>
      <c r="X18" s="63">
        <f>((T18-W18)+1)</f>
        <v>5</v>
      </c>
      <c r="Y18" s="64">
        <f>IF(AND(OR(C18="BKK01",C18="BKK04"),L18="CFS/CY"),0,IF(M18="DG",1,IF(LEFT(C18,3)="LCH",7,IF(C18="BKK02",5,3))))</f>
        <v>1</v>
      </c>
      <c r="Z18" s="63">
        <f>IF(IF(AND(AC18="TML",AB18&gt;0),((T18-W18)+1)-AB18,((T18-W18)+1)-Y18)&gt;0,IF(AND(AC18="TML",AB18&gt;0),((T18-W18)+1)-AB18,((T18-W18)+1)-Y18),0)</f>
        <v>4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1920</v>
      </c>
      <c r="AB18" s="184" t="n"/>
      <c r="AC18" s="184" t="n"/>
      <c r="AD18" s="60">
        <f>IF(M18="DG",3,IF(N18="RF",3,5))+IF(AND(LEFT(C18,3)="BKK",N18="RF",Q18="KTS"),1,0)+IF(Q18="KHS",1,0)</f>
        <v>3</v>
      </c>
      <c r="AE18" s="63">
        <f>(T18-V18)+1</f>
        <v>46312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1920</v>
      </c>
      <c r="AJ18" s="188" t="n"/>
      <c r="AK18" s="62" t="str">
        <f>VLOOKUP(D18,'2.Bookinglist'!A:CT,40,FALSE)</f>
        <v>Tarn(Supaporn)</v>
      </c>
      <c r="AL18" s="60" t="str">
        <f>VLOOKUP(D18,'2.Bookinglist'!A:CW,101,FALSE)</f>
        <v>2026-10-12</v>
      </c>
      <c r="AM18" s="60" t="str">
        <f>VLOOKUP(D18,'2.Bookinglist'!A:BK,63,FALSE)</f>
        <v>BKK27</v>
      </c>
      <c r="AN18" s="62" t="str">
        <f>VLOOKUP(D18,'2.Bookinglist'!A:AZ,52,FALSE)</f>
        <v>[FIX][FIX]** APPROVAL DG BY MR.M.J CHANG DD.30/09/2026 ** DG22GPx13 (CLS 9 / UN 2216)  
Pickup : 2026-10-10, Return : 2026-09-10 
EXTEND  CLS TIME 13/23.59 FIRST DATE CAN RETURN CNTR DD.13/10</v>
      </c>
      <c r="AO18" s="62">
        <f>VLOOKUP(D18,'2.Bookinglist'!A:CY,103,FALSE)</f>
        <v>0</v>
      </c>
    </row>
    <row r="19" ht="12.95" customHeight="1">
      <c r="A19" s="96" t="inlineStr">
        <is>
          <t>HALU2103863</t>
        </is>
      </c>
      <c r="B19" s="184" t="str">
        <f>IF(C19=Charge!$M$1,Charge!$J$1,IF(C19=Charge!$M$23,Charge!$J$23,IF(C19=Charge!$M$17,Charge!$J$17,IF(C19=Charge!$N$17,Charge!$J$17,Charge!$J$7))))</f>
        <v>G3</v>
      </c>
      <c r="C19" s="61" t="str">
        <f>VLOOKUP(A19,'1.Loading'!A:R,14,FALSE)</f>
        <v>BKK01</v>
      </c>
      <c r="D19" s="61" t="str">
        <f>VLOOKUP(A19,'1.Loading'!A:R,17,FALSE)</f>
        <v>HASLS22260801161</v>
      </c>
      <c r="E19" s="62" t="str">
        <f>VLOOKUP(D19,'2.Bookinglist'!A:CT,27,FALSE)</f>
        <v>MEGALOAD DEVELOPMENT LOGISTICS CO., LTD.</v>
      </c>
      <c r="F19" s="62" t="str">
        <f>VLOOKUP(D19,'2.Bookinglist'!A:CT,28,FALSE)</f>
        <v>FISHMEAL MARKETING DEVELOPMENT CO., LTD.</v>
      </c>
      <c r="G19" s="60">
        <f>VLOOKUP(D19,'2.Bookinglist'!A:E,5,FALSE)</f>
        <v>0</v>
      </c>
      <c r="H19" s="61" t="str">
        <f>VLOOKUP(D19,'2.Bookinglist'!A:CT,15,FALSE)</f>
        <v>THBKK</v>
      </c>
      <c r="I19" s="61" t="str">
        <f>VLOOKUP(D19,'2.Bookinglist'!A:CT,19,FALSE)</f>
        <v>JPKSM</v>
      </c>
      <c r="J19" s="61" t="str">
        <f>VLOOKUP(D19,'2.Bookinglist'!A:CT,26,FALSE)</f>
        <v>KRPUS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>DG</v>
      </c>
      <c r="N19" s="60" t="str">
        <f>IF(RIGHT(K19,2)="RE","RF","")</f>
        <v/>
      </c>
      <c r="O19" s="61" t="str">
        <f>VLOOKUP(A19,'1.Loading'!A:R,3,FALSE)</f>
        <v>SWIC</v>
      </c>
      <c r="P19" s="61" t="str">
        <f>VLOOKUP(A19,'1.Loading'!A:R,4,FALSE)</f>
        <v>2611N</v>
      </c>
      <c r="Q19" s="61" t="str">
        <f>VLOOKUP(D19,'2.Bookinglist'!A:CT,12,FALSE)</f>
        <v>KHS1</v>
      </c>
      <c r="R19" s="60" t="str">
        <f>IF(LEFT(K19,2)="22","20'","40'")</f>
        <v>20'</v>
      </c>
      <c r="S19" s="185" t="n"/>
      <c r="T19" s="61" t="str">
        <f>VLOOKUP(A19,'1.Loading'!A:R,2,FALSE)</f>
        <v>2026-10-16</v>
      </c>
      <c r="U19" s="63">
        <f>T19-S19</f>
        <v>46311</v>
      </c>
      <c r="V19" s="186" t="n"/>
      <c r="W19" s="61" t="str">
        <f>VLOOKUP(A19,'3.GateMove'!A:D,4,FALSE)</f>
        <v>2026-10-12</v>
      </c>
      <c r="X19" s="63">
        <f>((T19-W19)+1)</f>
        <v>5</v>
      </c>
      <c r="Y19" s="64">
        <f>IF(AND(OR(C19="BKK01",C19="BKK04"),L19="CFS/CY"),0,IF(M19="DG",1,IF(LEFT(C19,3)="LCH",7,IF(C19="BKK02",5,3))))</f>
        <v>1</v>
      </c>
      <c r="Z19" s="63">
        <f>IF(IF(AND(AC19="TML",AB19&gt;0),((T19-W19)+1)-AB19,((T19-W19)+1)-Y19)&gt;0,IF(AND(AC19="TML",AB19&gt;0),((T19-W19)+1)-AB19,((T19-W19)+1)-Y19),0)</f>
        <v>4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1920</v>
      </c>
      <c r="AB19" s="184" t="n"/>
      <c r="AC19" s="184" t="n"/>
      <c r="AD19" s="60">
        <f>IF(M19="DG",3,IF(N19="RF",3,5))+IF(AND(LEFT(C19,3)="BKK",N19="RF",Q19="KTS"),1,0)+IF(Q19="KHS",1,0)</f>
        <v>3</v>
      </c>
      <c r="AE19" s="63">
        <f>(T19-V19)+1</f>
        <v>46312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1920</v>
      </c>
      <c r="AJ19" s="188" t="n"/>
      <c r="AK19" s="62" t="str">
        <f>VLOOKUP(D19,'2.Bookinglist'!A:CT,40,FALSE)</f>
        <v>Tarn(Supaporn)</v>
      </c>
      <c r="AL19" s="60" t="str">
        <f>VLOOKUP(D19,'2.Bookinglist'!A:CW,101,FALSE)</f>
        <v>2026-10-12</v>
      </c>
      <c r="AM19" s="60" t="str">
        <f>VLOOKUP(D19,'2.Bookinglist'!A:BK,63,FALSE)</f>
        <v>BKK27</v>
      </c>
      <c r="AN19" s="62" t="str">
        <f>VLOOKUP(D19,'2.Bookinglist'!A:AZ,52,FALSE)</f>
        <v>[FIX][FIX]** APPROVAL DG BY MR.M.J CHANG DD.30/09/2026 ** DG22GPx13 (CLS 9 / UN 2216)  
Pickup : 2026-10-10, Return : 2026-09-10 
EXTEND  CLS TIME 13/23.59 FIRST DATE CAN RETURN CNTR DD.13/10</v>
      </c>
      <c r="AO19" s="62">
        <f>VLOOKUP(D19,'2.Bookinglist'!A:CY,103,FALSE)</f>
        <v>0</v>
      </c>
    </row>
    <row r="20" ht="12.95" customHeight="1">
      <c r="A20" s="96" t="inlineStr">
        <is>
          <t>HALU2109780</t>
        </is>
      </c>
      <c r="B20" s="184" t="str">
        <f>IF(C20=Charge!$M$1,Charge!$J$1,IF(C20=Charge!$M$23,Charge!$J$23,IF(C20=Charge!$M$17,Charge!$J$17,IF(C20=Charge!$N$17,Charge!$J$17,Charge!$J$7))))</f>
        <v>G3</v>
      </c>
      <c r="C20" s="61" t="str">
        <f>VLOOKUP(A20,'1.Loading'!A:R,14,FALSE)</f>
        <v>BKK01</v>
      </c>
      <c r="D20" s="61" t="str">
        <f>VLOOKUP(A20,'1.Loading'!A:R,17,FALSE)</f>
        <v>HASLS22260900657</v>
      </c>
      <c r="E20" s="62" t="str">
        <f>VLOOKUP(D20,'2.Bookinglist'!A:CT,27,FALSE)</f>
        <v>ORIENT STAR INTERNATIONAL LOGISTICS CO., LTD.</v>
      </c>
      <c r="F20" s="62" t="str">
        <f>VLOOKUP(D20,'2.Bookinglist'!A:CT,28,FALSE)</f>
        <v>WIDE WATER GATE CO.,LTD</v>
      </c>
      <c r="G20" s="60">
        <f>VLOOKUP(D20,'2.Bookinglist'!A:E,5,FALSE)</f>
        <v>0</v>
      </c>
      <c r="H20" s="61" t="str">
        <f>VLOOKUP(D20,'2.Bookinglist'!A:CT,15,FALSE)</f>
        <v>THBKK</v>
      </c>
      <c r="I20" s="61" t="str">
        <f>VLOOKUP(D20,'2.Bookinglist'!A:CT,19,FALSE)</f>
        <v>KRPUS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SWIC</v>
      </c>
      <c r="P20" s="61" t="str">
        <f>VLOOKUP(A20,'1.Loading'!A:R,4,FALSE)</f>
        <v>2611N</v>
      </c>
      <c r="Q20" s="61" t="str">
        <f>VLOOKUP(D20,'2.Bookinglist'!A:CT,12,FALSE)</f>
        <v>KHS1</v>
      </c>
      <c r="R20" s="60" t="str">
        <f>IF(LEFT(K20,2)="22","20'","40'")</f>
        <v>20'</v>
      </c>
      <c r="S20" s="185" t="n"/>
      <c r="T20" s="61" t="str">
        <f>VLOOKUP(A20,'1.Loading'!A:R,2,FALSE)</f>
        <v>2026-10-16</v>
      </c>
      <c r="U20" s="63">
        <f>T20-S20</f>
        <v>46311</v>
      </c>
      <c r="V20" s="186" t="n"/>
      <c r="W20" s="61" t="str">
        <f>VLOOKUP(A20,'3.GateMove'!A:D,4,FALSE)</f>
        <v>2026-10-11</v>
      </c>
      <c r="X20" s="63">
        <f>((T20-W20)+1)</f>
        <v>6</v>
      </c>
      <c r="Y20" s="64">
        <f>IF(AND(OR(C20="BKK01",C20="BKK04"),L20="CFS/CY"),0,IF(M20="DG",1,IF(LEFT(C20,3)="LCH",7,IF(C20="BKK02",5,3))))</f>
        <v>3</v>
      </c>
      <c r="Z20" s="63">
        <f>IF(IF(AND(AC20="TML",AB20&gt;0),((T20-W20)+1)-AB20,((T20-W20)+1)-Y20)&gt;0,IF(AND(AC20="TML",AB20&gt;0),((T20-W20)+1)-AB20,((T20-W20)+1)-Y20),0)</f>
        <v>3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480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46312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480</v>
      </c>
      <c r="AJ20" s="188" t="n"/>
      <c r="AK20" s="62" t="str">
        <f>VLOOKUP(D20,'2.Bookinglist'!A:CT,40,FALSE)</f>
        <v>Kim jaewon</v>
      </c>
      <c r="AL20" s="60" t="str">
        <f>VLOOKUP(D20,'2.Bookinglist'!A:CW,101,FALSE)</f>
        <v>2026-10-15</v>
      </c>
      <c r="AM20" s="60" t="str">
        <f>VLOOKUP(D20,'2.Bookinglist'!A:BK,63,FALSE)</f>
        <v>BKK25</v>
      </c>
      <c r="AN20" s="62" t="str">
        <f>VLOOKUP(D20,'2.Bookinglist'!A:AZ,52,FALSE)</f>
        <v>Pickup : 2026-10-09, Return : 2026-10-11 // FM DJCF 0152N BY HAL DD.28/09
(1ST RETURN 11/10 W/O RENT)</v>
      </c>
      <c r="AO20" s="62">
        <f>VLOOKUP(D20,'2.Bookinglist'!A:CY,103,FALSE)</f>
        <v>0</v>
      </c>
    </row>
    <row r="21" ht="12.95" customHeight="1">
      <c r="A21" s="96" t="inlineStr">
        <is>
          <t>HALU2325243</t>
        </is>
      </c>
      <c r="B21" s="184" t="str">
        <f>IF(C21=Charge!$M$1,Charge!$J$1,IF(C21=Charge!$M$23,Charge!$J$23,IF(C21=Charge!$M$17,Charge!$J$17,IF(C21=Charge!$N$17,Charge!$J$17,Charge!$J$7))))</f>
        <v>G3</v>
      </c>
      <c r="C21" s="61" t="str">
        <f>VLOOKUP(A21,'1.Loading'!A:R,14,FALSE)</f>
        <v>BKK01</v>
      </c>
      <c r="D21" s="61" t="str">
        <f>VLOOKUP(A21,'1.Loading'!A:R,17,FALSE)</f>
        <v>HASLS22260902184</v>
      </c>
      <c r="E21" s="62" t="str">
        <f>VLOOKUP(D21,'2.Bookinglist'!A:CT,27,FALSE)</f>
        <v>BIRLA CARBON (THAILAND) PUBLIC COMPANY LIMITED</v>
      </c>
      <c r="F21" s="62" t="str">
        <f>VLOOKUP(D21,'2.Bookinglist'!A:CT,28,FALSE)</f>
        <v>BIRLA CARBON (THAILAND) PUBLIC COMPANY LIMITED</v>
      </c>
      <c r="G21" s="60">
        <f>VLOOKUP(D21,'2.Bookinglist'!A:E,5,FALSE)</f>
        <v>0</v>
      </c>
      <c r="H21" s="61" t="str">
        <f>VLOOKUP(D21,'2.Bookinglist'!A:CT,15,FALSE)</f>
        <v>THBKK</v>
      </c>
      <c r="I21" s="61" t="str">
        <f>VLOOKUP(D21,'2.Bookinglist'!A:CT,19,FALSE)</f>
        <v>JPUKB</v>
      </c>
      <c r="J21" s="61" t="str">
        <f>VLOOKUP(D21,'2.Bookinglist'!A:CT,26,FALSE)</f>
        <v>KRPUS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SWIC</v>
      </c>
      <c r="P21" s="61" t="str">
        <f>VLOOKUP(A21,'1.Loading'!A:R,4,FALSE)</f>
        <v>2611N</v>
      </c>
      <c r="Q21" s="61" t="str">
        <f>VLOOKUP(D21,'2.Bookinglist'!A:CT,12,FALSE)</f>
        <v>KHS1</v>
      </c>
      <c r="R21" s="60" t="str">
        <f>IF(LEFT(K21,2)="22","20'","40'")</f>
        <v>20'</v>
      </c>
      <c r="S21" s="185" t="n"/>
      <c r="T21" s="61" t="str">
        <f>VLOOKUP(A21,'1.Loading'!A:R,2,FALSE)</f>
        <v>2026-10-16</v>
      </c>
      <c r="U21" s="63">
        <f>T21-S21</f>
        <v>46311</v>
      </c>
      <c r="V21" s="186" t="n"/>
      <c r="W21" s="61" t="str">
        <f>VLOOKUP(A21,'3.GateMove'!A:D,4,FALSE)</f>
        <v>2026-10-13</v>
      </c>
      <c r="X21" s="63">
        <f>((T21-W21)+1)</f>
        <v>4</v>
      </c>
      <c r="Y21" s="64">
        <f>IF(AND(OR(C21="BKK01",C21="BKK04"),L21="CFS/CY"),0,IF(M21="DG",1,IF(LEFT(C21,3)="LCH",7,IF(C21="BKK02",5,3))))</f>
        <v>3</v>
      </c>
      <c r="Z21" s="63">
        <f>IF(IF(AND(AC21="TML",AB21&gt;0),((T21-W21)+1)-AB21,((T21-W21)+1)-Y21)&gt;0,IF(AND(AC21="TML",AB21&gt;0),((T21-W21)+1)-AB21,((T21-W21)+1)-Y21),0)</f>
        <v>1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160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46312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160</v>
      </c>
      <c r="AJ21" s="188" t="n"/>
      <c r="AK21" s="62" t="str">
        <f>VLOOKUP(D21,'2.Bookinglist'!A:CT,40,FALSE)</f>
        <v>Dharaporn</v>
      </c>
      <c r="AL21" s="60" t="str">
        <f>VLOOKUP(D21,'2.Bookinglist'!A:CW,101,FALSE)</f>
        <v>2026-10-15</v>
      </c>
      <c r="AM21" s="60" t="str">
        <f>VLOOKUP(D21,'2.Bookinglist'!A:BK,63,FALSE)</f>
        <v>BKK27</v>
      </c>
      <c r="AN21" s="62" t="str">
        <f>VLOOKUP(D21,'2.Bookinglist'!A:AZ,52,FALSE)</f>
        <v>[FIX]Pickup : 2026-10-10, Return : 2026-10-12
CLS TIME DD.13/10/2026 @ 23.59</v>
      </c>
      <c r="AO21" s="62">
        <f>VLOOKUP(D21,'2.Bookinglist'!A:CY,103,FALSE)</f>
        <v>0</v>
      </c>
    </row>
    <row r="22" ht="12.95" customHeight="1">
      <c r="A22" s="96" t="inlineStr">
        <is>
          <t>HALU2352953</t>
        </is>
      </c>
      <c r="B22" s="184" t="str">
        <f>IF(C22=Charge!$M$1,Charge!$J$1,IF(C22=Charge!$M$23,Charge!$J$23,IF(C22=Charge!$M$17,Charge!$J$17,IF(C22=Charge!$N$17,Charge!$J$17,Charge!$J$7))))</f>
        <v>G3</v>
      </c>
      <c r="C22" s="61" t="str">
        <f>VLOOKUP(A22,'1.Loading'!A:R,14,FALSE)</f>
        <v>BKK01</v>
      </c>
      <c r="D22" s="61" t="str">
        <f>VLOOKUP(A22,'1.Loading'!A:R,17,FALSE)</f>
        <v>HASLS22260901669</v>
      </c>
      <c r="E22" s="62" t="str">
        <f>VLOOKUP(D22,'2.Bookinglist'!A:CT,27,FALSE)</f>
        <v>SEA FLEXI LOGISTICS CO.,LTD.</v>
      </c>
      <c r="F22" s="62" t="str">
        <f>VLOOKUP(D22,'2.Bookinglist'!A:CT,28,FALSE)</f>
        <v>THANAKORN VEGETABLE OIL PRODUCTS CO., LTD.</v>
      </c>
      <c r="G22" s="60">
        <f>VLOOKUP(D22,'2.Bookinglist'!A:E,5,FALSE)</f>
        <v>0</v>
      </c>
      <c r="H22" s="61" t="str">
        <f>VLOOKUP(D22,'2.Bookinglist'!A:CT,15,FALSE)</f>
        <v>THBKK</v>
      </c>
      <c r="I22" s="61" t="str">
        <f>VLOOKUP(D22,'2.Bookinglist'!A:CT,19,FALSE)</f>
        <v>VNSGN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SWIC</v>
      </c>
      <c r="P22" s="61" t="str">
        <f>VLOOKUP(A22,'1.Loading'!A:R,4,FALSE)</f>
        <v>2611N</v>
      </c>
      <c r="Q22" s="61" t="str">
        <f>VLOOKUP(D22,'2.Bookinglist'!A:CT,12,FALSE)</f>
        <v>KHS1</v>
      </c>
      <c r="R22" s="60" t="str">
        <f>IF(LEFT(K22,2)="22","20'","40'")</f>
        <v>20'</v>
      </c>
      <c r="S22" s="185" t="n"/>
      <c r="T22" s="61" t="str">
        <f>VLOOKUP(A22,'1.Loading'!A:R,2,FALSE)</f>
        <v>2026-10-16</v>
      </c>
      <c r="U22" s="63">
        <f>T22-S22</f>
        <v>46311</v>
      </c>
      <c r="V22" s="186" t="n"/>
      <c r="W22" s="61" t="str">
        <f>VLOOKUP(A22,'3.GateMove'!A:D,4,FALSE)</f>
        <v>2026-10-12</v>
      </c>
      <c r="X22" s="63">
        <f>((T22-W22)+1)</f>
        <v>5</v>
      </c>
      <c r="Y22" s="64">
        <f>IF(AND(OR(C22="BKK01",C22="BKK04"),L22="CFS/CY"),0,IF(M22="DG",1,IF(LEFT(C22,3)="LCH",7,IF(C22="BKK02",5,3))))</f>
        <v>3</v>
      </c>
      <c r="Z22" s="63">
        <f>IF(IF(AND(AC22="TML",AB22&gt;0),((T22-W22)+1)-AB22,((T22-W22)+1)-Y22)&gt;0,IF(AND(AC22="TML",AB22&gt;0),((T22-W22)+1)-AB22,((T22-W22)+1)-Y22),0)</f>
        <v>2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320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46312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320</v>
      </c>
      <c r="AJ22" s="188" t="n"/>
      <c r="AK22" s="62" t="str">
        <f>VLOOKUP(D22,'2.Bookinglist'!A:CT,40,FALSE)</f>
        <v>Nannaapust Sukporntaweewat</v>
      </c>
      <c r="AL22" s="60" t="str">
        <f>VLOOKUP(D22,'2.Bookinglist'!A:CW,101,FALSE)</f>
        <v>2026-10-15</v>
      </c>
      <c r="AM22" s="60" t="str">
        <f>VLOOKUP(D22,'2.Bookinglist'!A:BK,63,FALSE)</f>
        <v>BKK27</v>
      </c>
      <c r="AN22" s="62" t="str">
        <f>VLOOKUP(D22,'2.Bookinglist'!A:AZ,52,FALSE)</f>
        <v>**APPROVAL BY MR.M.J CHANG DD.30/09/2026* *FLEXIBAG ONDECK*
Survey : 2026-10-09 , Pickup : 2026-10-10, Return : 2026-10-12
EXTEND CLOSING DD.13/10/26 @12.00</v>
      </c>
      <c r="AO22" s="62">
        <f>VLOOKUP(D22,'2.Bookinglist'!A:CY,103,FALSE)</f>
        <v>0</v>
      </c>
    </row>
    <row r="23" ht="12.95" customHeight="1">
      <c r="A23" s="96" t="inlineStr">
        <is>
          <t>HALU2360666</t>
        </is>
      </c>
      <c r="B23" s="184" t="str">
        <f>IF(C23=Charge!$M$1,Charge!$J$1,IF(C23=Charge!$M$23,Charge!$J$23,IF(C23=Charge!$M$17,Charge!$J$17,IF(C23=Charge!$N$17,Charge!$J$17,Charge!$J$7))))</f>
        <v>G3</v>
      </c>
      <c r="C23" s="61" t="str">
        <f>VLOOKUP(A23,'1.Loading'!A:R,14,FALSE)</f>
        <v>BKK01</v>
      </c>
      <c r="D23" s="61" t="str">
        <f>VLOOKUP(A23,'1.Loading'!A:R,17,FALSE)</f>
        <v>HASLS22260902833</v>
      </c>
      <c r="E23" s="62" t="str">
        <f>VLOOKUP(D23,'2.Bookinglist'!A:CT,27,FALSE)</f>
        <v>ALL CARGO SOLUTIONS CO., LTD.</v>
      </c>
      <c r="F23" s="62" t="str">
        <f>VLOOKUP(D23,'2.Bookinglist'!A:CT,28,FALSE)</f>
        <v>SOMPHOL BEDDING AND MATTRESS INDUSTRY CO., LTD.</v>
      </c>
      <c r="G23" s="60">
        <f>VLOOKUP(D23,'2.Bookinglist'!A:E,5,FALSE)</f>
        <v>0</v>
      </c>
      <c r="H23" s="61" t="str">
        <f>VLOOKUP(D23,'2.Bookinglist'!A:CT,15,FALSE)</f>
        <v>THBKK</v>
      </c>
      <c r="I23" s="61" t="str">
        <f>VLOOKUP(D23,'2.Bookinglist'!A:CT,19,FALSE)</f>
        <v>VNSGN</v>
      </c>
      <c r="J23" s="61">
        <f>VLOOKUP(D23,'2.Bookinglist'!A:CT,26,FALSE)</f>
        <v>0</v>
      </c>
      <c r="K23" s="61" t="str">
        <f>VLOOKUP(A23,'1.Loading'!A:R,5,FALSE)</f>
        <v>22GP</v>
      </c>
      <c r="L23" s="60" t="str">
        <f>VLOOKUP(D23,'2.Bookinglist'!A:CT,85,FALSE)</f>
        <v>CFS/CY</v>
      </c>
      <c r="M23" s="60" t="str">
        <f>IF(VLOOKUP(D23,'2.Bookinglist'!A:CT,43,FALSE)=0,"","DG")</f>
        <v/>
      </c>
      <c r="N23" s="60" t="str">
        <f>IF(RIGHT(K23,2)="RE","RF","")</f>
        <v/>
      </c>
      <c r="O23" s="61" t="str">
        <f>VLOOKUP(A23,'1.Loading'!A:R,3,FALSE)</f>
        <v>SWIC</v>
      </c>
      <c r="P23" s="61" t="str">
        <f>VLOOKUP(A23,'1.Loading'!A:R,4,FALSE)</f>
        <v>2611N</v>
      </c>
      <c r="Q23" s="61" t="str">
        <f>VLOOKUP(D23,'2.Bookinglist'!A:CT,12,FALSE)</f>
        <v>KHS1</v>
      </c>
      <c r="R23" s="60" t="str">
        <f>IF(LEFT(K23,2)="22","20'","40'")</f>
        <v>20'</v>
      </c>
      <c r="S23" s="185" t="n"/>
      <c r="T23" s="61" t="str">
        <f>VLOOKUP(A23,'1.Loading'!A:R,2,FALSE)</f>
        <v>2026-10-16</v>
      </c>
      <c r="U23" s="63">
        <f>T23-S23</f>
        <v>46311</v>
      </c>
      <c r="V23" s="186" t="n"/>
      <c r="W23" s="61" t="str">
        <f>VLOOKUP(A23,'3.GateMove'!A:D,4,FALSE)</f>
        <v>2026-10-09</v>
      </c>
      <c r="X23" s="63">
        <f>((T23-W23)+1)</f>
        <v>8</v>
      </c>
      <c r="Y23" s="64">
        <f>IF(AND(OR(C23="BKK01",C23="BKK04"),L23="CFS/CY"),0,IF(M23="DG",1,IF(LEFT(C23,3)="LCH",7,IF(C23="BKK02",5,3))))</f>
        <v>0</v>
      </c>
      <c r="Z23" s="63">
        <f>IF(IF(AND(AC23="TML",AB23&gt;0),((T23-W23)+1)-AB23,((T23-W23)+1)-Y23)&gt;0,IF(AND(AC23="TML",AB23&gt;0),((T23-W23)+1)-AB23,((T23-W23)+1)-Y23),0)</f>
        <v>8</v>
      </c>
      <c r="AA23" s="187">
        <f>IF(AND(B23="G1",M23=""),IF(R23="20'",
VLOOKUP(Z23,Charge!$K$2:$M$5,2,TRUE)+(Z23-VLOOKUP(Z23,Charge!$K$2:$M$5,1,TRUE))*VLOOKUP(Z23,Charge!$K$2:$M$5,3,TRUE),
VLOOKUP(Z23,Charge!$N$2:$P$5,2,TRUE)+(Z23-VLOOKUP(Z23,Charge!$N$2:$P$5,1,TRUE))*VLOOKUP(Z23,Charge!$N$2:$P$5,3,TRUE)),
IF(AND(B23="G1",M23="DG"),IF(R23="20'",
VLOOKUP(Z23,Charge!$R$2:$T$5,2,TRUE)+(Z23-VLOOKUP(Z23,Charge!$R$2:$T$5,1,TRUE))*VLOOKUP(Z23,Charge!$R$2:$T$5,3,TRUE),
VLOOKUP(Z23,Charge!$U$2:$W$5,2,TRUE)+(Z23-VLOOKUP(Z23,Charge!$U$2:$W$5,1,TRUE))*VLOOKUP(Z23,Charge!$U$2:$W$5,3,TRUE)),
IF(AND(B23="G3",M23=""),IF(R23="20'",
VLOOKUP(Z23,Charge!$K$18:$M$21,2,TRUE)+(Z23-VLOOKUP(Z23,Charge!$K$18:$M$21,1,TRUE))*VLOOKUP(Z23,Charge!$K$18:$M$21,3,TRUE),
VLOOKUP(Z23,Charge!$N$18:$P$21,2,TRUE)+(Z23-VLOOKUP(Z23,Charge!$N$18:$P$21,1,TRUE))*VLOOKUP(Z23,Charge!$N$18:$P$21,3,TRUE)),
IF(AND(B23="G3",M23="DG"),IF(R23="20'",
VLOOKUP(Z23,Charge!$R$18:$T$21,2,TRUE)+(Z23-VLOOKUP(Z23,Charge!$R$18:$T$21,1,TRUE))*VLOOKUP(Z23,Charge!$R$18:$T$21,3,TRUE),
VLOOKUP(Z23,Charge!$U$18:$W$21,2,TRUE)+(Z23-VLOOKUP(Z23,Charge!$U$18:$W$21,1,TRUE))*VLOOKUP(Z23,Charge!$U$18:$W$21,3,TRUE)),
IF(AND(B23="G2",M23=""),IF(R23="20'",
VLOOKUP(Z23,Charge!$K$9:$M$12,2,TRUE)+(Z23-VLOOKUP(Z23,Charge!$K$9:$M$12,1,TRUE))*VLOOKUP(Z23,Charge!$K$9:$M$12,3,TRUE),
VLOOKUP(Z23,Charge!$N$9:$P$12,2,TRUE)+(Z23-VLOOKUP(Z23,Charge!$N$9:$P$12,1,TRUE))*VLOOKUP(Z23,Charge!$N$9:$P$12,3,TRUE)),
IF(AND(B23="G2",M23="DG"),IF(R23="20'",
VLOOKUP(Z23,Charge!$R$9:$T$12,2,TRUE)+(Z23-VLOOKUP(Z23,Charge!$R$9:$T$12,1,TRUE))*VLOOKUP(Z23,Charge!$R$9:$T$12,3,TRUE),
VLOOKUP(Z23,Charge!$U$9:$W$12,2,TRUE)+(Z23-VLOOKUP(Z23,Charge!$U$9:$W$12,1,TRUE))*VLOOKUP(Z23,Charge!$U$9:$W$12,3,TRUE)),IF(AND(B23="G4",M23=""),IF(R23="20'",Z23*Charge!$M$25,Z23*Charge!$P$25),IF(AND(B23="G4",M23="DG"),IF(R23="20'",Z23*Charge!$T$25,Z23*Charge!$W$25),0))))))))</f>
        <v>1395</v>
      </c>
      <c r="AB23" s="184" t="n"/>
      <c r="AC23" s="184" t="n"/>
      <c r="AD23" s="60">
        <f>IF(M23="DG",3,IF(N23="RF",3,5))+IF(AND(LEFT(C23,3)="BKK",N23="RF",Q23="KTS"),1,0)+IF(Q23="KHS",1,0)</f>
        <v>5</v>
      </c>
      <c r="AE23" s="63">
        <f>(T23-V23)+1</f>
        <v>46312</v>
      </c>
      <c r="AF23" s="63">
        <f>IF(AB23&gt;IF((V23-W23)&gt;0,V23-W23,0),0,IF(AB23&lt;IF((V23-W23)&gt;0,V23-W23,0),IF((V23-W23)&gt;0,V23-W23,0)-AB23,IF((V23-W23)&gt;0,V23-W23,0)))</f>
        <v>0</v>
      </c>
      <c r="AG23" s="187">
        <f>IF(AND(M23=""),IF(R23="20'",
VLOOKUP(AF23,Charge!$K$31:$M$34,2,TRUE)+(AF23-VLOOKUP(AF23,Charge!$K$31:$M$34,1,TRUE))*VLOOKUP(AF23,Charge!$K$31:$M$34,3,TRUE),
VLOOKUP(AF23,Charge!$N$31:$P$34,2,TRUE)+(AF23-VLOOKUP(AF23,Charge!$N$31:$P$34,1,TRUE))*VLOOKUP(AF23,Charge!$N$31:$P$34,3,TRUE)),
IF(AND(M23="DG"),IF(R23="20'",
VLOOKUP(AF23,Charge!$R$31:$T$34,2,TRUE)+(AF23-VLOOKUP(AF23,Charge!$R$31:$T$34,1,TRUE))*VLOOKUP(AF23,Charge!$R$31:$T$34,3,TRUE),
VLOOKUP(AF23,Charge!$U$31:$W$34,2,TRUE)+(AF23-VLOOKUP(AF23,Charge!$U$31:$W$34,1,TRUE))*VLOOKUP(AF23,Charge!$U$31:$W$34,3,TRUE)),0))</f>
        <v>0</v>
      </c>
      <c r="AH23" s="65" t="n"/>
      <c r="AI23" s="65">
        <f>AA23-AH23</f>
        <v>1395</v>
      </c>
      <c r="AJ23" s="188" t="n"/>
      <c r="AK23" s="62" t="str">
        <f>VLOOKUP(D23,'2.Bookinglist'!A:CT,40,FALSE)</f>
        <v>Arunphat W. (Aiw)</v>
      </c>
      <c r="AL23" s="60" t="str">
        <f>VLOOKUP(D23,'2.Bookinglist'!A:CW,101,FALSE)</f>
        <v>2026-10-15</v>
      </c>
      <c r="AM23" s="60" t="str">
        <f>VLOOKUP(D23,'2.Bookinglist'!A:BK,63,FALSE)</f>
        <v>BKK01</v>
      </c>
      <c r="AN23" s="62" t="str">
        <f>VLOOKUP(D23,'2.Bookinglist'!A:AZ,52,FALSE)</f>
        <v>STUFFING CARGO @PAT (SPORTLIGHT TOWER NO.2) DD.09/10/26 CLS TIME CFS DD.12/10/26 - 17:00HRS.
</v>
      </c>
      <c r="AO23" s="62">
        <f>VLOOKUP(D23,'2.Bookinglist'!A:CY,103,FALSE)</f>
        <v>0</v>
      </c>
    </row>
    <row r="24" ht="12.95" customHeight="1">
      <c r="A24" s="96" t="inlineStr">
        <is>
          <t>HALU2436083</t>
        </is>
      </c>
      <c r="B24" s="184" t="str">
        <f>IF(C24=Charge!$M$1,Charge!$J$1,IF(C24=Charge!$M$23,Charge!$J$23,IF(C24=Charge!$M$17,Charge!$J$17,IF(C24=Charge!$N$17,Charge!$J$17,Charge!$J$7))))</f>
        <v>G3</v>
      </c>
      <c r="C24" s="61" t="str">
        <f>VLOOKUP(A24,'1.Loading'!A:R,14,FALSE)</f>
        <v>BKK01</v>
      </c>
      <c r="D24" s="61" t="str">
        <f>VLOOKUP(A24,'1.Loading'!A:R,17,FALSE)</f>
        <v>HASLS22260901669</v>
      </c>
      <c r="E24" s="62" t="str">
        <f>VLOOKUP(D24,'2.Bookinglist'!A:CT,27,FALSE)</f>
        <v>SEA FLEXI LOGISTICS CO.,LTD.</v>
      </c>
      <c r="F24" s="62" t="str">
        <f>VLOOKUP(D24,'2.Bookinglist'!A:CT,28,FALSE)</f>
        <v>THANAKORN VEGETABLE OIL PRODUCTS CO., LTD.</v>
      </c>
      <c r="G24" s="60">
        <f>VLOOKUP(D24,'2.Bookinglist'!A:E,5,FALSE)</f>
        <v>0</v>
      </c>
      <c r="H24" s="61" t="str">
        <f>VLOOKUP(D24,'2.Bookinglist'!A:CT,15,FALSE)</f>
        <v>THBKK</v>
      </c>
      <c r="I24" s="61" t="str">
        <f>VLOOKUP(D24,'2.Bookinglist'!A:CT,19,FALSE)</f>
        <v>VNSGN</v>
      </c>
      <c r="J24" s="61">
        <f>VLOOKUP(D24,'2.Bookinglist'!A:CT,26,FALSE)</f>
        <v>0</v>
      </c>
      <c r="K24" s="61" t="str">
        <f>VLOOKUP(A24,'1.Loading'!A:R,5,FALSE)</f>
        <v>22GP</v>
      </c>
      <c r="L24" s="60" t="str">
        <f>VLOOKUP(D24,'2.Bookinglist'!A:CT,85,FALSE)</f>
        <v>CY/CY</v>
      </c>
      <c r="M24" s="60" t="str">
        <f>IF(VLOOKUP(D24,'2.Bookinglist'!A:CT,43,FALSE)=0,"","DG")</f>
        <v/>
      </c>
      <c r="N24" s="60" t="str">
        <f>IF(RIGHT(K24,2)="RE","RF","")</f>
        <v/>
      </c>
      <c r="O24" s="61" t="str">
        <f>VLOOKUP(A24,'1.Loading'!A:R,3,FALSE)</f>
        <v>SWIC</v>
      </c>
      <c r="P24" s="61" t="str">
        <f>VLOOKUP(A24,'1.Loading'!A:R,4,FALSE)</f>
        <v>2611N</v>
      </c>
      <c r="Q24" s="61" t="str">
        <f>VLOOKUP(D24,'2.Bookinglist'!A:CT,12,FALSE)</f>
        <v>KHS1</v>
      </c>
      <c r="R24" s="60" t="str">
        <f>IF(LEFT(K24,2)="22","20'","40'")</f>
        <v>20'</v>
      </c>
      <c r="S24" s="185" t="n"/>
      <c r="T24" s="61" t="str">
        <f>VLOOKUP(A24,'1.Loading'!A:R,2,FALSE)</f>
        <v>2026-10-16</v>
      </c>
      <c r="U24" s="63">
        <f>T24-S24</f>
        <v>46311</v>
      </c>
      <c r="V24" s="186" t="n"/>
      <c r="W24" s="61" t="str">
        <f>VLOOKUP(A24,'3.GateMove'!A:D,4,FALSE)</f>
        <v>2026-10-12</v>
      </c>
      <c r="X24" s="63">
        <f>((T24-W24)+1)</f>
        <v>5</v>
      </c>
      <c r="Y24" s="64">
        <f>IF(AND(OR(C24="BKK01",C24="BKK04"),L24="CFS/CY"),0,IF(M24="DG",1,IF(LEFT(C24,3)="LCH",7,IF(C24="BKK02",5,3))))</f>
        <v>3</v>
      </c>
      <c r="Z24" s="63">
        <f>IF(IF(AND(AC24="TML",AB24&gt;0),((T24-W24)+1)-AB24,((T24-W24)+1)-Y24)&gt;0,IF(AND(AC24="TML",AB24&gt;0),((T24-W24)+1)-AB24,((T24-W24)+1)-Y24),0)</f>
        <v>2</v>
      </c>
      <c r="AA24" s="187">
        <f>IF(AND(B24="G1",M24=""),IF(R24="20'",
VLOOKUP(Z24,Charge!$K$2:$M$5,2,TRUE)+(Z24-VLOOKUP(Z24,Charge!$K$2:$M$5,1,TRUE))*VLOOKUP(Z24,Charge!$K$2:$M$5,3,TRUE),
VLOOKUP(Z24,Charge!$N$2:$P$5,2,TRUE)+(Z24-VLOOKUP(Z24,Charge!$N$2:$P$5,1,TRUE))*VLOOKUP(Z24,Charge!$N$2:$P$5,3,TRUE)),
IF(AND(B24="G1",M24="DG"),IF(R24="20'",
VLOOKUP(Z24,Charge!$R$2:$T$5,2,TRUE)+(Z24-VLOOKUP(Z24,Charge!$R$2:$T$5,1,TRUE))*VLOOKUP(Z24,Charge!$R$2:$T$5,3,TRUE),
VLOOKUP(Z24,Charge!$U$2:$W$5,2,TRUE)+(Z24-VLOOKUP(Z24,Charge!$U$2:$W$5,1,TRUE))*VLOOKUP(Z24,Charge!$U$2:$W$5,3,TRUE)),
IF(AND(B24="G3",M24=""),IF(R24="20'",
VLOOKUP(Z24,Charge!$K$18:$M$21,2,TRUE)+(Z24-VLOOKUP(Z24,Charge!$K$18:$M$21,1,TRUE))*VLOOKUP(Z24,Charge!$K$18:$M$21,3,TRUE),
VLOOKUP(Z24,Charge!$N$18:$P$21,2,TRUE)+(Z24-VLOOKUP(Z24,Charge!$N$18:$P$21,1,TRUE))*VLOOKUP(Z24,Charge!$N$18:$P$21,3,TRUE)),
IF(AND(B24="G3",M24="DG"),IF(R24="20'",
VLOOKUP(Z24,Charge!$R$18:$T$21,2,TRUE)+(Z24-VLOOKUP(Z24,Charge!$R$18:$T$21,1,TRUE))*VLOOKUP(Z24,Charge!$R$18:$T$21,3,TRUE),
VLOOKUP(Z24,Charge!$U$18:$W$21,2,TRUE)+(Z24-VLOOKUP(Z24,Charge!$U$18:$W$21,1,TRUE))*VLOOKUP(Z24,Charge!$U$18:$W$21,3,TRUE)),
IF(AND(B24="G2",M24=""),IF(R24="20'",
VLOOKUP(Z24,Charge!$K$9:$M$12,2,TRUE)+(Z24-VLOOKUP(Z24,Charge!$K$9:$M$12,1,TRUE))*VLOOKUP(Z24,Charge!$K$9:$M$12,3,TRUE),
VLOOKUP(Z24,Charge!$N$9:$P$12,2,TRUE)+(Z24-VLOOKUP(Z24,Charge!$N$9:$P$12,1,TRUE))*VLOOKUP(Z24,Charge!$N$9:$P$12,3,TRUE)),
IF(AND(B24="G2",M24="DG"),IF(R24="20'",
VLOOKUP(Z24,Charge!$R$9:$T$12,2,TRUE)+(Z24-VLOOKUP(Z24,Charge!$R$9:$T$12,1,TRUE))*VLOOKUP(Z24,Charge!$R$9:$T$12,3,TRUE),
VLOOKUP(Z24,Charge!$U$9:$W$12,2,TRUE)+(Z24-VLOOKUP(Z24,Charge!$U$9:$W$12,1,TRUE))*VLOOKUP(Z24,Charge!$U$9:$W$12,3,TRUE)),IF(AND(B24="G4",M24=""),IF(R24="20'",Z24*Charge!$M$25,Z24*Charge!$P$25),IF(AND(B24="G4",M24="DG"),IF(R24="20'",Z24*Charge!$T$25,Z24*Charge!$W$25),0))))))))</f>
        <v>320</v>
      </c>
      <c r="AB24" s="184" t="n"/>
      <c r="AC24" s="184" t="n"/>
      <c r="AD24" s="60">
        <f>IF(M24="DG",3,IF(N24="RF",3,5))+IF(AND(LEFT(C24,3)="BKK",N24="RF",Q24="KTS"),1,0)+IF(Q24="KHS",1,0)</f>
        <v>5</v>
      </c>
      <c r="AE24" s="63">
        <f>(T24-V24)+1</f>
        <v>46312</v>
      </c>
      <c r="AF24" s="63">
        <f>IF(AB24&gt;IF((V24-W24)&gt;0,V24-W24,0),0,IF(AB24&lt;IF((V24-W24)&gt;0,V24-W24,0),IF((V24-W24)&gt;0,V24-W24,0)-AB24,IF((V24-W24)&gt;0,V24-W24,0)))</f>
        <v>0</v>
      </c>
      <c r="AG24" s="187">
        <f>IF(AND(M24=""),IF(R24="20'",
VLOOKUP(AF24,Charge!$K$31:$M$34,2,TRUE)+(AF24-VLOOKUP(AF24,Charge!$K$31:$M$34,1,TRUE))*VLOOKUP(AF24,Charge!$K$31:$M$34,3,TRUE),
VLOOKUP(AF24,Charge!$N$31:$P$34,2,TRUE)+(AF24-VLOOKUP(AF24,Charge!$N$31:$P$34,1,TRUE))*VLOOKUP(AF24,Charge!$N$31:$P$34,3,TRUE)),
IF(AND(M24="DG"),IF(R24="20'",
VLOOKUP(AF24,Charge!$R$31:$T$34,2,TRUE)+(AF24-VLOOKUP(AF24,Charge!$R$31:$T$34,1,TRUE))*VLOOKUP(AF24,Charge!$R$31:$T$34,3,TRUE),
VLOOKUP(AF24,Charge!$U$31:$W$34,2,TRUE)+(AF24-VLOOKUP(AF24,Charge!$U$31:$W$34,1,TRUE))*VLOOKUP(AF24,Charge!$U$31:$W$34,3,TRUE)),0))</f>
        <v>0</v>
      </c>
      <c r="AH24" s="65" t="n"/>
      <c r="AI24" s="65">
        <f>AA24-AH24</f>
        <v>320</v>
      </c>
      <c r="AJ24" s="188" t="n"/>
      <c r="AK24" s="62" t="str">
        <f>VLOOKUP(D24,'2.Bookinglist'!A:CT,40,FALSE)</f>
        <v>Nannaapust Sukporntaweewat</v>
      </c>
      <c r="AL24" s="60" t="str">
        <f>VLOOKUP(D24,'2.Bookinglist'!A:CW,101,FALSE)</f>
        <v>2026-10-15</v>
      </c>
      <c r="AM24" s="60" t="str">
        <f>VLOOKUP(D24,'2.Bookinglist'!A:BK,63,FALSE)</f>
        <v>BKK27</v>
      </c>
      <c r="AN24" s="62" t="str">
        <f>VLOOKUP(D24,'2.Bookinglist'!A:AZ,52,FALSE)</f>
        <v>**APPROVAL BY MR.M.J CHANG DD.30/09/2026* *FLEXIBAG ONDECK*
Survey : 2026-10-09 , Pickup : 2026-10-10, Return : 2026-10-12
EXTEND CLOSING DD.13/10/26 @12.00</v>
      </c>
      <c r="AO24" s="62">
        <f>VLOOKUP(D24,'2.Bookinglist'!A:CY,103,FALSE)</f>
        <v>0</v>
      </c>
    </row>
    <row r="25" ht="12.95" customHeight="1">
      <c r="A25" s="96" t="inlineStr">
        <is>
          <t>HALU2436709</t>
        </is>
      </c>
      <c r="B25" s="184" t="str">
        <f>IF(C25=Charge!$M$1,Charge!$J$1,IF(C25=Charge!$M$23,Charge!$J$23,IF(C25=Charge!$M$17,Charge!$J$17,IF(C25=Charge!$N$17,Charge!$J$17,Charge!$J$7))))</f>
        <v>G3</v>
      </c>
      <c r="C25" s="61" t="str">
        <f>VLOOKUP(A25,'1.Loading'!A:R,14,FALSE)</f>
        <v>BKK01</v>
      </c>
      <c r="D25" s="61" t="str">
        <f>VLOOKUP(A25,'1.Loading'!A:R,17,FALSE)</f>
        <v>HASLS22260900514</v>
      </c>
      <c r="E25" s="62" t="str">
        <f>VLOOKUP(D25,'2.Bookinglist'!A:CT,27,FALSE)</f>
        <v>BANGKOK STARCH INDUSTRIAL CO., LTD.</v>
      </c>
      <c r="F25" s="62" t="str">
        <f>VLOOKUP(D25,'2.Bookinglist'!A:CT,28,FALSE)</f>
        <v>BANGKOK STARCH INDUSTRIAL CO., LTD.</v>
      </c>
      <c r="G25" s="60">
        <f>VLOOKUP(D25,'2.Bookinglist'!A:E,5,FALSE)</f>
        <v>0</v>
      </c>
      <c r="H25" s="61" t="str">
        <f>VLOOKUP(D25,'2.Bookinglist'!A:CT,15,FALSE)</f>
        <v>THBKK</v>
      </c>
      <c r="I25" s="61" t="str">
        <f>VLOOKUP(D25,'2.Bookinglist'!A:CT,19,FALSE)</f>
        <v>KRPUS</v>
      </c>
      <c r="J25" s="61">
        <f>VLOOKUP(D25,'2.Bookinglist'!A:CT,26,FALSE)</f>
        <v>0</v>
      </c>
      <c r="K25" s="61" t="str">
        <f>VLOOKUP(A25,'1.Loading'!A:R,5,FALSE)</f>
        <v>22GP</v>
      </c>
      <c r="L25" s="60" t="str">
        <f>VLOOKUP(D25,'2.Bookinglist'!A:CT,85,FALSE)</f>
        <v>CY/CY</v>
      </c>
      <c r="M25" s="60" t="str">
        <f>IF(VLOOKUP(D25,'2.Bookinglist'!A:CT,43,FALSE)=0,"","DG")</f>
        <v/>
      </c>
      <c r="N25" s="60" t="str">
        <f>IF(RIGHT(K25,2)="RE","RF","")</f>
        <v/>
      </c>
      <c r="O25" s="61" t="str">
        <f>VLOOKUP(A25,'1.Loading'!A:R,3,FALSE)</f>
        <v>SWIC</v>
      </c>
      <c r="P25" s="61" t="str">
        <f>VLOOKUP(A25,'1.Loading'!A:R,4,FALSE)</f>
        <v>2611N</v>
      </c>
      <c r="Q25" s="61" t="str">
        <f>VLOOKUP(D25,'2.Bookinglist'!A:CT,12,FALSE)</f>
        <v>KHS1</v>
      </c>
      <c r="R25" s="60" t="str">
        <f>IF(LEFT(K25,2)="22","20'","40'")</f>
        <v>20'</v>
      </c>
      <c r="S25" s="185" t="n"/>
      <c r="T25" s="61" t="str">
        <f>VLOOKUP(A25,'1.Loading'!A:R,2,FALSE)</f>
        <v>2026-10-16</v>
      </c>
      <c r="U25" s="63">
        <f>T25-S25</f>
        <v>46311</v>
      </c>
      <c r="V25" s="186" t="n"/>
      <c r="W25" s="61" t="str">
        <f>VLOOKUP(A25,'3.GateMove'!A:D,4,FALSE)</f>
        <v>2026-10-12</v>
      </c>
      <c r="X25" s="63">
        <f>((T25-W25)+1)</f>
        <v>5</v>
      </c>
      <c r="Y25" s="64">
        <f>IF(AND(OR(C25="BKK01",C25="BKK04"),L25="CFS/CY"),0,IF(M25="DG",1,IF(LEFT(C25,3)="LCH",7,IF(C25="BKK02",5,3))))</f>
        <v>3</v>
      </c>
      <c r="Z25" s="63">
        <f>IF(IF(AND(AC25="TML",AB25&gt;0),((T25-W25)+1)-AB25,((T25-W25)+1)-Y25)&gt;0,IF(AND(AC25="TML",AB25&gt;0),((T25-W25)+1)-AB25,((T25-W25)+1)-Y25),0)</f>
        <v>2</v>
      </c>
      <c r="AA25" s="187">
        <f>IF(AND(B25="G1",M25=""),IF(R25="20'",
VLOOKUP(Z25,Charge!$K$2:$M$5,2,TRUE)+(Z25-VLOOKUP(Z25,Charge!$K$2:$M$5,1,TRUE))*VLOOKUP(Z25,Charge!$K$2:$M$5,3,TRUE),
VLOOKUP(Z25,Charge!$N$2:$P$5,2,TRUE)+(Z25-VLOOKUP(Z25,Charge!$N$2:$P$5,1,TRUE))*VLOOKUP(Z25,Charge!$N$2:$P$5,3,TRUE)),
IF(AND(B25="G1",M25="DG"),IF(R25="20'",
VLOOKUP(Z25,Charge!$R$2:$T$5,2,TRUE)+(Z25-VLOOKUP(Z25,Charge!$R$2:$T$5,1,TRUE))*VLOOKUP(Z25,Charge!$R$2:$T$5,3,TRUE),
VLOOKUP(Z25,Charge!$U$2:$W$5,2,TRUE)+(Z25-VLOOKUP(Z25,Charge!$U$2:$W$5,1,TRUE))*VLOOKUP(Z25,Charge!$U$2:$W$5,3,TRUE)),
IF(AND(B25="G3",M25=""),IF(R25="20'",
VLOOKUP(Z25,Charge!$K$18:$M$21,2,TRUE)+(Z25-VLOOKUP(Z25,Charge!$K$18:$M$21,1,TRUE))*VLOOKUP(Z25,Charge!$K$18:$M$21,3,TRUE),
VLOOKUP(Z25,Charge!$N$18:$P$21,2,TRUE)+(Z25-VLOOKUP(Z25,Charge!$N$18:$P$21,1,TRUE))*VLOOKUP(Z25,Charge!$N$18:$P$21,3,TRUE)),
IF(AND(B25="G3",M25="DG"),IF(R25="20'",
VLOOKUP(Z25,Charge!$R$18:$T$21,2,TRUE)+(Z25-VLOOKUP(Z25,Charge!$R$18:$T$21,1,TRUE))*VLOOKUP(Z25,Charge!$R$18:$T$21,3,TRUE),
VLOOKUP(Z25,Charge!$U$18:$W$21,2,TRUE)+(Z25-VLOOKUP(Z25,Charge!$U$18:$W$21,1,TRUE))*VLOOKUP(Z25,Charge!$U$18:$W$21,3,TRUE)),
IF(AND(B25="G2",M25=""),IF(R25="20'",
VLOOKUP(Z25,Charge!$K$9:$M$12,2,TRUE)+(Z25-VLOOKUP(Z25,Charge!$K$9:$M$12,1,TRUE))*VLOOKUP(Z25,Charge!$K$9:$M$12,3,TRUE),
VLOOKUP(Z25,Charge!$N$9:$P$12,2,TRUE)+(Z25-VLOOKUP(Z25,Charge!$N$9:$P$12,1,TRUE))*VLOOKUP(Z25,Charge!$N$9:$P$12,3,TRUE)),
IF(AND(B25="G2",M25="DG"),IF(R25="20'",
VLOOKUP(Z25,Charge!$R$9:$T$12,2,TRUE)+(Z25-VLOOKUP(Z25,Charge!$R$9:$T$12,1,TRUE))*VLOOKUP(Z25,Charge!$R$9:$T$12,3,TRUE),
VLOOKUP(Z25,Charge!$U$9:$W$12,2,TRUE)+(Z25-VLOOKUP(Z25,Charge!$U$9:$W$12,1,TRUE))*VLOOKUP(Z25,Charge!$U$9:$W$12,3,TRUE)),IF(AND(B25="G4",M25=""),IF(R25="20'",Z25*Charge!$M$25,Z25*Charge!$P$25),IF(AND(B25="G4",M25="DG"),IF(R25="20'",Z25*Charge!$T$25,Z25*Charge!$W$25),0))))))))</f>
        <v>320</v>
      </c>
      <c r="AB25" s="184" t="n"/>
      <c r="AC25" s="184" t="n"/>
      <c r="AD25" s="60">
        <f>IF(M25="DG",3,IF(N25="RF",3,5))+IF(AND(LEFT(C25,3)="BKK",N25="RF",Q25="KTS"),1,0)+IF(Q25="KHS",1,0)</f>
        <v>5</v>
      </c>
      <c r="AE25" s="63">
        <f>(T25-V25)+1</f>
        <v>46312</v>
      </c>
      <c r="AF25" s="63">
        <f>IF(AB25&gt;IF((V25-W25)&gt;0,V25-W25,0),0,IF(AB25&lt;IF((V25-W25)&gt;0,V25-W25,0),IF((V25-W25)&gt;0,V25-W25,0)-AB25,IF((V25-W25)&gt;0,V25-W25,0)))</f>
        <v>0</v>
      </c>
      <c r="AG25" s="187">
        <f>IF(AND(M25=""),IF(R25="20'",
VLOOKUP(AF25,Charge!$K$31:$M$34,2,TRUE)+(AF25-VLOOKUP(AF25,Charge!$K$31:$M$34,1,TRUE))*VLOOKUP(AF25,Charge!$K$31:$M$34,3,TRUE),
VLOOKUP(AF25,Charge!$N$31:$P$34,2,TRUE)+(AF25-VLOOKUP(AF25,Charge!$N$31:$P$34,1,TRUE))*VLOOKUP(AF25,Charge!$N$31:$P$34,3,TRUE)),
IF(AND(M25="DG"),IF(R25="20'",
VLOOKUP(AF25,Charge!$R$31:$T$34,2,TRUE)+(AF25-VLOOKUP(AF25,Charge!$R$31:$T$34,1,TRUE))*VLOOKUP(AF25,Charge!$R$31:$T$34,3,TRUE),
VLOOKUP(AF25,Charge!$U$31:$W$34,2,TRUE)+(AF25-VLOOKUP(AF25,Charge!$U$31:$W$34,1,TRUE))*VLOOKUP(AF25,Charge!$U$31:$W$34,3,TRUE)),0))</f>
        <v>0</v>
      </c>
      <c r="AH25" s="65" t="n"/>
      <c r="AI25" s="65">
        <f>AA25-AH25</f>
        <v>320</v>
      </c>
      <c r="AJ25" s="188" t="n"/>
      <c r="AK25" s="62" t="str">
        <f>VLOOKUP(D25,'2.Bookinglist'!A:CT,40,FALSE)</f>
        <v>Vilaiporn</v>
      </c>
      <c r="AL25" s="60" t="str">
        <f>VLOOKUP(D25,'2.Bookinglist'!A:CW,101,FALSE)</f>
        <v>2026-10-15</v>
      </c>
      <c r="AM25" s="60" t="str">
        <f>VLOOKUP(D25,'2.Bookinglist'!A:BK,63,FALSE)</f>
        <v>BKK25</v>
      </c>
      <c r="AN25" s="62" t="str">
        <f>VLOOKUP(D25,'2.Bookinglist'!A:AZ,52,FALSE)</f>
        <v>Pickup : 2026-10-10, Return : 2026-10-12</v>
      </c>
      <c r="AO25" s="62">
        <f>VLOOKUP(D25,'2.Bookinglist'!A:CY,103,FALSE)</f>
        <v>0</v>
      </c>
    </row>
    <row r="26" ht="12.95" customHeight="1">
      <c r="A26" s="96" t="inlineStr">
        <is>
          <t>HALU2467211</t>
        </is>
      </c>
      <c r="B26" s="184" t="str">
        <f>IF(C26=Charge!$M$1,Charge!$J$1,IF(C26=Charge!$M$23,Charge!$J$23,IF(C26=Charge!$M$17,Charge!$J$17,IF(C26=Charge!$N$17,Charge!$J$17,Charge!$J$7))))</f>
        <v>G3</v>
      </c>
      <c r="C26" s="61" t="str">
        <f>VLOOKUP(A26,'1.Loading'!A:R,14,FALSE)</f>
        <v>BKK01</v>
      </c>
      <c r="D26" s="61" t="str">
        <f>VLOOKUP(A26,'1.Loading'!A:R,17,FALSE)</f>
        <v>HASLS22260900557</v>
      </c>
      <c r="E26" s="62" t="str">
        <f>VLOOKUP(D26,'2.Bookinglist'!A:CT,27,FALSE)</f>
        <v>GENERAL FOOD PRODUCTS CO., LTD.</v>
      </c>
      <c r="F26" s="62" t="str">
        <f>VLOOKUP(D26,'2.Bookinglist'!A:CT,28,FALSE)</f>
        <v>GENERAL FOOD PRODUCTS CO., LTD.</v>
      </c>
      <c r="G26" s="60">
        <f>VLOOKUP(D26,'2.Bookinglist'!A:E,5,FALSE)</f>
        <v>0</v>
      </c>
      <c r="H26" s="61" t="str">
        <f>VLOOKUP(D26,'2.Bookinglist'!A:CT,15,FALSE)</f>
        <v>THBKK</v>
      </c>
      <c r="I26" s="61" t="str">
        <f>VLOOKUP(D26,'2.Bookinglist'!A:CT,19,FALSE)</f>
        <v>JPKIJ</v>
      </c>
      <c r="J26" s="61" t="str">
        <f>VLOOKUP(D26,'2.Bookinglist'!A:CT,26,FALSE)</f>
        <v>KRPUS</v>
      </c>
      <c r="K26" s="61" t="str">
        <f>VLOOKUP(A26,'1.Loading'!A:R,5,FALSE)</f>
        <v>22GP</v>
      </c>
      <c r="L26" s="60" t="str">
        <f>VLOOKUP(D26,'2.Bookinglist'!A:CT,85,FALSE)</f>
        <v>CY/CY</v>
      </c>
      <c r="M26" s="60" t="str">
        <f>IF(VLOOKUP(D26,'2.Bookinglist'!A:CT,43,FALSE)=0,"","DG")</f>
        <v/>
      </c>
      <c r="N26" s="60" t="str">
        <f>IF(RIGHT(K26,2)="RE","RF","")</f>
        <v/>
      </c>
      <c r="O26" s="61" t="str">
        <f>VLOOKUP(A26,'1.Loading'!A:R,3,FALSE)</f>
        <v>SWIC</v>
      </c>
      <c r="P26" s="61" t="str">
        <f>VLOOKUP(A26,'1.Loading'!A:R,4,FALSE)</f>
        <v>2611N</v>
      </c>
      <c r="Q26" s="61" t="str">
        <f>VLOOKUP(D26,'2.Bookinglist'!A:CT,12,FALSE)</f>
        <v>KHS1</v>
      </c>
      <c r="R26" s="60" t="str">
        <f>IF(LEFT(K26,2)="22","20'","40'")</f>
        <v>20'</v>
      </c>
      <c r="S26" s="185" t="n"/>
      <c r="T26" s="61" t="str">
        <f>VLOOKUP(A26,'1.Loading'!A:R,2,FALSE)</f>
        <v>2026-10-16</v>
      </c>
      <c r="U26" s="63">
        <f>T26-S26</f>
        <v>46311</v>
      </c>
      <c r="V26" s="186" t="n"/>
      <c r="W26" s="61" t="str">
        <f>VLOOKUP(A26,'3.GateMove'!A:D,4,FALSE)</f>
        <v>2026-10-13</v>
      </c>
      <c r="X26" s="63">
        <f>((T26-W26)+1)</f>
        <v>4</v>
      </c>
      <c r="Y26" s="64">
        <f>IF(AND(OR(C26="BKK01",C26="BKK04"),L26="CFS/CY"),0,IF(M26="DG",1,IF(LEFT(C26,3)="LCH",7,IF(C26="BKK02",5,3))))</f>
        <v>3</v>
      </c>
      <c r="Z26" s="63">
        <f>IF(IF(AND(AC26="TML",AB26&gt;0),((T26-W26)+1)-AB26,((T26-W26)+1)-Y26)&gt;0,IF(AND(AC26="TML",AB26&gt;0),((T26-W26)+1)-AB26,((T26-W26)+1)-Y26),0)</f>
        <v>1</v>
      </c>
      <c r="AA26" s="187">
        <f>IF(AND(B26="G1",M26=""),IF(R26="20'",
VLOOKUP(Z26,Charge!$K$2:$M$5,2,TRUE)+(Z26-VLOOKUP(Z26,Charge!$K$2:$M$5,1,TRUE))*VLOOKUP(Z26,Charge!$K$2:$M$5,3,TRUE),
VLOOKUP(Z26,Charge!$N$2:$P$5,2,TRUE)+(Z26-VLOOKUP(Z26,Charge!$N$2:$P$5,1,TRUE))*VLOOKUP(Z26,Charge!$N$2:$P$5,3,TRUE)),
IF(AND(B26="G1",M26="DG"),IF(R26="20'",
VLOOKUP(Z26,Charge!$R$2:$T$5,2,TRUE)+(Z26-VLOOKUP(Z26,Charge!$R$2:$T$5,1,TRUE))*VLOOKUP(Z26,Charge!$R$2:$T$5,3,TRUE),
VLOOKUP(Z26,Charge!$U$2:$W$5,2,TRUE)+(Z26-VLOOKUP(Z26,Charge!$U$2:$W$5,1,TRUE))*VLOOKUP(Z26,Charge!$U$2:$W$5,3,TRUE)),
IF(AND(B26="G3",M26=""),IF(R26="20'",
VLOOKUP(Z26,Charge!$K$18:$M$21,2,TRUE)+(Z26-VLOOKUP(Z26,Charge!$K$18:$M$21,1,TRUE))*VLOOKUP(Z26,Charge!$K$18:$M$21,3,TRUE),
VLOOKUP(Z26,Charge!$N$18:$P$21,2,TRUE)+(Z26-VLOOKUP(Z26,Charge!$N$18:$P$21,1,TRUE))*VLOOKUP(Z26,Charge!$N$18:$P$21,3,TRUE)),
IF(AND(B26="G3",M26="DG"),IF(R26="20'",
VLOOKUP(Z26,Charge!$R$18:$T$21,2,TRUE)+(Z26-VLOOKUP(Z26,Charge!$R$18:$T$21,1,TRUE))*VLOOKUP(Z26,Charge!$R$18:$T$21,3,TRUE),
VLOOKUP(Z26,Charge!$U$18:$W$21,2,TRUE)+(Z26-VLOOKUP(Z26,Charge!$U$18:$W$21,1,TRUE))*VLOOKUP(Z26,Charge!$U$18:$W$21,3,TRUE)),
IF(AND(B26="G2",M26=""),IF(R26="20'",
VLOOKUP(Z26,Charge!$K$9:$M$12,2,TRUE)+(Z26-VLOOKUP(Z26,Charge!$K$9:$M$12,1,TRUE))*VLOOKUP(Z26,Charge!$K$9:$M$12,3,TRUE),
VLOOKUP(Z26,Charge!$N$9:$P$12,2,TRUE)+(Z26-VLOOKUP(Z26,Charge!$N$9:$P$12,1,TRUE))*VLOOKUP(Z26,Charge!$N$9:$P$12,3,TRUE)),
IF(AND(B26="G2",M26="DG"),IF(R26="20'",
VLOOKUP(Z26,Charge!$R$9:$T$12,2,TRUE)+(Z26-VLOOKUP(Z26,Charge!$R$9:$T$12,1,TRUE))*VLOOKUP(Z26,Charge!$R$9:$T$12,3,TRUE),
VLOOKUP(Z26,Charge!$U$9:$W$12,2,TRUE)+(Z26-VLOOKUP(Z26,Charge!$U$9:$W$12,1,TRUE))*VLOOKUP(Z26,Charge!$U$9:$W$12,3,TRUE)),IF(AND(B26="G4",M26=""),IF(R26="20'",Z26*Charge!$M$25,Z26*Charge!$P$25),IF(AND(B26="G4",M26="DG"),IF(R26="20'",Z26*Charge!$T$25,Z26*Charge!$W$25),0))))))))</f>
        <v>160</v>
      </c>
      <c r="AB26" s="184" t="n"/>
      <c r="AC26" s="184" t="n"/>
      <c r="AD26" s="60">
        <f>IF(M26="DG",3,IF(N26="RF",3,5))+IF(AND(LEFT(C26,3)="BKK",N26="RF",Q26="KTS"),1,0)+IF(Q26="KHS",1,0)</f>
        <v>5</v>
      </c>
      <c r="AE26" s="63">
        <f>(T26-V26)+1</f>
        <v>46312</v>
      </c>
      <c r="AF26" s="63">
        <f>IF(AB26&gt;IF((V26-W26)&gt;0,V26-W26,0),0,IF(AB26&lt;IF((V26-W26)&gt;0,V26-W26,0),IF((V26-W26)&gt;0,V26-W26,0)-AB26,IF((V26-W26)&gt;0,V26-W26,0)))</f>
        <v>0</v>
      </c>
      <c r="AG26" s="187">
        <f>IF(AND(M26=""),IF(R26="20'",
VLOOKUP(AF26,Charge!$K$31:$M$34,2,TRUE)+(AF26-VLOOKUP(AF26,Charge!$K$31:$M$34,1,TRUE))*VLOOKUP(AF26,Charge!$K$31:$M$34,3,TRUE),
VLOOKUP(AF26,Charge!$N$31:$P$34,2,TRUE)+(AF26-VLOOKUP(AF26,Charge!$N$31:$P$34,1,TRUE))*VLOOKUP(AF26,Charge!$N$31:$P$34,3,TRUE)),
IF(AND(M26="DG"),IF(R26="20'",
VLOOKUP(AF26,Charge!$R$31:$T$34,2,TRUE)+(AF26-VLOOKUP(AF26,Charge!$R$31:$T$34,1,TRUE))*VLOOKUP(AF26,Charge!$R$31:$T$34,3,TRUE),
VLOOKUP(AF26,Charge!$U$31:$W$34,2,TRUE)+(AF26-VLOOKUP(AF26,Charge!$U$31:$W$34,1,TRUE))*VLOOKUP(AF26,Charge!$U$31:$W$34,3,TRUE)),0))</f>
        <v>0</v>
      </c>
      <c r="AH26" s="65" t="n"/>
      <c r="AI26" s="65">
        <f>AA26-AH26</f>
        <v>160</v>
      </c>
      <c r="AJ26" s="188" t="n"/>
      <c r="AK26" s="62" t="str">
        <f>VLOOKUP(D26,'2.Bookinglist'!A:CT,40,FALSE)</f>
        <v>Vilaiporn</v>
      </c>
      <c r="AL26" s="60" t="str">
        <f>VLOOKUP(D26,'2.Bookinglist'!A:CW,101,FALSE)</f>
        <v>2026-10-15</v>
      </c>
      <c r="AM26" s="60" t="str">
        <f>VLOOKUP(D26,'2.Bookinglist'!A:BK,63,FALSE)</f>
        <v>BKK25</v>
      </c>
      <c r="AN26" s="62" t="str">
        <f>VLOOKUP(D26,'2.Bookinglist'!A:AZ,52,FALSE)</f>
        <v>Pickup : 2026-10-10, Return : 2026-10-13</v>
      </c>
      <c r="AO26" s="62">
        <f>VLOOKUP(D26,'2.Bookinglist'!A:CY,103,FALSE)</f>
        <v>0</v>
      </c>
    </row>
    <row r="27" ht="12.95" customHeight="1">
      <c r="A27" s="96" t="inlineStr">
        <is>
          <t>HALU2472898</t>
        </is>
      </c>
      <c r="B27" s="184" t="str">
        <f>IF(C27=Charge!$M$1,Charge!$J$1,IF(C27=Charge!$M$23,Charge!$J$23,IF(C27=Charge!$M$17,Charge!$J$17,IF(C27=Charge!$N$17,Charge!$J$17,Charge!$J$7))))</f>
        <v>G3</v>
      </c>
      <c r="C27" s="61" t="str">
        <f>VLOOKUP(A27,'1.Loading'!A:R,14,FALSE)</f>
        <v>BKK01</v>
      </c>
      <c r="D27" s="61" t="str">
        <f>VLOOKUP(A27,'1.Loading'!A:R,17,FALSE)</f>
        <v>HASLS22260701285</v>
      </c>
      <c r="E27" s="62" t="str">
        <f>VLOOKUP(D27,'2.Bookinglist'!A:CT,27,FALSE)</f>
        <v>CNTRANS EXPRESS CO., LTD.</v>
      </c>
      <c r="F27" s="62" t="str">
        <f>VLOOKUP(D27,'2.Bookinglist'!A:CT,28,FALSE)</f>
        <v>SINGHA WORLDWIDE INTERNATIONAL CO., LTD.</v>
      </c>
      <c r="G27" s="60">
        <f>VLOOKUP(D27,'2.Bookinglist'!A:E,5,FALSE)</f>
        <v>0</v>
      </c>
      <c r="H27" s="61" t="str">
        <f>VLOOKUP(D27,'2.Bookinglist'!A:CT,15,FALSE)</f>
        <v>THBKK</v>
      </c>
      <c r="I27" s="61" t="str">
        <f>VLOOKUP(D27,'2.Bookinglist'!A:CT,19,FALSE)</f>
        <v>VNSGN</v>
      </c>
      <c r="J27" s="61">
        <f>VLOOKUP(D27,'2.Bookinglist'!A:CT,26,FALSE)</f>
        <v>0</v>
      </c>
      <c r="K27" s="61" t="str">
        <f>VLOOKUP(A27,'1.Loading'!A:R,5,FALSE)</f>
        <v>22GP</v>
      </c>
      <c r="L27" s="60" t="str">
        <f>VLOOKUP(D27,'2.Bookinglist'!A:CT,85,FALSE)</f>
        <v>CY/CY</v>
      </c>
      <c r="M27" s="60" t="str">
        <f>IF(VLOOKUP(D27,'2.Bookinglist'!A:CT,43,FALSE)=0,"","DG")</f>
        <v/>
      </c>
      <c r="N27" s="60" t="str">
        <f>IF(RIGHT(K27,2)="RE","RF","")</f>
        <v/>
      </c>
      <c r="O27" s="61" t="str">
        <f>VLOOKUP(A27,'1.Loading'!A:R,3,FALSE)</f>
        <v>SWIC</v>
      </c>
      <c r="P27" s="61" t="str">
        <f>VLOOKUP(A27,'1.Loading'!A:R,4,FALSE)</f>
        <v>2611N</v>
      </c>
      <c r="Q27" s="61" t="str">
        <f>VLOOKUP(D27,'2.Bookinglist'!A:CT,12,FALSE)</f>
        <v>KHS1</v>
      </c>
      <c r="R27" s="60" t="str">
        <f>IF(LEFT(K27,2)="22","20'","40'")</f>
        <v>20'</v>
      </c>
      <c r="S27" s="185" t="n"/>
      <c r="T27" s="61" t="str">
        <f>VLOOKUP(A27,'1.Loading'!A:R,2,FALSE)</f>
        <v>2026-10-16</v>
      </c>
      <c r="U27" s="63">
        <f>T27-S27</f>
        <v>46311</v>
      </c>
      <c r="V27" s="186" t="n"/>
      <c r="W27" s="61" t="str">
        <f>VLOOKUP(A27,'3.GateMove'!A:D,4,FALSE)</f>
        <v>2026-10-12</v>
      </c>
      <c r="X27" s="63">
        <f>((T27-W27)+1)</f>
        <v>5</v>
      </c>
      <c r="Y27" s="64">
        <f>IF(AND(OR(C27="BKK01",C27="BKK04"),L27="CFS/CY"),0,IF(M27="DG",1,IF(LEFT(C27,3)="LCH",7,IF(C27="BKK02",5,3))))</f>
        <v>3</v>
      </c>
      <c r="Z27" s="63">
        <f>IF(IF(AND(AC27="TML",AB27&gt;0),((T27-W27)+1)-AB27,((T27-W27)+1)-Y27)&gt;0,IF(AND(AC27="TML",AB27&gt;0),((T27-W27)+1)-AB27,((T27-W27)+1)-Y27),0)</f>
        <v>2</v>
      </c>
      <c r="AA27" s="187">
        <f>IF(AND(B27="G1",M27=""),IF(R27="20'",
VLOOKUP(Z27,Charge!$K$2:$M$5,2,TRUE)+(Z27-VLOOKUP(Z27,Charge!$K$2:$M$5,1,TRUE))*VLOOKUP(Z27,Charge!$K$2:$M$5,3,TRUE),
VLOOKUP(Z27,Charge!$N$2:$P$5,2,TRUE)+(Z27-VLOOKUP(Z27,Charge!$N$2:$P$5,1,TRUE))*VLOOKUP(Z27,Charge!$N$2:$P$5,3,TRUE)),
IF(AND(B27="G1",M27="DG"),IF(R27="20'",
VLOOKUP(Z27,Charge!$R$2:$T$5,2,TRUE)+(Z27-VLOOKUP(Z27,Charge!$R$2:$T$5,1,TRUE))*VLOOKUP(Z27,Charge!$R$2:$T$5,3,TRUE),
VLOOKUP(Z27,Charge!$U$2:$W$5,2,TRUE)+(Z27-VLOOKUP(Z27,Charge!$U$2:$W$5,1,TRUE))*VLOOKUP(Z27,Charge!$U$2:$W$5,3,TRUE)),
IF(AND(B27="G3",M27=""),IF(R27="20'",
VLOOKUP(Z27,Charge!$K$18:$M$21,2,TRUE)+(Z27-VLOOKUP(Z27,Charge!$K$18:$M$21,1,TRUE))*VLOOKUP(Z27,Charge!$K$18:$M$21,3,TRUE),
VLOOKUP(Z27,Charge!$N$18:$P$21,2,TRUE)+(Z27-VLOOKUP(Z27,Charge!$N$18:$P$21,1,TRUE))*VLOOKUP(Z27,Charge!$N$18:$P$21,3,TRUE)),
IF(AND(B27="G3",M27="DG"),IF(R27="20'",
VLOOKUP(Z27,Charge!$R$18:$T$21,2,TRUE)+(Z27-VLOOKUP(Z27,Charge!$R$18:$T$21,1,TRUE))*VLOOKUP(Z27,Charge!$R$18:$T$21,3,TRUE),
VLOOKUP(Z27,Charge!$U$18:$W$21,2,TRUE)+(Z27-VLOOKUP(Z27,Charge!$U$18:$W$21,1,TRUE))*VLOOKUP(Z27,Charge!$U$18:$W$21,3,TRUE)),
IF(AND(B27="G2",M27=""),IF(R27="20'",
VLOOKUP(Z27,Charge!$K$9:$M$12,2,TRUE)+(Z27-VLOOKUP(Z27,Charge!$K$9:$M$12,1,TRUE))*VLOOKUP(Z27,Charge!$K$9:$M$12,3,TRUE),
VLOOKUP(Z27,Charge!$N$9:$P$12,2,TRUE)+(Z27-VLOOKUP(Z27,Charge!$N$9:$P$12,1,TRUE))*VLOOKUP(Z27,Charge!$N$9:$P$12,3,TRUE)),
IF(AND(B27="G2",M27="DG"),IF(R27="20'",
VLOOKUP(Z27,Charge!$R$9:$T$12,2,TRUE)+(Z27-VLOOKUP(Z27,Charge!$R$9:$T$12,1,TRUE))*VLOOKUP(Z27,Charge!$R$9:$T$12,3,TRUE),
VLOOKUP(Z27,Charge!$U$9:$W$12,2,TRUE)+(Z27-VLOOKUP(Z27,Charge!$U$9:$W$12,1,TRUE))*VLOOKUP(Z27,Charge!$U$9:$W$12,3,TRUE)),IF(AND(B27="G4",M27=""),IF(R27="20'",Z27*Charge!$M$25,Z27*Charge!$P$25),IF(AND(B27="G4",M27="DG"),IF(R27="20'",Z27*Charge!$T$25,Z27*Charge!$W$25),0))))))))</f>
        <v>320</v>
      </c>
      <c r="AB27" s="184" t="n"/>
      <c r="AC27" s="184" t="n"/>
      <c r="AD27" s="60">
        <f>IF(M27="DG",3,IF(N27="RF",3,5))+IF(AND(LEFT(C27,3)="BKK",N27="RF",Q27="KTS"),1,0)+IF(Q27="KHS",1,0)</f>
        <v>5</v>
      </c>
      <c r="AE27" s="63">
        <f>(T27-V27)+1</f>
        <v>46312</v>
      </c>
      <c r="AF27" s="63">
        <f>IF(AB27&gt;IF((V27-W27)&gt;0,V27-W27,0),0,IF(AB27&lt;IF((V27-W27)&gt;0,V27-W27,0),IF((V27-W27)&gt;0,V27-W27,0)-AB27,IF((V27-W27)&gt;0,V27-W27,0)))</f>
        <v>0</v>
      </c>
      <c r="AG27" s="187">
        <f>IF(AND(M27=""),IF(R27="20'",
VLOOKUP(AF27,Charge!$K$31:$M$34,2,TRUE)+(AF27-VLOOKUP(AF27,Charge!$K$31:$M$34,1,TRUE))*VLOOKUP(AF27,Charge!$K$31:$M$34,3,TRUE),
VLOOKUP(AF27,Charge!$N$31:$P$34,2,TRUE)+(AF27-VLOOKUP(AF27,Charge!$N$31:$P$34,1,TRUE))*VLOOKUP(AF27,Charge!$N$31:$P$34,3,TRUE)),
IF(AND(M27="DG"),IF(R27="20'",
VLOOKUP(AF27,Charge!$R$31:$T$34,2,TRUE)+(AF27-VLOOKUP(AF27,Charge!$R$31:$T$34,1,TRUE))*VLOOKUP(AF27,Charge!$R$31:$T$34,3,TRUE),
VLOOKUP(AF27,Charge!$U$31:$W$34,2,TRUE)+(AF27-VLOOKUP(AF27,Charge!$U$31:$W$34,1,TRUE))*VLOOKUP(AF27,Charge!$U$31:$W$34,3,TRUE)),0))</f>
        <v>0</v>
      </c>
      <c r="AH27" s="65" t="n"/>
      <c r="AI27" s="65">
        <f>AA27-AH27</f>
        <v>320</v>
      </c>
      <c r="AJ27" s="188" t="n"/>
      <c r="AK27" s="62" t="str">
        <f>VLOOKUP(D27,'2.Bookinglist'!A:CT,40,FALSE)</f>
        <v>Bui Thi Hue</v>
      </c>
      <c r="AL27" s="60" t="str">
        <f>VLOOKUP(D27,'2.Bookinglist'!A:CW,101,FALSE)</f>
        <v>2026-10-15</v>
      </c>
      <c r="AM27" s="60" t="str">
        <f>VLOOKUP(D27,'2.Bookinglist'!A:BK,63,FALSE)</f>
        <v>BKK27</v>
      </c>
      <c r="AN27" s="62" t="str">
        <f>VLOOKUP(D27,'2.Bookinglist'!A:AZ,52,FALSE)</f>
        <v>Pickup : 2026-10-09, Return : 2026-10-12</v>
      </c>
      <c r="AO27" s="62">
        <f>VLOOKUP(D27,'2.Bookinglist'!A:CY,103,FALSE)</f>
        <v>0</v>
      </c>
    </row>
    <row r="28" ht="12.95" customHeight="1">
      <c r="A28" s="96" t="inlineStr">
        <is>
          <t>HALU2517816</t>
        </is>
      </c>
      <c r="B28" s="184" t="str">
        <f>IF(C28=Charge!$M$1,Charge!$J$1,IF(C28=Charge!$M$23,Charge!$J$23,IF(C28=Charge!$M$17,Charge!$J$17,IF(C28=Charge!$N$17,Charge!$J$17,Charge!$J$7))))</f>
        <v>G3</v>
      </c>
      <c r="C28" s="61" t="str">
        <f>VLOOKUP(A28,'1.Loading'!A:R,14,FALSE)</f>
        <v>BKK01</v>
      </c>
      <c r="D28" s="61" t="str">
        <f>VLOOKUP(A28,'1.Loading'!A:R,17,FALSE)</f>
        <v>HASLS22260901669</v>
      </c>
      <c r="E28" s="62" t="str">
        <f>VLOOKUP(D28,'2.Bookinglist'!A:CT,27,FALSE)</f>
        <v>SEA FLEXI LOGISTICS CO.,LTD.</v>
      </c>
      <c r="F28" s="62" t="str">
        <f>VLOOKUP(D28,'2.Bookinglist'!A:CT,28,FALSE)</f>
        <v>THANAKORN VEGETABLE OIL PRODUCTS CO., LTD.</v>
      </c>
      <c r="G28" s="60">
        <f>VLOOKUP(D28,'2.Bookinglist'!A:E,5,FALSE)</f>
        <v>0</v>
      </c>
      <c r="H28" s="61" t="str">
        <f>VLOOKUP(D28,'2.Bookinglist'!A:CT,15,FALSE)</f>
        <v>THBKK</v>
      </c>
      <c r="I28" s="61" t="str">
        <f>VLOOKUP(D28,'2.Bookinglist'!A:CT,19,FALSE)</f>
        <v>VNSGN</v>
      </c>
      <c r="J28" s="61">
        <f>VLOOKUP(D28,'2.Bookinglist'!A:CT,26,FALSE)</f>
        <v>0</v>
      </c>
      <c r="K28" s="61" t="str">
        <f>VLOOKUP(A28,'1.Loading'!A:R,5,FALSE)</f>
        <v>22GP</v>
      </c>
      <c r="L28" s="60" t="str">
        <f>VLOOKUP(D28,'2.Bookinglist'!A:CT,85,FALSE)</f>
        <v>CY/CY</v>
      </c>
      <c r="M28" s="60" t="str">
        <f>IF(VLOOKUP(D28,'2.Bookinglist'!A:CT,43,FALSE)=0,"","DG")</f>
        <v/>
      </c>
      <c r="N28" s="60" t="str">
        <f>IF(RIGHT(K28,2)="RE","RF","")</f>
        <v/>
      </c>
      <c r="O28" s="61" t="str">
        <f>VLOOKUP(A28,'1.Loading'!A:R,3,FALSE)</f>
        <v>SWIC</v>
      </c>
      <c r="P28" s="61" t="str">
        <f>VLOOKUP(A28,'1.Loading'!A:R,4,FALSE)</f>
        <v>2611N</v>
      </c>
      <c r="Q28" s="61" t="str">
        <f>VLOOKUP(D28,'2.Bookinglist'!A:CT,12,FALSE)</f>
        <v>KHS1</v>
      </c>
      <c r="R28" s="60" t="str">
        <f>IF(LEFT(K28,2)="22","20'","40'")</f>
        <v>20'</v>
      </c>
      <c r="S28" s="185" t="n"/>
      <c r="T28" s="61" t="str">
        <f>VLOOKUP(A28,'1.Loading'!A:R,2,FALSE)</f>
        <v>2026-10-16</v>
      </c>
      <c r="U28" s="63">
        <f>T28-S28</f>
        <v>46311</v>
      </c>
      <c r="V28" s="186" t="n"/>
      <c r="W28" s="61" t="str">
        <f>VLOOKUP(A28,'3.GateMove'!A:D,4,FALSE)</f>
        <v>2026-10-12</v>
      </c>
      <c r="X28" s="63">
        <f>((T28-W28)+1)</f>
        <v>5</v>
      </c>
      <c r="Y28" s="64">
        <f>IF(AND(OR(C28="BKK01",C28="BKK04"),L28="CFS/CY"),0,IF(M28="DG",1,IF(LEFT(C28,3)="LCH",7,IF(C28="BKK02",5,3))))</f>
        <v>3</v>
      </c>
      <c r="Z28" s="63">
        <f>IF(IF(AND(AC28="TML",AB28&gt;0),((T28-W28)+1)-AB28,((T28-W28)+1)-Y28)&gt;0,IF(AND(AC28="TML",AB28&gt;0),((T28-W28)+1)-AB28,((T28-W28)+1)-Y28),0)</f>
        <v>2</v>
      </c>
      <c r="AA28" s="187">
        <f>IF(AND(B28="G1",M28=""),IF(R28="20'",
VLOOKUP(Z28,Charge!$K$2:$M$5,2,TRUE)+(Z28-VLOOKUP(Z28,Charge!$K$2:$M$5,1,TRUE))*VLOOKUP(Z28,Charge!$K$2:$M$5,3,TRUE),
VLOOKUP(Z28,Charge!$N$2:$P$5,2,TRUE)+(Z28-VLOOKUP(Z28,Charge!$N$2:$P$5,1,TRUE))*VLOOKUP(Z28,Charge!$N$2:$P$5,3,TRUE)),
IF(AND(B28="G1",M28="DG"),IF(R28="20'",
VLOOKUP(Z28,Charge!$R$2:$T$5,2,TRUE)+(Z28-VLOOKUP(Z28,Charge!$R$2:$T$5,1,TRUE))*VLOOKUP(Z28,Charge!$R$2:$T$5,3,TRUE),
VLOOKUP(Z28,Charge!$U$2:$W$5,2,TRUE)+(Z28-VLOOKUP(Z28,Charge!$U$2:$W$5,1,TRUE))*VLOOKUP(Z28,Charge!$U$2:$W$5,3,TRUE)),
IF(AND(B28="G3",M28=""),IF(R28="20'",
VLOOKUP(Z28,Charge!$K$18:$M$21,2,TRUE)+(Z28-VLOOKUP(Z28,Charge!$K$18:$M$21,1,TRUE))*VLOOKUP(Z28,Charge!$K$18:$M$21,3,TRUE),
VLOOKUP(Z28,Charge!$N$18:$P$21,2,TRUE)+(Z28-VLOOKUP(Z28,Charge!$N$18:$P$21,1,TRUE))*VLOOKUP(Z28,Charge!$N$18:$P$21,3,TRUE)),
IF(AND(B28="G3",M28="DG"),IF(R28="20'",
VLOOKUP(Z28,Charge!$R$18:$T$21,2,TRUE)+(Z28-VLOOKUP(Z28,Charge!$R$18:$T$21,1,TRUE))*VLOOKUP(Z28,Charge!$R$18:$T$21,3,TRUE),
VLOOKUP(Z28,Charge!$U$18:$W$21,2,TRUE)+(Z28-VLOOKUP(Z28,Charge!$U$18:$W$21,1,TRUE))*VLOOKUP(Z28,Charge!$U$18:$W$21,3,TRUE)),
IF(AND(B28="G2",M28=""),IF(R28="20'",
VLOOKUP(Z28,Charge!$K$9:$M$12,2,TRUE)+(Z28-VLOOKUP(Z28,Charge!$K$9:$M$12,1,TRUE))*VLOOKUP(Z28,Charge!$K$9:$M$12,3,TRUE),
VLOOKUP(Z28,Charge!$N$9:$P$12,2,TRUE)+(Z28-VLOOKUP(Z28,Charge!$N$9:$P$12,1,TRUE))*VLOOKUP(Z28,Charge!$N$9:$P$12,3,TRUE)),
IF(AND(B28="G2",M28="DG"),IF(R28="20'",
VLOOKUP(Z28,Charge!$R$9:$T$12,2,TRUE)+(Z28-VLOOKUP(Z28,Charge!$R$9:$T$12,1,TRUE))*VLOOKUP(Z28,Charge!$R$9:$T$12,3,TRUE),
VLOOKUP(Z28,Charge!$U$9:$W$12,2,TRUE)+(Z28-VLOOKUP(Z28,Charge!$U$9:$W$12,1,TRUE))*VLOOKUP(Z28,Charge!$U$9:$W$12,3,TRUE)),IF(AND(B28="G4",M28=""),IF(R28="20'",Z28*Charge!$M$25,Z28*Charge!$P$25),IF(AND(B28="G4",M28="DG"),IF(R28="20'",Z28*Charge!$T$25,Z28*Charge!$W$25),0))))))))</f>
        <v>320</v>
      </c>
      <c r="AB28" s="184" t="n"/>
      <c r="AC28" s="184" t="n"/>
      <c r="AD28" s="60">
        <f>IF(M28="DG",3,IF(N28="RF",3,5))+IF(AND(LEFT(C28,3)="BKK",N28="RF",Q28="KTS"),1,0)+IF(Q28="KHS",1,0)</f>
        <v>5</v>
      </c>
      <c r="AE28" s="63">
        <f>(T28-V28)+1</f>
        <v>46312</v>
      </c>
      <c r="AF28" s="63">
        <f>IF(AB28&gt;IF((V28-W28)&gt;0,V28-W28,0),0,IF(AB28&lt;IF((V28-W28)&gt;0,V28-W28,0),IF((V28-W28)&gt;0,V28-W28,0)-AB28,IF((V28-W28)&gt;0,V28-W28,0)))</f>
        <v>0</v>
      </c>
      <c r="AG28" s="187">
        <f>IF(AND(M28=""),IF(R28="20'",
VLOOKUP(AF28,Charge!$K$31:$M$34,2,TRUE)+(AF28-VLOOKUP(AF28,Charge!$K$31:$M$34,1,TRUE))*VLOOKUP(AF28,Charge!$K$31:$M$34,3,TRUE),
VLOOKUP(AF28,Charge!$N$31:$P$34,2,TRUE)+(AF28-VLOOKUP(AF28,Charge!$N$31:$P$34,1,TRUE))*VLOOKUP(AF28,Charge!$N$31:$P$34,3,TRUE)),
IF(AND(M28="DG"),IF(R28="20'",
VLOOKUP(AF28,Charge!$R$31:$T$34,2,TRUE)+(AF28-VLOOKUP(AF28,Charge!$R$31:$T$34,1,TRUE))*VLOOKUP(AF28,Charge!$R$31:$T$34,3,TRUE),
VLOOKUP(AF28,Charge!$U$31:$W$34,2,TRUE)+(AF28-VLOOKUP(AF28,Charge!$U$31:$W$34,1,TRUE))*VLOOKUP(AF28,Charge!$U$31:$W$34,3,TRUE)),0))</f>
        <v>0</v>
      </c>
      <c r="AH28" s="65" t="n"/>
      <c r="AI28" s="65">
        <f>AA28-AH28</f>
        <v>320</v>
      </c>
      <c r="AJ28" s="188" t="n"/>
      <c r="AK28" s="62" t="str">
        <f>VLOOKUP(D28,'2.Bookinglist'!A:CT,40,FALSE)</f>
        <v>Nannaapust Sukporntaweewat</v>
      </c>
      <c r="AL28" s="60" t="str">
        <f>VLOOKUP(D28,'2.Bookinglist'!A:CW,101,FALSE)</f>
        <v>2026-10-15</v>
      </c>
      <c r="AM28" s="60" t="str">
        <f>VLOOKUP(D28,'2.Bookinglist'!A:BK,63,FALSE)</f>
        <v>BKK27</v>
      </c>
      <c r="AN28" s="62" t="str">
        <f>VLOOKUP(D28,'2.Bookinglist'!A:AZ,52,FALSE)</f>
        <v>**APPROVAL BY MR.M.J CHANG DD.30/09/2026* *FLEXIBAG ONDECK*
Survey : 2026-10-09 , Pickup : 2026-10-10, Return : 2026-10-12
EXTEND CLOSING DD.13/10/26 @12.00</v>
      </c>
      <c r="AO28" s="62">
        <f>VLOOKUP(D28,'2.Bookinglist'!A:CY,103,FALSE)</f>
        <v>0</v>
      </c>
    </row>
    <row r="29" ht="12.95" customHeight="1">
      <c r="A29" s="96" t="inlineStr">
        <is>
          <t>HALU2524712</t>
        </is>
      </c>
      <c r="B29" s="184" t="str">
        <f>IF(C29=Charge!$M$1,Charge!$J$1,IF(C29=Charge!$M$23,Charge!$J$23,IF(C29=Charge!$M$17,Charge!$J$17,IF(C29=Charge!$N$17,Charge!$J$17,Charge!$J$7))))</f>
        <v>G3</v>
      </c>
      <c r="C29" s="61" t="str">
        <f>VLOOKUP(A29,'1.Loading'!A:R,14,FALSE)</f>
        <v>BKK01</v>
      </c>
      <c r="D29" s="61" t="str">
        <f>VLOOKUP(A29,'1.Loading'!A:R,17,FALSE)</f>
        <v>HASLS22260902094</v>
      </c>
      <c r="E29" s="62" t="str">
        <f>VLOOKUP(D29,'2.Bookinglist'!A:CT,27,FALSE)</f>
        <v>BIRLA CARBON (THAILAND) PUBLIC COMPANY LIMITED</v>
      </c>
      <c r="F29" s="62" t="str">
        <f>VLOOKUP(D29,'2.Bookinglist'!A:CT,28,FALSE)</f>
        <v>BIRLA CARBON (THAILAND) PUBLIC COMPANY LIMITED</v>
      </c>
      <c r="G29" s="60">
        <f>VLOOKUP(D29,'2.Bookinglist'!A:E,5,FALSE)</f>
        <v>0</v>
      </c>
      <c r="H29" s="61" t="str">
        <f>VLOOKUP(D29,'2.Bookinglist'!A:CT,15,FALSE)</f>
        <v>THBKK</v>
      </c>
      <c r="I29" s="61" t="str">
        <f>VLOOKUP(D29,'2.Bookinglist'!A:CT,19,FALSE)</f>
        <v>JPUKB</v>
      </c>
      <c r="J29" s="61" t="str">
        <f>VLOOKUP(D29,'2.Bookinglist'!A:CT,26,FALSE)</f>
        <v>KRPUS</v>
      </c>
      <c r="K29" s="61" t="str">
        <f>VLOOKUP(A29,'1.Loading'!A:R,5,FALSE)</f>
        <v>22GP</v>
      </c>
      <c r="L29" s="60" t="str">
        <f>VLOOKUP(D29,'2.Bookinglist'!A:CT,85,FALSE)</f>
        <v>CY/CY</v>
      </c>
      <c r="M29" s="60" t="str">
        <f>IF(VLOOKUP(D29,'2.Bookinglist'!A:CT,43,FALSE)=0,"","DG")</f>
        <v/>
      </c>
      <c r="N29" s="60" t="str">
        <f>IF(RIGHT(K29,2)="RE","RF","")</f>
        <v/>
      </c>
      <c r="O29" s="61" t="str">
        <f>VLOOKUP(A29,'1.Loading'!A:R,3,FALSE)</f>
        <v>SWIC</v>
      </c>
      <c r="P29" s="61" t="str">
        <f>VLOOKUP(A29,'1.Loading'!A:R,4,FALSE)</f>
        <v>2611N</v>
      </c>
      <c r="Q29" s="61" t="str">
        <f>VLOOKUP(D29,'2.Bookinglist'!A:CT,12,FALSE)</f>
        <v>KHS1</v>
      </c>
      <c r="R29" s="60" t="str">
        <f>IF(LEFT(K29,2)="22","20'","40'")</f>
        <v>20'</v>
      </c>
      <c r="S29" s="185" t="n"/>
      <c r="T29" s="61" t="str">
        <f>VLOOKUP(A29,'1.Loading'!A:R,2,FALSE)</f>
        <v>2026-10-16</v>
      </c>
      <c r="U29" s="63">
        <f>T29-S29</f>
        <v>46311</v>
      </c>
      <c r="V29" s="186" t="n"/>
      <c r="W29" s="61" t="str">
        <f>VLOOKUP(A29,'3.GateMove'!A:D,4,FALSE)</f>
        <v>2026-10-12</v>
      </c>
      <c r="X29" s="63">
        <f>((T29-W29)+1)</f>
        <v>5</v>
      </c>
      <c r="Y29" s="64">
        <f>IF(AND(OR(C29="BKK01",C29="BKK04"),L29="CFS/CY"),0,IF(M29="DG",1,IF(LEFT(C29,3)="LCH",7,IF(C29="BKK02",5,3))))</f>
        <v>3</v>
      </c>
      <c r="Z29" s="63">
        <f>IF(IF(AND(AC29="TML",AB29&gt;0),((T29-W29)+1)-AB29,((T29-W29)+1)-Y29)&gt;0,IF(AND(AC29="TML",AB29&gt;0),((T29-W29)+1)-AB29,((T29-W29)+1)-Y29),0)</f>
        <v>2</v>
      </c>
      <c r="AA29" s="187">
        <f>IF(AND(B29="G1",M29=""),IF(R29="20'",
VLOOKUP(Z29,Charge!$K$2:$M$5,2,TRUE)+(Z29-VLOOKUP(Z29,Charge!$K$2:$M$5,1,TRUE))*VLOOKUP(Z29,Charge!$K$2:$M$5,3,TRUE),
VLOOKUP(Z29,Charge!$N$2:$P$5,2,TRUE)+(Z29-VLOOKUP(Z29,Charge!$N$2:$P$5,1,TRUE))*VLOOKUP(Z29,Charge!$N$2:$P$5,3,TRUE)),
IF(AND(B29="G1",M29="DG"),IF(R29="20'",
VLOOKUP(Z29,Charge!$R$2:$T$5,2,TRUE)+(Z29-VLOOKUP(Z29,Charge!$R$2:$T$5,1,TRUE))*VLOOKUP(Z29,Charge!$R$2:$T$5,3,TRUE),
VLOOKUP(Z29,Charge!$U$2:$W$5,2,TRUE)+(Z29-VLOOKUP(Z29,Charge!$U$2:$W$5,1,TRUE))*VLOOKUP(Z29,Charge!$U$2:$W$5,3,TRUE)),
IF(AND(B29="G3",M29=""),IF(R29="20'",
VLOOKUP(Z29,Charge!$K$18:$M$21,2,TRUE)+(Z29-VLOOKUP(Z29,Charge!$K$18:$M$21,1,TRUE))*VLOOKUP(Z29,Charge!$K$18:$M$21,3,TRUE),
VLOOKUP(Z29,Charge!$N$18:$P$21,2,TRUE)+(Z29-VLOOKUP(Z29,Charge!$N$18:$P$21,1,TRUE))*VLOOKUP(Z29,Charge!$N$18:$P$21,3,TRUE)),
IF(AND(B29="G3",M29="DG"),IF(R29="20'",
VLOOKUP(Z29,Charge!$R$18:$T$21,2,TRUE)+(Z29-VLOOKUP(Z29,Charge!$R$18:$T$21,1,TRUE))*VLOOKUP(Z29,Charge!$R$18:$T$21,3,TRUE),
VLOOKUP(Z29,Charge!$U$18:$W$21,2,TRUE)+(Z29-VLOOKUP(Z29,Charge!$U$18:$W$21,1,TRUE))*VLOOKUP(Z29,Charge!$U$18:$W$21,3,TRUE)),
IF(AND(B29="G2",M29=""),IF(R29="20'",
VLOOKUP(Z29,Charge!$K$9:$M$12,2,TRUE)+(Z29-VLOOKUP(Z29,Charge!$K$9:$M$12,1,TRUE))*VLOOKUP(Z29,Charge!$K$9:$M$12,3,TRUE),
VLOOKUP(Z29,Charge!$N$9:$P$12,2,TRUE)+(Z29-VLOOKUP(Z29,Charge!$N$9:$P$12,1,TRUE))*VLOOKUP(Z29,Charge!$N$9:$P$12,3,TRUE)),
IF(AND(B29="G2",M29="DG"),IF(R29="20'",
VLOOKUP(Z29,Charge!$R$9:$T$12,2,TRUE)+(Z29-VLOOKUP(Z29,Charge!$R$9:$T$12,1,TRUE))*VLOOKUP(Z29,Charge!$R$9:$T$12,3,TRUE),
VLOOKUP(Z29,Charge!$U$9:$W$12,2,TRUE)+(Z29-VLOOKUP(Z29,Charge!$U$9:$W$12,1,TRUE))*VLOOKUP(Z29,Charge!$U$9:$W$12,3,TRUE)),IF(AND(B29="G4",M29=""),IF(R29="20'",Z29*Charge!$M$25,Z29*Charge!$P$25),IF(AND(B29="G4",M29="DG"),IF(R29="20'",Z29*Charge!$T$25,Z29*Charge!$W$25),0))))))))</f>
        <v>320</v>
      </c>
      <c r="AB29" s="184" t="n"/>
      <c r="AC29" s="184" t="n"/>
      <c r="AD29" s="60">
        <f>IF(M29="DG",3,IF(N29="RF",3,5))+IF(AND(LEFT(C29,3)="BKK",N29="RF",Q29="KTS"),1,0)+IF(Q29="KHS",1,0)</f>
        <v>5</v>
      </c>
      <c r="AE29" s="63">
        <f>(T29-V29)+1</f>
        <v>46312</v>
      </c>
      <c r="AF29" s="63">
        <f>IF(AB29&gt;IF((V29-W29)&gt;0,V29-W29,0),0,IF(AB29&lt;IF((V29-W29)&gt;0,V29-W29,0),IF((V29-W29)&gt;0,V29-W29,0)-AB29,IF((V29-W29)&gt;0,V29-W29,0)))</f>
        <v>0</v>
      </c>
      <c r="AG29" s="187">
        <f>IF(AND(M29=""),IF(R29="20'",
VLOOKUP(AF29,Charge!$K$31:$M$34,2,TRUE)+(AF29-VLOOKUP(AF29,Charge!$K$31:$M$34,1,TRUE))*VLOOKUP(AF29,Charge!$K$31:$M$34,3,TRUE),
VLOOKUP(AF29,Charge!$N$31:$P$34,2,TRUE)+(AF29-VLOOKUP(AF29,Charge!$N$31:$P$34,1,TRUE))*VLOOKUP(AF29,Charge!$N$31:$P$34,3,TRUE)),
IF(AND(M29="DG"),IF(R29="20'",
VLOOKUP(AF29,Charge!$R$31:$T$34,2,TRUE)+(AF29-VLOOKUP(AF29,Charge!$R$31:$T$34,1,TRUE))*VLOOKUP(AF29,Charge!$R$31:$T$34,3,TRUE),
VLOOKUP(AF29,Charge!$U$31:$W$34,2,TRUE)+(AF29-VLOOKUP(AF29,Charge!$U$31:$W$34,1,TRUE))*VLOOKUP(AF29,Charge!$U$31:$W$34,3,TRUE)),0))</f>
        <v>0</v>
      </c>
      <c r="AH29" s="65" t="n"/>
      <c r="AI29" s="65">
        <f>AA29-AH29</f>
        <v>320</v>
      </c>
      <c r="AJ29" s="188" t="n"/>
      <c r="AK29" s="62" t="str">
        <f>VLOOKUP(D29,'2.Bookinglist'!A:CT,40,FALSE)</f>
        <v>Dharaporn</v>
      </c>
      <c r="AL29" s="60" t="str">
        <f>VLOOKUP(D29,'2.Bookinglist'!A:CW,101,FALSE)</f>
        <v>2026-10-12</v>
      </c>
      <c r="AM29" s="60" t="str">
        <f>VLOOKUP(D29,'2.Bookinglist'!A:BK,63,FALSE)</f>
        <v>BKK27</v>
      </c>
      <c r="AN29" s="62" t="str">
        <f>VLOOKUP(D29,'2.Bookinglist'!A:AZ,52,FALSE)</f>
        <v>[FIX][FIX]Pickup : 2026-10-07, Return : 2026-10-08</v>
      </c>
      <c r="AO29" s="62">
        <f>VLOOKUP(D29,'2.Bookinglist'!A:CY,103,FALSE)</f>
        <v>0</v>
      </c>
    </row>
    <row r="30" ht="12.95" customHeight="1">
      <c r="A30" s="96" t="inlineStr">
        <is>
          <t>HALU2540009</t>
        </is>
      </c>
      <c r="B30" s="184" t="str">
        <f>IF(C30=Charge!$M$1,Charge!$J$1,IF(C30=Charge!$M$23,Charge!$J$23,IF(C30=Charge!$M$17,Charge!$J$17,IF(C30=Charge!$N$17,Charge!$J$17,Charge!$J$7))))</f>
        <v>G3</v>
      </c>
      <c r="C30" s="61" t="str">
        <f>VLOOKUP(A30,'1.Loading'!A:R,14,FALSE)</f>
        <v>BKK01</v>
      </c>
      <c r="D30" s="61" t="str">
        <f>VLOOKUP(A30,'1.Loading'!A:R,17,FALSE)</f>
        <v>HASLS22260902184</v>
      </c>
      <c r="E30" s="62" t="str">
        <f>VLOOKUP(D30,'2.Bookinglist'!A:CT,27,FALSE)</f>
        <v>BIRLA CARBON (THAILAND) PUBLIC COMPANY LIMITED</v>
      </c>
      <c r="F30" s="62" t="str">
        <f>VLOOKUP(D30,'2.Bookinglist'!A:CT,28,FALSE)</f>
        <v>BIRLA CARBON (THAILAND) PUBLIC COMPANY LIMITED</v>
      </c>
      <c r="G30" s="60">
        <f>VLOOKUP(D30,'2.Bookinglist'!A:E,5,FALSE)</f>
        <v>0</v>
      </c>
      <c r="H30" s="61" t="str">
        <f>VLOOKUP(D30,'2.Bookinglist'!A:CT,15,FALSE)</f>
        <v>THBKK</v>
      </c>
      <c r="I30" s="61" t="str">
        <f>VLOOKUP(D30,'2.Bookinglist'!A:CT,19,FALSE)</f>
        <v>JPUKB</v>
      </c>
      <c r="J30" s="61" t="str">
        <f>VLOOKUP(D30,'2.Bookinglist'!A:CT,26,FALSE)</f>
        <v>KRPUS</v>
      </c>
      <c r="K30" s="61" t="str">
        <f>VLOOKUP(A30,'1.Loading'!A:R,5,FALSE)</f>
        <v>22GP</v>
      </c>
      <c r="L30" s="60" t="str">
        <f>VLOOKUP(D30,'2.Bookinglist'!A:CT,85,FALSE)</f>
        <v>CY/CY</v>
      </c>
      <c r="M30" s="60" t="str">
        <f>IF(VLOOKUP(D30,'2.Bookinglist'!A:CT,43,FALSE)=0,"","DG")</f>
        <v/>
      </c>
      <c r="N30" s="60" t="str">
        <f>IF(RIGHT(K30,2)="RE","RF","")</f>
        <v/>
      </c>
      <c r="O30" s="61" t="str">
        <f>VLOOKUP(A30,'1.Loading'!A:R,3,FALSE)</f>
        <v>SWIC</v>
      </c>
      <c r="P30" s="61" t="str">
        <f>VLOOKUP(A30,'1.Loading'!A:R,4,FALSE)</f>
        <v>2611N</v>
      </c>
      <c r="Q30" s="61" t="str">
        <f>VLOOKUP(D30,'2.Bookinglist'!A:CT,12,FALSE)</f>
        <v>KHS1</v>
      </c>
      <c r="R30" s="60" t="str">
        <f>IF(LEFT(K30,2)="22","20'","40'")</f>
        <v>20'</v>
      </c>
      <c r="S30" s="185" t="n"/>
      <c r="T30" s="61" t="str">
        <f>VLOOKUP(A30,'1.Loading'!A:R,2,FALSE)</f>
        <v>2026-10-16</v>
      </c>
      <c r="U30" s="63">
        <f>T30-S30</f>
        <v>46311</v>
      </c>
      <c r="V30" s="186" t="n"/>
      <c r="W30" s="61" t="str">
        <f>VLOOKUP(A30,'3.GateMove'!A:D,4,FALSE)</f>
        <v>2026-10-13</v>
      </c>
      <c r="X30" s="63">
        <f>((T30-W30)+1)</f>
        <v>4</v>
      </c>
      <c r="Y30" s="64">
        <f>IF(AND(OR(C30="BKK01",C30="BKK04"),L30="CFS/CY"),0,IF(M30="DG",1,IF(LEFT(C30,3)="LCH",7,IF(C30="BKK02",5,3))))</f>
        <v>3</v>
      </c>
      <c r="Z30" s="63">
        <f>IF(IF(AND(AC30="TML",AB30&gt;0),((T30-W30)+1)-AB30,((T30-W30)+1)-Y30)&gt;0,IF(AND(AC30="TML",AB30&gt;0),((T30-W30)+1)-AB30,((T30-W30)+1)-Y30),0)</f>
        <v>1</v>
      </c>
      <c r="AA30" s="187">
        <f>IF(AND(B30="G1",M30=""),IF(R30="20'",
VLOOKUP(Z30,Charge!$K$2:$M$5,2,TRUE)+(Z30-VLOOKUP(Z30,Charge!$K$2:$M$5,1,TRUE))*VLOOKUP(Z30,Charge!$K$2:$M$5,3,TRUE),
VLOOKUP(Z30,Charge!$N$2:$P$5,2,TRUE)+(Z30-VLOOKUP(Z30,Charge!$N$2:$P$5,1,TRUE))*VLOOKUP(Z30,Charge!$N$2:$P$5,3,TRUE)),
IF(AND(B30="G1",M30="DG"),IF(R30="20'",
VLOOKUP(Z30,Charge!$R$2:$T$5,2,TRUE)+(Z30-VLOOKUP(Z30,Charge!$R$2:$T$5,1,TRUE))*VLOOKUP(Z30,Charge!$R$2:$T$5,3,TRUE),
VLOOKUP(Z30,Charge!$U$2:$W$5,2,TRUE)+(Z30-VLOOKUP(Z30,Charge!$U$2:$W$5,1,TRUE))*VLOOKUP(Z30,Charge!$U$2:$W$5,3,TRUE)),
IF(AND(B30="G3",M30=""),IF(R30="20'",
VLOOKUP(Z30,Charge!$K$18:$M$21,2,TRUE)+(Z30-VLOOKUP(Z30,Charge!$K$18:$M$21,1,TRUE))*VLOOKUP(Z30,Charge!$K$18:$M$21,3,TRUE),
VLOOKUP(Z30,Charge!$N$18:$P$21,2,TRUE)+(Z30-VLOOKUP(Z30,Charge!$N$18:$P$21,1,TRUE))*VLOOKUP(Z30,Charge!$N$18:$P$21,3,TRUE)),
IF(AND(B30="G3",M30="DG"),IF(R30="20'",
VLOOKUP(Z30,Charge!$R$18:$T$21,2,TRUE)+(Z30-VLOOKUP(Z30,Charge!$R$18:$T$21,1,TRUE))*VLOOKUP(Z30,Charge!$R$18:$T$21,3,TRUE),
VLOOKUP(Z30,Charge!$U$18:$W$21,2,TRUE)+(Z30-VLOOKUP(Z30,Charge!$U$18:$W$21,1,TRUE))*VLOOKUP(Z30,Charge!$U$18:$W$21,3,TRUE)),
IF(AND(B30="G2",M30=""),IF(R30="20'",
VLOOKUP(Z30,Charge!$K$9:$M$12,2,TRUE)+(Z30-VLOOKUP(Z30,Charge!$K$9:$M$12,1,TRUE))*VLOOKUP(Z30,Charge!$K$9:$M$12,3,TRUE),
VLOOKUP(Z30,Charge!$N$9:$P$12,2,TRUE)+(Z30-VLOOKUP(Z30,Charge!$N$9:$P$12,1,TRUE))*VLOOKUP(Z30,Charge!$N$9:$P$12,3,TRUE)),
IF(AND(B30="G2",M30="DG"),IF(R30="20'",
VLOOKUP(Z30,Charge!$R$9:$T$12,2,TRUE)+(Z30-VLOOKUP(Z30,Charge!$R$9:$T$12,1,TRUE))*VLOOKUP(Z30,Charge!$R$9:$T$12,3,TRUE),
VLOOKUP(Z30,Charge!$U$9:$W$12,2,TRUE)+(Z30-VLOOKUP(Z30,Charge!$U$9:$W$12,1,TRUE))*VLOOKUP(Z30,Charge!$U$9:$W$12,3,TRUE)),IF(AND(B30="G4",M30=""),IF(R30="20'",Z30*Charge!$M$25,Z30*Charge!$P$25),IF(AND(B30="G4",M30="DG"),IF(R30="20'",Z30*Charge!$T$25,Z30*Charge!$W$25),0))))))))</f>
        <v>160</v>
      </c>
      <c r="AB30" s="184" t="n"/>
      <c r="AC30" s="184" t="n"/>
      <c r="AD30" s="60">
        <f>IF(M30="DG",3,IF(N30="RF",3,5))+IF(AND(LEFT(C30,3)="BKK",N30="RF",Q30="KTS"),1,0)+IF(Q30="KHS",1,0)</f>
        <v>5</v>
      </c>
      <c r="AE30" s="63">
        <f>(T30-V30)+1</f>
        <v>46312</v>
      </c>
      <c r="AF30" s="63">
        <f>IF(AB30&gt;IF((V30-W30)&gt;0,V30-W30,0),0,IF(AB30&lt;IF((V30-W30)&gt;0,V30-W30,0),IF((V30-W30)&gt;0,V30-W30,0)-AB30,IF((V30-W30)&gt;0,V30-W30,0)))</f>
        <v>0</v>
      </c>
      <c r="AG30" s="187">
        <f>IF(AND(M30=""),IF(R30="20'",
VLOOKUP(AF30,Charge!$K$31:$M$34,2,TRUE)+(AF30-VLOOKUP(AF30,Charge!$K$31:$M$34,1,TRUE))*VLOOKUP(AF30,Charge!$K$31:$M$34,3,TRUE),
VLOOKUP(AF30,Charge!$N$31:$P$34,2,TRUE)+(AF30-VLOOKUP(AF30,Charge!$N$31:$P$34,1,TRUE))*VLOOKUP(AF30,Charge!$N$31:$P$34,3,TRUE)),
IF(AND(M30="DG"),IF(R30="20'",
VLOOKUP(AF30,Charge!$R$31:$T$34,2,TRUE)+(AF30-VLOOKUP(AF30,Charge!$R$31:$T$34,1,TRUE))*VLOOKUP(AF30,Charge!$R$31:$T$34,3,TRUE),
VLOOKUP(AF30,Charge!$U$31:$W$34,2,TRUE)+(AF30-VLOOKUP(AF30,Charge!$U$31:$W$34,1,TRUE))*VLOOKUP(AF30,Charge!$U$31:$W$34,3,TRUE)),0))</f>
        <v>0</v>
      </c>
      <c r="AH30" s="65" t="n"/>
      <c r="AI30" s="65">
        <f>AA30-AH30</f>
        <v>160</v>
      </c>
      <c r="AJ30" s="188" t="n"/>
      <c r="AK30" s="62" t="str">
        <f>VLOOKUP(D30,'2.Bookinglist'!A:CT,40,FALSE)</f>
        <v>Dharaporn</v>
      </c>
      <c r="AL30" s="60" t="str">
        <f>VLOOKUP(D30,'2.Bookinglist'!A:CW,101,FALSE)</f>
        <v>2026-10-15</v>
      </c>
      <c r="AM30" s="60" t="str">
        <f>VLOOKUP(D30,'2.Bookinglist'!A:BK,63,FALSE)</f>
        <v>BKK27</v>
      </c>
      <c r="AN30" s="62" t="str">
        <f>VLOOKUP(D30,'2.Bookinglist'!A:AZ,52,FALSE)</f>
        <v>[FIX]Pickup : 2026-10-10, Return : 2026-10-12
CLS TIME DD.13/10/2026 @ 23.59</v>
      </c>
      <c r="AO30" s="62">
        <f>VLOOKUP(D30,'2.Bookinglist'!A:CY,103,FALSE)</f>
        <v>0</v>
      </c>
    </row>
    <row r="31" ht="12.95" customHeight="1">
      <c r="A31" s="96" t="inlineStr">
        <is>
          <t>HALU2552458</t>
        </is>
      </c>
      <c r="B31" s="184" t="str">
        <f>IF(C31=Charge!$M$1,Charge!$J$1,IF(C31=Charge!$M$23,Charge!$J$23,IF(C31=Charge!$M$17,Charge!$J$17,IF(C31=Charge!$N$17,Charge!$J$17,Charge!$J$7))))</f>
        <v>G3</v>
      </c>
      <c r="C31" s="61" t="str">
        <f>VLOOKUP(A31,'1.Loading'!A:R,14,FALSE)</f>
        <v>BKK01</v>
      </c>
      <c r="D31" s="61" t="str">
        <f>VLOOKUP(A31,'1.Loading'!A:R,17,FALSE)</f>
        <v>HASLS22260901896</v>
      </c>
      <c r="E31" s="62" t="str">
        <f>VLOOKUP(D31,'2.Bookinglist'!A:CT,27,FALSE)</f>
        <v>GENERAL FOOD PRODUCTS CO., LTD.</v>
      </c>
      <c r="F31" s="62" t="str">
        <f>VLOOKUP(D31,'2.Bookinglist'!A:CT,28,FALSE)</f>
        <v>GFM CO., LTD.</v>
      </c>
      <c r="G31" s="60">
        <f>VLOOKUP(D31,'2.Bookinglist'!A:E,5,FALSE)</f>
        <v>0</v>
      </c>
      <c r="H31" s="61" t="str">
        <f>VLOOKUP(D31,'2.Bookinglist'!A:CT,15,FALSE)</f>
        <v>THBKK</v>
      </c>
      <c r="I31" s="61" t="str">
        <f>VLOOKUP(D31,'2.Bookinglist'!A:CT,19,FALSE)</f>
        <v>JPKIJ</v>
      </c>
      <c r="J31" s="61" t="str">
        <f>VLOOKUP(D31,'2.Bookinglist'!A:CT,26,FALSE)</f>
        <v>KRPUS</v>
      </c>
      <c r="K31" s="61" t="str">
        <f>VLOOKUP(A31,'1.Loading'!A:R,5,FALSE)</f>
        <v>22GP</v>
      </c>
      <c r="L31" s="60" t="str">
        <f>VLOOKUP(D31,'2.Bookinglist'!A:CT,85,FALSE)</f>
        <v>CY/CY</v>
      </c>
      <c r="M31" s="60" t="str">
        <f>IF(VLOOKUP(D31,'2.Bookinglist'!A:CT,43,FALSE)=0,"","DG")</f>
        <v/>
      </c>
      <c r="N31" s="60" t="str">
        <f>IF(RIGHT(K31,2)="RE","RF","")</f>
        <v/>
      </c>
      <c r="O31" s="61" t="str">
        <f>VLOOKUP(A31,'1.Loading'!A:R,3,FALSE)</f>
        <v>SWIC</v>
      </c>
      <c r="P31" s="61" t="str">
        <f>VLOOKUP(A31,'1.Loading'!A:R,4,FALSE)</f>
        <v>2611N</v>
      </c>
      <c r="Q31" s="61" t="str">
        <f>VLOOKUP(D31,'2.Bookinglist'!A:CT,12,FALSE)</f>
        <v>KHS1</v>
      </c>
      <c r="R31" s="60" t="str">
        <f>IF(LEFT(K31,2)="22","20'","40'")</f>
        <v>20'</v>
      </c>
      <c r="S31" s="185" t="n"/>
      <c r="T31" s="61" t="str">
        <f>VLOOKUP(A31,'1.Loading'!A:R,2,FALSE)</f>
        <v>2026-10-16</v>
      </c>
      <c r="U31" s="63">
        <f>T31-S31</f>
        <v>46311</v>
      </c>
      <c r="V31" s="186" t="n"/>
      <c r="W31" s="61" t="str">
        <f>VLOOKUP(A31,'3.GateMove'!A:D,4,FALSE)</f>
        <v>2026-10-12</v>
      </c>
      <c r="X31" s="63">
        <f>((T31-W31)+1)</f>
        <v>5</v>
      </c>
      <c r="Y31" s="64">
        <f>IF(AND(OR(C31="BKK01",C31="BKK04"),L31="CFS/CY"),0,IF(M31="DG",1,IF(LEFT(C31,3)="LCH",7,IF(C31="BKK02",5,3))))</f>
        <v>3</v>
      </c>
      <c r="Z31" s="63">
        <f>IF(IF(AND(AC31="TML",AB31&gt;0),((T31-W31)+1)-AB31,((T31-W31)+1)-Y31)&gt;0,IF(AND(AC31="TML",AB31&gt;0),((T31-W31)+1)-AB31,((T31-W31)+1)-Y31),0)</f>
        <v>2</v>
      </c>
      <c r="AA31" s="187">
        <f>IF(AND(B31="G1",M31=""),IF(R31="20'",
VLOOKUP(Z31,Charge!$K$2:$M$5,2,TRUE)+(Z31-VLOOKUP(Z31,Charge!$K$2:$M$5,1,TRUE))*VLOOKUP(Z31,Charge!$K$2:$M$5,3,TRUE),
VLOOKUP(Z31,Charge!$N$2:$P$5,2,TRUE)+(Z31-VLOOKUP(Z31,Charge!$N$2:$P$5,1,TRUE))*VLOOKUP(Z31,Charge!$N$2:$P$5,3,TRUE)),
IF(AND(B31="G1",M31="DG"),IF(R31="20'",
VLOOKUP(Z31,Charge!$R$2:$T$5,2,TRUE)+(Z31-VLOOKUP(Z31,Charge!$R$2:$T$5,1,TRUE))*VLOOKUP(Z31,Charge!$R$2:$T$5,3,TRUE),
VLOOKUP(Z31,Charge!$U$2:$W$5,2,TRUE)+(Z31-VLOOKUP(Z31,Charge!$U$2:$W$5,1,TRUE))*VLOOKUP(Z31,Charge!$U$2:$W$5,3,TRUE)),
IF(AND(B31="G3",M31=""),IF(R31="20'",
VLOOKUP(Z31,Charge!$K$18:$M$21,2,TRUE)+(Z31-VLOOKUP(Z31,Charge!$K$18:$M$21,1,TRUE))*VLOOKUP(Z31,Charge!$K$18:$M$21,3,TRUE),
VLOOKUP(Z31,Charge!$N$18:$P$21,2,TRUE)+(Z31-VLOOKUP(Z31,Charge!$N$18:$P$21,1,TRUE))*VLOOKUP(Z31,Charge!$N$18:$P$21,3,TRUE)),
IF(AND(B31="G3",M31="DG"),IF(R31="20'",
VLOOKUP(Z31,Charge!$R$18:$T$21,2,TRUE)+(Z31-VLOOKUP(Z31,Charge!$R$18:$T$21,1,TRUE))*VLOOKUP(Z31,Charge!$R$18:$T$21,3,TRUE),
VLOOKUP(Z31,Charge!$U$18:$W$21,2,TRUE)+(Z31-VLOOKUP(Z31,Charge!$U$18:$W$21,1,TRUE))*VLOOKUP(Z31,Charge!$U$18:$W$21,3,TRUE)),
IF(AND(B31="G2",M31=""),IF(R31="20'",
VLOOKUP(Z31,Charge!$K$9:$M$12,2,TRUE)+(Z31-VLOOKUP(Z31,Charge!$K$9:$M$12,1,TRUE))*VLOOKUP(Z31,Charge!$K$9:$M$12,3,TRUE),
VLOOKUP(Z31,Charge!$N$9:$P$12,2,TRUE)+(Z31-VLOOKUP(Z31,Charge!$N$9:$P$12,1,TRUE))*VLOOKUP(Z31,Charge!$N$9:$P$12,3,TRUE)),
IF(AND(B31="G2",M31="DG"),IF(R31="20'",
VLOOKUP(Z31,Charge!$R$9:$T$12,2,TRUE)+(Z31-VLOOKUP(Z31,Charge!$R$9:$T$12,1,TRUE))*VLOOKUP(Z31,Charge!$R$9:$T$12,3,TRUE),
VLOOKUP(Z31,Charge!$U$9:$W$12,2,TRUE)+(Z31-VLOOKUP(Z31,Charge!$U$9:$W$12,1,TRUE))*VLOOKUP(Z31,Charge!$U$9:$W$12,3,TRUE)),IF(AND(B31="G4",M31=""),IF(R31="20'",Z31*Charge!$M$25,Z31*Charge!$P$25),IF(AND(B31="G4",M31="DG"),IF(R31="20'",Z31*Charge!$T$25,Z31*Charge!$W$25),0))))))))</f>
        <v>320</v>
      </c>
      <c r="AB31" s="184" t="n"/>
      <c r="AC31" s="184" t="n"/>
      <c r="AD31" s="60">
        <f>IF(M31="DG",3,IF(N31="RF",3,5))+IF(AND(LEFT(C31,3)="BKK",N31="RF",Q31="KTS"),1,0)+IF(Q31="KHS",1,0)</f>
        <v>5</v>
      </c>
      <c r="AE31" s="63">
        <f>(T31-V31)+1</f>
        <v>46312</v>
      </c>
      <c r="AF31" s="63">
        <f>IF(AB31&gt;IF((V31-W31)&gt;0,V31-W31,0),0,IF(AB31&lt;IF((V31-W31)&gt;0,V31-W31,0),IF((V31-W31)&gt;0,V31-W31,0)-AB31,IF((V31-W31)&gt;0,V31-W31,0)))</f>
        <v>0</v>
      </c>
      <c r="AG31" s="187">
        <f>IF(AND(M31=""),IF(R31="20'",
VLOOKUP(AF31,Charge!$K$31:$M$34,2,TRUE)+(AF31-VLOOKUP(AF31,Charge!$K$31:$M$34,1,TRUE))*VLOOKUP(AF31,Charge!$K$31:$M$34,3,TRUE),
VLOOKUP(AF31,Charge!$N$31:$P$34,2,TRUE)+(AF31-VLOOKUP(AF31,Charge!$N$31:$P$34,1,TRUE))*VLOOKUP(AF31,Charge!$N$31:$P$34,3,TRUE)),
IF(AND(M31="DG"),IF(R31="20'",
VLOOKUP(AF31,Charge!$R$31:$T$34,2,TRUE)+(AF31-VLOOKUP(AF31,Charge!$R$31:$T$34,1,TRUE))*VLOOKUP(AF31,Charge!$R$31:$T$34,3,TRUE),
VLOOKUP(AF31,Charge!$U$31:$W$34,2,TRUE)+(AF31-VLOOKUP(AF31,Charge!$U$31:$W$34,1,TRUE))*VLOOKUP(AF31,Charge!$U$31:$W$34,3,TRUE)),0))</f>
        <v>0</v>
      </c>
      <c r="AH31" s="65" t="n"/>
      <c r="AI31" s="65">
        <f>AA31-AH31</f>
        <v>320</v>
      </c>
      <c r="AJ31" s="188" t="n"/>
      <c r="AK31" s="62" t="str">
        <f>VLOOKUP(D31,'2.Bookinglist'!A:CT,40,FALSE)</f>
        <v>Vilaiporn</v>
      </c>
      <c r="AL31" s="60" t="str">
        <f>VLOOKUP(D31,'2.Bookinglist'!A:CW,101,FALSE)</f>
        <v>2026-10-15</v>
      </c>
      <c r="AM31" s="60" t="str">
        <f>VLOOKUP(D31,'2.Bookinglist'!A:BK,63,FALSE)</f>
        <v>BKK25</v>
      </c>
      <c r="AN31" s="62" t="str">
        <f>VLOOKUP(D31,'2.Bookinglist'!A:AZ,52,FALSE)</f>
        <v>Pickup : 2026-10-10, Return : 2026-10-13</v>
      </c>
      <c r="AO31" s="62">
        <f>VLOOKUP(D31,'2.Bookinglist'!A:CY,103,FALSE)</f>
        <v>0</v>
      </c>
    </row>
    <row r="32" ht="12.95" customHeight="1">
      <c r="A32" s="96" t="inlineStr">
        <is>
          <t>HALU2557038</t>
        </is>
      </c>
      <c r="B32" s="184" t="str">
        <f>IF(C32=Charge!$M$1,Charge!$J$1,IF(C32=Charge!$M$23,Charge!$J$23,IF(C32=Charge!$M$17,Charge!$J$17,IF(C32=Charge!$N$17,Charge!$J$17,Charge!$J$7))))</f>
        <v>G3</v>
      </c>
      <c r="C32" s="61" t="str">
        <f>VLOOKUP(A32,'1.Loading'!A:R,14,FALSE)</f>
        <v>BKK01</v>
      </c>
      <c r="D32" s="61" t="str">
        <f>VLOOKUP(A32,'1.Loading'!A:R,17,FALSE)</f>
        <v>HASLS22260902094</v>
      </c>
      <c r="E32" s="62" t="str">
        <f>VLOOKUP(D32,'2.Bookinglist'!A:CT,27,FALSE)</f>
        <v>BIRLA CARBON (THAILAND) PUBLIC COMPANY LIMITED</v>
      </c>
      <c r="F32" s="62" t="str">
        <f>VLOOKUP(D32,'2.Bookinglist'!A:CT,28,FALSE)</f>
        <v>BIRLA CARBON (THAILAND) PUBLIC COMPANY LIMITED</v>
      </c>
      <c r="G32" s="60">
        <f>VLOOKUP(D32,'2.Bookinglist'!A:E,5,FALSE)</f>
        <v>0</v>
      </c>
      <c r="H32" s="61" t="str">
        <f>VLOOKUP(D32,'2.Bookinglist'!A:CT,15,FALSE)</f>
        <v>THBKK</v>
      </c>
      <c r="I32" s="61" t="str">
        <f>VLOOKUP(D32,'2.Bookinglist'!A:CT,19,FALSE)</f>
        <v>JPUKB</v>
      </c>
      <c r="J32" s="61" t="str">
        <f>VLOOKUP(D32,'2.Bookinglist'!A:CT,26,FALSE)</f>
        <v>KRPUS</v>
      </c>
      <c r="K32" s="61" t="str">
        <f>VLOOKUP(A32,'1.Loading'!A:R,5,FALSE)</f>
        <v>22GP</v>
      </c>
      <c r="L32" s="60" t="str">
        <f>VLOOKUP(D32,'2.Bookinglist'!A:CT,85,FALSE)</f>
        <v>CY/CY</v>
      </c>
      <c r="M32" s="60" t="str">
        <f>IF(VLOOKUP(D32,'2.Bookinglist'!A:CT,43,FALSE)=0,"","DG")</f>
        <v/>
      </c>
      <c r="N32" s="60" t="str">
        <f>IF(RIGHT(K32,2)="RE","RF","")</f>
        <v/>
      </c>
      <c r="O32" s="61" t="str">
        <f>VLOOKUP(A32,'1.Loading'!A:R,3,FALSE)</f>
        <v>SWIC</v>
      </c>
      <c r="P32" s="61" t="str">
        <f>VLOOKUP(A32,'1.Loading'!A:R,4,FALSE)</f>
        <v>2611N</v>
      </c>
      <c r="Q32" s="61" t="str">
        <f>VLOOKUP(D32,'2.Bookinglist'!A:CT,12,FALSE)</f>
        <v>KHS1</v>
      </c>
      <c r="R32" s="60" t="str">
        <f>IF(LEFT(K32,2)="22","20'","40'")</f>
        <v>20'</v>
      </c>
      <c r="S32" s="185" t="n"/>
      <c r="T32" s="61" t="str">
        <f>VLOOKUP(A32,'1.Loading'!A:R,2,FALSE)</f>
        <v>2026-10-16</v>
      </c>
      <c r="U32" s="63">
        <f>T32-S32</f>
        <v>46311</v>
      </c>
      <c r="V32" s="186" t="n"/>
      <c r="W32" s="61" t="str">
        <f>VLOOKUP(A32,'3.GateMove'!A:D,4,FALSE)</f>
        <v>2026-10-12</v>
      </c>
      <c r="X32" s="63">
        <f>((T32-W32)+1)</f>
        <v>5</v>
      </c>
      <c r="Y32" s="64">
        <f>IF(AND(OR(C32="BKK01",C32="BKK04"),L32="CFS/CY"),0,IF(M32="DG",1,IF(LEFT(C32,3)="LCH",7,IF(C32="BKK02",5,3))))</f>
        <v>3</v>
      </c>
      <c r="Z32" s="63">
        <f>IF(IF(AND(AC32="TML",AB32&gt;0),((T32-W32)+1)-AB32,((T32-W32)+1)-Y32)&gt;0,IF(AND(AC32="TML",AB32&gt;0),((T32-W32)+1)-AB32,((T32-W32)+1)-Y32),0)</f>
        <v>2</v>
      </c>
      <c r="AA32" s="187">
        <f>IF(AND(B32="G1",M32=""),IF(R32="20'",
VLOOKUP(Z32,Charge!$K$2:$M$5,2,TRUE)+(Z32-VLOOKUP(Z32,Charge!$K$2:$M$5,1,TRUE))*VLOOKUP(Z32,Charge!$K$2:$M$5,3,TRUE),
VLOOKUP(Z32,Charge!$N$2:$P$5,2,TRUE)+(Z32-VLOOKUP(Z32,Charge!$N$2:$P$5,1,TRUE))*VLOOKUP(Z32,Charge!$N$2:$P$5,3,TRUE)),
IF(AND(B32="G1",M32="DG"),IF(R32="20'",
VLOOKUP(Z32,Charge!$R$2:$T$5,2,TRUE)+(Z32-VLOOKUP(Z32,Charge!$R$2:$T$5,1,TRUE))*VLOOKUP(Z32,Charge!$R$2:$T$5,3,TRUE),
VLOOKUP(Z32,Charge!$U$2:$W$5,2,TRUE)+(Z32-VLOOKUP(Z32,Charge!$U$2:$W$5,1,TRUE))*VLOOKUP(Z32,Charge!$U$2:$W$5,3,TRUE)),
IF(AND(B32="G3",M32=""),IF(R32="20'",
VLOOKUP(Z32,Charge!$K$18:$M$21,2,TRUE)+(Z32-VLOOKUP(Z32,Charge!$K$18:$M$21,1,TRUE))*VLOOKUP(Z32,Charge!$K$18:$M$21,3,TRUE),
VLOOKUP(Z32,Charge!$N$18:$P$21,2,TRUE)+(Z32-VLOOKUP(Z32,Charge!$N$18:$P$21,1,TRUE))*VLOOKUP(Z32,Charge!$N$18:$P$21,3,TRUE)),
IF(AND(B32="G3",M32="DG"),IF(R32="20'",
VLOOKUP(Z32,Charge!$R$18:$T$21,2,TRUE)+(Z32-VLOOKUP(Z32,Charge!$R$18:$T$21,1,TRUE))*VLOOKUP(Z32,Charge!$R$18:$T$21,3,TRUE),
VLOOKUP(Z32,Charge!$U$18:$W$21,2,TRUE)+(Z32-VLOOKUP(Z32,Charge!$U$18:$W$21,1,TRUE))*VLOOKUP(Z32,Charge!$U$18:$W$21,3,TRUE)),
IF(AND(B32="G2",M32=""),IF(R32="20'",
VLOOKUP(Z32,Charge!$K$9:$M$12,2,TRUE)+(Z32-VLOOKUP(Z32,Charge!$K$9:$M$12,1,TRUE))*VLOOKUP(Z32,Charge!$K$9:$M$12,3,TRUE),
VLOOKUP(Z32,Charge!$N$9:$P$12,2,TRUE)+(Z32-VLOOKUP(Z32,Charge!$N$9:$P$12,1,TRUE))*VLOOKUP(Z32,Charge!$N$9:$P$12,3,TRUE)),
IF(AND(B32="G2",M32="DG"),IF(R32="20'",
VLOOKUP(Z32,Charge!$R$9:$T$12,2,TRUE)+(Z32-VLOOKUP(Z32,Charge!$R$9:$T$12,1,TRUE))*VLOOKUP(Z32,Charge!$R$9:$T$12,3,TRUE),
VLOOKUP(Z32,Charge!$U$9:$W$12,2,TRUE)+(Z32-VLOOKUP(Z32,Charge!$U$9:$W$12,1,TRUE))*VLOOKUP(Z32,Charge!$U$9:$W$12,3,TRUE)),IF(AND(B32="G4",M32=""),IF(R32="20'",Z32*Charge!$M$25,Z32*Charge!$P$25),IF(AND(B32="G4",M32="DG"),IF(R32="20'",Z32*Charge!$T$25,Z32*Charge!$W$25),0))))))))</f>
        <v>320</v>
      </c>
      <c r="AB32" s="184" t="n"/>
      <c r="AC32" s="184" t="n"/>
      <c r="AD32" s="60">
        <f>IF(M32="DG",3,IF(N32="RF",3,5))+IF(AND(LEFT(C32,3)="BKK",N32="RF",Q32="KTS"),1,0)+IF(Q32="KHS",1,0)</f>
        <v>5</v>
      </c>
      <c r="AE32" s="63">
        <f>(T32-V32)+1</f>
        <v>46312</v>
      </c>
      <c r="AF32" s="63">
        <f>IF(AB32&gt;IF((V32-W32)&gt;0,V32-W32,0),0,IF(AB32&lt;IF((V32-W32)&gt;0,V32-W32,0),IF((V32-W32)&gt;0,V32-W32,0)-AB32,IF((V32-W32)&gt;0,V32-W32,0)))</f>
        <v>0</v>
      </c>
      <c r="AG32" s="187">
        <f>IF(AND(M32=""),IF(R32="20'",
VLOOKUP(AF32,Charge!$K$31:$M$34,2,TRUE)+(AF32-VLOOKUP(AF32,Charge!$K$31:$M$34,1,TRUE))*VLOOKUP(AF32,Charge!$K$31:$M$34,3,TRUE),
VLOOKUP(AF32,Charge!$N$31:$P$34,2,TRUE)+(AF32-VLOOKUP(AF32,Charge!$N$31:$P$34,1,TRUE))*VLOOKUP(AF32,Charge!$N$31:$P$34,3,TRUE)),
IF(AND(M32="DG"),IF(R32="20'",
VLOOKUP(AF32,Charge!$R$31:$T$34,2,TRUE)+(AF32-VLOOKUP(AF32,Charge!$R$31:$T$34,1,TRUE))*VLOOKUP(AF32,Charge!$R$31:$T$34,3,TRUE),
VLOOKUP(AF32,Charge!$U$31:$W$34,2,TRUE)+(AF32-VLOOKUP(AF32,Charge!$U$31:$W$34,1,TRUE))*VLOOKUP(AF32,Charge!$U$31:$W$34,3,TRUE)),0))</f>
        <v>0</v>
      </c>
      <c r="AH32" s="65" t="n"/>
      <c r="AI32" s="65">
        <f>AA32-AH32</f>
        <v>320</v>
      </c>
      <c r="AJ32" s="188" t="n"/>
      <c r="AK32" s="62" t="str">
        <f>VLOOKUP(D32,'2.Bookinglist'!A:CT,40,FALSE)</f>
        <v>Dharaporn</v>
      </c>
      <c r="AL32" s="60" t="str">
        <f>VLOOKUP(D32,'2.Bookinglist'!A:CW,101,FALSE)</f>
        <v>2026-10-12</v>
      </c>
      <c r="AM32" s="60" t="str">
        <f>VLOOKUP(D32,'2.Bookinglist'!A:BK,63,FALSE)</f>
        <v>BKK27</v>
      </c>
      <c r="AN32" s="62" t="str">
        <f>VLOOKUP(D32,'2.Bookinglist'!A:AZ,52,FALSE)</f>
        <v>[FIX][FIX]Pickup : 2026-10-07, Return : 2026-10-08</v>
      </c>
      <c r="AO32" s="62">
        <f>VLOOKUP(D32,'2.Bookinglist'!A:CY,103,FALSE)</f>
        <v>0</v>
      </c>
    </row>
    <row r="33" ht="12.95" customHeight="1">
      <c r="A33" s="96" t="inlineStr">
        <is>
          <t>HALU2564248</t>
        </is>
      </c>
      <c r="B33" s="184" t="str">
        <f>IF(C33=Charge!$M$1,Charge!$J$1,IF(C33=Charge!$M$23,Charge!$J$23,IF(C33=Charge!$M$17,Charge!$J$17,IF(C33=Charge!$N$17,Charge!$J$17,Charge!$J$7))))</f>
        <v>G3</v>
      </c>
      <c r="C33" s="61" t="str">
        <f>VLOOKUP(A33,'1.Loading'!A:R,14,FALSE)</f>
        <v>BKK01</v>
      </c>
      <c r="D33" s="61" t="str">
        <f>VLOOKUP(A33,'1.Loading'!A:R,17,FALSE)</f>
        <v>HASLS22260902094</v>
      </c>
      <c r="E33" s="62" t="str">
        <f>VLOOKUP(D33,'2.Bookinglist'!A:CT,27,FALSE)</f>
        <v>BIRLA CARBON (THAILAND) PUBLIC COMPANY LIMITED</v>
      </c>
      <c r="F33" s="62" t="str">
        <f>VLOOKUP(D33,'2.Bookinglist'!A:CT,28,FALSE)</f>
        <v>BIRLA CARBON (THAILAND) PUBLIC COMPANY LIMITED</v>
      </c>
      <c r="G33" s="60">
        <f>VLOOKUP(D33,'2.Bookinglist'!A:E,5,FALSE)</f>
        <v>0</v>
      </c>
      <c r="H33" s="61" t="str">
        <f>VLOOKUP(D33,'2.Bookinglist'!A:CT,15,FALSE)</f>
        <v>THBKK</v>
      </c>
      <c r="I33" s="61" t="str">
        <f>VLOOKUP(D33,'2.Bookinglist'!A:CT,19,FALSE)</f>
        <v>JPUKB</v>
      </c>
      <c r="J33" s="61" t="str">
        <f>VLOOKUP(D33,'2.Bookinglist'!A:CT,26,FALSE)</f>
        <v>KRPUS</v>
      </c>
      <c r="K33" s="61" t="str">
        <f>VLOOKUP(A33,'1.Loading'!A:R,5,FALSE)</f>
        <v>22GP</v>
      </c>
      <c r="L33" s="60" t="str">
        <f>VLOOKUP(D33,'2.Bookinglist'!A:CT,85,FALSE)</f>
        <v>CY/CY</v>
      </c>
      <c r="M33" s="60" t="str">
        <f>IF(VLOOKUP(D33,'2.Bookinglist'!A:CT,43,FALSE)=0,"","DG")</f>
        <v/>
      </c>
      <c r="N33" s="60" t="str">
        <f>IF(RIGHT(K33,2)="RE","RF","")</f>
        <v/>
      </c>
      <c r="O33" s="61" t="str">
        <f>VLOOKUP(A33,'1.Loading'!A:R,3,FALSE)</f>
        <v>SWIC</v>
      </c>
      <c r="P33" s="61" t="str">
        <f>VLOOKUP(A33,'1.Loading'!A:R,4,FALSE)</f>
        <v>2611N</v>
      </c>
      <c r="Q33" s="61" t="str">
        <f>VLOOKUP(D33,'2.Bookinglist'!A:CT,12,FALSE)</f>
        <v>KHS1</v>
      </c>
      <c r="R33" s="60" t="str">
        <f>IF(LEFT(K33,2)="22","20'","40'")</f>
        <v>20'</v>
      </c>
      <c r="S33" s="185" t="n"/>
      <c r="T33" s="61" t="str">
        <f>VLOOKUP(A33,'1.Loading'!A:R,2,FALSE)</f>
        <v>2026-10-16</v>
      </c>
      <c r="U33" s="63">
        <f>T33-S33</f>
        <v>46311</v>
      </c>
      <c r="V33" s="186" t="n"/>
      <c r="W33" s="61" t="str">
        <f>VLOOKUP(A33,'3.GateMove'!A:D,4,FALSE)</f>
        <v>2026-10-10</v>
      </c>
      <c r="X33" s="63">
        <f>((T33-W33)+1)</f>
        <v>7</v>
      </c>
      <c r="Y33" s="64">
        <f>IF(AND(OR(C33="BKK01",C33="BKK04"),L33="CFS/CY"),0,IF(M33="DG",1,IF(LEFT(C33,3)="LCH",7,IF(C33="BKK02",5,3))))</f>
        <v>3</v>
      </c>
      <c r="Z33" s="63">
        <f>IF(IF(AND(AC33="TML",AB33&gt;0),((T33-W33)+1)-AB33,((T33-W33)+1)-Y33)&gt;0,IF(AND(AC33="TML",AB33&gt;0),((T33-W33)+1)-AB33,((T33-W33)+1)-Y33),0)</f>
        <v>4</v>
      </c>
      <c r="AA33" s="187">
        <f>IF(AND(B33="G1",M33=""),IF(R33="20'",
VLOOKUP(Z33,Charge!$K$2:$M$5,2,TRUE)+(Z33-VLOOKUP(Z33,Charge!$K$2:$M$5,1,TRUE))*VLOOKUP(Z33,Charge!$K$2:$M$5,3,TRUE),
VLOOKUP(Z33,Charge!$N$2:$P$5,2,TRUE)+(Z33-VLOOKUP(Z33,Charge!$N$2:$P$5,1,TRUE))*VLOOKUP(Z33,Charge!$N$2:$P$5,3,TRUE)),
IF(AND(B33="G1",M33="DG"),IF(R33="20'",
VLOOKUP(Z33,Charge!$R$2:$T$5,2,TRUE)+(Z33-VLOOKUP(Z33,Charge!$R$2:$T$5,1,TRUE))*VLOOKUP(Z33,Charge!$R$2:$T$5,3,TRUE),
VLOOKUP(Z33,Charge!$U$2:$W$5,2,TRUE)+(Z33-VLOOKUP(Z33,Charge!$U$2:$W$5,1,TRUE))*VLOOKUP(Z33,Charge!$U$2:$W$5,3,TRUE)),
IF(AND(B33="G3",M33=""),IF(R33="20'",
VLOOKUP(Z33,Charge!$K$18:$M$21,2,TRUE)+(Z33-VLOOKUP(Z33,Charge!$K$18:$M$21,1,TRUE))*VLOOKUP(Z33,Charge!$K$18:$M$21,3,TRUE),
VLOOKUP(Z33,Charge!$N$18:$P$21,2,TRUE)+(Z33-VLOOKUP(Z33,Charge!$N$18:$P$21,1,TRUE))*VLOOKUP(Z33,Charge!$N$18:$P$21,3,TRUE)),
IF(AND(B33="G3",M33="DG"),IF(R33="20'",
VLOOKUP(Z33,Charge!$R$18:$T$21,2,TRUE)+(Z33-VLOOKUP(Z33,Charge!$R$18:$T$21,1,TRUE))*VLOOKUP(Z33,Charge!$R$18:$T$21,3,TRUE),
VLOOKUP(Z33,Charge!$U$18:$W$21,2,TRUE)+(Z33-VLOOKUP(Z33,Charge!$U$18:$W$21,1,TRUE))*VLOOKUP(Z33,Charge!$U$18:$W$21,3,TRUE)),
IF(AND(B33="G2",M33=""),IF(R33="20'",
VLOOKUP(Z33,Charge!$K$9:$M$12,2,TRUE)+(Z33-VLOOKUP(Z33,Charge!$K$9:$M$12,1,TRUE))*VLOOKUP(Z33,Charge!$K$9:$M$12,3,TRUE),
VLOOKUP(Z33,Charge!$N$9:$P$12,2,TRUE)+(Z33-VLOOKUP(Z33,Charge!$N$9:$P$12,1,TRUE))*VLOOKUP(Z33,Charge!$N$9:$P$12,3,TRUE)),
IF(AND(B33="G2",M33="DG"),IF(R33="20'",
VLOOKUP(Z33,Charge!$R$9:$T$12,2,TRUE)+(Z33-VLOOKUP(Z33,Charge!$R$9:$T$12,1,TRUE))*VLOOKUP(Z33,Charge!$R$9:$T$12,3,TRUE),
VLOOKUP(Z33,Charge!$U$9:$W$12,2,TRUE)+(Z33-VLOOKUP(Z33,Charge!$U$9:$W$12,1,TRUE))*VLOOKUP(Z33,Charge!$U$9:$W$12,3,TRUE)),IF(AND(B33="G4",M33=""),IF(R33="20'",Z33*Charge!$M$25,Z33*Charge!$P$25),IF(AND(B33="G4",M33="DG"),IF(R33="20'",Z33*Charge!$T$25,Z33*Charge!$W$25),0))))))))</f>
        <v>640</v>
      </c>
      <c r="AB33" s="184" t="n"/>
      <c r="AC33" s="184" t="n"/>
      <c r="AD33" s="60">
        <f>IF(M33="DG",3,IF(N33="RF",3,5))+IF(AND(LEFT(C33,3)="BKK",N33="RF",Q33="KTS"),1,0)+IF(Q33="KHS",1,0)</f>
        <v>5</v>
      </c>
      <c r="AE33" s="63">
        <f>(T33-V33)+1</f>
        <v>46312</v>
      </c>
      <c r="AF33" s="63">
        <f>IF(AB33&gt;IF((V33-W33)&gt;0,V33-W33,0),0,IF(AB33&lt;IF((V33-W33)&gt;0,V33-W33,0),IF((V33-W33)&gt;0,V33-W33,0)-AB33,IF((V33-W33)&gt;0,V33-W33,0)))</f>
        <v>0</v>
      </c>
      <c r="AG33" s="187">
        <f>IF(AND(M33=""),IF(R33="20'",
VLOOKUP(AF33,Charge!$K$31:$M$34,2,TRUE)+(AF33-VLOOKUP(AF33,Charge!$K$31:$M$34,1,TRUE))*VLOOKUP(AF33,Charge!$K$31:$M$34,3,TRUE),
VLOOKUP(AF33,Charge!$N$31:$P$34,2,TRUE)+(AF33-VLOOKUP(AF33,Charge!$N$31:$P$34,1,TRUE))*VLOOKUP(AF33,Charge!$N$31:$P$34,3,TRUE)),
IF(AND(M33="DG"),IF(R33="20'",
VLOOKUP(AF33,Charge!$R$31:$T$34,2,TRUE)+(AF33-VLOOKUP(AF33,Charge!$R$31:$T$34,1,TRUE))*VLOOKUP(AF33,Charge!$R$31:$T$34,3,TRUE),
VLOOKUP(AF33,Charge!$U$31:$W$34,2,TRUE)+(AF33-VLOOKUP(AF33,Charge!$U$31:$W$34,1,TRUE))*VLOOKUP(AF33,Charge!$U$31:$W$34,3,TRUE)),0))</f>
        <v>0</v>
      </c>
      <c r="AH33" s="65" t="n"/>
      <c r="AI33" s="65">
        <f>AA33-AH33</f>
        <v>640</v>
      </c>
      <c r="AJ33" s="188" t="n"/>
      <c r="AK33" s="62" t="str">
        <f>VLOOKUP(D33,'2.Bookinglist'!A:CT,40,FALSE)</f>
        <v>Dharaporn</v>
      </c>
      <c r="AL33" s="60" t="str">
        <f>VLOOKUP(D33,'2.Bookinglist'!A:CW,101,FALSE)</f>
        <v>2026-10-12</v>
      </c>
      <c r="AM33" s="60" t="str">
        <f>VLOOKUP(D33,'2.Bookinglist'!A:BK,63,FALSE)</f>
        <v>BKK27</v>
      </c>
      <c r="AN33" s="62" t="str">
        <f>VLOOKUP(D33,'2.Bookinglist'!A:AZ,52,FALSE)</f>
        <v>[FIX][FIX]Pickup : 2026-10-07, Return : 2026-10-08</v>
      </c>
      <c r="AO33" s="62">
        <f>VLOOKUP(D33,'2.Bookinglist'!A:CY,103,FALSE)</f>
        <v>0</v>
      </c>
    </row>
    <row r="34" ht="12.95" customHeight="1">
      <c r="A34" s="96" t="inlineStr">
        <is>
          <t>HALU2571252</t>
        </is>
      </c>
      <c r="B34" s="184" t="str">
        <f>IF(C34=Charge!$M$1,Charge!$J$1,IF(C34=Charge!$M$23,Charge!$J$23,IF(C34=Charge!$M$17,Charge!$J$17,IF(C34=Charge!$N$17,Charge!$J$17,Charge!$J$7))))</f>
        <v>G3</v>
      </c>
      <c r="C34" s="61" t="str">
        <f>VLOOKUP(A34,'1.Loading'!A:R,14,FALSE)</f>
        <v>BKK01</v>
      </c>
      <c r="D34" s="61" t="str">
        <f>VLOOKUP(A34,'1.Loading'!A:R,17,FALSE)</f>
        <v>HASLS22260902658</v>
      </c>
      <c r="E34" s="62" t="str">
        <f>VLOOKUP(D34,'2.Bookinglist'!A:CT,27,FALSE)</f>
        <v>GOLDEN WORLD LOGISTICS CO., LTD.</v>
      </c>
      <c r="F34" s="62" t="str">
        <f>VLOOKUP(D34,'2.Bookinglist'!A:CT,28,FALSE)</f>
        <v>LAM SOON (THAILAND) PUBLIC COMPANY LIMITED</v>
      </c>
      <c r="G34" s="60">
        <f>VLOOKUP(D34,'2.Bookinglist'!A:E,5,FALSE)</f>
        <v>0</v>
      </c>
      <c r="H34" s="61" t="str">
        <f>VLOOKUP(D34,'2.Bookinglist'!A:CT,15,FALSE)</f>
        <v>THBKK</v>
      </c>
      <c r="I34" s="61" t="str">
        <f>VLOOKUP(D34,'2.Bookinglist'!A:CT,19,FALSE)</f>
        <v>VNSGN</v>
      </c>
      <c r="J34" s="61">
        <f>VLOOKUP(D34,'2.Bookinglist'!A:CT,26,FALSE)</f>
        <v>0</v>
      </c>
      <c r="K34" s="61" t="str">
        <f>VLOOKUP(A34,'1.Loading'!A:R,5,FALSE)</f>
        <v>22GP</v>
      </c>
      <c r="L34" s="60" t="str">
        <f>VLOOKUP(D34,'2.Bookinglist'!A:CT,85,FALSE)</f>
        <v>CY/CY</v>
      </c>
      <c r="M34" s="60" t="str">
        <f>IF(VLOOKUP(D34,'2.Bookinglist'!A:CT,43,FALSE)=0,"","DG")</f>
        <v/>
      </c>
      <c r="N34" s="60" t="str">
        <f>IF(RIGHT(K34,2)="RE","RF","")</f>
        <v/>
      </c>
      <c r="O34" s="61" t="str">
        <f>VLOOKUP(A34,'1.Loading'!A:R,3,FALSE)</f>
        <v>SWIC</v>
      </c>
      <c r="P34" s="61" t="str">
        <f>VLOOKUP(A34,'1.Loading'!A:R,4,FALSE)</f>
        <v>2611N</v>
      </c>
      <c r="Q34" s="61" t="str">
        <f>VLOOKUP(D34,'2.Bookinglist'!A:CT,12,FALSE)</f>
        <v>KHS1</v>
      </c>
      <c r="R34" s="60" t="str">
        <f>IF(LEFT(K34,2)="22","20'","40'")</f>
        <v>20'</v>
      </c>
      <c r="S34" s="185" t="n"/>
      <c r="T34" s="61" t="str">
        <f>VLOOKUP(A34,'1.Loading'!A:R,2,FALSE)</f>
        <v>2026-10-16</v>
      </c>
      <c r="U34" s="63">
        <f>T34-S34</f>
        <v>46311</v>
      </c>
      <c r="V34" s="186" t="n"/>
      <c r="W34" s="61" t="str">
        <f>VLOOKUP(A34,'3.GateMove'!A:D,4,FALSE)</f>
        <v>2026-10-12</v>
      </c>
      <c r="X34" s="63">
        <f>((T34-W34)+1)</f>
        <v>5</v>
      </c>
      <c r="Y34" s="64">
        <f>IF(AND(OR(C34="BKK01",C34="BKK04"),L34="CFS/CY"),0,IF(M34="DG",1,IF(LEFT(C34,3)="LCH",7,IF(C34="BKK02",5,3))))</f>
        <v>3</v>
      </c>
      <c r="Z34" s="63">
        <f>IF(IF(AND(AC34="TML",AB34&gt;0),((T34-W34)+1)-AB34,((T34-W34)+1)-Y34)&gt;0,IF(AND(AC34="TML",AB34&gt;0),((T34-W34)+1)-AB34,((T34-W34)+1)-Y34),0)</f>
        <v>2</v>
      </c>
      <c r="AA34" s="187">
        <f>IF(AND(B34="G1",M34=""),IF(R34="20'",
VLOOKUP(Z34,Charge!$K$2:$M$5,2,TRUE)+(Z34-VLOOKUP(Z34,Charge!$K$2:$M$5,1,TRUE))*VLOOKUP(Z34,Charge!$K$2:$M$5,3,TRUE),
VLOOKUP(Z34,Charge!$N$2:$P$5,2,TRUE)+(Z34-VLOOKUP(Z34,Charge!$N$2:$P$5,1,TRUE))*VLOOKUP(Z34,Charge!$N$2:$P$5,3,TRUE)),
IF(AND(B34="G1",M34="DG"),IF(R34="20'",
VLOOKUP(Z34,Charge!$R$2:$T$5,2,TRUE)+(Z34-VLOOKUP(Z34,Charge!$R$2:$T$5,1,TRUE))*VLOOKUP(Z34,Charge!$R$2:$T$5,3,TRUE),
VLOOKUP(Z34,Charge!$U$2:$W$5,2,TRUE)+(Z34-VLOOKUP(Z34,Charge!$U$2:$W$5,1,TRUE))*VLOOKUP(Z34,Charge!$U$2:$W$5,3,TRUE)),
IF(AND(B34="G3",M34=""),IF(R34="20'",
VLOOKUP(Z34,Charge!$K$18:$M$21,2,TRUE)+(Z34-VLOOKUP(Z34,Charge!$K$18:$M$21,1,TRUE))*VLOOKUP(Z34,Charge!$K$18:$M$21,3,TRUE),
VLOOKUP(Z34,Charge!$N$18:$P$21,2,TRUE)+(Z34-VLOOKUP(Z34,Charge!$N$18:$P$21,1,TRUE))*VLOOKUP(Z34,Charge!$N$18:$P$21,3,TRUE)),
IF(AND(B34="G3",M34="DG"),IF(R34="20'",
VLOOKUP(Z34,Charge!$R$18:$T$21,2,TRUE)+(Z34-VLOOKUP(Z34,Charge!$R$18:$T$21,1,TRUE))*VLOOKUP(Z34,Charge!$R$18:$T$21,3,TRUE),
VLOOKUP(Z34,Charge!$U$18:$W$21,2,TRUE)+(Z34-VLOOKUP(Z34,Charge!$U$18:$W$21,1,TRUE))*VLOOKUP(Z34,Charge!$U$18:$W$21,3,TRUE)),
IF(AND(B34="G2",M34=""),IF(R34="20'",
VLOOKUP(Z34,Charge!$K$9:$M$12,2,TRUE)+(Z34-VLOOKUP(Z34,Charge!$K$9:$M$12,1,TRUE))*VLOOKUP(Z34,Charge!$K$9:$M$12,3,TRUE),
VLOOKUP(Z34,Charge!$N$9:$P$12,2,TRUE)+(Z34-VLOOKUP(Z34,Charge!$N$9:$P$12,1,TRUE))*VLOOKUP(Z34,Charge!$N$9:$P$12,3,TRUE)),
IF(AND(B34="G2",M34="DG"),IF(R34="20'",
VLOOKUP(Z34,Charge!$R$9:$T$12,2,TRUE)+(Z34-VLOOKUP(Z34,Charge!$R$9:$T$12,1,TRUE))*VLOOKUP(Z34,Charge!$R$9:$T$12,3,TRUE),
VLOOKUP(Z34,Charge!$U$9:$W$12,2,TRUE)+(Z34-VLOOKUP(Z34,Charge!$U$9:$W$12,1,TRUE))*VLOOKUP(Z34,Charge!$U$9:$W$12,3,TRUE)),IF(AND(B34="G4",M34=""),IF(R34="20'",Z34*Charge!$M$25,Z34*Charge!$P$25),IF(AND(B34="G4",M34="DG"),IF(R34="20'",Z34*Charge!$T$25,Z34*Charge!$W$25),0))))))))</f>
        <v>320</v>
      </c>
      <c r="AB34" s="184" t="n"/>
      <c r="AC34" s="184" t="n"/>
      <c r="AD34" s="60">
        <f>IF(M34="DG",3,IF(N34="RF",3,5))+IF(AND(LEFT(C34,3)="BKK",N34="RF",Q34="KTS"),1,0)+IF(Q34="KHS",1,0)</f>
        <v>5</v>
      </c>
      <c r="AE34" s="63">
        <f>(T34-V34)+1</f>
        <v>46312</v>
      </c>
      <c r="AF34" s="63">
        <f>IF(AB34&gt;IF((V34-W34)&gt;0,V34-W34,0),0,IF(AB34&lt;IF((V34-W34)&gt;0,V34-W34,0),IF((V34-W34)&gt;0,V34-W34,0)-AB34,IF((V34-W34)&gt;0,V34-W34,0)))</f>
        <v>0</v>
      </c>
      <c r="AG34" s="187">
        <f>IF(AND(M34=""),IF(R34="20'",
VLOOKUP(AF34,Charge!$K$31:$M$34,2,TRUE)+(AF34-VLOOKUP(AF34,Charge!$K$31:$M$34,1,TRUE))*VLOOKUP(AF34,Charge!$K$31:$M$34,3,TRUE),
VLOOKUP(AF34,Charge!$N$31:$P$34,2,TRUE)+(AF34-VLOOKUP(AF34,Charge!$N$31:$P$34,1,TRUE))*VLOOKUP(AF34,Charge!$N$31:$P$34,3,TRUE)),
IF(AND(M34="DG"),IF(R34="20'",
VLOOKUP(AF34,Charge!$R$31:$T$34,2,TRUE)+(AF34-VLOOKUP(AF34,Charge!$R$31:$T$34,1,TRUE))*VLOOKUP(AF34,Charge!$R$31:$T$34,3,TRUE),
VLOOKUP(AF34,Charge!$U$31:$W$34,2,TRUE)+(AF34-VLOOKUP(AF34,Charge!$U$31:$W$34,1,TRUE))*VLOOKUP(AF34,Charge!$U$31:$W$34,3,TRUE)),0))</f>
        <v>0</v>
      </c>
      <c r="AH34" s="65" t="n"/>
      <c r="AI34" s="65">
        <f>AA34-AH34</f>
        <v>320</v>
      </c>
      <c r="AJ34" s="188" t="n"/>
      <c r="AK34" s="62" t="str">
        <f>VLOOKUP(D34,'2.Bookinglist'!A:CT,40,FALSE)</f>
        <v>Arunphat W. (Aiw)</v>
      </c>
      <c r="AL34" s="60" t="str">
        <f>VLOOKUP(D34,'2.Bookinglist'!A:CW,101,FALSE)</f>
        <v>2026-10-15</v>
      </c>
      <c r="AM34" s="60" t="str">
        <f>VLOOKUP(D34,'2.Bookinglist'!A:BK,63,FALSE)</f>
        <v>BKK27</v>
      </c>
      <c r="AN34" s="62" t="str">
        <f>VLOOKUP(D34,'2.Bookinglist'!A:AZ,52,FALSE)</f>
        <v>Pickup : 2026-10-08, Return : 2026-10-12 (1ST RTN DD: 11/10/26 WO/RENT)
</v>
      </c>
      <c r="AO34" s="62">
        <f>VLOOKUP(D34,'2.Bookinglist'!A:CY,103,FALSE)</f>
        <v>0</v>
      </c>
    </row>
    <row r="35" ht="12.95" customHeight="1">
      <c r="A35" s="96" t="inlineStr">
        <is>
          <t>HALU2574518</t>
        </is>
      </c>
      <c r="B35" s="184" t="str">
        <f>IF(C35=Charge!$M$1,Charge!$J$1,IF(C35=Charge!$M$23,Charge!$J$23,IF(C35=Charge!$M$17,Charge!$J$17,IF(C35=Charge!$N$17,Charge!$J$17,Charge!$J$7))))</f>
        <v>G3</v>
      </c>
      <c r="C35" s="61" t="str">
        <f>VLOOKUP(A35,'1.Loading'!A:R,14,FALSE)</f>
        <v>BKK01</v>
      </c>
      <c r="D35" s="61" t="str">
        <f>VLOOKUP(A35,'1.Loading'!A:R,17,FALSE)</f>
        <v>HASLS22260901655</v>
      </c>
      <c r="E35" s="62" t="str">
        <f>VLOOKUP(D35,'2.Bookinglist'!A:CT,27,FALSE)</f>
        <v>EXPEDITORS (THAILAND) LTD.</v>
      </c>
      <c r="F35" s="62" t="str">
        <f>VLOOKUP(D35,'2.Bookinglist'!A:CT,28,FALSE)</f>
        <v>MRD-ECC CO.,LTD.</v>
      </c>
      <c r="G35" s="60">
        <f>VLOOKUP(D35,'2.Bookinglist'!A:E,5,FALSE)</f>
        <v>0</v>
      </c>
      <c r="H35" s="61" t="str">
        <f>VLOOKUP(D35,'2.Bookinglist'!A:CT,15,FALSE)</f>
        <v>THBKK</v>
      </c>
      <c r="I35" s="61" t="str">
        <f>VLOOKUP(D35,'2.Bookinglist'!A:CT,19,FALSE)</f>
        <v>VNSGN</v>
      </c>
      <c r="J35" s="61">
        <f>VLOOKUP(D35,'2.Bookinglist'!A:CT,26,FALSE)</f>
        <v>0</v>
      </c>
      <c r="K35" s="61" t="str">
        <f>VLOOKUP(A35,'1.Loading'!A:R,5,FALSE)</f>
        <v>22GP</v>
      </c>
      <c r="L35" s="60" t="str">
        <f>VLOOKUP(D35,'2.Bookinglist'!A:CT,85,FALSE)</f>
        <v>CFS/CY</v>
      </c>
      <c r="M35" s="60" t="str">
        <f>IF(VLOOKUP(D35,'2.Bookinglist'!A:CT,43,FALSE)=0,"","DG")</f>
        <v/>
      </c>
      <c r="N35" s="60" t="str">
        <f>IF(RIGHT(K35,2)="RE","RF","")</f>
        <v/>
      </c>
      <c r="O35" s="61" t="str">
        <f>VLOOKUP(A35,'1.Loading'!A:R,3,FALSE)</f>
        <v>SWIC</v>
      </c>
      <c r="P35" s="61" t="str">
        <f>VLOOKUP(A35,'1.Loading'!A:R,4,FALSE)</f>
        <v>2611N</v>
      </c>
      <c r="Q35" s="61" t="str">
        <f>VLOOKUP(D35,'2.Bookinglist'!A:CT,12,FALSE)</f>
        <v>KHS1</v>
      </c>
      <c r="R35" s="60" t="str">
        <f>IF(LEFT(K35,2)="22","20'","40'")</f>
        <v>20'</v>
      </c>
      <c r="S35" s="185" t="n"/>
      <c r="T35" s="61" t="str">
        <f>VLOOKUP(A35,'1.Loading'!A:R,2,FALSE)</f>
        <v>2026-10-16</v>
      </c>
      <c r="U35" s="63">
        <f>T35-S35</f>
        <v>46311</v>
      </c>
      <c r="V35" s="186" t="n"/>
      <c r="W35" s="61" t="str">
        <f>VLOOKUP(A35,'3.GateMove'!A:D,4,FALSE)</f>
        <v>2026-10-12</v>
      </c>
      <c r="X35" s="63">
        <f>((T35-W35)+1)</f>
        <v>5</v>
      </c>
      <c r="Y35" s="64">
        <f>IF(AND(OR(C35="BKK01",C35="BKK04"),L35="CFS/CY"),0,IF(M35="DG",1,IF(LEFT(C35,3)="LCH",7,IF(C35="BKK02",5,3))))</f>
        <v>0</v>
      </c>
      <c r="Z35" s="63">
        <f>IF(IF(AND(AC35="TML",AB35&gt;0),((T35-W35)+1)-AB35,((T35-W35)+1)-Y35)&gt;0,IF(AND(AC35="TML",AB35&gt;0),((T35-W35)+1)-AB35,((T35-W35)+1)-Y35),0)</f>
        <v>5</v>
      </c>
      <c r="AA35" s="187">
        <f>IF(AND(B35="G1",M35=""),IF(R35="20'",
VLOOKUP(Z35,Charge!$K$2:$M$5,2,TRUE)+(Z35-VLOOKUP(Z35,Charge!$K$2:$M$5,1,TRUE))*VLOOKUP(Z35,Charge!$K$2:$M$5,3,TRUE),
VLOOKUP(Z35,Charge!$N$2:$P$5,2,TRUE)+(Z35-VLOOKUP(Z35,Charge!$N$2:$P$5,1,TRUE))*VLOOKUP(Z35,Charge!$N$2:$P$5,3,TRUE)),
IF(AND(B35="G1",M35="DG"),IF(R35="20'",
VLOOKUP(Z35,Charge!$R$2:$T$5,2,TRUE)+(Z35-VLOOKUP(Z35,Charge!$R$2:$T$5,1,TRUE))*VLOOKUP(Z35,Charge!$R$2:$T$5,3,TRUE),
VLOOKUP(Z35,Charge!$U$2:$W$5,2,TRUE)+(Z35-VLOOKUP(Z35,Charge!$U$2:$W$5,1,TRUE))*VLOOKUP(Z35,Charge!$U$2:$W$5,3,TRUE)),
IF(AND(B35="G3",M35=""),IF(R35="20'",
VLOOKUP(Z35,Charge!$K$18:$M$21,2,TRUE)+(Z35-VLOOKUP(Z35,Charge!$K$18:$M$21,1,TRUE))*VLOOKUP(Z35,Charge!$K$18:$M$21,3,TRUE),
VLOOKUP(Z35,Charge!$N$18:$P$21,2,TRUE)+(Z35-VLOOKUP(Z35,Charge!$N$18:$P$21,1,TRUE))*VLOOKUP(Z35,Charge!$N$18:$P$21,3,TRUE)),
IF(AND(B35="G3",M35="DG"),IF(R35="20'",
VLOOKUP(Z35,Charge!$R$18:$T$21,2,TRUE)+(Z35-VLOOKUP(Z35,Charge!$R$18:$T$21,1,TRUE))*VLOOKUP(Z35,Charge!$R$18:$T$21,3,TRUE),
VLOOKUP(Z35,Charge!$U$18:$W$21,2,TRUE)+(Z35-VLOOKUP(Z35,Charge!$U$18:$W$21,1,TRUE))*VLOOKUP(Z35,Charge!$U$18:$W$21,3,TRUE)),
IF(AND(B35="G2",M35=""),IF(R35="20'",
VLOOKUP(Z35,Charge!$K$9:$M$12,2,TRUE)+(Z35-VLOOKUP(Z35,Charge!$K$9:$M$12,1,TRUE))*VLOOKUP(Z35,Charge!$K$9:$M$12,3,TRUE),
VLOOKUP(Z35,Charge!$N$9:$P$12,2,TRUE)+(Z35-VLOOKUP(Z35,Charge!$N$9:$P$12,1,TRUE))*VLOOKUP(Z35,Charge!$N$9:$P$12,3,TRUE)),
IF(AND(B35="G2",M35="DG"),IF(R35="20'",
VLOOKUP(Z35,Charge!$R$9:$T$12,2,TRUE)+(Z35-VLOOKUP(Z35,Charge!$R$9:$T$12,1,TRUE))*VLOOKUP(Z35,Charge!$R$9:$T$12,3,TRUE),
VLOOKUP(Z35,Charge!$U$9:$W$12,2,TRUE)+(Z35-VLOOKUP(Z35,Charge!$U$9:$W$12,1,TRUE))*VLOOKUP(Z35,Charge!$U$9:$W$12,3,TRUE)),IF(AND(B35="G4",M35=""),IF(R35="20'",Z35*Charge!$M$25,Z35*Charge!$P$25),IF(AND(B35="G4",M35="DG"),IF(R35="20'",Z35*Charge!$T$25,Z35*Charge!$W$25),0))))))))</f>
        <v>800</v>
      </c>
      <c r="AB35" s="184" t="n"/>
      <c r="AC35" s="184" t="n"/>
      <c r="AD35" s="60">
        <f>IF(M35="DG",3,IF(N35="RF",3,5))+IF(AND(LEFT(C35,3)="BKK",N35="RF",Q35="KTS"),1,0)+IF(Q35="KHS",1,0)</f>
        <v>5</v>
      </c>
      <c r="AE35" s="63">
        <f>(T35-V35)+1</f>
        <v>46312</v>
      </c>
      <c r="AF35" s="63">
        <f>IF(AB35&gt;IF((V35-W35)&gt;0,V35-W35,0),0,IF(AB35&lt;IF((V35-W35)&gt;0,V35-W35,0),IF((V35-W35)&gt;0,V35-W35,0)-AB35,IF((V35-W35)&gt;0,V35-W35,0)))</f>
        <v>0</v>
      </c>
      <c r="AG35" s="187">
        <f>IF(AND(M35=""),IF(R35="20'",
VLOOKUP(AF35,Charge!$K$31:$M$34,2,TRUE)+(AF35-VLOOKUP(AF35,Charge!$K$31:$M$34,1,TRUE))*VLOOKUP(AF35,Charge!$K$31:$M$34,3,TRUE),
VLOOKUP(AF35,Charge!$N$31:$P$34,2,TRUE)+(AF35-VLOOKUP(AF35,Charge!$N$31:$P$34,1,TRUE))*VLOOKUP(AF35,Charge!$N$31:$P$34,3,TRUE)),
IF(AND(M35="DG"),IF(R35="20'",
VLOOKUP(AF35,Charge!$R$31:$T$34,2,TRUE)+(AF35-VLOOKUP(AF35,Charge!$R$31:$T$34,1,TRUE))*VLOOKUP(AF35,Charge!$R$31:$T$34,3,TRUE),
VLOOKUP(AF35,Charge!$U$31:$W$34,2,TRUE)+(AF35-VLOOKUP(AF35,Charge!$U$31:$W$34,1,TRUE))*VLOOKUP(AF35,Charge!$U$31:$W$34,3,TRUE)),0))</f>
        <v>0</v>
      </c>
      <c r="AH35" s="65" t="n"/>
      <c r="AI35" s="65">
        <f>AA35-AH35</f>
        <v>800</v>
      </c>
      <c r="AJ35" s="188" t="n"/>
      <c r="AK35" s="62" t="str">
        <f>VLOOKUP(D35,'2.Bookinglist'!A:CT,40,FALSE)</f>
        <v>Kanokporn</v>
      </c>
      <c r="AL35" s="60" t="str">
        <f>VLOOKUP(D35,'2.Bookinglist'!A:CW,101,FALSE)</f>
        <v>2026-10-15</v>
      </c>
      <c r="AM35" s="60" t="str">
        <f>VLOOKUP(D35,'2.Bookinglist'!A:BK,63,FALSE)</f>
        <v>BKK01</v>
      </c>
      <c r="AN35" s="62" t="str">
        <f>VLOOKUP(D35,'2.Bookinglist'!A:AZ,52,FALSE)</f>
        <v>STUFFING CARGO @PAT (SPORTLIGHT TOWER NO.2) DD.12/10/26 CLS TIME CFS DD.12/10/26 - 17:00HRS.
</v>
      </c>
      <c r="AO35" s="62">
        <f>VLOOKUP(D35,'2.Bookinglist'!A:CY,103,FALSE)</f>
        <v>0</v>
      </c>
    </row>
    <row r="36" ht="12.95" customHeight="1">
      <c r="A36" s="96" t="inlineStr">
        <is>
          <t>HALU2588276</t>
        </is>
      </c>
      <c r="B36" s="184" t="str">
        <f>IF(C36=Charge!$M$1,Charge!$J$1,IF(C36=Charge!$M$23,Charge!$J$23,IF(C36=Charge!$M$17,Charge!$J$17,IF(C36=Charge!$N$17,Charge!$J$17,Charge!$J$7))))</f>
        <v>G3</v>
      </c>
      <c r="C36" s="61" t="str">
        <f>VLOOKUP(A36,'1.Loading'!A:R,14,FALSE)</f>
        <v>BKK01</v>
      </c>
      <c r="D36" s="61" t="str">
        <f>VLOOKUP(A36,'1.Loading'!A:R,17,FALSE)</f>
        <v>HASLS22260901595</v>
      </c>
      <c r="E36" s="62" t="str">
        <f>VLOOKUP(D36,'2.Bookinglist'!A:CT,27,FALSE)</f>
        <v>C.P. INTERTRADE CO., LTD.</v>
      </c>
      <c r="F36" s="62" t="str">
        <f>VLOOKUP(D36,'2.Bookinglist'!A:CT,28,FALSE)</f>
        <v>CHAROEN POKPHAND PRODUCE CO., LTD.</v>
      </c>
      <c r="G36" s="60">
        <f>VLOOKUP(D36,'2.Bookinglist'!A:E,5,FALSE)</f>
        <v>0</v>
      </c>
      <c r="H36" s="61" t="str">
        <f>VLOOKUP(D36,'2.Bookinglist'!A:CT,15,FALSE)</f>
        <v>THBKK</v>
      </c>
      <c r="I36" s="61" t="str">
        <f>VLOOKUP(D36,'2.Bookinglist'!A:CT,19,FALSE)</f>
        <v>VNSGN</v>
      </c>
      <c r="J36" s="61">
        <f>VLOOKUP(D36,'2.Bookinglist'!A:CT,26,FALSE)</f>
        <v>0</v>
      </c>
      <c r="K36" s="61" t="str">
        <f>VLOOKUP(A36,'1.Loading'!A:R,5,FALSE)</f>
        <v>22GP</v>
      </c>
      <c r="L36" s="60" t="str">
        <f>VLOOKUP(D36,'2.Bookinglist'!A:CT,85,FALSE)</f>
        <v>CY/CY</v>
      </c>
      <c r="M36" s="60" t="str">
        <f>IF(VLOOKUP(D36,'2.Bookinglist'!A:CT,43,FALSE)=0,"","DG")</f>
        <v/>
      </c>
      <c r="N36" s="60" t="str">
        <f>IF(RIGHT(K36,2)="RE","RF","")</f>
        <v/>
      </c>
      <c r="O36" s="61" t="str">
        <f>VLOOKUP(A36,'1.Loading'!A:R,3,FALSE)</f>
        <v>SWIC</v>
      </c>
      <c r="P36" s="61" t="str">
        <f>VLOOKUP(A36,'1.Loading'!A:R,4,FALSE)</f>
        <v>2611N</v>
      </c>
      <c r="Q36" s="61" t="str">
        <f>VLOOKUP(D36,'2.Bookinglist'!A:CT,12,FALSE)</f>
        <v>KHS1</v>
      </c>
      <c r="R36" s="60" t="str">
        <f>IF(LEFT(K36,2)="22","20'","40'")</f>
        <v>20'</v>
      </c>
      <c r="S36" s="185" t="n"/>
      <c r="T36" s="61" t="str">
        <f>VLOOKUP(A36,'1.Loading'!A:R,2,FALSE)</f>
        <v>2026-10-16</v>
      </c>
      <c r="U36" s="63">
        <f>T36-S36</f>
        <v>46311</v>
      </c>
      <c r="V36" s="186" t="n"/>
      <c r="W36" s="61" t="str">
        <f>VLOOKUP(A36,'3.GateMove'!A:D,4,FALSE)</f>
        <v>2026-10-12</v>
      </c>
      <c r="X36" s="63">
        <f>((T36-W36)+1)</f>
        <v>5</v>
      </c>
      <c r="Y36" s="64">
        <f>IF(AND(OR(C36="BKK01",C36="BKK04"),L36="CFS/CY"),0,IF(M36="DG",1,IF(LEFT(C36,3)="LCH",7,IF(C36="BKK02",5,3))))</f>
        <v>3</v>
      </c>
      <c r="Z36" s="63">
        <f>IF(IF(AND(AC36="TML",AB36&gt;0),((T36-W36)+1)-AB36,((T36-W36)+1)-Y36)&gt;0,IF(AND(AC36="TML",AB36&gt;0),((T36-W36)+1)-AB36,((T36-W36)+1)-Y36),0)</f>
        <v>2</v>
      </c>
      <c r="AA36" s="187">
        <f>IF(AND(B36="G1",M36=""),IF(R36="20'",
VLOOKUP(Z36,Charge!$K$2:$M$5,2,TRUE)+(Z36-VLOOKUP(Z36,Charge!$K$2:$M$5,1,TRUE))*VLOOKUP(Z36,Charge!$K$2:$M$5,3,TRUE),
VLOOKUP(Z36,Charge!$N$2:$P$5,2,TRUE)+(Z36-VLOOKUP(Z36,Charge!$N$2:$P$5,1,TRUE))*VLOOKUP(Z36,Charge!$N$2:$P$5,3,TRUE)),
IF(AND(B36="G1",M36="DG"),IF(R36="20'",
VLOOKUP(Z36,Charge!$R$2:$T$5,2,TRUE)+(Z36-VLOOKUP(Z36,Charge!$R$2:$T$5,1,TRUE))*VLOOKUP(Z36,Charge!$R$2:$T$5,3,TRUE),
VLOOKUP(Z36,Charge!$U$2:$W$5,2,TRUE)+(Z36-VLOOKUP(Z36,Charge!$U$2:$W$5,1,TRUE))*VLOOKUP(Z36,Charge!$U$2:$W$5,3,TRUE)),
IF(AND(B36="G3",M36=""),IF(R36="20'",
VLOOKUP(Z36,Charge!$K$18:$M$21,2,TRUE)+(Z36-VLOOKUP(Z36,Charge!$K$18:$M$21,1,TRUE))*VLOOKUP(Z36,Charge!$K$18:$M$21,3,TRUE),
VLOOKUP(Z36,Charge!$N$18:$P$21,2,TRUE)+(Z36-VLOOKUP(Z36,Charge!$N$18:$P$21,1,TRUE))*VLOOKUP(Z36,Charge!$N$18:$P$21,3,TRUE)),
IF(AND(B36="G3",M36="DG"),IF(R36="20'",
VLOOKUP(Z36,Charge!$R$18:$T$21,2,TRUE)+(Z36-VLOOKUP(Z36,Charge!$R$18:$T$21,1,TRUE))*VLOOKUP(Z36,Charge!$R$18:$T$21,3,TRUE),
VLOOKUP(Z36,Charge!$U$18:$W$21,2,TRUE)+(Z36-VLOOKUP(Z36,Charge!$U$18:$W$21,1,TRUE))*VLOOKUP(Z36,Charge!$U$18:$W$21,3,TRUE)),
IF(AND(B36="G2",M36=""),IF(R36="20'",
VLOOKUP(Z36,Charge!$K$9:$M$12,2,TRUE)+(Z36-VLOOKUP(Z36,Charge!$K$9:$M$12,1,TRUE))*VLOOKUP(Z36,Charge!$K$9:$M$12,3,TRUE),
VLOOKUP(Z36,Charge!$N$9:$P$12,2,TRUE)+(Z36-VLOOKUP(Z36,Charge!$N$9:$P$12,1,TRUE))*VLOOKUP(Z36,Charge!$N$9:$P$12,3,TRUE)),
IF(AND(B36="G2",M36="DG"),IF(R36="20'",
VLOOKUP(Z36,Charge!$R$9:$T$12,2,TRUE)+(Z36-VLOOKUP(Z36,Charge!$R$9:$T$12,1,TRUE))*VLOOKUP(Z36,Charge!$R$9:$T$12,3,TRUE),
VLOOKUP(Z36,Charge!$U$9:$W$12,2,TRUE)+(Z36-VLOOKUP(Z36,Charge!$U$9:$W$12,1,TRUE))*VLOOKUP(Z36,Charge!$U$9:$W$12,3,TRUE)),IF(AND(B36="G4",M36=""),IF(R36="20'",Z36*Charge!$M$25,Z36*Charge!$P$25),IF(AND(B36="G4",M36="DG"),IF(R36="20'",Z36*Charge!$T$25,Z36*Charge!$W$25),0))))))))</f>
        <v>320</v>
      </c>
      <c r="AB36" s="184" t="n"/>
      <c r="AC36" s="184" t="n"/>
      <c r="AD36" s="60">
        <f>IF(M36="DG",3,IF(N36="RF",3,5))+IF(AND(LEFT(C36,3)="BKK",N36="RF",Q36="KTS"),1,0)+IF(Q36="KHS",1,0)</f>
        <v>5</v>
      </c>
      <c r="AE36" s="63">
        <f>(T36-V36)+1</f>
        <v>46312</v>
      </c>
      <c r="AF36" s="63">
        <f>IF(AB36&gt;IF((V36-W36)&gt;0,V36-W36,0),0,IF(AB36&lt;IF((V36-W36)&gt;0,V36-W36,0),IF((V36-W36)&gt;0,V36-W36,0)-AB36,IF((V36-W36)&gt;0,V36-W36,0)))</f>
        <v>0</v>
      </c>
      <c r="AG36" s="187">
        <f>IF(AND(M36=""),IF(R36="20'",
VLOOKUP(AF36,Charge!$K$31:$M$34,2,TRUE)+(AF36-VLOOKUP(AF36,Charge!$K$31:$M$34,1,TRUE))*VLOOKUP(AF36,Charge!$K$31:$M$34,3,TRUE),
VLOOKUP(AF36,Charge!$N$31:$P$34,2,TRUE)+(AF36-VLOOKUP(AF36,Charge!$N$31:$P$34,1,TRUE))*VLOOKUP(AF36,Charge!$N$31:$P$34,3,TRUE)),
IF(AND(M36="DG"),IF(R36="20'",
VLOOKUP(AF36,Charge!$R$31:$T$34,2,TRUE)+(AF36-VLOOKUP(AF36,Charge!$R$31:$T$34,1,TRUE))*VLOOKUP(AF36,Charge!$R$31:$T$34,3,TRUE),
VLOOKUP(AF36,Charge!$U$31:$W$34,2,TRUE)+(AF36-VLOOKUP(AF36,Charge!$U$31:$W$34,1,TRUE))*VLOOKUP(AF36,Charge!$U$31:$W$34,3,TRUE)),0))</f>
        <v>0</v>
      </c>
      <c r="AH36" s="65" t="n"/>
      <c r="AI36" s="65">
        <f>AA36-AH36</f>
        <v>320</v>
      </c>
      <c r="AJ36" s="188" t="n"/>
      <c r="AK36" s="62" t="str">
        <f>VLOOKUP(D36,'2.Bookinglist'!A:CT,40,FALSE)</f>
        <v>Vilaiporn</v>
      </c>
      <c r="AL36" s="60" t="str">
        <f>VLOOKUP(D36,'2.Bookinglist'!A:CW,101,FALSE)</f>
        <v>2026-10-15</v>
      </c>
      <c r="AM36" s="60" t="str">
        <f>VLOOKUP(D36,'2.Bookinglist'!A:BK,63,FALSE)</f>
        <v>BKK25</v>
      </c>
      <c r="AN36" s="62" t="str">
        <f>VLOOKUP(D36,'2.Bookinglist'!A:AZ,52,FALSE)</f>
        <v>Pickup : 2026-10-10, Return : 2026-10-12 </v>
      </c>
      <c r="AO36" s="62">
        <f>VLOOKUP(D36,'2.Bookinglist'!A:CY,103,FALSE)</f>
        <v>0</v>
      </c>
    </row>
    <row r="37" ht="12.95" customHeight="1">
      <c r="A37" s="96" t="inlineStr">
        <is>
          <t>HALU5652996</t>
        </is>
      </c>
      <c r="B37" s="184" t="str">
        <f>IF(C37=Charge!$M$1,Charge!$J$1,IF(C37=Charge!$M$23,Charge!$J$23,IF(C37=Charge!$M$17,Charge!$J$17,IF(C37=Charge!$N$17,Charge!$J$17,Charge!$J$7))))</f>
        <v>G3</v>
      </c>
      <c r="C37" s="61" t="str">
        <f>VLOOKUP(A37,'1.Loading'!A:R,14,FALSE)</f>
        <v>BKK01</v>
      </c>
      <c r="D37" s="61" t="str">
        <f>VLOOKUP(A37,'1.Loading'!A:R,17,FALSE)</f>
        <v>HASLS22260902582</v>
      </c>
      <c r="E37" s="62" t="str">
        <f>VLOOKUP(D37,'2.Bookinglist'!A:CT,27,FALSE)</f>
        <v>FM GLOBAL LOGISTICS CO., LTD.</v>
      </c>
      <c r="F37" s="62" t="str">
        <f>VLOOKUP(D37,'2.Bookinglist'!A:CT,28,FALSE)</f>
        <v>JSS.TEAMS CO.,LTD.</v>
      </c>
      <c r="G37" s="60">
        <f>VLOOKUP(D37,'2.Bookinglist'!A:E,5,FALSE)</f>
        <v>0</v>
      </c>
      <c r="H37" s="61" t="str">
        <f>VLOOKUP(D37,'2.Bookinglist'!A:CT,15,FALSE)</f>
        <v>THBKK</v>
      </c>
      <c r="I37" s="61" t="str">
        <f>VLOOKUP(D37,'2.Bookinglist'!A:CT,19,FALSE)</f>
        <v>KRPUS</v>
      </c>
      <c r="J37" s="61">
        <f>VLOOKUP(D37,'2.Bookinglist'!A:CT,26,FALSE)</f>
        <v>0</v>
      </c>
      <c r="K37" s="61" t="str">
        <f>VLOOKUP(A37,'1.Loading'!A:R,5,FALSE)</f>
        <v>45GP</v>
      </c>
      <c r="L37" s="60" t="str">
        <f>VLOOKUP(D37,'2.Bookinglist'!A:CT,85,FALSE)</f>
        <v>CY/CY</v>
      </c>
      <c r="M37" s="60" t="str">
        <f>IF(VLOOKUP(D37,'2.Bookinglist'!A:CT,43,FALSE)=0,"","DG")</f>
        <v/>
      </c>
      <c r="N37" s="60" t="str">
        <f>IF(RIGHT(K37,2)="RE","RF","")</f>
        <v/>
      </c>
      <c r="O37" s="61" t="str">
        <f>VLOOKUP(A37,'1.Loading'!A:R,3,FALSE)</f>
        <v>SWIC</v>
      </c>
      <c r="P37" s="61" t="str">
        <f>VLOOKUP(A37,'1.Loading'!A:R,4,FALSE)</f>
        <v>2611N</v>
      </c>
      <c r="Q37" s="61" t="str">
        <f>VLOOKUP(D37,'2.Bookinglist'!A:CT,12,FALSE)</f>
        <v>KHS1</v>
      </c>
      <c r="R37" s="60" t="str">
        <f>IF(LEFT(K37,2)="22","20'","40'")</f>
        <v>40'</v>
      </c>
      <c r="S37" s="185" t="n"/>
      <c r="T37" s="61" t="str">
        <f>VLOOKUP(A37,'1.Loading'!A:R,2,FALSE)</f>
        <v>2026-10-16</v>
      </c>
      <c r="U37" s="63">
        <f>T37-S37</f>
        <v>46311</v>
      </c>
      <c r="V37" s="186" t="n"/>
      <c r="W37" s="61" t="str">
        <f>VLOOKUP(A37,'3.GateMove'!A:D,4,FALSE)</f>
        <v>2026-10-10</v>
      </c>
      <c r="X37" s="63">
        <f>((T37-W37)+1)</f>
        <v>7</v>
      </c>
      <c r="Y37" s="64">
        <f>IF(AND(OR(C37="BKK01",C37="BKK04"),L37="CFS/CY"),0,IF(M37="DG",1,IF(LEFT(C37,3)="LCH",7,IF(C37="BKK02",5,3))))</f>
        <v>3</v>
      </c>
      <c r="Z37" s="63">
        <f>IF(IF(AND(AC37="TML",AB37&gt;0),((T37-W37)+1)-AB37,((T37-W37)+1)-Y37)&gt;0,IF(AND(AC37="TML",AB37&gt;0),((T37-W37)+1)-AB37,((T37-W37)+1)-Y37),0)</f>
        <v>4</v>
      </c>
      <c r="AA37" s="187">
        <f>IF(AND(B37="G1",M37=""),IF(R37="20'",
VLOOKUP(Z37,Charge!$K$2:$M$5,2,TRUE)+(Z37-VLOOKUP(Z37,Charge!$K$2:$M$5,1,TRUE))*VLOOKUP(Z37,Charge!$K$2:$M$5,3,TRUE),
VLOOKUP(Z37,Charge!$N$2:$P$5,2,TRUE)+(Z37-VLOOKUP(Z37,Charge!$N$2:$P$5,1,TRUE))*VLOOKUP(Z37,Charge!$N$2:$P$5,3,TRUE)),
IF(AND(B37="G1",M37="DG"),IF(R37="20'",
VLOOKUP(Z37,Charge!$R$2:$T$5,2,TRUE)+(Z37-VLOOKUP(Z37,Charge!$R$2:$T$5,1,TRUE))*VLOOKUP(Z37,Charge!$R$2:$T$5,3,TRUE),
VLOOKUP(Z37,Charge!$U$2:$W$5,2,TRUE)+(Z37-VLOOKUP(Z37,Charge!$U$2:$W$5,1,TRUE))*VLOOKUP(Z37,Charge!$U$2:$W$5,3,TRUE)),
IF(AND(B37="G3",M37=""),IF(R37="20'",
VLOOKUP(Z37,Charge!$K$18:$M$21,2,TRUE)+(Z37-VLOOKUP(Z37,Charge!$K$18:$M$21,1,TRUE))*VLOOKUP(Z37,Charge!$K$18:$M$21,3,TRUE),
VLOOKUP(Z37,Charge!$N$18:$P$21,2,TRUE)+(Z37-VLOOKUP(Z37,Charge!$N$18:$P$21,1,TRUE))*VLOOKUP(Z37,Charge!$N$18:$P$21,3,TRUE)),
IF(AND(B37="G3",M37="DG"),IF(R37="20'",
VLOOKUP(Z37,Charge!$R$18:$T$21,2,TRUE)+(Z37-VLOOKUP(Z37,Charge!$R$18:$T$21,1,TRUE))*VLOOKUP(Z37,Charge!$R$18:$T$21,3,TRUE),
VLOOKUP(Z37,Charge!$U$18:$W$21,2,TRUE)+(Z37-VLOOKUP(Z37,Charge!$U$18:$W$21,1,TRUE))*VLOOKUP(Z37,Charge!$U$18:$W$21,3,TRUE)),
IF(AND(B37="G2",M37=""),IF(R37="20'",
VLOOKUP(Z37,Charge!$K$9:$M$12,2,TRUE)+(Z37-VLOOKUP(Z37,Charge!$K$9:$M$12,1,TRUE))*VLOOKUP(Z37,Charge!$K$9:$M$12,3,TRUE),
VLOOKUP(Z37,Charge!$N$9:$P$12,2,TRUE)+(Z37-VLOOKUP(Z37,Charge!$N$9:$P$12,1,TRUE))*VLOOKUP(Z37,Charge!$N$9:$P$12,3,TRUE)),
IF(AND(B37="G2",M37="DG"),IF(R37="20'",
VLOOKUP(Z37,Charge!$R$9:$T$12,2,TRUE)+(Z37-VLOOKUP(Z37,Charge!$R$9:$T$12,1,TRUE))*VLOOKUP(Z37,Charge!$R$9:$T$12,3,TRUE),
VLOOKUP(Z37,Charge!$U$9:$W$12,2,TRUE)+(Z37-VLOOKUP(Z37,Charge!$U$9:$W$12,1,TRUE))*VLOOKUP(Z37,Charge!$U$9:$W$12,3,TRUE)),IF(AND(B37="G4",M37=""),IF(R37="20'",Z37*Charge!$M$25,Z37*Charge!$P$25),IF(AND(B37="G4",M37="DG"),IF(R37="20'",Z37*Charge!$T$25,Z37*Charge!$W$25),0))))))))</f>
        <v>1280</v>
      </c>
      <c r="AB37" s="184" t="n"/>
      <c r="AC37" s="184" t="n"/>
      <c r="AD37" s="60">
        <f>IF(M37="DG",3,IF(N37="RF",3,5))+IF(AND(LEFT(C37,3)="BKK",N37="RF",Q37="KTS"),1,0)+IF(Q37="KHS",1,0)</f>
        <v>5</v>
      </c>
      <c r="AE37" s="63">
        <f>(T37-V37)+1</f>
        <v>46312</v>
      </c>
      <c r="AF37" s="63">
        <f>IF(AB37&gt;IF((V37-W37)&gt;0,V37-W37,0),0,IF(AB37&lt;IF((V37-W37)&gt;0,V37-W37,0),IF((V37-W37)&gt;0,V37-W37,0)-AB37,IF((V37-W37)&gt;0,V37-W37,0)))</f>
        <v>0</v>
      </c>
      <c r="AG37" s="187">
        <f>IF(AND(M37=""),IF(R37="20'",
VLOOKUP(AF37,Charge!$K$31:$M$34,2,TRUE)+(AF37-VLOOKUP(AF37,Charge!$K$31:$M$34,1,TRUE))*VLOOKUP(AF37,Charge!$K$31:$M$34,3,TRUE),
VLOOKUP(AF37,Charge!$N$31:$P$34,2,TRUE)+(AF37-VLOOKUP(AF37,Charge!$N$31:$P$34,1,TRUE))*VLOOKUP(AF37,Charge!$N$31:$P$34,3,TRUE)),
IF(AND(M37="DG"),IF(R37="20'",
VLOOKUP(AF37,Charge!$R$31:$T$34,2,TRUE)+(AF37-VLOOKUP(AF37,Charge!$R$31:$T$34,1,TRUE))*VLOOKUP(AF37,Charge!$R$31:$T$34,3,TRUE),
VLOOKUP(AF37,Charge!$U$31:$W$34,2,TRUE)+(AF37-VLOOKUP(AF37,Charge!$U$31:$W$34,1,TRUE))*VLOOKUP(AF37,Charge!$U$31:$W$34,3,TRUE)),0))</f>
        <v>0</v>
      </c>
      <c r="AH37" s="65" t="n"/>
      <c r="AI37" s="65">
        <f>AA37-AH37</f>
        <v>1280</v>
      </c>
      <c r="AJ37" s="188" t="n"/>
      <c r="AK37" s="62" t="str">
        <f>VLOOKUP(D37,'2.Bookinglist'!A:CT,40,FALSE)</f>
        <v>Pattarapong Saengthong</v>
      </c>
      <c r="AL37" s="60" t="str">
        <f>VLOOKUP(D37,'2.Bookinglist'!A:CW,101,FALSE)</f>
        <v>2026-10-15</v>
      </c>
      <c r="AM37" s="60" t="str">
        <f>VLOOKUP(D37,'2.Bookinglist'!A:BK,63,FALSE)</f>
        <v>BKK27</v>
      </c>
      <c r="AN37" s="62" t="str">
        <f>VLOOKUP(D37,'2.Bookinglist'!A:AZ,52,FALSE)</f>
        <v>Pickup : 2026-10-03, Return : 2026-10-05 (1ST RTN 10/10 W/O RENT) 
 </v>
      </c>
      <c r="AO37" s="62">
        <f>VLOOKUP(D37,'2.Bookinglist'!A:CY,103,FALSE)</f>
        <v>0</v>
      </c>
    </row>
    <row r="38" ht="12.95" customHeight="1">
      <c r="A38" s="96" t="inlineStr">
        <is>
          <t>HLHU6419351</t>
        </is>
      </c>
      <c r="B38" s="184" t="str">
        <f>IF(C38=Charge!$M$1,Charge!$J$1,IF(C38=Charge!$M$23,Charge!$J$23,IF(C38=Charge!$M$17,Charge!$J$17,IF(C38=Charge!$N$17,Charge!$J$17,Charge!$J$7))))</f>
        <v>G3</v>
      </c>
      <c r="C38" s="61" t="str">
        <f>VLOOKUP(A38,'1.Loading'!A:R,14,FALSE)</f>
        <v>BKK01</v>
      </c>
      <c r="D38" s="61" t="str">
        <f>VLOOKUP(A38,'1.Loading'!A:R,17,FALSE)</f>
        <v>HASLS22260900218</v>
      </c>
      <c r="E38" s="62" t="str">
        <f>VLOOKUP(D38,'2.Bookinglist'!A:CT,27,FALSE)</f>
        <v>HARPERS SEA FREIGHT CO., LTD.</v>
      </c>
      <c r="F38" s="62" t="str">
        <f>VLOOKUP(D38,'2.Bookinglist'!A:CT,28,FALSE)</f>
        <v>THAI ASAHI CO., LTD.</v>
      </c>
      <c r="G38" s="60">
        <f>VLOOKUP(D38,'2.Bookinglist'!A:E,5,FALSE)</f>
        <v>0</v>
      </c>
      <c r="H38" s="61" t="str">
        <f>VLOOKUP(D38,'2.Bookinglist'!A:CT,15,FALSE)</f>
        <v>THBKK</v>
      </c>
      <c r="I38" s="61" t="str">
        <f>VLOOKUP(D38,'2.Bookinglist'!A:CT,19,FALSE)</f>
        <v>KRPUS</v>
      </c>
      <c r="J38" s="61">
        <f>VLOOKUP(D38,'2.Bookinglist'!A:CT,26,FALSE)</f>
        <v>0</v>
      </c>
      <c r="K38" s="61" t="str">
        <f>VLOOKUP(A38,'1.Loading'!A:R,5,FALSE)</f>
        <v>45GP</v>
      </c>
      <c r="L38" s="60" t="str">
        <f>VLOOKUP(D38,'2.Bookinglist'!A:CT,85,FALSE)</f>
        <v>CY/CY</v>
      </c>
      <c r="M38" s="60" t="str">
        <f>IF(VLOOKUP(D38,'2.Bookinglist'!A:CT,43,FALSE)=0,"","DG")</f>
        <v/>
      </c>
      <c r="N38" s="60" t="str">
        <f>IF(RIGHT(K38,2)="RE","RF","")</f>
        <v/>
      </c>
      <c r="O38" s="61" t="str">
        <f>VLOOKUP(A38,'1.Loading'!A:R,3,FALSE)</f>
        <v>SWIC</v>
      </c>
      <c r="P38" s="61" t="str">
        <f>VLOOKUP(A38,'1.Loading'!A:R,4,FALSE)</f>
        <v>2611N</v>
      </c>
      <c r="Q38" s="61" t="str">
        <f>VLOOKUP(D38,'2.Bookinglist'!A:CT,12,FALSE)</f>
        <v>KHS1</v>
      </c>
      <c r="R38" s="60" t="str">
        <f>IF(LEFT(K38,2)="22","20'","40'")</f>
        <v>40'</v>
      </c>
      <c r="S38" s="185" t="n"/>
      <c r="T38" s="61" t="str">
        <f>VLOOKUP(A38,'1.Loading'!A:R,2,FALSE)</f>
        <v>2026-10-16</v>
      </c>
      <c r="U38" s="63">
        <f>T38-S38</f>
        <v>46311</v>
      </c>
      <c r="V38" s="186" t="n"/>
      <c r="W38" s="61" t="str">
        <f>VLOOKUP(A38,'3.GateMove'!A:D,4,FALSE)</f>
        <v>2026-10-11</v>
      </c>
      <c r="X38" s="63">
        <f>((T38-W38)+1)</f>
        <v>6</v>
      </c>
      <c r="Y38" s="64">
        <f>IF(AND(OR(C38="BKK01",C38="BKK04"),L38="CFS/CY"),0,IF(M38="DG",1,IF(LEFT(C38,3)="LCH",7,IF(C38="BKK02",5,3))))</f>
        <v>3</v>
      </c>
      <c r="Z38" s="63">
        <f>IF(IF(AND(AC38="TML",AB38&gt;0),((T38-W38)+1)-AB38,((T38-W38)+1)-Y38)&gt;0,IF(AND(AC38="TML",AB38&gt;0),((T38-W38)+1)-AB38,((T38-W38)+1)-Y38),0)</f>
        <v>3</v>
      </c>
      <c r="AA38" s="187">
        <f>IF(AND(B38="G1",M38=""),IF(R38="20'",
VLOOKUP(Z38,Charge!$K$2:$M$5,2,TRUE)+(Z38-VLOOKUP(Z38,Charge!$K$2:$M$5,1,TRUE))*VLOOKUP(Z38,Charge!$K$2:$M$5,3,TRUE),
VLOOKUP(Z38,Charge!$N$2:$P$5,2,TRUE)+(Z38-VLOOKUP(Z38,Charge!$N$2:$P$5,1,TRUE))*VLOOKUP(Z38,Charge!$N$2:$P$5,3,TRUE)),
IF(AND(B38="G1",M38="DG"),IF(R38="20'",
VLOOKUP(Z38,Charge!$R$2:$T$5,2,TRUE)+(Z38-VLOOKUP(Z38,Charge!$R$2:$T$5,1,TRUE))*VLOOKUP(Z38,Charge!$R$2:$T$5,3,TRUE),
VLOOKUP(Z38,Charge!$U$2:$W$5,2,TRUE)+(Z38-VLOOKUP(Z38,Charge!$U$2:$W$5,1,TRUE))*VLOOKUP(Z38,Charge!$U$2:$W$5,3,TRUE)),
IF(AND(B38="G3",M38=""),IF(R38="20'",
VLOOKUP(Z38,Charge!$K$18:$M$21,2,TRUE)+(Z38-VLOOKUP(Z38,Charge!$K$18:$M$21,1,TRUE))*VLOOKUP(Z38,Charge!$K$18:$M$21,3,TRUE),
VLOOKUP(Z38,Charge!$N$18:$P$21,2,TRUE)+(Z38-VLOOKUP(Z38,Charge!$N$18:$P$21,1,TRUE))*VLOOKUP(Z38,Charge!$N$18:$P$21,3,TRUE)),
IF(AND(B38="G3",M38="DG"),IF(R38="20'",
VLOOKUP(Z38,Charge!$R$18:$T$21,2,TRUE)+(Z38-VLOOKUP(Z38,Charge!$R$18:$T$21,1,TRUE))*VLOOKUP(Z38,Charge!$R$18:$T$21,3,TRUE),
VLOOKUP(Z38,Charge!$U$18:$W$21,2,TRUE)+(Z38-VLOOKUP(Z38,Charge!$U$18:$W$21,1,TRUE))*VLOOKUP(Z38,Charge!$U$18:$W$21,3,TRUE)),
IF(AND(B38="G2",M38=""),IF(R38="20'",
VLOOKUP(Z38,Charge!$K$9:$M$12,2,TRUE)+(Z38-VLOOKUP(Z38,Charge!$K$9:$M$12,1,TRUE))*VLOOKUP(Z38,Charge!$K$9:$M$12,3,TRUE),
VLOOKUP(Z38,Charge!$N$9:$P$12,2,TRUE)+(Z38-VLOOKUP(Z38,Charge!$N$9:$P$12,1,TRUE))*VLOOKUP(Z38,Charge!$N$9:$P$12,3,TRUE)),
IF(AND(B38="G2",M38="DG"),IF(R38="20'",
VLOOKUP(Z38,Charge!$R$9:$T$12,2,TRUE)+(Z38-VLOOKUP(Z38,Charge!$R$9:$T$12,1,TRUE))*VLOOKUP(Z38,Charge!$R$9:$T$12,3,TRUE),
VLOOKUP(Z38,Charge!$U$9:$W$12,2,TRUE)+(Z38-VLOOKUP(Z38,Charge!$U$9:$W$12,1,TRUE))*VLOOKUP(Z38,Charge!$U$9:$W$12,3,TRUE)),IF(AND(B38="G4",M38=""),IF(R38="20'",Z38*Charge!$M$25,Z38*Charge!$P$25),IF(AND(B38="G4",M38="DG"),IF(R38="20'",Z38*Charge!$T$25,Z38*Charge!$W$25),0))))))))</f>
        <v>960</v>
      </c>
      <c r="AB38" s="184" t="n"/>
      <c r="AC38" s="184" t="n"/>
      <c r="AD38" s="60">
        <f>IF(M38="DG",3,IF(N38="RF",3,5))+IF(AND(LEFT(C38,3)="BKK",N38="RF",Q38="KTS"),1,0)+IF(Q38="KHS",1,0)</f>
        <v>5</v>
      </c>
      <c r="AE38" s="63">
        <f>(T38-V38)+1</f>
        <v>46312</v>
      </c>
      <c r="AF38" s="63">
        <f>IF(AB38&gt;IF((V38-W38)&gt;0,V38-W38,0),0,IF(AB38&lt;IF((V38-W38)&gt;0,V38-W38,0),IF((V38-W38)&gt;0,V38-W38,0)-AB38,IF((V38-W38)&gt;0,V38-W38,0)))</f>
        <v>0</v>
      </c>
      <c r="AG38" s="187">
        <f>IF(AND(M38=""),IF(R38="20'",
VLOOKUP(AF38,Charge!$K$31:$M$34,2,TRUE)+(AF38-VLOOKUP(AF38,Charge!$K$31:$M$34,1,TRUE))*VLOOKUP(AF38,Charge!$K$31:$M$34,3,TRUE),
VLOOKUP(AF38,Charge!$N$31:$P$34,2,TRUE)+(AF38-VLOOKUP(AF38,Charge!$N$31:$P$34,1,TRUE))*VLOOKUP(AF38,Charge!$N$31:$P$34,3,TRUE)),
IF(AND(M38="DG"),IF(R38="20'",
VLOOKUP(AF38,Charge!$R$31:$T$34,2,TRUE)+(AF38-VLOOKUP(AF38,Charge!$R$31:$T$34,1,TRUE))*VLOOKUP(AF38,Charge!$R$31:$T$34,3,TRUE),
VLOOKUP(AF38,Charge!$U$31:$W$34,2,TRUE)+(AF38-VLOOKUP(AF38,Charge!$U$31:$W$34,1,TRUE))*VLOOKUP(AF38,Charge!$U$31:$W$34,3,TRUE)),0))</f>
        <v>0</v>
      </c>
      <c r="AH38" s="65" t="n"/>
      <c r="AI38" s="65">
        <f>AA38-AH38</f>
        <v>960</v>
      </c>
      <c r="AJ38" s="188" t="n"/>
      <c r="AK38" s="62" t="str">
        <f>VLOOKUP(D38,'2.Bookinglist'!A:CT,40,FALSE)</f>
        <v>Nustsireerach</v>
      </c>
      <c r="AL38" s="60" t="str">
        <f>VLOOKUP(D38,'2.Bookinglist'!A:CW,101,FALSE)</f>
        <v>2026-10-14</v>
      </c>
      <c r="AM38" s="60" t="str">
        <f>VLOOKUP(D38,'2.Bookinglist'!A:BK,63,FALSE)</f>
        <v>BKK27</v>
      </c>
      <c r="AN38" s="62" t="str">
        <f>VLOOKUP(D38,'2.Bookinglist'!A:AZ,52,FALSE)</f>
        <v>Pickup : 2026-10-03, Return : 2026-10-10</v>
      </c>
      <c r="AO38" s="62">
        <f>VLOOKUP(D38,'2.Bookinglist'!A:CY,103,FALSE)</f>
        <v>0</v>
      </c>
    </row>
    <row r="39" ht="12.95" customHeight="1">
      <c r="A39" s="96" t="inlineStr">
        <is>
          <t>HLHU8107060</t>
        </is>
      </c>
      <c r="B39" s="184" t="str">
        <f>IF(C39=Charge!$M$1,Charge!$J$1,IF(C39=Charge!$M$23,Charge!$J$23,IF(C39=Charge!$M$17,Charge!$J$17,IF(C39=Charge!$N$17,Charge!$J$17,Charge!$J$7))))</f>
        <v>G3</v>
      </c>
      <c r="C39" s="61" t="str">
        <f>VLOOKUP(A39,'1.Loading'!A:R,14,FALSE)</f>
        <v>BKK01</v>
      </c>
      <c r="D39" s="61" t="str">
        <f>VLOOKUP(A39,'1.Loading'!A:R,17,FALSE)</f>
        <v>HASLS22261000088</v>
      </c>
      <c r="E39" s="62" t="str">
        <f>VLOOKUP(D39,'2.Bookinglist'!A:CT,27,FALSE)</f>
        <v>ASIA FORWARDING (THAILAND) LTD.</v>
      </c>
      <c r="F39" s="62" t="str">
        <f>VLOOKUP(D39,'2.Bookinglist'!A:CT,28,FALSE)</f>
        <v>ASIA FORWARDING (THAILAND) LTD.</v>
      </c>
      <c r="G39" s="60">
        <f>VLOOKUP(D39,'2.Bookinglist'!A:E,5,FALSE)</f>
        <v>0</v>
      </c>
      <c r="H39" s="61" t="str">
        <f>VLOOKUP(D39,'2.Bookinglist'!A:CT,15,FALSE)</f>
        <v>THBKK</v>
      </c>
      <c r="I39" s="61" t="str">
        <f>VLOOKUP(D39,'2.Bookinglist'!A:CT,19,FALSE)</f>
        <v>VNSGN</v>
      </c>
      <c r="J39" s="61">
        <f>VLOOKUP(D39,'2.Bookinglist'!A:CT,26,FALSE)</f>
        <v>0</v>
      </c>
      <c r="K39" s="61" t="str">
        <f>VLOOKUP(A39,'1.Loading'!A:R,5,FALSE)</f>
        <v>45GP</v>
      </c>
      <c r="L39" s="60" t="str">
        <f>VLOOKUP(D39,'2.Bookinglist'!A:CT,85,FALSE)</f>
        <v>CY/CY</v>
      </c>
      <c r="M39" s="60" t="str">
        <f>IF(VLOOKUP(D39,'2.Bookinglist'!A:CT,43,FALSE)=0,"","DG")</f>
        <v/>
      </c>
      <c r="N39" s="60" t="str">
        <f>IF(RIGHT(K39,2)="RE","RF","")</f>
        <v/>
      </c>
      <c r="O39" s="61" t="str">
        <f>VLOOKUP(A39,'1.Loading'!A:R,3,FALSE)</f>
        <v>SWIC</v>
      </c>
      <c r="P39" s="61" t="str">
        <f>VLOOKUP(A39,'1.Loading'!A:R,4,FALSE)</f>
        <v>2611N</v>
      </c>
      <c r="Q39" s="61" t="str">
        <f>VLOOKUP(D39,'2.Bookinglist'!A:CT,12,FALSE)</f>
        <v>KHS1</v>
      </c>
      <c r="R39" s="60" t="str">
        <f>IF(LEFT(K39,2)="22","20'","40'")</f>
        <v>40'</v>
      </c>
      <c r="S39" s="185" t="n"/>
      <c r="T39" s="61" t="str">
        <f>VLOOKUP(A39,'1.Loading'!A:R,2,FALSE)</f>
        <v>2026-10-16</v>
      </c>
      <c r="U39" s="63">
        <f>T39-S39</f>
        <v>46311</v>
      </c>
      <c r="V39" s="186" t="n"/>
      <c r="W39" s="61" t="str">
        <f>VLOOKUP(A39,'3.GateMove'!A:D,4,FALSE)</f>
        <v>2026-10-13</v>
      </c>
      <c r="X39" s="63">
        <f>((T39-W39)+1)</f>
        <v>4</v>
      </c>
      <c r="Y39" s="64">
        <f>IF(AND(OR(C39="BKK01",C39="BKK04"),L39="CFS/CY"),0,IF(M39="DG",1,IF(LEFT(C39,3)="LCH",7,IF(C39="BKK02",5,3))))</f>
        <v>3</v>
      </c>
      <c r="Z39" s="63">
        <f>IF(IF(AND(AC39="TML",AB39&gt;0),((T39-W39)+1)-AB39,((T39-W39)+1)-Y39)&gt;0,IF(AND(AC39="TML",AB39&gt;0),((T39-W39)+1)-AB39,((T39-W39)+1)-Y39),0)</f>
        <v>1</v>
      </c>
      <c r="AA39" s="187">
        <f>IF(AND(B39="G1",M39=""),IF(R39="20'",
VLOOKUP(Z39,Charge!$K$2:$M$5,2,TRUE)+(Z39-VLOOKUP(Z39,Charge!$K$2:$M$5,1,TRUE))*VLOOKUP(Z39,Charge!$K$2:$M$5,3,TRUE),
VLOOKUP(Z39,Charge!$N$2:$P$5,2,TRUE)+(Z39-VLOOKUP(Z39,Charge!$N$2:$P$5,1,TRUE))*VLOOKUP(Z39,Charge!$N$2:$P$5,3,TRUE)),
IF(AND(B39="G1",M39="DG"),IF(R39="20'",
VLOOKUP(Z39,Charge!$R$2:$T$5,2,TRUE)+(Z39-VLOOKUP(Z39,Charge!$R$2:$T$5,1,TRUE))*VLOOKUP(Z39,Charge!$R$2:$T$5,3,TRUE),
VLOOKUP(Z39,Charge!$U$2:$W$5,2,TRUE)+(Z39-VLOOKUP(Z39,Charge!$U$2:$W$5,1,TRUE))*VLOOKUP(Z39,Charge!$U$2:$W$5,3,TRUE)),
IF(AND(B39="G3",M39=""),IF(R39="20'",
VLOOKUP(Z39,Charge!$K$18:$M$21,2,TRUE)+(Z39-VLOOKUP(Z39,Charge!$K$18:$M$21,1,TRUE))*VLOOKUP(Z39,Charge!$K$18:$M$21,3,TRUE),
VLOOKUP(Z39,Charge!$N$18:$P$21,2,TRUE)+(Z39-VLOOKUP(Z39,Charge!$N$18:$P$21,1,TRUE))*VLOOKUP(Z39,Charge!$N$18:$P$21,3,TRUE)),
IF(AND(B39="G3",M39="DG"),IF(R39="20'",
VLOOKUP(Z39,Charge!$R$18:$T$21,2,TRUE)+(Z39-VLOOKUP(Z39,Charge!$R$18:$T$21,1,TRUE))*VLOOKUP(Z39,Charge!$R$18:$T$21,3,TRUE),
VLOOKUP(Z39,Charge!$U$18:$W$21,2,TRUE)+(Z39-VLOOKUP(Z39,Charge!$U$18:$W$21,1,TRUE))*VLOOKUP(Z39,Charge!$U$18:$W$21,3,TRUE)),
IF(AND(B39="G2",M39=""),IF(R39="20'",
VLOOKUP(Z39,Charge!$K$9:$M$12,2,TRUE)+(Z39-VLOOKUP(Z39,Charge!$K$9:$M$12,1,TRUE))*VLOOKUP(Z39,Charge!$K$9:$M$12,3,TRUE),
VLOOKUP(Z39,Charge!$N$9:$P$12,2,TRUE)+(Z39-VLOOKUP(Z39,Charge!$N$9:$P$12,1,TRUE))*VLOOKUP(Z39,Charge!$N$9:$P$12,3,TRUE)),
IF(AND(B39="G2",M39="DG"),IF(R39="20'",
VLOOKUP(Z39,Charge!$R$9:$T$12,2,TRUE)+(Z39-VLOOKUP(Z39,Charge!$R$9:$T$12,1,TRUE))*VLOOKUP(Z39,Charge!$R$9:$T$12,3,TRUE),
VLOOKUP(Z39,Charge!$U$9:$W$12,2,TRUE)+(Z39-VLOOKUP(Z39,Charge!$U$9:$W$12,1,TRUE))*VLOOKUP(Z39,Charge!$U$9:$W$12,3,TRUE)),IF(AND(B39="G4",M39=""),IF(R39="20'",Z39*Charge!$M$25,Z39*Charge!$P$25),IF(AND(B39="G4",M39="DG"),IF(R39="20'",Z39*Charge!$T$25,Z39*Charge!$W$25),0))))))))</f>
        <v>320</v>
      </c>
      <c r="AB39" s="184" t="n"/>
      <c r="AC39" s="184" t="n"/>
      <c r="AD39" s="60">
        <f>IF(M39="DG",3,IF(N39="RF",3,5))+IF(AND(LEFT(C39,3)="BKK",N39="RF",Q39="KTS"),1,0)+IF(Q39="KHS",1,0)</f>
        <v>5</v>
      </c>
      <c r="AE39" s="63">
        <f>(T39-V39)+1</f>
        <v>46312</v>
      </c>
      <c r="AF39" s="63">
        <f>IF(AB39&gt;IF((V39-W39)&gt;0,V39-W39,0),0,IF(AB39&lt;IF((V39-W39)&gt;0,V39-W39,0),IF((V39-W39)&gt;0,V39-W39,0)-AB39,IF((V39-W39)&gt;0,V39-W39,0)))</f>
        <v>0</v>
      </c>
      <c r="AG39" s="187">
        <f>IF(AND(M39=""),IF(R39="20'",
VLOOKUP(AF39,Charge!$K$31:$M$34,2,TRUE)+(AF39-VLOOKUP(AF39,Charge!$K$31:$M$34,1,TRUE))*VLOOKUP(AF39,Charge!$K$31:$M$34,3,TRUE),
VLOOKUP(AF39,Charge!$N$31:$P$34,2,TRUE)+(AF39-VLOOKUP(AF39,Charge!$N$31:$P$34,1,TRUE))*VLOOKUP(AF39,Charge!$N$31:$P$34,3,TRUE)),
IF(AND(M39="DG"),IF(R39="20'",
VLOOKUP(AF39,Charge!$R$31:$T$34,2,TRUE)+(AF39-VLOOKUP(AF39,Charge!$R$31:$T$34,1,TRUE))*VLOOKUP(AF39,Charge!$R$31:$T$34,3,TRUE),
VLOOKUP(AF39,Charge!$U$31:$W$34,2,TRUE)+(AF39-VLOOKUP(AF39,Charge!$U$31:$W$34,1,TRUE))*VLOOKUP(AF39,Charge!$U$31:$W$34,3,TRUE)),0))</f>
        <v>0</v>
      </c>
      <c r="AH39" s="65" t="n"/>
      <c r="AI39" s="65">
        <f>AA39-AH39</f>
        <v>320</v>
      </c>
      <c r="AJ39" s="188" t="n"/>
      <c r="AK39" s="62" t="str">
        <f>VLOOKUP(D39,'2.Bookinglist'!A:CT,40,FALSE)</f>
        <v>Papavadee Chiengchin</v>
      </c>
      <c r="AL39" s="60" t="str">
        <f>VLOOKUP(D39,'2.Bookinglist'!A:CW,101,FALSE)</f>
        <v>2026-10-15</v>
      </c>
      <c r="AM39" s="60" t="str">
        <f>VLOOKUP(D39,'2.Bookinglist'!A:BK,63,FALSE)</f>
        <v>BKK01</v>
      </c>
      <c r="AN39" s="62" t="str">
        <f>VLOOKUP(D39,'2.Bookinglist'!A:AZ,52,FALSE)</f>
        <v>Pickup : 2026-10-12, Return : 2026-10-14 CONSOL (CY IN PAT)</v>
      </c>
      <c r="AO39" s="62">
        <f>VLOOKUP(D39,'2.Bookinglist'!A:CY,103,FALSE)</f>
        <v>0</v>
      </c>
    </row>
    <row r="40" ht="12.95" customHeight="1">
      <c r="A40" s="96" t="inlineStr">
        <is>
          <t>HLHU8115390</t>
        </is>
      </c>
      <c r="B40" s="184" t="str">
        <f>IF(C40=Charge!$M$1,Charge!$J$1,IF(C40=Charge!$M$23,Charge!$J$23,IF(C40=Charge!$M$17,Charge!$J$17,IF(C40=Charge!$N$17,Charge!$J$17,Charge!$J$7))))</f>
        <v>G3</v>
      </c>
      <c r="C40" s="61" t="str">
        <f>VLOOKUP(A40,'1.Loading'!A:R,14,FALSE)</f>
        <v>BKK01</v>
      </c>
      <c r="D40" s="61" t="str">
        <f>VLOOKUP(A40,'1.Loading'!A:R,17,FALSE)</f>
        <v>HASLS22260902223</v>
      </c>
      <c r="E40" s="62" t="str">
        <f>VLOOKUP(D40,'2.Bookinglist'!A:CT,27,FALSE)</f>
        <v>CAPRICORN LOGISTICS CO., LTD.</v>
      </c>
      <c r="F40" s="62" t="str">
        <f>VLOOKUP(D40,'2.Bookinglist'!A:CT,28,FALSE)</f>
        <v>SWAN INDUSTRIES (THAILAND) LTD.</v>
      </c>
      <c r="G40" s="60">
        <f>VLOOKUP(D40,'2.Bookinglist'!A:E,5,FALSE)</f>
        <v>0</v>
      </c>
      <c r="H40" s="61" t="str">
        <f>VLOOKUP(D40,'2.Bookinglist'!A:CT,15,FALSE)</f>
        <v>THBKK</v>
      </c>
      <c r="I40" s="61" t="str">
        <f>VLOOKUP(D40,'2.Bookinglist'!A:CT,19,FALSE)</f>
        <v>VNSGN</v>
      </c>
      <c r="J40" s="61">
        <f>VLOOKUP(D40,'2.Bookinglist'!A:CT,26,FALSE)</f>
        <v>0</v>
      </c>
      <c r="K40" s="61" t="str">
        <f>VLOOKUP(A40,'1.Loading'!A:R,5,FALSE)</f>
        <v>45GP</v>
      </c>
      <c r="L40" s="60" t="str">
        <f>VLOOKUP(D40,'2.Bookinglist'!A:CT,85,FALSE)</f>
        <v>CY/CY</v>
      </c>
      <c r="M40" s="60" t="str">
        <f>IF(VLOOKUP(D40,'2.Bookinglist'!A:CT,43,FALSE)=0,"","DG")</f>
        <v/>
      </c>
      <c r="N40" s="60" t="str">
        <f>IF(RIGHT(K40,2)="RE","RF","")</f>
        <v/>
      </c>
      <c r="O40" s="61" t="str">
        <f>VLOOKUP(A40,'1.Loading'!A:R,3,FALSE)</f>
        <v>SWIC</v>
      </c>
      <c r="P40" s="61" t="str">
        <f>VLOOKUP(A40,'1.Loading'!A:R,4,FALSE)</f>
        <v>2611N</v>
      </c>
      <c r="Q40" s="61" t="str">
        <f>VLOOKUP(D40,'2.Bookinglist'!A:CT,12,FALSE)</f>
        <v>KHS1</v>
      </c>
      <c r="R40" s="60" t="str">
        <f>IF(LEFT(K40,2)="22","20'","40'")</f>
        <v>40'</v>
      </c>
      <c r="S40" s="185" t="n"/>
      <c r="T40" s="61" t="str">
        <f>VLOOKUP(A40,'1.Loading'!A:R,2,FALSE)</f>
        <v>2026-10-16</v>
      </c>
      <c r="U40" s="63">
        <f>T40-S40</f>
        <v>46311</v>
      </c>
      <c r="V40" s="186" t="n"/>
      <c r="W40" s="61" t="str">
        <f>VLOOKUP(A40,'3.GateMove'!A:D,4,FALSE)</f>
        <v>2026-10-13</v>
      </c>
      <c r="X40" s="63">
        <f>((T40-W40)+1)</f>
        <v>4</v>
      </c>
      <c r="Y40" s="64">
        <f>IF(AND(OR(C40="BKK01",C40="BKK04"),L40="CFS/CY"),0,IF(M40="DG",1,IF(LEFT(C40,3)="LCH",7,IF(C40="BKK02",5,3))))</f>
        <v>3</v>
      </c>
      <c r="Z40" s="63">
        <f>IF(IF(AND(AC40="TML",AB40&gt;0),((T40-W40)+1)-AB40,((T40-W40)+1)-Y40)&gt;0,IF(AND(AC40="TML",AB40&gt;0),((T40-W40)+1)-AB40,((T40-W40)+1)-Y40),0)</f>
        <v>1</v>
      </c>
      <c r="AA40" s="187">
        <f>IF(AND(B40="G1",M40=""),IF(R40="20'",
VLOOKUP(Z40,Charge!$K$2:$M$5,2,TRUE)+(Z40-VLOOKUP(Z40,Charge!$K$2:$M$5,1,TRUE))*VLOOKUP(Z40,Charge!$K$2:$M$5,3,TRUE),
VLOOKUP(Z40,Charge!$N$2:$P$5,2,TRUE)+(Z40-VLOOKUP(Z40,Charge!$N$2:$P$5,1,TRUE))*VLOOKUP(Z40,Charge!$N$2:$P$5,3,TRUE)),
IF(AND(B40="G1",M40="DG"),IF(R40="20'",
VLOOKUP(Z40,Charge!$R$2:$T$5,2,TRUE)+(Z40-VLOOKUP(Z40,Charge!$R$2:$T$5,1,TRUE))*VLOOKUP(Z40,Charge!$R$2:$T$5,3,TRUE),
VLOOKUP(Z40,Charge!$U$2:$W$5,2,TRUE)+(Z40-VLOOKUP(Z40,Charge!$U$2:$W$5,1,TRUE))*VLOOKUP(Z40,Charge!$U$2:$W$5,3,TRUE)),
IF(AND(B40="G3",M40=""),IF(R40="20'",
VLOOKUP(Z40,Charge!$K$18:$M$21,2,TRUE)+(Z40-VLOOKUP(Z40,Charge!$K$18:$M$21,1,TRUE))*VLOOKUP(Z40,Charge!$K$18:$M$21,3,TRUE),
VLOOKUP(Z40,Charge!$N$18:$P$21,2,TRUE)+(Z40-VLOOKUP(Z40,Charge!$N$18:$P$21,1,TRUE))*VLOOKUP(Z40,Charge!$N$18:$P$21,3,TRUE)),
IF(AND(B40="G3",M40="DG"),IF(R40="20'",
VLOOKUP(Z40,Charge!$R$18:$T$21,2,TRUE)+(Z40-VLOOKUP(Z40,Charge!$R$18:$T$21,1,TRUE))*VLOOKUP(Z40,Charge!$R$18:$T$21,3,TRUE),
VLOOKUP(Z40,Charge!$U$18:$W$21,2,TRUE)+(Z40-VLOOKUP(Z40,Charge!$U$18:$W$21,1,TRUE))*VLOOKUP(Z40,Charge!$U$18:$W$21,3,TRUE)),
IF(AND(B40="G2",M40=""),IF(R40="20'",
VLOOKUP(Z40,Charge!$K$9:$M$12,2,TRUE)+(Z40-VLOOKUP(Z40,Charge!$K$9:$M$12,1,TRUE))*VLOOKUP(Z40,Charge!$K$9:$M$12,3,TRUE),
VLOOKUP(Z40,Charge!$N$9:$P$12,2,TRUE)+(Z40-VLOOKUP(Z40,Charge!$N$9:$P$12,1,TRUE))*VLOOKUP(Z40,Charge!$N$9:$P$12,3,TRUE)),
IF(AND(B40="G2",M40="DG"),IF(R40="20'",
VLOOKUP(Z40,Charge!$R$9:$T$12,2,TRUE)+(Z40-VLOOKUP(Z40,Charge!$R$9:$T$12,1,TRUE))*VLOOKUP(Z40,Charge!$R$9:$T$12,3,TRUE),
VLOOKUP(Z40,Charge!$U$9:$W$12,2,TRUE)+(Z40-VLOOKUP(Z40,Charge!$U$9:$W$12,1,TRUE))*VLOOKUP(Z40,Charge!$U$9:$W$12,3,TRUE)),IF(AND(B40="G4",M40=""),IF(R40="20'",Z40*Charge!$M$25,Z40*Charge!$P$25),IF(AND(B40="G4",M40="DG"),IF(R40="20'",Z40*Charge!$T$25,Z40*Charge!$W$25),0))))))))</f>
        <v>320</v>
      </c>
      <c r="AB40" s="184" t="n"/>
      <c r="AC40" s="184" t="n"/>
      <c r="AD40" s="60">
        <f>IF(M40="DG",3,IF(N40="RF",3,5))+IF(AND(LEFT(C40,3)="BKK",N40="RF",Q40="KTS"),1,0)+IF(Q40="KHS",1,0)</f>
        <v>5</v>
      </c>
      <c r="AE40" s="63">
        <f>(T40-V40)+1</f>
        <v>46312</v>
      </c>
      <c r="AF40" s="63">
        <f>IF(AB40&gt;IF((V40-W40)&gt;0,V40-W40,0),0,IF(AB40&lt;IF((V40-W40)&gt;0,V40-W40,0),IF((V40-W40)&gt;0,V40-W40,0)-AB40,IF((V40-W40)&gt;0,V40-W40,0)))</f>
        <v>0</v>
      </c>
      <c r="AG40" s="187">
        <f>IF(AND(M40=""),IF(R40="20'",
VLOOKUP(AF40,Charge!$K$31:$M$34,2,TRUE)+(AF40-VLOOKUP(AF40,Charge!$K$31:$M$34,1,TRUE))*VLOOKUP(AF40,Charge!$K$31:$M$34,3,TRUE),
VLOOKUP(AF40,Charge!$N$31:$P$34,2,TRUE)+(AF40-VLOOKUP(AF40,Charge!$N$31:$P$34,1,TRUE))*VLOOKUP(AF40,Charge!$N$31:$P$34,3,TRUE)),
IF(AND(M40="DG"),IF(R40="20'",
VLOOKUP(AF40,Charge!$R$31:$T$34,2,TRUE)+(AF40-VLOOKUP(AF40,Charge!$R$31:$T$34,1,TRUE))*VLOOKUP(AF40,Charge!$R$31:$T$34,3,TRUE),
VLOOKUP(AF40,Charge!$U$31:$W$34,2,TRUE)+(AF40-VLOOKUP(AF40,Charge!$U$31:$W$34,1,TRUE))*VLOOKUP(AF40,Charge!$U$31:$W$34,3,TRUE)),0))</f>
        <v>0</v>
      </c>
      <c r="AH40" s="65" t="n"/>
      <c r="AI40" s="65">
        <f>AA40-AH40</f>
        <v>320</v>
      </c>
      <c r="AJ40" s="188" t="n"/>
      <c r="AK40" s="62" t="str">
        <f>VLOOKUP(D40,'2.Bookinglist'!A:CT,40,FALSE)</f>
        <v>Nguyen Xuan Toan</v>
      </c>
      <c r="AL40" s="60" t="str">
        <f>VLOOKUP(D40,'2.Bookinglist'!A:CW,101,FALSE)</f>
        <v>2026-10-15</v>
      </c>
      <c r="AM40" s="60" t="str">
        <f>VLOOKUP(D40,'2.Bookinglist'!A:BK,63,FALSE)</f>
        <v>BKK27</v>
      </c>
      <c r="AN40" s="62" t="str">
        <f>VLOOKUP(D40,'2.Bookinglist'!A:AZ,52,FALSE)</f>
        <v>Pickup : 2026-10-12, Return : 2026-10-12 (1ST RETURN 11/10/26)</v>
      </c>
      <c r="AO40" s="62">
        <f>VLOOKUP(D40,'2.Bookinglist'!A:CY,103,FALSE)</f>
        <v>0</v>
      </c>
    </row>
    <row r="41" ht="12.95" customHeight="1">
      <c r="A41" s="96" t="inlineStr">
        <is>
          <t>HLHU8364480</t>
        </is>
      </c>
      <c r="B41" s="184" t="str">
        <f>IF(C41=Charge!$M$1,Charge!$J$1,IF(C41=Charge!$M$23,Charge!$J$23,IF(C41=Charge!$M$17,Charge!$J$17,IF(C41=Charge!$N$17,Charge!$J$17,Charge!$J$7))))</f>
        <v>G3</v>
      </c>
      <c r="C41" s="61" t="str">
        <f>VLOOKUP(A41,'1.Loading'!A:R,14,FALSE)</f>
        <v>BKK01</v>
      </c>
      <c r="D41" s="61" t="str">
        <f>VLOOKUP(A41,'1.Loading'!A:R,17,FALSE)</f>
        <v>HASLS22261000948</v>
      </c>
      <c r="E41" s="62" t="str">
        <f>VLOOKUP(D41,'2.Bookinglist'!A:CT,27,FALSE)</f>
        <v>BIRLA CARBON (THAILAND) PUBLIC COMPANY LIMITED</v>
      </c>
      <c r="F41" s="62" t="str">
        <f>VLOOKUP(D41,'2.Bookinglist'!A:CT,28,FALSE)</f>
        <v>BIRLA CARBON (THAILAND) PUBLIC COMPANY LIMITED</v>
      </c>
      <c r="G41" s="60">
        <f>VLOOKUP(D41,'2.Bookinglist'!A:E,5,FALSE)</f>
        <v>0</v>
      </c>
      <c r="H41" s="61" t="str">
        <f>VLOOKUP(D41,'2.Bookinglist'!A:CT,15,FALSE)</f>
        <v>THBKK</v>
      </c>
      <c r="I41" s="61" t="str">
        <f>VLOOKUP(D41,'2.Bookinglist'!A:CT,19,FALSE)</f>
        <v>VNSGN</v>
      </c>
      <c r="J41" s="61">
        <f>VLOOKUP(D41,'2.Bookinglist'!A:CT,26,FALSE)</f>
        <v>0</v>
      </c>
      <c r="K41" s="61" t="str">
        <f>VLOOKUP(A41,'1.Loading'!A:R,5,FALSE)</f>
        <v>45GP</v>
      </c>
      <c r="L41" s="60" t="str">
        <f>VLOOKUP(D41,'2.Bookinglist'!A:CT,85,FALSE)</f>
        <v>CY/CY</v>
      </c>
      <c r="M41" s="60" t="str">
        <f>IF(VLOOKUP(D41,'2.Bookinglist'!A:CT,43,FALSE)=0,"","DG")</f>
        <v/>
      </c>
      <c r="N41" s="60" t="str">
        <f>IF(RIGHT(K41,2)="RE","RF","")</f>
        <v/>
      </c>
      <c r="O41" s="61" t="str">
        <f>VLOOKUP(A41,'1.Loading'!A:R,3,FALSE)</f>
        <v>SWIC</v>
      </c>
      <c r="P41" s="61" t="str">
        <f>VLOOKUP(A41,'1.Loading'!A:R,4,FALSE)</f>
        <v>2611N</v>
      </c>
      <c r="Q41" s="61" t="str">
        <f>VLOOKUP(D41,'2.Bookinglist'!A:CT,12,FALSE)</f>
        <v>KHS1</v>
      </c>
      <c r="R41" s="60" t="str">
        <f>IF(LEFT(K41,2)="22","20'","40'")</f>
        <v>40'</v>
      </c>
      <c r="S41" s="185" t="n"/>
      <c r="T41" s="61" t="str">
        <f>VLOOKUP(A41,'1.Loading'!A:R,2,FALSE)</f>
        <v>2026-10-16</v>
      </c>
      <c r="U41" s="63">
        <f>T41-S41</f>
        <v>46311</v>
      </c>
      <c r="V41" s="186" t="n"/>
      <c r="W41" s="61" t="str">
        <f>VLOOKUP(A41,'3.GateMove'!A:D,4,FALSE)</f>
        <v>2026-10-13</v>
      </c>
      <c r="X41" s="63">
        <f>((T41-W41)+1)</f>
        <v>4</v>
      </c>
      <c r="Y41" s="64">
        <f>IF(AND(OR(C41="BKK01",C41="BKK04"),L41="CFS/CY"),0,IF(M41="DG",1,IF(LEFT(C41,3)="LCH",7,IF(C41="BKK02",5,3))))</f>
        <v>3</v>
      </c>
      <c r="Z41" s="63">
        <f>IF(IF(AND(AC41="TML",AB41&gt;0),((T41-W41)+1)-AB41,((T41-W41)+1)-Y41)&gt;0,IF(AND(AC41="TML",AB41&gt;0),((T41-W41)+1)-AB41,((T41-W41)+1)-Y41),0)</f>
        <v>1</v>
      </c>
      <c r="AA41" s="187">
        <f>IF(AND(B41="G1",M41=""),IF(R41="20'",
VLOOKUP(Z41,Charge!$K$2:$M$5,2,TRUE)+(Z41-VLOOKUP(Z41,Charge!$K$2:$M$5,1,TRUE))*VLOOKUP(Z41,Charge!$K$2:$M$5,3,TRUE),
VLOOKUP(Z41,Charge!$N$2:$P$5,2,TRUE)+(Z41-VLOOKUP(Z41,Charge!$N$2:$P$5,1,TRUE))*VLOOKUP(Z41,Charge!$N$2:$P$5,3,TRUE)),
IF(AND(B41="G1",M41="DG"),IF(R41="20'",
VLOOKUP(Z41,Charge!$R$2:$T$5,2,TRUE)+(Z41-VLOOKUP(Z41,Charge!$R$2:$T$5,1,TRUE))*VLOOKUP(Z41,Charge!$R$2:$T$5,3,TRUE),
VLOOKUP(Z41,Charge!$U$2:$W$5,2,TRUE)+(Z41-VLOOKUP(Z41,Charge!$U$2:$W$5,1,TRUE))*VLOOKUP(Z41,Charge!$U$2:$W$5,3,TRUE)),
IF(AND(B41="G3",M41=""),IF(R41="20'",
VLOOKUP(Z41,Charge!$K$18:$M$21,2,TRUE)+(Z41-VLOOKUP(Z41,Charge!$K$18:$M$21,1,TRUE))*VLOOKUP(Z41,Charge!$K$18:$M$21,3,TRUE),
VLOOKUP(Z41,Charge!$N$18:$P$21,2,TRUE)+(Z41-VLOOKUP(Z41,Charge!$N$18:$P$21,1,TRUE))*VLOOKUP(Z41,Charge!$N$18:$P$21,3,TRUE)),
IF(AND(B41="G3",M41="DG"),IF(R41="20'",
VLOOKUP(Z41,Charge!$R$18:$T$21,2,TRUE)+(Z41-VLOOKUP(Z41,Charge!$R$18:$T$21,1,TRUE))*VLOOKUP(Z41,Charge!$R$18:$T$21,3,TRUE),
VLOOKUP(Z41,Charge!$U$18:$W$21,2,TRUE)+(Z41-VLOOKUP(Z41,Charge!$U$18:$W$21,1,TRUE))*VLOOKUP(Z41,Charge!$U$18:$W$21,3,TRUE)),
IF(AND(B41="G2",M41=""),IF(R41="20'",
VLOOKUP(Z41,Charge!$K$9:$M$12,2,TRUE)+(Z41-VLOOKUP(Z41,Charge!$K$9:$M$12,1,TRUE))*VLOOKUP(Z41,Charge!$K$9:$M$12,3,TRUE),
VLOOKUP(Z41,Charge!$N$9:$P$12,2,TRUE)+(Z41-VLOOKUP(Z41,Charge!$N$9:$P$12,1,TRUE))*VLOOKUP(Z41,Charge!$N$9:$P$12,3,TRUE)),
IF(AND(B41="G2",M41="DG"),IF(R41="20'",
VLOOKUP(Z41,Charge!$R$9:$T$12,2,TRUE)+(Z41-VLOOKUP(Z41,Charge!$R$9:$T$12,1,TRUE))*VLOOKUP(Z41,Charge!$R$9:$T$12,3,TRUE),
VLOOKUP(Z41,Charge!$U$9:$W$12,2,TRUE)+(Z41-VLOOKUP(Z41,Charge!$U$9:$W$12,1,TRUE))*VLOOKUP(Z41,Charge!$U$9:$W$12,3,TRUE)),IF(AND(B41="G4",M41=""),IF(R41="20'",Z41*Charge!$M$25,Z41*Charge!$P$25),IF(AND(B41="G4",M41="DG"),IF(R41="20'",Z41*Charge!$T$25,Z41*Charge!$W$25),0))))))))</f>
        <v>320</v>
      </c>
      <c r="AB41" s="184" t="n"/>
      <c r="AC41" s="184" t="n"/>
      <c r="AD41" s="60">
        <f>IF(M41="DG",3,IF(N41="RF",3,5))+IF(AND(LEFT(C41,3)="BKK",N41="RF",Q41="KTS"),1,0)+IF(Q41="KHS",1,0)</f>
        <v>5</v>
      </c>
      <c r="AE41" s="63">
        <f>(T41-V41)+1</f>
        <v>46312</v>
      </c>
      <c r="AF41" s="63">
        <f>IF(AB41&gt;IF((V41-W41)&gt;0,V41-W41,0),0,IF(AB41&lt;IF((V41-W41)&gt;0,V41-W41,0),IF((V41-W41)&gt;0,V41-W41,0)-AB41,IF((V41-W41)&gt;0,V41-W41,0)))</f>
        <v>0</v>
      </c>
      <c r="AG41" s="187">
        <f>IF(AND(M41=""),IF(R41="20'",
VLOOKUP(AF41,Charge!$K$31:$M$34,2,TRUE)+(AF41-VLOOKUP(AF41,Charge!$K$31:$M$34,1,TRUE))*VLOOKUP(AF41,Charge!$K$31:$M$34,3,TRUE),
VLOOKUP(AF41,Charge!$N$31:$P$34,2,TRUE)+(AF41-VLOOKUP(AF41,Charge!$N$31:$P$34,1,TRUE))*VLOOKUP(AF41,Charge!$N$31:$P$34,3,TRUE)),
IF(AND(M41="DG"),IF(R41="20'",
VLOOKUP(AF41,Charge!$R$31:$T$34,2,TRUE)+(AF41-VLOOKUP(AF41,Charge!$R$31:$T$34,1,TRUE))*VLOOKUP(AF41,Charge!$R$31:$T$34,3,TRUE),
VLOOKUP(AF41,Charge!$U$31:$W$34,2,TRUE)+(AF41-VLOOKUP(AF41,Charge!$U$31:$W$34,1,TRUE))*VLOOKUP(AF41,Charge!$U$31:$W$34,3,TRUE)),0))</f>
        <v>0</v>
      </c>
      <c r="AH41" s="65" t="n"/>
      <c r="AI41" s="65">
        <f>AA41-AH41</f>
        <v>320</v>
      </c>
      <c r="AJ41" s="188" t="n"/>
      <c r="AK41" s="62" t="str">
        <f>VLOOKUP(D41,'2.Bookinglist'!A:CT,40,FALSE)</f>
        <v>Dharaporn</v>
      </c>
      <c r="AL41" s="60" t="str">
        <f>VLOOKUP(D41,'2.Bookinglist'!A:CW,101,FALSE)</f>
        <v>2026-10-15</v>
      </c>
      <c r="AM41" s="60" t="str">
        <f>VLOOKUP(D41,'2.Bookinglist'!A:BK,63,FALSE)</f>
        <v>BKK27</v>
      </c>
      <c r="AN41" s="62" t="str">
        <f>VLOOKUP(D41,'2.Bookinglist'!A:AZ,52,FALSE)</f>
        <v>Pickup : 2026-10-13, Return : 2026-10-13</v>
      </c>
      <c r="AO41" s="62">
        <f>VLOOKUP(D41,'2.Bookinglist'!A:CY,103,FALSE)</f>
        <v>0</v>
      </c>
    </row>
    <row r="42" ht="12.95" customHeight="1">
      <c r="A42" s="96" t="inlineStr">
        <is>
          <t>HLHU8371560</t>
        </is>
      </c>
      <c r="B42" s="184" t="str">
        <f>IF(C42=Charge!$M$1,Charge!$J$1,IF(C42=Charge!$M$23,Charge!$J$23,IF(C42=Charge!$M$17,Charge!$J$17,IF(C42=Charge!$N$17,Charge!$J$17,Charge!$J$7))))</f>
        <v>G3</v>
      </c>
      <c r="C42" s="61" t="str">
        <f>VLOOKUP(A42,'1.Loading'!A:R,14,FALSE)</f>
        <v>BKK01</v>
      </c>
      <c r="D42" s="61" t="str">
        <f>VLOOKUP(A42,'1.Loading'!A:R,17,FALSE)</f>
        <v>HASLS22261000692</v>
      </c>
      <c r="E42" s="62" t="str">
        <f>VLOOKUP(D42,'2.Bookinglist'!A:CT,27,FALSE)</f>
        <v>BIRLA CARBON (THAILAND) PUBLIC COMPANY LIMITED</v>
      </c>
      <c r="F42" s="62" t="str">
        <f>VLOOKUP(D42,'2.Bookinglist'!A:CT,28,FALSE)</f>
        <v>BIRLA CARBON (THAILAND) PUBLIC COMPANY LIMITED</v>
      </c>
      <c r="G42" s="60">
        <f>VLOOKUP(D42,'2.Bookinglist'!A:E,5,FALSE)</f>
        <v>0</v>
      </c>
      <c r="H42" s="61" t="str">
        <f>VLOOKUP(D42,'2.Bookinglist'!A:CT,15,FALSE)</f>
        <v>THBKK</v>
      </c>
      <c r="I42" s="61" t="str">
        <f>VLOOKUP(D42,'2.Bookinglist'!A:CT,19,FALSE)</f>
        <v>VNSGN</v>
      </c>
      <c r="J42" s="61">
        <f>VLOOKUP(D42,'2.Bookinglist'!A:CT,26,FALSE)</f>
        <v>0</v>
      </c>
      <c r="K42" s="61" t="str">
        <f>VLOOKUP(A42,'1.Loading'!A:R,5,FALSE)</f>
        <v>45GP</v>
      </c>
      <c r="L42" s="60" t="str">
        <f>VLOOKUP(D42,'2.Bookinglist'!A:CT,85,FALSE)</f>
        <v>CY/CY</v>
      </c>
      <c r="M42" s="60" t="str">
        <f>IF(VLOOKUP(D42,'2.Bookinglist'!A:CT,43,FALSE)=0,"","DG")</f>
        <v/>
      </c>
      <c r="N42" s="60" t="str">
        <f>IF(RIGHT(K42,2)="RE","RF","")</f>
        <v/>
      </c>
      <c r="O42" s="61" t="str">
        <f>VLOOKUP(A42,'1.Loading'!A:R,3,FALSE)</f>
        <v>SWIC</v>
      </c>
      <c r="P42" s="61" t="str">
        <f>VLOOKUP(A42,'1.Loading'!A:R,4,FALSE)</f>
        <v>2611N</v>
      </c>
      <c r="Q42" s="61" t="str">
        <f>VLOOKUP(D42,'2.Bookinglist'!A:CT,12,FALSE)</f>
        <v>KHS1</v>
      </c>
      <c r="R42" s="60" t="str">
        <f>IF(LEFT(K42,2)="22","20'","40'")</f>
        <v>40'</v>
      </c>
      <c r="S42" s="185" t="n"/>
      <c r="T42" s="61" t="str">
        <f>VLOOKUP(A42,'1.Loading'!A:R,2,FALSE)</f>
        <v>2026-10-16</v>
      </c>
      <c r="U42" s="63">
        <f>T42-S42</f>
        <v>46311</v>
      </c>
      <c r="V42" s="186" t="n"/>
      <c r="W42" s="61" t="str">
        <f>VLOOKUP(A42,'3.GateMove'!A:D,4,FALSE)</f>
        <v>2026-10-13</v>
      </c>
      <c r="X42" s="63">
        <f>((T42-W42)+1)</f>
        <v>4</v>
      </c>
      <c r="Y42" s="64">
        <f>IF(AND(OR(C42="BKK01",C42="BKK04"),L42="CFS/CY"),0,IF(M42="DG",1,IF(LEFT(C42,3)="LCH",7,IF(C42="BKK02",5,3))))</f>
        <v>3</v>
      </c>
      <c r="Z42" s="63">
        <f>IF(IF(AND(AC42="TML",AB42&gt;0),((T42-W42)+1)-AB42,((T42-W42)+1)-Y42)&gt;0,IF(AND(AC42="TML",AB42&gt;0),((T42-W42)+1)-AB42,((T42-W42)+1)-Y42),0)</f>
        <v>1</v>
      </c>
      <c r="AA42" s="187">
        <f>IF(AND(B42="G1",M42=""),IF(R42="20'",
VLOOKUP(Z42,Charge!$K$2:$M$5,2,TRUE)+(Z42-VLOOKUP(Z42,Charge!$K$2:$M$5,1,TRUE))*VLOOKUP(Z42,Charge!$K$2:$M$5,3,TRUE),
VLOOKUP(Z42,Charge!$N$2:$P$5,2,TRUE)+(Z42-VLOOKUP(Z42,Charge!$N$2:$P$5,1,TRUE))*VLOOKUP(Z42,Charge!$N$2:$P$5,3,TRUE)),
IF(AND(B42="G1",M42="DG"),IF(R42="20'",
VLOOKUP(Z42,Charge!$R$2:$T$5,2,TRUE)+(Z42-VLOOKUP(Z42,Charge!$R$2:$T$5,1,TRUE))*VLOOKUP(Z42,Charge!$R$2:$T$5,3,TRUE),
VLOOKUP(Z42,Charge!$U$2:$W$5,2,TRUE)+(Z42-VLOOKUP(Z42,Charge!$U$2:$W$5,1,TRUE))*VLOOKUP(Z42,Charge!$U$2:$W$5,3,TRUE)),
IF(AND(B42="G3",M42=""),IF(R42="20'",
VLOOKUP(Z42,Charge!$K$18:$M$21,2,TRUE)+(Z42-VLOOKUP(Z42,Charge!$K$18:$M$21,1,TRUE))*VLOOKUP(Z42,Charge!$K$18:$M$21,3,TRUE),
VLOOKUP(Z42,Charge!$N$18:$P$21,2,TRUE)+(Z42-VLOOKUP(Z42,Charge!$N$18:$P$21,1,TRUE))*VLOOKUP(Z42,Charge!$N$18:$P$21,3,TRUE)),
IF(AND(B42="G3",M42="DG"),IF(R42="20'",
VLOOKUP(Z42,Charge!$R$18:$T$21,2,TRUE)+(Z42-VLOOKUP(Z42,Charge!$R$18:$T$21,1,TRUE))*VLOOKUP(Z42,Charge!$R$18:$T$21,3,TRUE),
VLOOKUP(Z42,Charge!$U$18:$W$21,2,TRUE)+(Z42-VLOOKUP(Z42,Charge!$U$18:$W$21,1,TRUE))*VLOOKUP(Z42,Charge!$U$18:$W$21,3,TRUE)),
IF(AND(B42="G2",M42=""),IF(R42="20'",
VLOOKUP(Z42,Charge!$K$9:$M$12,2,TRUE)+(Z42-VLOOKUP(Z42,Charge!$K$9:$M$12,1,TRUE))*VLOOKUP(Z42,Charge!$K$9:$M$12,3,TRUE),
VLOOKUP(Z42,Charge!$N$9:$P$12,2,TRUE)+(Z42-VLOOKUP(Z42,Charge!$N$9:$P$12,1,TRUE))*VLOOKUP(Z42,Charge!$N$9:$P$12,3,TRUE)),
IF(AND(B42="G2",M42="DG"),IF(R42="20'",
VLOOKUP(Z42,Charge!$R$9:$T$12,2,TRUE)+(Z42-VLOOKUP(Z42,Charge!$R$9:$T$12,1,TRUE))*VLOOKUP(Z42,Charge!$R$9:$T$12,3,TRUE),
VLOOKUP(Z42,Charge!$U$9:$W$12,2,TRUE)+(Z42-VLOOKUP(Z42,Charge!$U$9:$W$12,1,TRUE))*VLOOKUP(Z42,Charge!$U$9:$W$12,3,TRUE)),IF(AND(B42="G4",M42=""),IF(R42="20'",Z42*Charge!$M$25,Z42*Charge!$P$25),IF(AND(B42="G4",M42="DG"),IF(R42="20'",Z42*Charge!$T$25,Z42*Charge!$W$25),0))))))))</f>
        <v>320</v>
      </c>
      <c r="AB42" s="184" t="n"/>
      <c r="AC42" s="184" t="n"/>
      <c r="AD42" s="60">
        <f>IF(M42="DG",3,IF(N42="RF",3,5))+IF(AND(LEFT(C42,3)="BKK",N42="RF",Q42="KTS"),1,0)+IF(Q42="KHS",1,0)</f>
        <v>5</v>
      </c>
      <c r="AE42" s="63">
        <f>(T42-V42)+1</f>
        <v>46312</v>
      </c>
      <c r="AF42" s="63">
        <f>IF(AB42&gt;IF((V42-W42)&gt;0,V42-W42,0),0,IF(AB42&lt;IF((V42-W42)&gt;0,V42-W42,0),IF((V42-W42)&gt;0,V42-W42,0)-AB42,IF((V42-W42)&gt;0,V42-W42,0)))</f>
        <v>0</v>
      </c>
      <c r="AG42" s="187">
        <f>IF(AND(M42=""),IF(R42="20'",
VLOOKUP(AF42,Charge!$K$31:$M$34,2,TRUE)+(AF42-VLOOKUP(AF42,Charge!$K$31:$M$34,1,TRUE))*VLOOKUP(AF42,Charge!$K$31:$M$34,3,TRUE),
VLOOKUP(AF42,Charge!$N$31:$P$34,2,TRUE)+(AF42-VLOOKUP(AF42,Charge!$N$31:$P$34,1,TRUE))*VLOOKUP(AF42,Charge!$N$31:$P$34,3,TRUE)),
IF(AND(M42="DG"),IF(R42="20'",
VLOOKUP(AF42,Charge!$R$31:$T$34,2,TRUE)+(AF42-VLOOKUP(AF42,Charge!$R$31:$T$34,1,TRUE))*VLOOKUP(AF42,Charge!$R$31:$T$34,3,TRUE),
VLOOKUP(AF42,Charge!$U$31:$W$34,2,TRUE)+(AF42-VLOOKUP(AF42,Charge!$U$31:$W$34,1,TRUE))*VLOOKUP(AF42,Charge!$U$31:$W$34,3,TRUE)),0))</f>
        <v>0</v>
      </c>
      <c r="AH42" s="65" t="n"/>
      <c r="AI42" s="65">
        <f>AA42-AH42</f>
        <v>320</v>
      </c>
      <c r="AJ42" s="188" t="n"/>
      <c r="AK42" s="62" t="str">
        <f>VLOOKUP(D42,'2.Bookinglist'!A:CT,40,FALSE)</f>
        <v>Dharaporn</v>
      </c>
      <c r="AL42" s="60" t="str">
        <f>VLOOKUP(D42,'2.Bookinglist'!A:CW,101,FALSE)</f>
        <v>2026-10-15</v>
      </c>
      <c r="AM42" s="60" t="str">
        <f>VLOOKUP(D42,'2.Bookinglist'!A:BK,63,FALSE)</f>
        <v>BKK27</v>
      </c>
      <c r="AN42" s="62" t="str">
        <f>VLOOKUP(D42,'2.Bookinglist'!A:AZ,52,FALSE)</f>
        <v>Pickup : 2026-10-10, Return : 2026-10-11 
CLS TIME DD.13/10/2026 @ 23.59
</v>
      </c>
      <c r="AO42" s="62">
        <f>VLOOKUP(D42,'2.Bookinglist'!A:CY,103,FALSE)</f>
        <v>0</v>
      </c>
    </row>
    <row r="43" ht="12.95" customHeight="1">
      <c r="A43" s="96" t="inlineStr">
        <is>
          <t>HLHU8372700</t>
        </is>
      </c>
      <c r="B43" s="184" t="str">
        <f>IF(C43=Charge!$M$1,Charge!$J$1,IF(C43=Charge!$M$23,Charge!$J$23,IF(C43=Charge!$M$17,Charge!$J$17,IF(C43=Charge!$N$17,Charge!$J$17,Charge!$J$7))))</f>
        <v>G3</v>
      </c>
      <c r="C43" s="61" t="str">
        <f>VLOOKUP(A43,'1.Loading'!A:R,14,FALSE)</f>
        <v>BKK01</v>
      </c>
      <c r="D43" s="61" t="str">
        <f>VLOOKUP(A43,'1.Loading'!A:R,17,FALSE)</f>
        <v>HASLS22261000948</v>
      </c>
      <c r="E43" s="62" t="str">
        <f>VLOOKUP(D43,'2.Bookinglist'!A:CT,27,FALSE)</f>
        <v>BIRLA CARBON (THAILAND) PUBLIC COMPANY LIMITED</v>
      </c>
      <c r="F43" s="62" t="str">
        <f>VLOOKUP(D43,'2.Bookinglist'!A:CT,28,FALSE)</f>
        <v>BIRLA CARBON (THAILAND) PUBLIC COMPANY LIMITED</v>
      </c>
      <c r="G43" s="60">
        <f>VLOOKUP(D43,'2.Bookinglist'!A:E,5,FALSE)</f>
        <v>0</v>
      </c>
      <c r="H43" s="61" t="str">
        <f>VLOOKUP(D43,'2.Bookinglist'!A:CT,15,FALSE)</f>
        <v>THBKK</v>
      </c>
      <c r="I43" s="61" t="str">
        <f>VLOOKUP(D43,'2.Bookinglist'!A:CT,19,FALSE)</f>
        <v>VNSGN</v>
      </c>
      <c r="J43" s="61">
        <f>VLOOKUP(D43,'2.Bookinglist'!A:CT,26,FALSE)</f>
        <v>0</v>
      </c>
      <c r="K43" s="61" t="str">
        <f>VLOOKUP(A43,'1.Loading'!A:R,5,FALSE)</f>
        <v>45GP</v>
      </c>
      <c r="L43" s="60" t="str">
        <f>VLOOKUP(D43,'2.Bookinglist'!A:CT,85,FALSE)</f>
        <v>CY/CY</v>
      </c>
      <c r="M43" s="60" t="str">
        <f>IF(VLOOKUP(D43,'2.Bookinglist'!A:CT,43,FALSE)=0,"","DG")</f>
        <v/>
      </c>
      <c r="N43" s="60" t="str">
        <f>IF(RIGHT(K43,2)="RE","RF","")</f>
        <v/>
      </c>
      <c r="O43" s="61" t="str">
        <f>VLOOKUP(A43,'1.Loading'!A:R,3,FALSE)</f>
        <v>SWIC</v>
      </c>
      <c r="P43" s="61" t="str">
        <f>VLOOKUP(A43,'1.Loading'!A:R,4,FALSE)</f>
        <v>2611N</v>
      </c>
      <c r="Q43" s="61" t="str">
        <f>VLOOKUP(D43,'2.Bookinglist'!A:CT,12,FALSE)</f>
        <v>KHS1</v>
      </c>
      <c r="R43" s="60" t="str">
        <f>IF(LEFT(K43,2)="22","20'","40'")</f>
        <v>40'</v>
      </c>
      <c r="S43" s="185" t="n"/>
      <c r="T43" s="61" t="str">
        <f>VLOOKUP(A43,'1.Loading'!A:R,2,FALSE)</f>
        <v>2026-10-16</v>
      </c>
      <c r="U43" s="63">
        <f>T43-S43</f>
        <v>46311</v>
      </c>
      <c r="V43" s="186" t="n"/>
      <c r="W43" s="61" t="str">
        <f>VLOOKUP(A43,'3.GateMove'!A:D,4,FALSE)</f>
        <v>2026-10-13</v>
      </c>
      <c r="X43" s="63">
        <f>((T43-W43)+1)</f>
        <v>4</v>
      </c>
      <c r="Y43" s="64">
        <f>IF(AND(OR(C43="BKK01",C43="BKK04"),L43="CFS/CY"),0,IF(M43="DG",1,IF(LEFT(C43,3)="LCH",7,IF(C43="BKK02",5,3))))</f>
        <v>3</v>
      </c>
      <c r="Z43" s="63">
        <f>IF(IF(AND(AC43="TML",AB43&gt;0),((T43-W43)+1)-AB43,((T43-W43)+1)-Y43)&gt;0,IF(AND(AC43="TML",AB43&gt;0),((T43-W43)+1)-AB43,((T43-W43)+1)-Y43),0)</f>
        <v>1</v>
      </c>
      <c r="AA43" s="187">
        <f>IF(AND(B43="G1",M43=""),IF(R43="20'",
VLOOKUP(Z43,Charge!$K$2:$M$5,2,TRUE)+(Z43-VLOOKUP(Z43,Charge!$K$2:$M$5,1,TRUE))*VLOOKUP(Z43,Charge!$K$2:$M$5,3,TRUE),
VLOOKUP(Z43,Charge!$N$2:$P$5,2,TRUE)+(Z43-VLOOKUP(Z43,Charge!$N$2:$P$5,1,TRUE))*VLOOKUP(Z43,Charge!$N$2:$P$5,3,TRUE)),
IF(AND(B43="G1",M43="DG"),IF(R43="20'",
VLOOKUP(Z43,Charge!$R$2:$T$5,2,TRUE)+(Z43-VLOOKUP(Z43,Charge!$R$2:$T$5,1,TRUE))*VLOOKUP(Z43,Charge!$R$2:$T$5,3,TRUE),
VLOOKUP(Z43,Charge!$U$2:$W$5,2,TRUE)+(Z43-VLOOKUP(Z43,Charge!$U$2:$W$5,1,TRUE))*VLOOKUP(Z43,Charge!$U$2:$W$5,3,TRUE)),
IF(AND(B43="G3",M43=""),IF(R43="20'",
VLOOKUP(Z43,Charge!$K$18:$M$21,2,TRUE)+(Z43-VLOOKUP(Z43,Charge!$K$18:$M$21,1,TRUE))*VLOOKUP(Z43,Charge!$K$18:$M$21,3,TRUE),
VLOOKUP(Z43,Charge!$N$18:$P$21,2,TRUE)+(Z43-VLOOKUP(Z43,Charge!$N$18:$P$21,1,TRUE))*VLOOKUP(Z43,Charge!$N$18:$P$21,3,TRUE)),
IF(AND(B43="G3",M43="DG"),IF(R43="20'",
VLOOKUP(Z43,Charge!$R$18:$T$21,2,TRUE)+(Z43-VLOOKUP(Z43,Charge!$R$18:$T$21,1,TRUE))*VLOOKUP(Z43,Charge!$R$18:$T$21,3,TRUE),
VLOOKUP(Z43,Charge!$U$18:$W$21,2,TRUE)+(Z43-VLOOKUP(Z43,Charge!$U$18:$W$21,1,TRUE))*VLOOKUP(Z43,Charge!$U$18:$W$21,3,TRUE)),
IF(AND(B43="G2",M43=""),IF(R43="20'",
VLOOKUP(Z43,Charge!$K$9:$M$12,2,TRUE)+(Z43-VLOOKUP(Z43,Charge!$K$9:$M$12,1,TRUE))*VLOOKUP(Z43,Charge!$K$9:$M$12,3,TRUE),
VLOOKUP(Z43,Charge!$N$9:$P$12,2,TRUE)+(Z43-VLOOKUP(Z43,Charge!$N$9:$P$12,1,TRUE))*VLOOKUP(Z43,Charge!$N$9:$P$12,3,TRUE)),
IF(AND(B43="G2",M43="DG"),IF(R43="20'",
VLOOKUP(Z43,Charge!$R$9:$T$12,2,TRUE)+(Z43-VLOOKUP(Z43,Charge!$R$9:$T$12,1,TRUE))*VLOOKUP(Z43,Charge!$R$9:$T$12,3,TRUE),
VLOOKUP(Z43,Charge!$U$9:$W$12,2,TRUE)+(Z43-VLOOKUP(Z43,Charge!$U$9:$W$12,1,TRUE))*VLOOKUP(Z43,Charge!$U$9:$W$12,3,TRUE)),IF(AND(B43="G4",M43=""),IF(R43="20'",Z43*Charge!$M$25,Z43*Charge!$P$25),IF(AND(B43="G4",M43="DG"),IF(R43="20'",Z43*Charge!$T$25,Z43*Charge!$W$25),0))))))))</f>
        <v>320</v>
      </c>
      <c r="AB43" s="184" t="n"/>
      <c r="AC43" s="184" t="n"/>
      <c r="AD43" s="60">
        <f>IF(M43="DG",3,IF(N43="RF",3,5))+IF(AND(LEFT(C43,3)="BKK",N43="RF",Q43="KTS"),1,0)+IF(Q43="KHS",1,0)</f>
        <v>5</v>
      </c>
      <c r="AE43" s="63">
        <f>(T43-V43)+1</f>
        <v>46312</v>
      </c>
      <c r="AF43" s="63">
        <f>IF(AB43&gt;IF((V43-W43)&gt;0,V43-W43,0),0,IF(AB43&lt;IF((V43-W43)&gt;0,V43-W43,0),IF((V43-W43)&gt;0,V43-W43,0)-AB43,IF((V43-W43)&gt;0,V43-W43,0)))</f>
        <v>0</v>
      </c>
      <c r="AG43" s="187">
        <f>IF(AND(M43=""),IF(R43="20'",
VLOOKUP(AF43,Charge!$K$31:$M$34,2,TRUE)+(AF43-VLOOKUP(AF43,Charge!$K$31:$M$34,1,TRUE))*VLOOKUP(AF43,Charge!$K$31:$M$34,3,TRUE),
VLOOKUP(AF43,Charge!$N$31:$P$34,2,TRUE)+(AF43-VLOOKUP(AF43,Charge!$N$31:$P$34,1,TRUE))*VLOOKUP(AF43,Charge!$N$31:$P$34,3,TRUE)),
IF(AND(M43="DG"),IF(R43="20'",
VLOOKUP(AF43,Charge!$R$31:$T$34,2,TRUE)+(AF43-VLOOKUP(AF43,Charge!$R$31:$T$34,1,TRUE))*VLOOKUP(AF43,Charge!$R$31:$T$34,3,TRUE),
VLOOKUP(AF43,Charge!$U$31:$W$34,2,TRUE)+(AF43-VLOOKUP(AF43,Charge!$U$31:$W$34,1,TRUE))*VLOOKUP(AF43,Charge!$U$31:$W$34,3,TRUE)),0))</f>
        <v>0</v>
      </c>
      <c r="AH43" s="65" t="n"/>
      <c r="AI43" s="65">
        <f>AA43-AH43</f>
        <v>320</v>
      </c>
      <c r="AJ43" s="188" t="n"/>
      <c r="AK43" s="62" t="str">
        <f>VLOOKUP(D43,'2.Bookinglist'!A:CT,40,FALSE)</f>
        <v>Dharaporn</v>
      </c>
      <c r="AL43" s="60" t="str">
        <f>VLOOKUP(D43,'2.Bookinglist'!A:CW,101,FALSE)</f>
        <v>2026-10-15</v>
      </c>
      <c r="AM43" s="60" t="str">
        <f>VLOOKUP(D43,'2.Bookinglist'!A:BK,63,FALSE)</f>
        <v>BKK27</v>
      </c>
      <c r="AN43" s="62" t="str">
        <f>VLOOKUP(D43,'2.Bookinglist'!A:AZ,52,FALSE)</f>
        <v>Pickup : 2026-10-13, Return : 2026-10-13</v>
      </c>
      <c r="AO43" s="62">
        <f>VLOOKUP(D43,'2.Bookinglist'!A:CY,103,FALSE)</f>
        <v>0</v>
      </c>
    </row>
    <row r="44" ht="12.95" customHeight="1">
      <c r="A44" s="96" t="inlineStr">
        <is>
          <t>HLHU8386473</t>
        </is>
      </c>
      <c r="B44" s="184" t="str">
        <f>IF(C44=Charge!$M$1,Charge!$J$1,IF(C44=Charge!$M$23,Charge!$J$23,IF(C44=Charge!$M$17,Charge!$J$17,IF(C44=Charge!$N$17,Charge!$J$17,Charge!$J$7))))</f>
        <v>G3</v>
      </c>
      <c r="C44" s="61" t="str">
        <f>VLOOKUP(A44,'1.Loading'!A:R,14,FALSE)</f>
        <v>BKK01</v>
      </c>
      <c r="D44" s="61" t="str">
        <f>VLOOKUP(A44,'1.Loading'!A:R,17,FALSE)</f>
        <v>HASLS22261000615</v>
      </c>
      <c r="E44" s="62" t="str">
        <f>VLOOKUP(D44,'2.Bookinglist'!A:CT,27,FALSE)</f>
        <v>SDS-ACUTECH CO., LTD.</v>
      </c>
      <c r="F44" s="62" t="str">
        <f>VLOOKUP(D44,'2.Bookinglist'!A:CT,28,FALSE)</f>
        <v>APEX CIRCUIT (THAILAND) CO., LTD.</v>
      </c>
      <c r="G44" s="60">
        <f>VLOOKUP(D44,'2.Bookinglist'!A:E,5,FALSE)</f>
        <v>0</v>
      </c>
      <c r="H44" s="61" t="str">
        <f>VLOOKUP(D44,'2.Bookinglist'!A:CT,15,FALSE)</f>
        <v>THBKK</v>
      </c>
      <c r="I44" s="61" t="str">
        <f>VLOOKUP(D44,'2.Bookinglist'!A:CT,19,FALSE)</f>
        <v>VNSGN</v>
      </c>
      <c r="J44" s="61">
        <f>VLOOKUP(D44,'2.Bookinglist'!A:CT,26,FALSE)</f>
        <v>0</v>
      </c>
      <c r="K44" s="61" t="str">
        <f>VLOOKUP(A44,'1.Loading'!A:R,5,FALSE)</f>
        <v>45GP</v>
      </c>
      <c r="L44" s="60" t="str">
        <f>VLOOKUP(D44,'2.Bookinglist'!A:CT,85,FALSE)</f>
        <v>CY/CY</v>
      </c>
      <c r="M44" s="60" t="str">
        <f>IF(VLOOKUP(D44,'2.Bookinglist'!A:CT,43,FALSE)=0,"","DG")</f>
        <v/>
      </c>
      <c r="N44" s="60" t="str">
        <f>IF(RIGHT(K44,2)="RE","RF","")</f>
        <v/>
      </c>
      <c r="O44" s="61" t="str">
        <f>VLOOKUP(A44,'1.Loading'!A:R,3,FALSE)</f>
        <v>SWIC</v>
      </c>
      <c r="P44" s="61" t="str">
        <f>VLOOKUP(A44,'1.Loading'!A:R,4,FALSE)</f>
        <v>2611N</v>
      </c>
      <c r="Q44" s="61" t="str">
        <f>VLOOKUP(D44,'2.Bookinglist'!A:CT,12,FALSE)</f>
        <v>KHS1</v>
      </c>
      <c r="R44" s="60" t="str">
        <f>IF(LEFT(K44,2)="22","20'","40'")</f>
        <v>40'</v>
      </c>
      <c r="S44" s="185" t="n"/>
      <c r="T44" s="61" t="str">
        <f>VLOOKUP(A44,'1.Loading'!A:R,2,FALSE)</f>
        <v>2026-10-16</v>
      </c>
      <c r="U44" s="63">
        <f>T44-S44</f>
        <v>46311</v>
      </c>
      <c r="V44" s="186" t="n"/>
      <c r="W44" s="61" t="str">
        <f>VLOOKUP(A44,'3.GateMove'!A:D,4,FALSE)</f>
        <v>2026-10-13</v>
      </c>
      <c r="X44" s="63">
        <f>((T44-W44)+1)</f>
        <v>4</v>
      </c>
      <c r="Y44" s="64">
        <f>IF(AND(OR(C44="BKK01",C44="BKK04"),L44="CFS/CY"),0,IF(M44="DG",1,IF(LEFT(C44,3)="LCH",7,IF(C44="BKK02",5,3))))</f>
        <v>3</v>
      </c>
      <c r="Z44" s="63">
        <f>IF(IF(AND(AC44="TML",AB44&gt;0),((T44-W44)+1)-AB44,((T44-W44)+1)-Y44)&gt;0,IF(AND(AC44="TML",AB44&gt;0),((T44-W44)+1)-AB44,((T44-W44)+1)-Y44),0)</f>
        <v>1</v>
      </c>
      <c r="AA44" s="187">
        <f>IF(AND(B44="G1",M44=""),IF(R44="20'",
VLOOKUP(Z44,Charge!$K$2:$M$5,2,TRUE)+(Z44-VLOOKUP(Z44,Charge!$K$2:$M$5,1,TRUE))*VLOOKUP(Z44,Charge!$K$2:$M$5,3,TRUE),
VLOOKUP(Z44,Charge!$N$2:$P$5,2,TRUE)+(Z44-VLOOKUP(Z44,Charge!$N$2:$P$5,1,TRUE))*VLOOKUP(Z44,Charge!$N$2:$P$5,3,TRUE)),
IF(AND(B44="G1",M44="DG"),IF(R44="20'",
VLOOKUP(Z44,Charge!$R$2:$T$5,2,TRUE)+(Z44-VLOOKUP(Z44,Charge!$R$2:$T$5,1,TRUE))*VLOOKUP(Z44,Charge!$R$2:$T$5,3,TRUE),
VLOOKUP(Z44,Charge!$U$2:$W$5,2,TRUE)+(Z44-VLOOKUP(Z44,Charge!$U$2:$W$5,1,TRUE))*VLOOKUP(Z44,Charge!$U$2:$W$5,3,TRUE)),
IF(AND(B44="G3",M44=""),IF(R44="20'",
VLOOKUP(Z44,Charge!$K$18:$M$21,2,TRUE)+(Z44-VLOOKUP(Z44,Charge!$K$18:$M$21,1,TRUE))*VLOOKUP(Z44,Charge!$K$18:$M$21,3,TRUE),
VLOOKUP(Z44,Charge!$N$18:$P$21,2,TRUE)+(Z44-VLOOKUP(Z44,Charge!$N$18:$P$21,1,TRUE))*VLOOKUP(Z44,Charge!$N$18:$P$21,3,TRUE)),
IF(AND(B44="G3",M44="DG"),IF(R44="20'",
VLOOKUP(Z44,Charge!$R$18:$T$21,2,TRUE)+(Z44-VLOOKUP(Z44,Charge!$R$18:$T$21,1,TRUE))*VLOOKUP(Z44,Charge!$R$18:$T$21,3,TRUE),
VLOOKUP(Z44,Charge!$U$18:$W$21,2,TRUE)+(Z44-VLOOKUP(Z44,Charge!$U$18:$W$21,1,TRUE))*VLOOKUP(Z44,Charge!$U$18:$W$21,3,TRUE)),
IF(AND(B44="G2",M44=""),IF(R44="20'",
VLOOKUP(Z44,Charge!$K$9:$M$12,2,TRUE)+(Z44-VLOOKUP(Z44,Charge!$K$9:$M$12,1,TRUE))*VLOOKUP(Z44,Charge!$K$9:$M$12,3,TRUE),
VLOOKUP(Z44,Charge!$N$9:$P$12,2,TRUE)+(Z44-VLOOKUP(Z44,Charge!$N$9:$P$12,1,TRUE))*VLOOKUP(Z44,Charge!$N$9:$P$12,3,TRUE)),
IF(AND(B44="G2",M44="DG"),IF(R44="20'",
VLOOKUP(Z44,Charge!$R$9:$T$12,2,TRUE)+(Z44-VLOOKUP(Z44,Charge!$R$9:$T$12,1,TRUE))*VLOOKUP(Z44,Charge!$R$9:$T$12,3,TRUE),
VLOOKUP(Z44,Charge!$U$9:$W$12,2,TRUE)+(Z44-VLOOKUP(Z44,Charge!$U$9:$W$12,1,TRUE))*VLOOKUP(Z44,Charge!$U$9:$W$12,3,TRUE)),IF(AND(B44="G4",M44=""),IF(R44="20'",Z44*Charge!$M$25,Z44*Charge!$P$25),IF(AND(B44="G4",M44="DG"),IF(R44="20'",Z44*Charge!$T$25,Z44*Charge!$W$25),0))))))))</f>
        <v>320</v>
      </c>
      <c r="AB44" s="184" t="n"/>
      <c r="AC44" s="184" t="n"/>
      <c r="AD44" s="60">
        <f>IF(M44="DG",3,IF(N44="RF",3,5))+IF(AND(LEFT(C44,3)="BKK",N44="RF",Q44="KTS"),1,0)+IF(Q44="KHS",1,0)</f>
        <v>5</v>
      </c>
      <c r="AE44" s="63">
        <f>(T44-V44)+1</f>
        <v>46312</v>
      </c>
      <c r="AF44" s="63">
        <f>IF(AB44&gt;IF((V44-W44)&gt;0,V44-W44,0),0,IF(AB44&lt;IF((V44-W44)&gt;0,V44-W44,0),IF((V44-W44)&gt;0,V44-W44,0)-AB44,IF((V44-W44)&gt;0,V44-W44,0)))</f>
        <v>0</v>
      </c>
      <c r="AG44" s="187">
        <f>IF(AND(M44=""),IF(R44="20'",
VLOOKUP(AF44,Charge!$K$31:$M$34,2,TRUE)+(AF44-VLOOKUP(AF44,Charge!$K$31:$M$34,1,TRUE))*VLOOKUP(AF44,Charge!$K$31:$M$34,3,TRUE),
VLOOKUP(AF44,Charge!$N$31:$P$34,2,TRUE)+(AF44-VLOOKUP(AF44,Charge!$N$31:$P$34,1,TRUE))*VLOOKUP(AF44,Charge!$N$31:$P$34,3,TRUE)),
IF(AND(M44="DG"),IF(R44="20'",
VLOOKUP(AF44,Charge!$R$31:$T$34,2,TRUE)+(AF44-VLOOKUP(AF44,Charge!$R$31:$T$34,1,TRUE))*VLOOKUP(AF44,Charge!$R$31:$T$34,3,TRUE),
VLOOKUP(AF44,Charge!$U$31:$W$34,2,TRUE)+(AF44-VLOOKUP(AF44,Charge!$U$31:$W$34,1,TRUE))*VLOOKUP(AF44,Charge!$U$31:$W$34,3,TRUE)),0))</f>
        <v>0</v>
      </c>
      <c r="AH44" s="65" t="n"/>
      <c r="AI44" s="65">
        <f>AA44-AH44</f>
        <v>320</v>
      </c>
      <c r="AJ44" s="188" t="n"/>
      <c r="AK44" s="62" t="str">
        <f>VLOOKUP(D44,'2.Bookinglist'!A:CT,40,FALSE)</f>
        <v>LEE SEUNG MIN</v>
      </c>
      <c r="AL44" s="60" t="str">
        <f>VLOOKUP(D44,'2.Bookinglist'!A:CW,101,FALSE)</f>
        <v>2026-10-15</v>
      </c>
      <c r="AM44" s="60" t="str">
        <f>VLOOKUP(D44,'2.Bookinglist'!A:BK,63,FALSE)</f>
        <v>BKK27</v>
      </c>
      <c r="AN44" s="62" t="str">
        <f>VLOOKUP(D44,'2.Bookinglist'!A:AZ,52,FALSE)</f>
        <v>Pickup : 2026-10-12, Return : 2026-10-12 
CLS TIME DD.13/10/2026 @ 17.00</v>
      </c>
      <c r="AO44" s="62">
        <f>VLOOKUP(D44,'2.Bookinglist'!A:CY,103,FALSE)</f>
        <v>0</v>
      </c>
    </row>
    <row r="45" ht="12.95" customHeight="1">
      <c r="A45" s="96" t="inlineStr">
        <is>
          <t>HLHU8394479</t>
        </is>
      </c>
      <c r="B45" s="184" t="str">
        <f>IF(C45=Charge!$M$1,Charge!$J$1,IF(C45=Charge!$M$23,Charge!$J$23,IF(C45=Charge!$M$17,Charge!$J$17,IF(C45=Charge!$N$17,Charge!$J$17,Charge!$J$7))))</f>
        <v>G3</v>
      </c>
      <c r="C45" s="61" t="str">
        <f>VLOOKUP(A45,'1.Loading'!A:R,14,FALSE)</f>
        <v>BKK01</v>
      </c>
      <c r="D45" s="61" t="str">
        <f>VLOOKUP(A45,'1.Loading'!A:R,17,FALSE)</f>
        <v>HASLS22260901687</v>
      </c>
      <c r="E45" s="62" t="str">
        <f>VLOOKUP(D45,'2.Bookinglist'!A:CT,27,FALSE)</f>
        <v>BIRLA CARBON (THAILAND) PUBLIC COMPANY LIMITED</v>
      </c>
      <c r="F45" s="62" t="str">
        <f>VLOOKUP(D45,'2.Bookinglist'!A:CT,28,FALSE)</f>
        <v>BIRLA CARBON (THAILAND) PUBLIC COMPANY LIMITED</v>
      </c>
      <c r="G45" s="60">
        <f>VLOOKUP(D45,'2.Bookinglist'!A:E,5,FALSE)</f>
        <v>0</v>
      </c>
      <c r="H45" s="61" t="str">
        <f>VLOOKUP(D45,'2.Bookinglist'!A:CT,15,FALSE)</f>
        <v>THBKK</v>
      </c>
      <c r="I45" s="61" t="str">
        <f>VLOOKUP(D45,'2.Bookinglist'!A:CT,19,FALSE)</f>
        <v>VNSGN</v>
      </c>
      <c r="J45" s="61">
        <f>VLOOKUP(D45,'2.Bookinglist'!A:CT,26,FALSE)</f>
        <v>0</v>
      </c>
      <c r="K45" s="61" t="str">
        <f>VLOOKUP(A45,'1.Loading'!A:R,5,FALSE)</f>
        <v>45GP</v>
      </c>
      <c r="L45" s="60" t="str">
        <f>VLOOKUP(D45,'2.Bookinglist'!A:CT,85,FALSE)</f>
        <v>CY/CY</v>
      </c>
      <c r="M45" s="60" t="str">
        <f>IF(VLOOKUP(D45,'2.Bookinglist'!A:CT,43,FALSE)=0,"","DG")</f>
        <v/>
      </c>
      <c r="N45" s="60" t="str">
        <f>IF(RIGHT(K45,2)="RE","RF","")</f>
        <v/>
      </c>
      <c r="O45" s="61" t="str">
        <f>VLOOKUP(A45,'1.Loading'!A:R,3,FALSE)</f>
        <v>SWIC</v>
      </c>
      <c r="P45" s="61" t="str">
        <f>VLOOKUP(A45,'1.Loading'!A:R,4,FALSE)</f>
        <v>2611N</v>
      </c>
      <c r="Q45" s="61" t="str">
        <f>VLOOKUP(D45,'2.Bookinglist'!A:CT,12,FALSE)</f>
        <v>KHS1</v>
      </c>
      <c r="R45" s="60" t="str">
        <f>IF(LEFT(K45,2)="22","20'","40'")</f>
        <v>40'</v>
      </c>
      <c r="S45" s="185" t="n"/>
      <c r="T45" s="61" t="str">
        <f>VLOOKUP(A45,'1.Loading'!A:R,2,FALSE)</f>
        <v>2026-10-16</v>
      </c>
      <c r="U45" s="63">
        <f>T45-S45</f>
        <v>46311</v>
      </c>
      <c r="V45" s="186" t="n"/>
      <c r="W45" s="61" t="str">
        <f>VLOOKUP(A45,'3.GateMove'!A:D,4,FALSE)</f>
        <v>2026-10-13</v>
      </c>
      <c r="X45" s="63">
        <f>((T45-W45)+1)</f>
        <v>4</v>
      </c>
      <c r="Y45" s="64">
        <f>IF(AND(OR(C45="BKK01",C45="BKK04"),L45="CFS/CY"),0,IF(M45="DG",1,IF(LEFT(C45,3)="LCH",7,IF(C45="BKK02",5,3))))</f>
        <v>3</v>
      </c>
      <c r="Z45" s="63">
        <f>IF(IF(AND(AC45="TML",AB45&gt;0),((T45-W45)+1)-AB45,((T45-W45)+1)-Y45)&gt;0,IF(AND(AC45="TML",AB45&gt;0),((T45-W45)+1)-AB45,((T45-W45)+1)-Y45),0)</f>
        <v>1</v>
      </c>
      <c r="AA45" s="187">
        <f>IF(AND(B45="G1",M45=""),IF(R45="20'",
VLOOKUP(Z45,Charge!$K$2:$M$5,2,TRUE)+(Z45-VLOOKUP(Z45,Charge!$K$2:$M$5,1,TRUE))*VLOOKUP(Z45,Charge!$K$2:$M$5,3,TRUE),
VLOOKUP(Z45,Charge!$N$2:$P$5,2,TRUE)+(Z45-VLOOKUP(Z45,Charge!$N$2:$P$5,1,TRUE))*VLOOKUP(Z45,Charge!$N$2:$P$5,3,TRUE)),
IF(AND(B45="G1",M45="DG"),IF(R45="20'",
VLOOKUP(Z45,Charge!$R$2:$T$5,2,TRUE)+(Z45-VLOOKUP(Z45,Charge!$R$2:$T$5,1,TRUE))*VLOOKUP(Z45,Charge!$R$2:$T$5,3,TRUE),
VLOOKUP(Z45,Charge!$U$2:$W$5,2,TRUE)+(Z45-VLOOKUP(Z45,Charge!$U$2:$W$5,1,TRUE))*VLOOKUP(Z45,Charge!$U$2:$W$5,3,TRUE)),
IF(AND(B45="G3",M45=""),IF(R45="20'",
VLOOKUP(Z45,Charge!$K$18:$M$21,2,TRUE)+(Z45-VLOOKUP(Z45,Charge!$K$18:$M$21,1,TRUE))*VLOOKUP(Z45,Charge!$K$18:$M$21,3,TRUE),
VLOOKUP(Z45,Charge!$N$18:$P$21,2,TRUE)+(Z45-VLOOKUP(Z45,Charge!$N$18:$P$21,1,TRUE))*VLOOKUP(Z45,Charge!$N$18:$P$21,3,TRUE)),
IF(AND(B45="G3",M45="DG"),IF(R45="20'",
VLOOKUP(Z45,Charge!$R$18:$T$21,2,TRUE)+(Z45-VLOOKUP(Z45,Charge!$R$18:$T$21,1,TRUE))*VLOOKUP(Z45,Charge!$R$18:$T$21,3,TRUE),
VLOOKUP(Z45,Charge!$U$18:$W$21,2,TRUE)+(Z45-VLOOKUP(Z45,Charge!$U$18:$W$21,1,TRUE))*VLOOKUP(Z45,Charge!$U$18:$W$21,3,TRUE)),
IF(AND(B45="G2",M45=""),IF(R45="20'",
VLOOKUP(Z45,Charge!$K$9:$M$12,2,TRUE)+(Z45-VLOOKUP(Z45,Charge!$K$9:$M$12,1,TRUE))*VLOOKUP(Z45,Charge!$K$9:$M$12,3,TRUE),
VLOOKUP(Z45,Charge!$N$9:$P$12,2,TRUE)+(Z45-VLOOKUP(Z45,Charge!$N$9:$P$12,1,TRUE))*VLOOKUP(Z45,Charge!$N$9:$P$12,3,TRUE)),
IF(AND(B45="G2",M45="DG"),IF(R45="20'",
VLOOKUP(Z45,Charge!$R$9:$T$12,2,TRUE)+(Z45-VLOOKUP(Z45,Charge!$R$9:$T$12,1,TRUE))*VLOOKUP(Z45,Charge!$R$9:$T$12,3,TRUE),
VLOOKUP(Z45,Charge!$U$9:$W$12,2,TRUE)+(Z45-VLOOKUP(Z45,Charge!$U$9:$W$12,1,TRUE))*VLOOKUP(Z45,Charge!$U$9:$W$12,3,TRUE)),IF(AND(B45="G4",M45=""),IF(R45="20'",Z45*Charge!$M$25,Z45*Charge!$P$25),IF(AND(B45="G4",M45="DG"),IF(R45="20'",Z45*Charge!$T$25,Z45*Charge!$W$25),0))))))))</f>
        <v>320</v>
      </c>
      <c r="AB45" s="184" t="n"/>
      <c r="AC45" s="184" t="n"/>
      <c r="AD45" s="60">
        <f>IF(M45="DG",3,IF(N45="RF",3,5))+IF(AND(LEFT(C45,3)="BKK",N45="RF",Q45="KTS"),1,0)+IF(Q45="KHS",1,0)</f>
        <v>5</v>
      </c>
      <c r="AE45" s="63">
        <f>(T45-V45)+1</f>
        <v>46312</v>
      </c>
      <c r="AF45" s="63">
        <f>IF(AB45&gt;IF((V45-W45)&gt;0,V45-W45,0),0,IF(AB45&lt;IF((V45-W45)&gt;0,V45-W45,0),IF((V45-W45)&gt;0,V45-W45,0)-AB45,IF((V45-W45)&gt;0,V45-W45,0)))</f>
        <v>0</v>
      </c>
      <c r="AG45" s="187">
        <f>IF(AND(M45=""),IF(R45="20'",
VLOOKUP(AF45,Charge!$K$31:$M$34,2,TRUE)+(AF45-VLOOKUP(AF45,Charge!$K$31:$M$34,1,TRUE))*VLOOKUP(AF45,Charge!$K$31:$M$34,3,TRUE),
VLOOKUP(AF45,Charge!$N$31:$P$34,2,TRUE)+(AF45-VLOOKUP(AF45,Charge!$N$31:$P$34,1,TRUE))*VLOOKUP(AF45,Charge!$N$31:$P$34,3,TRUE)),
IF(AND(M45="DG"),IF(R45="20'",
VLOOKUP(AF45,Charge!$R$31:$T$34,2,TRUE)+(AF45-VLOOKUP(AF45,Charge!$R$31:$T$34,1,TRUE))*VLOOKUP(AF45,Charge!$R$31:$T$34,3,TRUE),
VLOOKUP(AF45,Charge!$U$31:$W$34,2,TRUE)+(AF45-VLOOKUP(AF45,Charge!$U$31:$W$34,1,TRUE))*VLOOKUP(AF45,Charge!$U$31:$W$34,3,TRUE)),0))</f>
        <v>0</v>
      </c>
      <c r="AH45" s="65" t="n"/>
      <c r="AI45" s="65">
        <f>AA45-AH45</f>
        <v>320</v>
      </c>
      <c r="AJ45" s="188" t="n"/>
      <c r="AK45" s="62" t="str">
        <f>VLOOKUP(D45,'2.Bookinglist'!A:CT,40,FALSE)</f>
        <v>Dharaporn</v>
      </c>
      <c r="AL45" s="60" t="str">
        <f>VLOOKUP(D45,'2.Bookinglist'!A:CW,101,FALSE)</f>
        <v>2026-10-13</v>
      </c>
      <c r="AM45" s="60" t="str">
        <f>VLOOKUP(D45,'2.Bookinglist'!A:BK,63,FALSE)</f>
        <v>BKK27</v>
      </c>
      <c r="AN45" s="62" t="str">
        <f>VLOOKUP(D45,'2.Bookinglist'!A:AZ,52,FALSE)</f>
        <v>Pickup : 2026-10-08, Return : 2026-10-09
CLS TIME DD.13/10/2026 @ 23.59</v>
      </c>
      <c r="AO45" s="62">
        <f>VLOOKUP(D45,'2.Bookinglist'!A:CY,103,FALSE)</f>
        <v>0</v>
      </c>
    </row>
    <row r="46" ht="12.95" customHeight="1">
      <c r="A46" s="96" t="inlineStr">
        <is>
          <t>HLHU8416198</t>
        </is>
      </c>
      <c r="B46" s="184" t="str">
        <f>IF(C46=Charge!$M$1,Charge!$J$1,IF(C46=Charge!$M$23,Charge!$J$23,IF(C46=Charge!$M$17,Charge!$J$17,IF(C46=Charge!$N$17,Charge!$J$17,Charge!$J$7))))</f>
        <v>G3</v>
      </c>
      <c r="C46" s="61" t="str">
        <f>VLOOKUP(A46,'1.Loading'!A:R,14,FALSE)</f>
        <v>BKK01</v>
      </c>
      <c r="D46" s="61" t="str">
        <f>VLOOKUP(A46,'1.Loading'!A:R,17,FALSE)</f>
        <v>HASLS22260902182</v>
      </c>
      <c r="E46" s="62" t="str">
        <f>VLOOKUP(D46,'2.Bookinglist'!A:CT,27,FALSE)</f>
        <v>BIRLA CARBON (THAILAND) PUBLIC COMPANY LIMITED</v>
      </c>
      <c r="F46" s="62" t="str">
        <f>VLOOKUP(D46,'2.Bookinglist'!A:CT,28,FALSE)</f>
        <v>BIRLA CARBON (THAILAND) PUBLIC COMPANY LIMITED</v>
      </c>
      <c r="G46" s="60">
        <f>VLOOKUP(D46,'2.Bookinglist'!A:E,5,FALSE)</f>
        <v>0</v>
      </c>
      <c r="H46" s="61" t="str">
        <f>VLOOKUP(D46,'2.Bookinglist'!A:CT,15,FALSE)</f>
        <v>THBKK</v>
      </c>
      <c r="I46" s="61" t="str">
        <f>VLOOKUP(D46,'2.Bookinglist'!A:CT,19,FALSE)</f>
        <v>VNSGN</v>
      </c>
      <c r="J46" s="61">
        <f>VLOOKUP(D46,'2.Bookinglist'!A:CT,26,FALSE)</f>
        <v>0</v>
      </c>
      <c r="K46" s="61" t="str">
        <f>VLOOKUP(A46,'1.Loading'!A:R,5,FALSE)</f>
        <v>45GP</v>
      </c>
      <c r="L46" s="60" t="str">
        <f>VLOOKUP(D46,'2.Bookinglist'!A:CT,85,FALSE)</f>
        <v>CY/CY</v>
      </c>
      <c r="M46" s="60" t="str">
        <f>IF(VLOOKUP(D46,'2.Bookinglist'!A:CT,43,FALSE)=0,"","DG")</f>
        <v/>
      </c>
      <c r="N46" s="60" t="str">
        <f>IF(RIGHT(K46,2)="RE","RF","")</f>
        <v/>
      </c>
      <c r="O46" s="61" t="str">
        <f>VLOOKUP(A46,'1.Loading'!A:R,3,FALSE)</f>
        <v>SWIC</v>
      </c>
      <c r="P46" s="61" t="str">
        <f>VLOOKUP(A46,'1.Loading'!A:R,4,FALSE)</f>
        <v>2611N</v>
      </c>
      <c r="Q46" s="61" t="str">
        <f>VLOOKUP(D46,'2.Bookinglist'!A:CT,12,FALSE)</f>
        <v>KHS1</v>
      </c>
      <c r="R46" s="60" t="str">
        <f>IF(LEFT(K46,2)="22","20'","40'")</f>
        <v>40'</v>
      </c>
      <c r="S46" s="185" t="n"/>
      <c r="T46" s="61" t="str">
        <f>VLOOKUP(A46,'1.Loading'!A:R,2,FALSE)</f>
        <v>2026-10-16</v>
      </c>
      <c r="U46" s="63">
        <f>T46-S46</f>
        <v>46311</v>
      </c>
      <c r="V46" s="186" t="n"/>
      <c r="W46" s="61" t="str">
        <f>VLOOKUP(A46,'3.GateMove'!A:D,4,FALSE)</f>
        <v>2026-10-12</v>
      </c>
      <c r="X46" s="63">
        <f>((T46-W46)+1)</f>
        <v>5</v>
      </c>
      <c r="Y46" s="64">
        <f>IF(AND(OR(C46="BKK01",C46="BKK04"),L46="CFS/CY"),0,IF(M46="DG",1,IF(LEFT(C46,3)="LCH",7,IF(C46="BKK02",5,3))))</f>
        <v>3</v>
      </c>
      <c r="Z46" s="63">
        <f>IF(IF(AND(AC46="TML",AB46&gt;0),((T46-W46)+1)-AB46,((T46-W46)+1)-Y46)&gt;0,IF(AND(AC46="TML",AB46&gt;0),((T46-W46)+1)-AB46,((T46-W46)+1)-Y46),0)</f>
        <v>2</v>
      </c>
      <c r="AA46" s="187">
        <f>IF(AND(B46="G1",M46=""),IF(R46="20'",
VLOOKUP(Z46,Charge!$K$2:$M$5,2,TRUE)+(Z46-VLOOKUP(Z46,Charge!$K$2:$M$5,1,TRUE))*VLOOKUP(Z46,Charge!$K$2:$M$5,3,TRUE),
VLOOKUP(Z46,Charge!$N$2:$P$5,2,TRUE)+(Z46-VLOOKUP(Z46,Charge!$N$2:$P$5,1,TRUE))*VLOOKUP(Z46,Charge!$N$2:$P$5,3,TRUE)),
IF(AND(B46="G1",M46="DG"),IF(R46="20'",
VLOOKUP(Z46,Charge!$R$2:$T$5,2,TRUE)+(Z46-VLOOKUP(Z46,Charge!$R$2:$T$5,1,TRUE))*VLOOKUP(Z46,Charge!$R$2:$T$5,3,TRUE),
VLOOKUP(Z46,Charge!$U$2:$W$5,2,TRUE)+(Z46-VLOOKUP(Z46,Charge!$U$2:$W$5,1,TRUE))*VLOOKUP(Z46,Charge!$U$2:$W$5,3,TRUE)),
IF(AND(B46="G3",M46=""),IF(R46="20'",
VLOOKUP(Z46,Charge!$K$18:$M$21,2,TRUE)+(Z46-VLOOKUP(Z46,Charge!$K$18:$M$21,1,TRUE))*VLOOKUP(Z46,Charge!$K$18:$M$21,3,TRUE),
VLOOKUP(Z46,Charge!$N$18:$P$21,2,TRUE)+(Z46-VLOOKUP(Z46,Charge!$N$18:$P$21,1,TRUE))*VLOOKUP(Z46,Charge!$N$18:$P$21,3,TRUE)),
IF(AND(B46="G3",M46="DG"),IF(R46="20'",
VLOOKUP(Z46,Charge!$R$18:$T$21,2,TRUE)+(Z46-VLOOKUP(Z46,Charge!$R$18:$T$21,1,TRUE))*VLOOKUP(Z46,Charge!$R$18:$T$21,3,TRUE),
VLOOKUP(Z46,Charge!$U$18:$W$21,2,TRUE)+(Z46-VLOOKUP(Z46,Charge!$U$18:$W$21,1,TRUE))*VLOOKUP(Z46,Charge!$U$18:$W$21,3,TRUE)),
IF(AND(B46="G2",M46=""),IF(R46="20'",
VLOOKUP(Z46,Charge!$K$9:$M$12,2,TRUE)+(Z46-VLOOKUP(Z46,Charge!$K$9:$M$12,1,TRUE))*VLOOKUP(Z46,Charge!$K$9:$M$12,3,TRUE),
VLOOKUP(Z46,Charge!$N$9:$P$12,2,TRUE)+(Z46-VLOOKUP(Z46,Charge!$N$9:$P$12,1,TRUE))*VLOOKUP(Z46,Charge!$N$9:$P$12,3,TRUE)),
IF(AND(B46="G2",M46="DG"),IF(R46="20'",
VLOOKUP(Z46,Charge!$R$9:$T$12,2,TRUE)+(Z46-VLOOKUP(Z46,Charge!$R$9:$T$12,1,TRUE))*VLOOKUP(Z46,Charge!$R$9:$T$12,3,TRUE),
VLOOKUP(Z46,Charge!$U$9:$W$12,2,TRUE)+(Z46-VLOOKUP(Z46,Charge!$U$9:$W$12,1,TRUE))*VLOOKUP(Z46,Charge!$U$9:$W$12,3,TRUE)),IF(AND(B46="G4",M46=""),IF(R46="20'",Z46*Charge!$M$25,Z46*Charge!$P$25),IF(AND(B46="G4",M46="DG"),IF(R46="20'",Z46*Charge!$T$25,Z46*Charge!$W$25),0))))))))</f>
        <v>640</v>
      </c>
      <c r="AB46" s="184" t="n"/>
      <c r="AC46" s="184" t="n"/>
      <c r="AD46" s="60">
        <f>IF(M46="DG",3,IF(N46="RF",3,5))+IF(AND(LEFT(C46,3)="BKK",N46="RF",Q46="KTS"),1,0)+IF(Q46="KHS",1,0)</f>
        <v>5</v>
      </c>
      <c r="AE46" s="63">
        <f>(T46-V46)+1</f>
        <v>46312</v>
      </c>
      <c r="AF46" s="63">
        <f>IF(AB46&gt;IF((V46-W46)&gt;0,V46-W46,0),0,IF(AB46&lt;IF((V46-W46)&gt;0,V46-W46,0),IF((V46-W46)&gt;0,V46-W46,0)-AB46,IF((V46-W46)&gt;0,V46-W46,0)))</f>
        <v>0</v>
      </c>
      <c r="AG46" s="187">
        <f>IF(AND(M46=""),IF(R46="20'",
VLOOKUP(AF46,Charge!$K$31:$M$34,2,TRUE)+(AF46-VLOOKUP(AF46,Charge!$K$31:$M$34,1,TRUE))*VLOOKUP(AF46,Charge!$K$31:$M$34,3,TRUE),
VLOOKUP(AF46,Charge!$N$31:$P$34,2,TRUE)+(AF46-VLOOKUP(AF46,Charge!$N$31:$P$34,1,TRUE))*VLOOKUP(AF46,Charge!$N$31:$P$34,3,TRUE)),
IF(AND(M46="DG"),IF(R46="20'",
VLOOKUP(AF46,Charge!$R$31:$T$34,2,TRUE)+(AF46-VLOOKUP(AF46,Charge!$R$31:$T$34,1,TRUE))*VLOOKUP(AF46,Charge!$R$31:$T$34,3,TRUE),
VLOOKUP(AF46,Charge!$U$31:$W$34,2,TRUE)+(AF46-VLOOKUP(AF46,Charge!$U$31:$W$34,1,TRUE))*VLOOKUP(AF46,Charge!$U$31:$W$34,3,TRUE)),0))</f>
        <v>0</v>
      </c>
      <c r="AH46" s="65" t="n"/>
      <c r="AI46" s="65">
        <f>AA46-AH46</f>
        <v>640</v>
      </c>
      <c r="AJ46" s="188" t="n"/>
      <c r="AK46" s="62" t="str">
        <f>VLOOKUP(D46,'2.Bookinglist'!A:CT,40,FALSE)</f>
        <v>Dharaporn</v>
      </c>
      <c r="AL46" s="60" t="str">
        <f>VLOOKUP(D46,'2.Bookinglist'!A:CW,101,FALSE)</f>
        <v>2026-10-15</v>
      </c>
      <c r="AM46" s="60" t="str">
        <f>VLOOKUP(D46,'2.Bookinglist'!A:BK,63,FALSE)</f>
        <v>BKK27</v>
      </c>
      <c r="AN46" s="62" t="str">
        <f>VLOOKUP(D46,'2.Bookinglist'!A:AZ,52,FALSE)</f>
        <v>Pickup : 2026-10-10, Return : 2026-10-11
CLS TIME DD.13/10/2026 @ 23.59</v>
      </c>
      <c r="AO46" s="62">
        <f>VLOOKUP(D46,'2.Bookinglist'!A:CY,103,FALSE)</f>
        <v>0</v>
      </c>
    </row>
    <row r="47" ht="12.95" customHeight="1">
      <c r="A47" s="96" t="inlineStr">
        <is>
          <t>HLHU8426679</t>
        </is>
      </c>
      <c r="B47" s="184" t="str">
        <f>IF(C47=Charge!$M$1,Charge!$J$1,IF(C47=Charge!$M$23,Charge!$J$23,IF(C47=Charge!$M$17,Charge!$J$17,IF(C47=Charge!$N$17,Charge!$J$17,Charge!$J$7))))</f>
        <v>G3</v>
      </c>
      <c r="C47" s="61" t="str">
        <f>VLOOKUP(A47,'1.Loading'!A:R,14,FALSE)</f>
        <v>BKK01</v>
      </c>
      <c r="D47" s="61" t="str">
        <f>VLOOKUP(A47,'1.Loading'!A:R,17,FALSE)</f>
        <v>HASLS22260902182</v>
      </c>
      <c r="E47" s="62" t="str">
        <f>VLOOKUP(D47,'2.Bookinglist'!A:CT,27,FALSE)</f>
        <v>BIRLA CARBON (THAILAND) PUBLIC COMPANY LIMITED</v>
      </c>
      <c r="F47" s="62" t="str">
        <f>VLOOKUP(D47,'2.Bookinglist'!A:CT,28,FALSE)</f>
        <v>BIRLA CARBON (THAILAND) PUBLIC COMPANY LIMITED</v>
      </c>
      <c r="G47" s="60">
        <f>VLOOKUP(D47,'2.Bookinglist'!A:E,5,FALSE)</f>
        <v>0</v>
      </c>
      <c r="H47" s="61" t="str">
        <f>VLOOKUP(D47,'2.Bookinglist'!A:CT,15,FALSE)</f>
        <v>THBKK</v>
      </c>
      <c r="I47" s="61" t="str">
        <f>VLOOKUP(D47,'2.Bookinglist'!A:CT,19,FALSE)</f>
        <v>VNSGN</v>
      </c>
      <c r="J47" s="61">
        <f>VLOOKUP(D47,'2.Bookinglist'!A:CT,26,FALSE)</f>
        <v>0</v>
      </c>
      <c r="K47" s="61" t="str">
        <f>VLOOKUP(A47,'1.Loading'!A:R,5,FALSE)</f>
        <v>45GP</v>
      </c>
      <c r="L47" s="60" t="str">
        <f>VLOOKUP(D47,'2.Bookinglist'!A:CT,85,FALSE)</f>
        <v>CY/CY</v>
      </c>
      <c r="M47" s="60" t="str">
        <f>IF(VLOOKUP(D47,'2.Bookinglist'!A:CT,43,FALSE)=0,"","DG")</f>
        <v/>
      </c>
      <c r="N47" s="60" t="str">
        <f>IF(RIGHT(K47,2)="RE","RF","")</f>
        <v/>
      </c>
      <c r="O47" s="61" t="str">
        <f>VLOOKUP(A47,'1.Loading'!A:R,3,FALSE)</f>
        <v>SWIC</v>
      </c>
      <c r="P47" s="61" t="str">
        <f>VLOOKUP(A47,'1.Loading'!A:R,4,FALSE)</f>
        <v>2611N</v>
      </c>
      <c r="Q47" s="61" t="str">
        <f>VLOOKUP(D47,'2.Bookinglist'!A:CT,12,FALSE)</f>
        <v>KHS1</v>
      </c>
      <c r="R47" s="60" t="str">
        <f>IF(LEFT(K47,2)="22","20'","40'")</f>
        <v>40'</v>
      </c>
      <c r="S47" s="185" t="n"/>
      <c r="T47" s="61" t="str">
        <f>VLOOKUP(A47,'1.Loading'!A:R,2,FALSE)</f>
        <v>2026-10-16</v>
      </c>
      <c r="U47" s="63">
        <f>T47-S47</f>
        <v>46311</v>
      </c>
      <c r="V47" s="186" t="n"/>
      <c r="W47" s="61" t="str">
        <f>VLOOKUP(A47,'3.GateMove'!A:D,4,FALSE)</f>
        <v>2026-10-13</v>
      </c>
      <c r="X47" s="63">
        <f>((T47-W47)+1)</f>
        <v>4</v>
      </c>
      <c r="Y47" s="64">
        <f>IF(AND(OR(C47="BKK01",C47="BKK04"),L47="CFS/CY"),0,IF(M47="DG",1,IF(LEFT(C47,3)="LCH",7,IF(C47="BKK02",5,3))))</f>
        <v>3</v>
      </c>
      <c r="Z47" s="63">
        <f>IF(IF(AND(AC47="TML",AB47&gt;0),((T47-W47)+1)-AB47,((T47-W47)+1)-Y47)&gt;0,IF(AND(AC47="TML",AB47&gt;0),((T47-W47)+1)-AB47,((T47-W47)+1)-Y47),0)</f>
        <v>1</v>
      </c>
      <c r="AA47" s="187">
        <f>IF(AND(B47="G1",M47=""),IF(R47="20'",
VLOOKUP(Z47,Charge!$K$2:$M$5,2,TRUE)+(Z47-VLOOKUP(Z47,Charge!$K$2:$M$5,1,TRUE))*VLOOKUP(Z47,Charge!$K$2:$M$5,3,TRUE),
VLOOKUP(Z47,Charge!$N$2:$P$5,2,TRUE)+(Z47-VLOOKUP(Z47,Charge!$N$2:$P$5,1,TRUE))*VLOOKUP(Z47,Charge!$N$2:$P$5,3,TRUE)),
IF(AND(B47="G1",M47="DG"),IF(R47="20'",
VLOOKUP(Z47,Charge!$R$2:$T$5,2,TRUE)+(Z47-VLOOKUP(Z47,Charge!$R$2:$T$5,1,TRUE))*VLOOKUP(Z47,Charge!$R$2:$T$5,3,TRUE),
VLOOKUP(Z47,Charge!$U$2:$W$5,2,TRUE)+(Z47-VLOOKUP(Z47,Charge!$U$2:$W$5,1,TRUE))*VLOOKUP(Z47,Charge!$U$2:$W$5,3,TRUE)),
IF(AND(B47="G3",M47=""),IF(R47="20'",
VLOOKUP(Z47,Charge!$K$18:$M$21,2,TRUE)+(Z47-VLOOKUP(Z47,Charge!$K$18:$M$21,1,TRUE))*VLOOKUP(Z47,Charge!$K$18:$M$21,3,TRUE),
VLOOKUP(Z47,Charge!$N$18:$P$21,2,TRUE)+(Z47-VLOOKUP(Z47,Charge!$N$18:$P$21,1,TRUE))*VLOOKUP(Z47,Charge!$N$18:$P$21,3,TRUE)),
IF(AND(B47="G3",M47="DG"),IF(R47="20'",
VLOOKUP(Z47,Charge!$R$18:$T$21,2,TRUE)+(Z47-VLOOKUP(Z47,Charge!$R$18:$T$21,1,TRUE))*VLOOKUP(Z47,Charge!$R$18:$T$21,3,TRUE),
VLOOKUP(Z47,Charge!$U$18:$W$21,2,TRUE)+(Z47-VLOOKUP(Z47,Charge!$U$18:$W$21,1,TRUE))*VLOOKUP(Z47,Charge!$U$18:$W$21,3,TRUE)),
IF(AND(B47="G2",M47=""),IF(R47="20'",
VLOOKUP(Z47,Charge!$K$9:$M$12,2,TRUE)+(Z47-VLOOKUP(Z47,Charge!$K$9:$M$12,1,TRUE))*VLOOKUP(Z47,Charge!$K$9:$M$12,3,TRUE),
VLOOKUP(Z47,Charge!$N$9:$P$12,2,TRUE)+(Z47-VLOOKUP(Z47,Charge!$N$9:$P$12,1,TRUE))*VLOOKUP(Z47,Charge!$N$9:$P$12,3,TRUE)),
IF(AND(B47="G2",M47="DG"),IF(R47="20'",
VLOOKUP(Z47,Charge!$R$9:$T$12,2,TRUE)+(Z47-VLOOKUP(Z47,Charge!$R$9:$T$12,1,TRUE))*VLOOKUP(Z47,Charge!$R$9:$T$12,3,TRUE),
VLOOKUP(Z47,Charge!$U$9:$W$12,2,TRUE)+(Z47-VLOOKUP(Z47,Charge!$U$9:$W$12,1,TRUE))*VLOOKUP(Z47,Charge!$U$9:$W$12,3,TRUE)),IF(AND(B47="G4",M47=""),IF(R47="20'",Z47*Charge!$M$25,Z47*Charge!$P$25),IF(AND(B47="G4",M47="DG"),IF(R47="20'",Z47*Charge!$T$25,Z47*Charge!$W$25),0))))))))</f>
        <v>320</v>
      </c>
      <c r="AB47" s="184" t="n"/>
      <c r="AC47" s="184" t="n"/>
      <c r="AD47" s="60">
        <f>IF(M47="DG",3,IF(N47="RF",3,5))+IF(AND(LEFT(C47,3)="BKK",N47="RF",Q47="KTS"),1,0)+IF(Q47="KHS",1,0)</f>
        <v>5</v>
      </c>
      <c r="AE47" s="63">
        <f>(T47-V47)+1</f>
        <v>46312</v>
      </c>
      <c r="AF47" s="63">
        <f>IF(AB47&gt;IF((V47-W47)&gt;0,V47-W47,0),0,IF(AB47&lt;IF((V47-W47)&gt;0,V47-W47,0),IF((V47-W47)&gt;0,V47-W47,0)-AB47,IF((V47-W47)&gt;0,V47-W47,0)))</f>
        <v>0</v>
      </c>
      <c r="AG47" s="187">
        <f>IF(AND(M47=""),IF(R47="20'",
VLOOKUP(AF47,Charge!$K$31:$M$34,2,TRUE)+(AF47-VLOOKUP(AF47,Charge!$K$31:$M$34,1,TRUE))*VLOOKUP(AF47,Charge!$K$31:$M$34,3,TRUE),
VLOOKUP(AF47,Charge!$N$31:$P$34,2,TRUE)+(AF47-VLOOKUP(AF47,Charge!$N$31:$P$34,1,TRUE))*VLOOKUP(AF47,Charge!$N$31:$P$34,3,TRUE)),
IF(AND(M47="DG"),IF(R47="20'",
VLOOKUP(AF47,Charge!$R$31:$T$34,2,TRUE)+(AF47-VLOOKUP(AF47,Charge!$R$31:$T$34,1,TRUE))*VLOOKUP(AF47,Charge!$R$31:$T$34,3,TRUE),
VLOOKUP(AF47,Charge!$U$31:$W$34,2,TRUE)+(AF47-VLOOKUP(AF47,Charge!$U$31:$W$34,1,TRUE))*VLOOKUP(AF47,Charge!$U$31:$W$34,3,TRUE)),0))</f>
        <v>0</v>
      </c>
      <c r="AH47" s="65" t="n"/>
      <c r="AI47" s="65">
        <f>AA47-AH47</f>
        <v>320</v>
      </c>
      <c r="AJ47" s="188" t="n"/>
      <c r="AK47" s="62" t="str">
        <f>VLOOKUP(D47,'2.Bookinglist'!A:CT,40,FALSE)</f>
        <v>Dharaporn</v>
      </c>
      <c r="AL47" s="60" t="str">
        <f>VLOOKUP(D47,'2.Bookinglist'!A:CW,101,FALSE)</f>
        <v>2026-10-15</v>
      </c>
      <c r="AM47" s="60" t="str">
        <f>VLOOKUP(D47,'2.Bookinglist'!A:BK,63,FALSE)</f>
        <v>BKK27</v>
      </c>
      <c r="AN47" s="62" t="str">
        <f>VLOOKUP(D47,'2.Bookinglist'!A:AZ,52,FALSE)</f>
        <v>Pickup : 2026-10-10, Return : 2026-10-11
CLS TIME DD.13/10/2026 @ 23.59</v>
      </c>
      <c r="AO47" s="62">
        <f>VLOOKUP(D47,'2.Bookinglist'!A:CY,103,FALSE)</f>
        <v>0</v>
      </c>
    </row>
    <row r="48" ht="12.95" customHeight="1">
      <c r="A48" s="96" t="inlineStr">
        <is>
          <t>HLHU8443315</t>
        </is>
      </c>
      <c r="B48" s="184" t="str">
        <f>IF(C48=Charge!$M$1,Charge!$J$1,IF(C48=Charge!$M$23,Charge!$J$23,IF(C48=Charge!$M$17,Charge!$J$17,IF(C48=Charge!$N$17,Charge!$J$17,Charge!$J$7))))</f>
        <v>G3</v>
      </c>
      <c r="C48" s="61" t="str">
        <f>VLOOKUP(A48,'1.Loading'!A:R,14,FALSE)</f>
        <v>BKK01</v>
      </c>
      <c r="D48" s="61" t="str">
        <f>VLOOKUP(A48,'1.Loading'!A:R,17,FALSE)</f>
        <v>HASLS22261000476</v>
      </c>
      <c r="E48" s="62" t="str">
        <f>VLOOKUP(D48,'2.Bookinglist'!A:CT,27,FALSE)</f>
        <v>OASIS LOGISTICS CO., LTD.</v>
      </c>
      <c r="F48" s="62" t="str">
        <f>VLOOKUP(D48,'2.Bookinglist'!A:CT,28,FALSE)</f>
        <v>MING JEAW CO., LTD.</v>
      </c>
      <c r="G48" s="60">
        <f>VLOOKUP(D48,'2.Bookinglist'!A:E,5,FALSE)</f>
        <v>0</v>
      </c>
      <c r="H48" s="61" t="str">
        <f>VLOOKUP(D48,'2.Bookinglist'!A:CT,15,FALSE)</f>
        <v>THBKK</v>
      </c>
      <c r="I48" s="61" t="str">
        <f>VLOOKUP(D48,'2.Bookinglist'!A:CT,19,FALSE)</f>
        <v>VNSGN</v>
      </c>
      <c r="J48" s="61">
        <f>VLOOKUP(D48,'2.Bookinglist'!A:CT,26,FALSE)</f>
        <v>0</v>
      </c>
      <c r="K48" s="61" t="str">
        <f>VLOOKUP(A48,'1.Loading'!A:R,5,FALSE)</f>
        <v>45GP</v>
      </c>
      <c r="L48" s="60" t="str">
        <f>VLOOKUP(D48,'2.Bookinglist'!A:CT,85,FALSE)</f>
        <v>CY/CY</v>
      </c>
      <c r="M48" s="60" t="str">
        <f>IF(VLOOKUP(D48,'2.Bookinglist'!A:CT,43,FALSE)=0,"","DG")</f>
        <v/>
      </c>
      <c r="N48" s="60" t="str">
        <f>IF(RIGHT(K48,2)="RE","RF","")</f>
        <v/>
      </c>
      <c r="O48" s="61" t="str">
        <f>VLOOKUP(A48,'1.Loading'!A:R,3,FALSE)</f>
        <v>SWIC</v>
      </c>
      <c r="P48" s="61" t="str">
        <f>VLOOKUP(A48,'1.Loading'!A:R,4,FALSE)</f>
        <v>2611N</v>
      </c>
      <c r="Q48" s="61" t="str">
        <f>VLOOKUP(D48,'2.Bookinglist'!A:CT,12,FALSE)</f>
        <v>KHS1</v>
      </c>
      <c r="R48" s="60" t="str">
        <f>IF(LEFT(K48,2)="22","20'","40'")</f>
        <v>40'</v>
      </c>
      <c r="S48" s="185" t="n"/>
      <c r="T48" s="61" t="str">
        <f>VLOOKUP(A48,'1.Loading'!A:R,2,FALSE)</f>
        <v>2026-10-16</v>
      </c>
      <c r="U48" s="63">
        <f>T48-S48</f>
        <v>46311</v>
      </c>
      <c r="V48" s="186" t="n"/>
      <c r="W48" s="61" t="str">
        <f>VLOOKUP(A48,'3.GateMove'!A:D,4,FALSE)</f>
        <v>2026-10-12</v>
      </c>
      <c r="X48" s="63">
        <f>((T48-W48)+1)</f>
        <v>5</v>
      </c>
      <c r="Y48" s="64">
        <f>IF(AND(OR(C48="BKK01",C48="BKK04"),L48="CFS/CY"),0,IF(M48="DG",1,IF(LEFT(C48,3)="LCH",7,IF(C48="BKK02",5,3))))</f>
        <v>3</v>
      </c>
      <c r="Z48" s="63">
        <f>IF(IF(AND(AC48="TML",AB48&gt;0),((T48-W48)+1)-AB48,((T48-W48)+1)-Y48)&gt;0,IF(AND(AC48="TML",AB48&gt;0),((T48-W48)+1)-AB48,((T48-W48)+1)-Y48),0)</f>
        <v>2</v>
      </c>
      <c r="AA48" s="187">
        <f>IF(AND(B48="G1",M48=""),IF(R48="20'",
VLOOKUP(Z48,Charge!$K$2:$M$5,2,TRUE)+(Z48-VLOOKUP(Z48,Charge!$K$2:$M$5,1,TRUE))*VLOOKUP(Z48,Charge!$K$2:$M$5,3,TRUE),
VLOOKUP(Z48,Charge!$N$2:$P$5,2,TRUE)+(Z48-VLOOKUP(Z48,Charge!$N$2:$P$5,1,TRUE))*VLOOKUP(Z48,Charge!$N$2:$P$5,3,TRUE)),
IF(AND(B48="G1",M48="DG"),IF(R48="20'",
VLOOKUP(Z48,Charge!$R$2:$T$5,2,TRUE)+(Z48-VLOOKUP(Z48,Charge!$R$2:$T$5,1,TRUE))*VLOOKUP(Z48,Charge!$R$2:$T$5,3,TRUE),
VLOOKUP(Z48,Charge!$U$2:$W$5,2,TRUE)+(Z48-VLOOKUP(Z48,Charge!$U$2:$W$5,1,TRUE))*VLOOKUP(Z48,Charge!$U$2:$W$5,3,TRUE)),
IF(AND(B48="G3",M48=""),IF(R48="20'",
VLOOKUP(Z48,Charge!$K$18:$M$21,2,TRUE)+(Z48-VLOOKUP(Z48,Charge!$K$18:$M$21,1,TRUE))*VLOOKUP(Z48,Charge!$K$18:$M$21,3,TRUE),
VLOOKUP(Z48,Charge!$N$18:$P$21,2,TRUE)+(Z48-VLOOKUP(Z48,Charge!$N$18:$P$21,1,TRUE))*VLOOKUP(Z48,Charge!$N$18:$P$21,3,TRUE)),
IF(AND(B48="G3",M48="DG"),IF(R48="20'",
VLOOKUP(Z48,Charge!$R$18:$T$21,2,TRUE)+(Z48-VLOOKUP(Z48,Charge!$R$18:$T$21,1,TRUE))*VLOOKUP(Z48,Charge!$R$18:$T$21,3,TRUE),
VLOOKUP(Z48,Charge!$U$18:$W$21,2,TRUE)+(Z48-VLOOKUP(Z48,Charge!$U$18:$W$21,1,TRUE))*VLOOKUP(Z48,Charge!$U$18:$W$21,3,TRUE)),
IF(AND(B48="G2",M48=""),IF(R48="20'",
VLOOKUP(Z48,Charge!$K$9:$M$12,2,TRUE)+(Z48-VLOOKUP(Z48,Charge!$K$9:$M$12,1,TRUE))*VLOOKUP(Z48,Charge!$K$9:$M$12,3,TRUE),
VLOOKUP(Z48,Charge!$N$9:$P$12,2,TRUE)+(Z48-VLOOKUP(Z48,Charge!$N$9:$P$12,1,TRUE))*VLOOKUP(Z48,Charge!$N$9:$P$12,3,TRUE)),
IF(AND(B48="G2",M48="DG"),IF(R48="20'",
VLOOKUP(Z48,Charge!$R$9:$T$12,2,TRUE)+(Z48-VLOOKUP(Z48,Charge!$R$9:$T$12,1,TRUE))*VLOOKUP(Z48,Charge!$R$9:$T$12,3,TRUE),
VLOOKUP(Z48,Charge!$U$9:$W$12,2,TRUE)+(Z48-VLOOKUP(Z48,Charge!$U$9:$W$12,1,TRUE))*VLOOKUP(Z48,Charge!$U$9:$W$12,3,TRUE)),IF(AND(B48="G4",M48=""),IF(R48="20'",Z48*Charge!$M$25,Z48*Charge!$P$25),IF(AND(B48="G4",M48="DG"),IF(R48="20'",Z48*Charge!$T$25,Z48*Charge!$W$25),0))))))))</f>
        <v>640</v>
      </c>
      <c r="AB48" s="184" t="n"/>
      <c r="AC48" s="184" t="n"/>
      <c r="AD48" s="60">
        <f>IF(M48="DG",3,IF(N48="RF",3,5))+IF(AND(LEFT(C48,3)="BKK",N48="RF",Q48="KTS"),1,0)+IF(Q48="KHS",1,0)</f>
        <v>5</v>
      </c>
      <c r="AE48" s="63">
        <f>(T48-V48)+1</f>
        <v>46312</v>
      </c>
      <c r="AF48" s="63">
        <f>IF(AB48&gt;IF((V48-W48)&gt;0,V48-W48,0),0,IF(AB48&lt;IF((V48-W48)&gt;0,V48-W48,0),IF((V48-W48)&gt;0,V48-W48,0)-AB48,IF((V48-W48)&gt;0,V48-W48,0)))</f>
        <v>0</v>
      </c>
      <c r="AG48" s="187">
        <f>IF(AND(M48=""),IF(R48="20'",
VLOOKUP(AF48,Charge!$K$31:$M$34,2,TRUE)+(AF48-VLOOKUP(AF48,Charge!$K$31:$M$34,1,TRUE))*VLOOKUP(AF48,Charge!$K$31:$M$34,3,TRUE),
VLOOKUP(AF48,Charge!$N$31:$P$34,2,TRUE)+(AF48-VLOOKUP(AF48,Charge!$N$31:$P$34,1,TRUE))*VLOOKUP(AF48,Charge!$N$31:$P$34,3,TRUE)),
IF(AND(M48="DG"),IF(R48="20'",
VLOOKUP(AF48,Charge!$R$31:$T$34,2,TRUE)+(AF48-VLOOKUP(AF48,Charge!$R$31:$T$34,1,TRUE))*VLOOKUP(AF48,Charge!$R$31:$T$34,3,TRUE),
VLOOKUP(AF48,Charge!$U$31:$W$34,2,TRUE)+(AF48-VLOOKUP(AF48,Charge!$U$31:$W$34,1,TRUE))*VLOOKUP(AF48,Charge!$U$31:$W$34,3,TRUE)),0))</f>
        <v>0</v>
      </c>
      <c r="AH48" s="65" t="n"/>
      <c r="AI48" s="65">
        <f>AA48-AH48</f>
        <v>640</v>
      </c>
      <c r="AJ48" s="188" t="n"/>
      <c r="AK48" s="62" t="str">
        <f>VLOOKUP(D48,'2.Bookinglist'!A:CT,40,FALSE)</f>
        <v>Kanokporn</v>
      </c>
      <c r="AL48" s="60" t="str">
        <f>VLOOKUP(D48,'2.Bookinglist'!A:CW,101,FALSE)</f>
        <v>2026-10-15</v>
      </c>
      <c r="AM48" s="60" t="str">
        <f>VLOOKUP(D48,'2.Bookinglist'!A:BK,63,FALSE)</f>
        <v>BKK27</v>
      </c>
      <c r="AN48" s="62" t="str">
        <f>VLOOKUP(D48,'2.Bookinglist'!A:AZ,52,FALSE)</f>
        <v>Pickup : 2026-10-10, Return : 2026-10-12</v>
      </c>
      <c r="AO48" s="62">
        <f>VLOOKUP(D48,'2.Bookinglist'!A:CY,103,FALSE)</f>
        <v>0</v>
      </c>
    </row>
    <row r="49" ht="12.95" customHeight="1">
      <c r="A49" s="96" t="inlineStr">
        <is>
          <t>HLHU8449756</t>
        </is>
      </c>
      <c r="B49" s="184" t="str">
        <f>IF(C49=Charge!$M$1,Charge!$J$1,IF(C49=Charge!$M$23,Charge!$J$23,IF(C49=Charge!$M$17,Charge!$J$17,IF(C49=Charge!$N$17,Charge!$J$17,Charge!$J$7))))</f>
        <v>G3</v>
      </c>
      <c r="C49" s="61" t="str">
        <f>VLOOKUP(A49,'1.Loading'!A:R,14,FALSE)</f>
        <v>BKK01</v>
      </c>
      <c r="D49" s="61" t="str">
        <f>VLOOKUP(A49,'1.Loading'!A:R,17,FALSE)</f>
        <v>HASLS22260902196</v>
      </c>
      <c r="E49" s="62" t="str">
        <f>VLOOKUP(D49,'2.Bookinglist'!A:CT,27,FALSE)</f>
        <v>PRIME LOGISTICS INTERNATIONAL CO., LTD.</v>
      </c>
      <c r="F49" s="62" t="str">
        <f>VLOOKUP(D49,'2.Bookinglist'!A:CT,28,FALSE)</f>
        <v>ASIAN GLOBAL HOLDING CO.,LTD</v>
      </c>
      <c r="G49" s="60">
        <f>VLOOKUP(D49,'2.Bookinglist'!A:E,5,FALSE)</f>
        <v>0</v>
      </c>
      <c r="H49" s="61" t="str">
        <f>VLOOKUP(D49,'2.Bookinglist'!A:CT,15,FALSE)</f>
        <v>THBKK</v>
      </c>
      <c r="I49" s="61" t="str">
        <f>VLOOKUP(D49,'2.Bookinglist'!A:CT,19,FALSE)</f>
        <v>VNSGN</v>
      </c>
      <c r="J49" s="61">
        <f>VLOOKUP(D49,'2.Bookinglist'!A:CT,26,FALSE)</f>
        <v>0</v>
      </c>
      <c r="K49" s="61" t="str">
        <f>VLOOKUP(A49,'1.Loading'!A:R,5,FALSE)</f>
        <v>45GP</v>
      </c>
      <c r="L49" s="60" t="str">
        <f>VLOOKUP(D49,'2.Bookinglist'!A:CT,85,FALSE)</f>
        <v>CY/CY</v>
      </c>
      <c r="M49" s="60" t="str">
        <f>IF(VLOOKUP(D49,'2.Bookinglist'!A:CT,43,FALSE)=0,"","DG")</f>
        <v/>
      </c>
      <c r="N49" s="60" t="str">
        <f>IF(RIGHT(K49,2)="RE","RF","")</f>
        <v/>
      </c>
      <c r="O49" s="61" t="str">
        <f>VLOOKUP(A49,'1.Loading'!A:R,3,FALSE)</f>
        <v>SWIC</v>
      </c>
      <c r="P49" s="61" t="str">
        <f>VLOOKUP(A49,'1.Loading'!A:R,4,FALSE)</f>
        <v>2611N</v>
      </c>
      <c r="Q49" s="61" t="str">
        <f>VLOOKUP(D49,'2.Bookinglist'!A:CT,12,FALSE)</f>
        <v>KHS1</v>
      </c>
      <c r="R49" s="60" t="str">
        <f>IF(LEFT(K49,2)="22","20'","40'")</f>
        <v>40'</v>
      </c>
      <c r="S49" s="185" t="n"/>
      <c r="T49" s="61" t="str">
        <f>VLOOKUP(A49,'1.Loading'!A:R,2,FALSE)</f>
        <v>2026-10-16</v>
      </c>
      <c r="U49" s="63">
        <f>T49-S49</f>
        <v>46311</v>
      </c>
      <c r="V49" s="186" t="n"/>
      <c r="W49" s="61" t="str">
        <f>VLOOKUP(A49,'3.GateMove'!A:D,4,FALSE)</f>
        <v>2026-10-12</v>
      </c>
      <c r="X49" s="63">
        <f>((T49-W49)+1)</f>
        <v>5</v>
      </c>
      <c r="Y49" s="64">
        <f>IF(AND(OR(C49="BKK01",C49="BKK04"),L49="CFS/CY"),0,IF(M49="DG",1,IF(LEFT(C49,3)="LCH",7,IF(C49="BKK02",5,3))))</f>
        <v>3</v>
      </c>
      <c r="Z49" s="63">
        <f>IF(IF(AND(AC49="TML",AB49&gt;0),((T49-W49)+1)-AB49,((T49-W49)+1)-Y49)&gt;0,IF(AND(AC49="TML",AB49&gt;0),((T49-W49)+1)-AB49,((T49-W49)+1)-Y49),0)</f>
        <v>2</v>
      </c>
      <c r="AA49" s="187">
        <f>IF(AND(B49="G1",M49=""),IF(R49="20'",
VLOOKUP(Z49,Charge!$K$2:$M$5,2,TRUE)+(Z49-VLOOKUP(Z49,Charge!$K$2:$M$5,1,TRUE))*VLOOKUP(Z49,Charge!$K$2:$M$5,3,TRUE),
VLOOKUP(Z49,Charge!$N$2:$P$5,2,TRUE)+(Z49-VLOOKUP(Z49,Charge!$N$2:$P$5,1,TRUE))*VLOOKUP(Z49,Charge!$N$2:$P$5,3,TRUE)),
IF(AND(B49="G1",M49="DG"),IF(R49="20'",
VLOOKUP(Z49,Charge!$R$2:$T$5,2,TRUE)+(Z49-VLOOKUP(Z49,Charge!$R$2:$T$5,1,TRUE))*VLOOKUP(Z49,Charge!$R$2:$T$5,3,TRUE),
VLOOKUP(Z49,Charge!$U$2:$W$5,2,TRUE)+(Z49-VLOOKUP(Z49,Charge!$U$2:$W$5,1,TRUE))*VLOOKUP(Z49,Charge!$U$2:$W$5,3,TRUE)),
IF(AND(B49="G3",M49=""),IF(R49="20'",
VLOOKUP(Z49,Charge!$K$18:$M$21,2,TRUE)+(Z49-VLOOKUP(Z49,Charge!$K$18:$M$21,1,TRUE))*VLOOKUP(Z49,Charge!$K$18:$M$21,3,TRUE),
VLOOKUP(Z49,Charge!$N$18:$P$21,2,TRUE)+(Z49-VLOOKUP(Z49,Charge!$N$18:$P$21,1,TRUE))*VLOOKUP(Z49,Charge!$N$18:$P$21,3,TRUE)),
IF(AND(B49="G3",M49="DG"),IF(R49="20'",
VLOOKUP(Z49,Charge!$R$18:$T$21,2,TRUE)+(Z49-VLOOKUP(Z49,Charge!$R$18:$T$21,1,TRUE))*VLOOKUP(Z49,Charge!$R$18:$T$21,3,TRUE),
VLOOKUP(Z49,Charge!$U$18:$W$21,2,TRUE)+(Z49-VLOOKUP(Z49,Charge!$U$18:$W$21,1,TRUE))*VLOOKUP(Z49,Charge!$U$18:$W$21,3,TRUE)),
IF(AND(B49="G2",M49=""),IF(R49="20'",
VLOOKUP(Z49,Charge!$K$9:$M$12,2,TRUE)+(Z49-VLOOKUP(Z49,Charge!$K$9:$M$12,1,TRUE))*VLOOKUP(Z49,Charge!$K$9:$M$12,3,TRUE),
VLOOKUP(Z49,Charge!$N$9:$P$12,2,TRUE)+(Z49-VLOOKUP(Z49,Charge!$N$9:$P$12,1,TRUE))*VLOOKUP(Z49,Charge!$N$9:$P$12,3,TRUE)),
IF(AND(B49="G2",M49="DG"),IF(R49="20'",
VLOOKUP(Z49,Charge!$R$9:$T$12,2,TRUE)+(Z49-VLOOKUP(Z49,Charge!$R$9:$T$12,1,TRUE))*VLOOKUP(Z49,Charge!$R$9:$T$12,3,TRUE),
VLOOKUP(Z49,Charge!$U$9:$W$12,2,TRUE)+(Z49-VLOOKUP(Z49,Charge!$U$9:$W$12,1,TRUE))*VLOOKUP(Z49,Charge!$U$9:$W$12,3,TRUE)),IF(AND(B49="G4",M49=""),IF(R49="20'",Z49*Charge!$M$25,Z49*Charge!$P$25),IF(AND(B49="G4",M49="DG"),IF(R49="20'",Z49*Charge!$T$25,Z49*Charge!$W$25),0))))))))</f>
        <v>640</v>
      </c>
      <c r="AB49" s="184" t="n"/>
      <c r="AC49" s="184" t="n"/>
      <c r="AD49" s="60">
        <f>IF(M49="DG",3,IF(N49="RF",3,5))+IF(AND(LEFT(C49,3)="BKK",N49="RF",Q49="KTS"),1,0)+IF(Q49="KHS",1,0)</f>
        <v>5</v>
      </c>
      <c r="AE49" s="63">
        <f>(T49-V49)+1</f>
        <v>46312</v>
      </c>
      <c r="AF49" s="63">
        <f>IF(AB49&gt;IF((V49-W49)&gt;0,V49-W49,0),0,IF(AB49&lt;IF((V49-W49)&gt;0,V49-W49,0),IF((V49-W49)&gt;0,V49-W49,0)-AB49,IF((V49-W49)&gt;0,V49-W49,0)))</f>
        <v>0</v>
      </c>
      <c r="AG49" s="187">
        <f>IF(AND(M49=""),IF(R49="20'",
VLOOKUP(AF49,Charge!$K$31:$M$34,2,TRUE)+(AF49-VLOOKUP(AF49,Charge!$K$31:$M$34,1,TRUE))*VLOOKUP(AF49,Charge!$K$31:$M$34,3,TRUE),
VLOOKUP(AF49,Charge!$N$31:$P$34,2,TRUE)+(AF49-VLOOKUP(AF49,Charge!$N$31:$P$34,1,TRUE))*VLOOKUP(AF49,Charge!$N$31:$P$34,3,TRUE)),
IF(AND(M49="DG"),IF(R49="20'",
VLOOKUP(AF49,Charge!$R$31:$T$34,2,TRUE)+(AF49-VLOOKUP(AF49,Charge!$R$31:$T$34,1,TRUE))*VLOOKUP(AF49,Charge!$R$31:$T$34,3,TRUE),
VLOOKUP(AF49,Charge!$U$31:$W$34,2,TRUE)+(AF49-VLOOKUP(AF49,Charge!$U$31:$W$34,1,TRUE))*VLOOKUP(AF49,Charge!$U$31:$W$34,3,TRUE)),0))</f>
        <v>0</v>
      </c>
      <c r="AH49" s="65" t="n"/>
      <c r="AI49" s="65">
        <f>AA49-AH49</f>
        <v>640</v>
      </c>
      <c r="AJ49" s="188" t="n"/>
      <c r="AK49" s="62" t="str">
        <f>VLOOKUP(D49,'2.Bookinglist'!A:CT,40,FALSE)</f>
        <v>Nannaapust Sukporntaweewat</v>
      </c>
      <c r="AL49" s="60" t="str">
        <f>VLOOKUP(D49,'2.Bookinglist'!A:CW,101,FALSE)</f>
        <v>2026-10-15</v>
      </c>
      <c r="AM49" s="60" t="str">
        <f>VLOOKUP(D49,'2.Bookinglist'!A:BK,63,FALSE)</f>
        <v>BKK27</v>
      </c>
      <c r="AN49" s="62" t="str">
        <f>VLOOKUP(D49,'2.Bookinglist'!A:AZ,52,FALSE)</f>
        <v>Pickup : 2026-10-10, Return : 2026-09-12</v>
      </c>
      <c r="AO49" s="62">
        <f>VLOOKUP(D49,'2.Bookinglist'!A:CY,103,FALSE)</f>
        <v>0</v>
      </c>
    </row>
    <row r="50" ht="12.95" customHeight="1">
      <c r="A50" s="96" t="inlineStr">
        <is>
          <t>HLHU8503707</t>
        </is>
      </c>
      <c r="B50" s="184" t="str">
        <f>IF(C50=Charge!$M$1,Charge!$J$1,IF(C50=Charge!$M$23,Charge!$J$23,IF(C50=Charge!$M$17,Charge!$J$17,IF(C50=Charge!$N$17,Charge!$J$17,Charge!$J$7))))</f>
        <v>G3</v>
      </c>
      <c r="C50" s="61" t="str">
        <f>VLOOKUP(A50,'1.Loading'!A:R,14,FALSE)</f>
        <v>BKK01</v>
      </c>
      <c r="D50" s="61" t="str">
        <f>VLOOKUP(A50,'1.Loading'!A:R,17,FALSE)</f>
        <v>HASLS22260900218</v>
      </c>
      <c r="E50" s="62" t="str">
        <f>VLOOKUP(D50,'2.Bookinglist'!A:CT,27,FALSE)</f>
        <v>HARPERS SEA FREIGHT CO., LTD.</v>
      </c>
      <c r="F50" s="62" t="str">
        <f>VLOOKUP(D50,'2.Bookinglist'!A:CT,28,FALSE)</f>
        <v>THAI ASAHI CO., LTD.</v>
      </c>
      <c r="G50" s="60">
        <f>VLOOKUP(D50,'2.Bookinglist'!A:E,5,FALSE)</f>
        <v>0</v>
      </c>
      <c r="H50" s="61" t="str">
        <f>VLOOKUP(D50,'2.Bookinglist'!A:CT,15,FALSE)</f>
        <v>THBKK</v>
      </c>
      <c r="I50" s="61" t="str">
        <f>VLOOKUP(D50,'2.Bookinglist'!A:CT,19,FALSE)</f>
        <v>KRPUS</v>
      </c>
      <c r="J50" s="61">
        <f>VLOOKUP(D50,'2.Bookinglist'!A:CT,26,FALSE)</f>
        <v>0</v>
      </c>
      <c r="K50" s="61" t="str">
        <f>VLOOKUP(A50,'1.Loading'!A:R,5,FALSE)</f>
        <v>45GP</v>
      </c>
      <c r="L50" s="60" t="str">
        <f>VLOOKUP(D50,'2.Bookinglist'!A:CT,85,FALSE)</f>
        <v>CY/CY</v>
      </c>
      <c r="M50" s="60" t="str">
        <f>IF(VLOOKUP(D50,'2.Bookinglist'!A:CT,43,FALSE)=0,"","DG")</f>
        <v/>
      </c>
      <c r="N50" s="60" t="str">
        <f>IF(RIGHT(K50,2)="RE","RF","")</f>
        <v/>
      </c>
      <c r="O50" s="61" t="str">
        <f>VLOOKUP(A50,'1.Loading'!A:R,3,FALSE)</f>
        <v>SWIC</v>
      </c>
      <c r="P50" s="61" t="str">
        <f>VLOOKUP(A50,'1.Loading'!A:R,4,FALSE)</f>
        <v>2611N</v>
      </c>
      <c r="Q50" s="61" t="str">
        <f>VLOOKUP(D50,'2.Bookinglist'!A:CT,12,FALSE)</f>
        <v>KHS1</v>
      </c>
      <c r="R50" s="60" t="str">
        <f>IF(LEFT(K50,2)="22","20'","40'")</f>
        <v>40'</v>
      </c>
      <c r="S50" s="185" t="n"/>
      <c r="T50" s="61" t="str">
        <f>VLOOKUP(A50,'1.Loading'!A:R,2,FALSE)</f>
        <v>2026-10-16</v>
      </c>
      <c r="U50" s="63">
        <f>T50-S50</f>
        <v>46311</v>
      </c>
      <c r="V50" s="186" t="n"/>
      <c r="W50" s="61" t="str">
        <f>VLOOKUP(A50,'3.GateMove'!A:D,4,FALSE)</f>
        <v>2026-10-11</v>
      </c>
      <c r="X50" s="63">
        <f>((T50-W50)+1)</f>
        <v>6</v>
      </c>
      <c r="Y50" s="64">
        <f>IF(AND(OR(C50="BKK01",C50="BKK04"),L50="CFS/CY"),0,IF(M50="DG",1,IF(LEFT(C50,3)="LCH",7,IF(C50="BKK02",5,3))))</f>
        <v>3</v>
      </c>
      <c r="Z50" s="63">
        <f>IF(IF(AND(AC50="TML",AB50&gt;0),((T50-W50)+1)-AB50,((T50-W50)+1)-Y50)&gt;0,IF(AND(AC50="TML",AB50&gt;0),((T50-W50)+1)-AB50,((T50-W50)+1)-Y50),0)</f>
        <v>3</v>
      </c>
      <c r="AA50" s="187">
        <f>IF(AND(B50="G1",M50=""),IF(R50="20'",
VLOOKUP(Z50,Charge!$K$2:$M$5,2,TRUE)+(Z50-VLOOKUP(Z50,Charge!$K$2:$M$5,1,TRUE))*VLOOKUP(Z50,Charge!$K$2:$M$5,3,TRUE),
VLOOKUP(Z50,Charge!$N$2:$P$5,2,TRUE)+(Z50-VLOOKUP(Z50,Charge!$N$2:$P$5,1,TRUE))*VLOOKUP(Z50,Charge!$N$2:$P$5,3,TRUE)),
IF(AND(B50="G1",M50="DG"),IF(R50="20'",
VLOOKUP(Z50,Charge!$R$2:$T$5,2,TRUE)+(Z50-VLOOKUP(Z50,Charge!$R$2:$T$5,1,TRUE))*VLOOKUP(Z50,Charge!$R$2:$T$5,3,TRUE),
VLOOKUP(Z50,Charge!$U$2:$W$5,2,TRUE)+(Z50-VLOOKUP(Z50,Charge!$U$2:$W$5,1,TRUE))*VLOOKUP(Z50,Charge!$U$2:$W$5,3,TRUE)),
IF(AND(B50="G3",M50=""),IF(R50="20'",
VLOOKUP(Z50,Charge!$K$18:$M$21,2,TRUE)+(Z50-VLOOKUP(Z50,Charge!$K$18:$M$21,1,TRUE))*VLOOKUP(Z50,Charge!$K$18:$M$21,3,TRUE),
VLOOKUP(Z50,Charge!$N$18:$P$21,2,TRUE)+(Z50-VLOOKUP(Z50,Charge!$N$18:$P$21,1,TRUE))*VLOOKUP(Z50,Charge!$N$18:$P$21,3,TRUE)),
IF(AND(B50="G3",M50="DG"),IF(R50="20'",
VLOOKUP(Z50,Charge!$R$18:$T$21,2,TRUE)+(Z50-VLOOKUP(Z50,Charge!$R$18:$T$21,1,TRUE))*VLOOKUP(Z50,Charge!$R$18:$T$21,3,TRUE),
VLOOKUP(Z50,Charge!$U$18:$W$21,2,TRUE)+(Z50-VLOOKUP(Z50,Charge!$U$18:$W$21,1,TRUE))*VLOOKUP(Z50,Charge!$U$18:$W$21,3,TRUE)),
IF(AND(B50="G2",M50=""),IF(R50="20'",
VLOOKUP(Z50,Charge!$K$9:$M$12,2,TRUE)+(Z50-VLOOKUP(Z50,Charge!$K$9:$M$12,1,TRUE))*VLOOKUP(Z50,Charge!$K$9:$M$12,3,TRUE),
VLOOKUP(Z50,Charge!$N$9:$P$12,2,TRUE)+(Z50-VLOOKUP(Z50,Charge!$N$9:$P$12,1,TRUE))*VLOOKUP(Z50,Charge!$N$9:$P$12,3,TRUE)),
IF(AND(B50="G2",M50="DG"),IF(R50="20'",
VLOOKUP(Z50,Charge!$R$9:$T$12,2,TRUE)+(Z50-VLOOKUP(Z50,Charge!$R$9:$T$12,1,TRUE))*VLOOKUP(Z50,Charge!$R$9:$T$12,3,TRUE),
VLOOKUP(Z50,Charge!$U$9:$W$12,2,TRUE)+(Z50-VLOOKUP(Z50,Charge!$U$9:$W$12,1,TRUE))*VLOOKUP(Z50,Charge!$U$9:$W$12,3,TRUE)),IF(AND(B50="G4",M50=""),IF(R50="20'",Z50*Charge!$M$25,Z50*Charge!$P$25),IF(AND(B50="G4",M50="DG"),IF(R50="20'",Z50*Charge!$T$25,Z50*Charge!$W$25),0))))))))</f>
        <v>960</v>
      </c>
      <c r="AB50" s="184" t="n"/>
      <c r="AC50" s="184" t="n"/>
      <c r="AD50" s="60">
        <f>IF(M50="DG",3,IF(N50="RF",3,5))+IF(AND(LEFT(C50,3)="BKK",N50="RF",Q50="KTS"),1,0)+IF(Q50="KHS",1,0)</f>
        <v>5</v>
      </c>
      <c r="AE50" s="63">
        <f>(T50-V50)+1</f>
        <v>46312</v>
      </c>
      <c r="AF50" s="63">
        <f>IF(AB50&gt;IF((V50-W50)&gt;0,V50-W50,0),0,IF(AB50&lt;IF((V50-W50)&gt;0,V50-W50,0),IF((V50-W50)&gt;0,V50-W50,0)-AB50,IF((V50-W50)&gt;0,V50-W50,0)))</f>
        <v>0</v>
      </c>
      <c r="AG50" s="187">
        <f>IF(AND(M50=""),IF(R50="20'",
VLOOKUP(AF50,Charge!$K$31:$M$34,2,TRUE)+(AF50-VLOOKUP(AF50,Charge!$K$31:$M$34,1,TRUE))*VLOOKUP(AF50,Charge!$K$31:$M$34,3,TRUE),
VLOOKUP(AF50,Charge!$N$31:$P$34,2,TRUE)+(AF50-VLOOKUP(AF50,Charge!$N$31:$P$34,1,TRUE))*VLOOKUP(AF50,Charge!$N$31:$P$34,3,TRUE)),
IF(AND(M50="DG"),IF(R50="20'",
VLOOKUP(AF50,Charge!$R$31:$T$34,2,TRUE)+(AF50-VLOOKUP(AF50,Charge!$R$31:$T$34,1,TRUE))*VLOOKUP(AF50,Charge!$R$31:$T$34,3,TRUE),
VLOOKUP(AF50,Charge!$U$31:$W$34,2,TRUE)+(AF50-VLOOKUP(AF50,Charge!$U$31:$W$34,1,TRUE))*VLOOKUP(AF50,Charge!$U$31:$W$34,3,TRUE)),0))</f>
        <v>0</v>
      </c>
      <c r="AH50" s="65" t="n"/>
      <c r="AI50" s="65">
        <f>AA50-AH50</f>
        <v>960</v>
      </c>
      <c r="AJ50" s="188" t="n"/>
      <c r="AK50" s="62" t="str">
        <f>VLOOKUP(D50,'2.Bookinglist'!A:CT,40,FALSE)</f>
        <v>Nustsireerach</v>
      </c>
      <c r="AL50" s="60" t="str">
        <f>VLOOKUP(D50,'2.Bookinglist'!A:CW,101,FALSE)</f>
        <v>2026-10-14</v>
      </c>
      <c r="AM50" s="60" t="str">
        <f>VLOOKUP(D50,'2.Bookinglist'!A:BK,63,FALSE)</f>
        <v>BKK27</v>
      </c>
      <c r="AN50" s="62" t="str">
        <f>VLOOKUP(D50,'2.Bookinglist'!A:AZ,52,FALSE)</f>
        <v>Pickup : 2026-10-03, Return : 2026-10-10</v>
      </c>
      <c r="AO50" s="62">
        <f>VLOOKUP(D50,'2.Bookinglist'!A:CY,103,FALSE)</f>
        <v>0</v>
      </c>
    </row>
    <row r="51" ht="12.95" customHeight="1">
      <c r="A51" s="96" t="inlineStr">
        <is>
          <t>HLHU8505607</t>
        </is>
      </c>
      <c r="B51" s="184" t="str">
        <f>IF(C51=Charge!$M$1,Charge!$J$1,IF(C51=Charge!$M$23,Charge!$J$23,IF(C51=Charge!$M$17,Charge!$J$17,IF(C51=Charge!$N$17,Charge!$J$17,Charge!$J$7))))</f>
        <v>G3</v>
      </c>
      <c r="C51" s="61" t="str">
        <f>VLOOKUP(A51,'1.Loading'!A:R,14,FALSE)</f>
        <v>BKK01</v>
      </c>
      <c r="D51" s="61" t="str">
        <f>VLOOKUP(A51,'1.Loading'!A:R,17,FALSE)</f>
        <v>HASLS22260901611</v>
      </c>
      <c r="E51" s="62" t="str">
        <f>VLOOKUP(D51,'2.Bookinglist'!A:CT,27,FALSE)</f>
        <v>CNT STAR CO., LTD.</v>
      </c>
      <c r="F51" s="62" t="str">
        <f>VLOOKUP(D51,'2.Bookinglist'!A:CT,28,FALSE)</f>
        <v>SAWATPAIBOON AGRICULTURE CO., LTD</v>
      </c>
      <c r="G51" s="60">
        <f>VLOOKUP(D51,'2.Bookinglist'!A:E,5,FALSE)</f>
        <v>0</v>
      </c>
      <c r="H51" s="61" t="str">
        <f>VLOOKUP(D51,'2.Bookinglist'!A:CT,15,FALSE)</f>
        <v>THBKK</v>
      </c>
      <c r="I51" s="61" t="str">
        <f>VLOOKUP(D51,'2.Bookinglist'!A:CT,19,FALSE)</f>
        <v>KRKAN</v>
      </c>
      <c r="J51" s="61">
        <f>VLOOKUP(D51,'2.Bookinglist'!A:CT,26,FALSE)</f>
        <v>0</v>
      </c>
      <c r="K51" s="61" t="str">
        <f>VLOOKUP(A51,'1.Loading'!A:R,5,FALSE)</f>
        <v>45GP</v>
      </c>
      <c r="L51" s="60" t="str">
        <f>VLOOKUP(D51,'2.Bookinglist'!A:CT,85,FALSE)</f>
        <v>CY/CY</v>
      </c>
      <c r="M51" s="60" t="str">
        <f>IF(VLOOKUP(D51,'2.Bookinglist'!A:CT,43,FALSE)=0,"","DG")</f>
        <v/>
      </c>
      <c r="N51" s="60" t="str">
        <f>IF(RIGHT(K51,2)="RE","RF","")</f>
        <v/>
      </c>
      <c r="O51" s="61" t="str">
        <f>VLOOKUP(A51,'1.Loading'!A:R,3,FALSE)</f>
        <v>SWIC</v>
      </c>
      <c r="P51" s="61" t="str">
        <f>VLOOKUP(A51,'1.Loading'!A:R,4,FALSE)</f>
        <v>2611N</v>
      </c>
      <c r="Q51" s="61" t="str">
        <f>VLOOKUP(D51,'2.Bookinglist'!A:CT,12,FALSE)</f>
        <v>KHS1</v>
      </c>
      <c r="R51" s="60" t="str">
        <f>IF(LEFT(K51,2)="22","20'","40'")</f>
        <v>40'</v>
      </c>
      <c r="S51" s="185" t="n"/>
      <c r="T51" s="61" t="str">
        <f>VLOOKUP(A51,'1.Loading'!A:R,2,FALSE)</f>
        <v>2026-10-16</v>
      </c>
      <c r="U51" s="63">
        <f>T51-S51</f>
        <v>46311</v>
      </c>
      <c r="V51" s="186" t="n"/>
      <c r="W51" s="61" t="str">
        <f>VLOOKUP(A51,'3.GateMove'!A:D,4,FALSE)</f>
        <v>2026-10-11</v>
      </c>
      <c r="X51" s="63">
        <f>((T51-W51)+1)</f>
        <v>6</v>
      </c>
      <c r="Y51" s="64">
        <f>IF(AND(OR(C51="BKK01",C51="BKK04"),L51="CFS/CY"),0,IF(M51="DG",1,IF(LEFT(C51,3)="LCH",7,IF(C51="BKK02",5,3))))</f>
        <v>3</v>
      </c>
      <c r="Z51" s="63">
        <f>IF(IF(AND(AC51="TML",AB51&gt;0),((T51-W51)+1)-AB51,((T51-W51)+1)-Y51)&gt;0,IF(AND(AC51="TML",AB51&gt;0),((T51-W51)+1)-AB51,((T51-W51)+1)-Y51),0)</f>
        <v>3</v>
      </c>
      <c r="AA51" s="187">
        <f>IF(AND(B51="G1",M51=""),IF(R51="20'",
VLOOKUP(Z51,Charge!$K$2:$M$5,2,TRUE)+(Z51-VLOOKUP(Z51,Charge!$K$2:$M$5,1,TRUE))*VLOOKUP(Z51,Charge!$K$2:$M$5,3,TRUE),
VLOOKUP(Z51,Charge!$N$2:$P$5,2,TRUE)+(Z51-VLOOKUP(Z51,Charge!$N$2:$P$5,1,TRUE))*VLOOKUP(Z51,Charge!$N$2:$P$5,3,TRUE)),
IF(AND(B51="G1",M51="DG"),IF(R51="20'",
VLOOKUP(Z51,Charge!$R$2:$T$5,2,TRUE)+(Z51-VLOOKUP(Z51,Charge!$R$2:$T$5,1,TRUE))*VLOOKUP(Z51,Charge!$R$2:$T$5,3,TRUE),
VLOOKUP(Z51,Charge!$U$2:$W$5,2,TRUE)+(Z51-VLOOKUP(Z51,Charge!$U$2:$W$5,1,TRUE))*VLOOKUP(Z51,Charge!$U$2:$W$5,3,TRUE)),
IF(AND(B51="G3",M51=""),IF(R51="20'",
VLOOKUP(Z51,Charge!$K$18:$M$21,2,TRUE)+(Z51-VLOOKUP(Z51,Charge!$K$18:$M$21,1,TRUE))*VLOOKUP(Z51,Charge!$K$18:$M$21,3,TRUE),
VLOOKUP(Z51,Charge!$N$18:$P$21,2,TRUE)+(Z51-VLOOKUP(Z51,Charge!$N$18:$P$21,1,TRUE))*VLOOKUP(Z51,Charge!$N$18:$P$21,3,TRUE)),
IF(AND(B51="G3",M51="DG"),IF(R51="20'",
VLOOKUP(Z51,Charge!$R$18:$T$21,2,TRUE)+(Z51-VLOOKUP(Z51,Charge!$R$18:$T$21,1,TRUE))*VLOOKUP(Z51,Charge!$R$18:$T$21,3,TRUE),
VLOOKUP(Z51,Charge!$U$18:$W$21,2,TRUE)+(Z51-VLOOKUP(Z51,Charge!$U$18:$W$21,1,TRUE))*VLOOKUP(Z51,Charge!$U$18:$W$21,3,TRUE)),
IF(AND(B51="G2",M51=""),IF(R51="20'",
VLOOKUP(Z51,Charge!$K$9:$M$12,2,TRUE)+(Z51-VLOOKUP(Z51,Charge!$K$9:$M$12,1,TRUE))*VLOOKUP(Z51,Charge!$K$9:$M$12,3,TRUE),
VLOOKUP(Z51,Charge!$N$9:$P$12,2,TRUE)+(Z51-VLOOKUP(Z51,Charge!$N$9:$P$12,1,TRUE))*VLOOKUP(Z51,Charge!$N$9:$P$12,3,TRUE)),
IF(AND(B51="G2",M51="DG"),IF(R51="20'",
VLOOKUP(Z51,Charge!$R$9:$T$12,2,TRUE)+(Z51-VLOOKUP(Z51,Charge!$R$9:$T$12,1,TRUE))*VLOOKUP(Z51,Charge!$R$9:$T$12,3,TRUE),
VLOOKUP(Z51,Charge!$U$9:$W$12,2,TRUE)+(Z51-VLOOKUP(Z51,Charge!$U$9:$W$12,1,TRUE))*VLOOKUP(Z51,Charge!$U$9:$W$12,3,TRUE)),IF(AND(B51="G4",M51=""),IF(R51="20'",Z51*Charge!$M$25,Z51*Charge!$P$25),IF(AND(B51="G4",M51="DG"),IF(R51="20'",Z51*Charge!$T$25,Z51*Charge!$W$25),0))))))))</f>
        <v>960</v>
      </c>
      <c r="AB51" s="184" t="n"/>
      <c r="AC51" s="184" t="n"/>
      <c r="AD51" s="60">
        <f>IF(M51="DG",3,IF(N51="RF",3,5))+IF(AND(LEFT(C51,3)="BKK",N51="RF",Q51="KTS"),1,0)+IF(Q51="KHS",1,0)</f>
        <v>5</v>
      </c>
      <c r="AE51" s="63">
        <f>(T51-V51)+1</f>
        <v>46312</v>
      </c>
      <c r="AF51" s="63">
        <f>IF(AB51&gt;IF((V51-W51)&gt;0,V51-W51,0),0,IF(AB51&lt;IF((V51-W51)&gt;0,V51-W51,0),IF((V51-W51)&gt;0,V51-W51,0)-AB51,IF((V51-W51)&gt;0,V51-W51,0)))</f>
        <v>0</v>
      </c>
      <c r="AG51" s="187">
        <f>IF(AND(M51=""),IF(R51="20'",
VLOOKUP(AF51,Charge!$K$31:$M$34,2,TRUE)+(AF51-VLOOKUP(AF51,Charge!$K$31:$M$34,1,TRUE))*VLOOKUP(AF51,Charge!$K$31:$M$34,3,TRUE),
VLOOKUP(AF51,Charge!$N$31:$P$34,2,TRUE)+(AF51-VLOOKUP(AF51,Charge!$N$31:$P$34,1,TRUE))*VLOOKUP(AF51,Charge!$N$31:$P$34,3,TRUE)),
IF(AND(M51="DG"),IF(R51="20'",
VLOOKUP(AF51,Charge!$R$31:$T$34,2,TRUE)+(AF51-VLOOKUP(AF51,Charge!$R$31:$T$34,1,TRUE))*VLOOKUP(AF51,Charge!$R$31:$T$34,3,TRUE),
VLOOKUP(AF51,Charge!$U$31:$W$34,2,TRUE)+(AF51-VLOOKUP(AF51,Charge!$U$31:$W$34,1,TRUE))*VLOOKUP(AF51,Charge!$U$31:$W$34,3,TRUE)),0))</f>
        <v>0</v>
      </c>
      <c r="AH51" s="65" t="n"/>
      <c r="AI51" s="65">
        <f>AA51-AH51</f>
        <v>960</v>
      </c>
      <c r="AJ51" s="188" t="n"/>
      <c r="AK51" s="62" t="str">
        <f>VLOOKUP(D51,'2.Bookinglist'!A:CT,40,FALSE)</f>
        <v>Kanokporn</v>
      </c>
      <c r="AL51" s="60" t="str">
        <f>VLOOKUP(D51,'2.Bookinglist'!A:CW,101,FALSE)</f>
        <v>2026-10-15</v>
      </c>
      <c r="AM51" s="60" t="str">
        <f>VLOOKUP(D51,'2.Bookinglist'!A:BK,63,FALSE)</f>
        <v>BKK27</v>
      </c>
      <c r="AN51" s="62" t="str">
        <f>VLOOKUP(D51,'2.Bookinglist'!A:AZ,52,FALSE)</f>
        <v>CY-RTN : 10-11/10/2026</v>
      </c>
      <c r="AO51" s="62">
        <f>VLOOKUP(D51,'2.Bookinglist'!A:CY,103,FALSE)</f>
        <v>0</v>
      </c>
    </row>
    <row r="52" ht="12.95" customHeight="1">
      <c r="A52" s="96" t="inlineStr">
        <is>
          <t>HLHU8512632</t>
        </is>
      </c>
      <c r="B52" s="184" t="str">
        <f>IF(C52=Charge!$M$1,Charge!$J$1,IF(C52=Charge!$M$23,Charge!$J$23,IF(C52=Charge!$M$17,Charge!$J$17,IF(C52=Charge!$N$17,Charge!$J$17,Charge!$J$7))))</f>
        <v>G3</v>
      </c>
      <c r="C52" s="61" t="str">
        <f>VLOOKUP(A52,'1.Loading'!A:R,14,FALSE)</f>
        <v>BKK01</v>
      </c>
      <c r="D52" s="61" t="str">
        <f>VLOOKUP(A52,'1.Loading'!A:R,17,FALSE)</f>
        <v>HASLS22260900218</v>
      </c>
      <c r="E52" s="62" t="str">
        <f>VLOOKUP(D52,'2.Bookinglist'!A:CT,27,FALSE)</f>
        <v>HARPERS SEA FREIGHT CO., LTD.</v>
      </c>
      <c r="F52" s="62" t="str">
        <f>VLOOKUP(D52,'2.Bookinglist'!A:CT,28,FALSE)</f>
        <v>THAI ASAHI CO., LTD.</v>
      </c>
      <c r="G52" s="60">
        <f>VLOOKUP(D52,'2.Bookinglist'!A:E,5,FALSE)</f>
        <v>0</v>
      </c>
      <c r="H52" s="61" t="str">
        <f>VLOOKUP(D52,'2.Bookinglist'!A:CT,15,FALSE)</f>
        <v>THBKK</v>
      </c>
      <c r="I52" s="61" t="str">
        <f>VLOOKUP(D52,'2.Bookinglist'!A:CT,19,FALSE)</f>
        <v>KRPUS</v>
      </c>
      <c r="J52" s="61">
        <f>VLOOKUP(D52,'2.Bookinglist'!A:CT,26,FALSE)</f>
        <v>0</v>
      </c>
      <c r="K52" s="61" t="str">
        <f>VLOOKUP(A52,'1.Loading'!A:R,5,FALSE)</f>
        <v>45GP</v>
      </c>
      <c r="L52" s="60" t="str">
        <f>VLOOKUP(D52,'2.Bookinglist'!A:CT,85,FALSE)</f>
        <v>CY/CY</v>
      </c>
      <c r="M52" s="60" t="str">
        <f>IF(VLOOKUP(D52,'2.Bookinglist'!A:CT,43,FALSE)=0,"","DG")</f>
        <v/>
      </c>
      <c r="N52" s="60" t="str">
        <f>IF(RIGHT(K52,2)="RE","RF","")</f>
        <v/>
      </c>
      <c r="O52" s="61" t="str">
        <f>VLOOKUP(A52,'1.Loading'!A:R,3,FALSE)</f>
        <v>SWIC</v>
      </c>
      <c r="P52" s="61" t="str">
        <f>VLOOKUP(A52,'1.Loading'!A:R,4,FALSE)</f>
        <v>2611N</v>
      </c>
      <c r="Q52" s="61" t="str">
        <f>VLOOKUP(D52,'2.Bookinglist'!A:CT,12,FALSE)</f>
        <v>KHS1</v>
      </c>
      <c r="R52" s="60" t="str">
        <f>IF(LEFT(K52,2)="22","20'","40'")</f>
        <v>40'</v>
      </c>
      <c r="S52" s="185" t="n"/>
      <c r="T52" s="61" t="str">
        <f>VLOOKUP(A52,'1.Loading'!A:R,2,FALSE)</f>
        <v>2026-10-16</v>
      </c>
      <c r="U52" s="63">
        <f>T52-S52</f>
        <v>46311</v>
      </c>
      <c r="V52" s="186" t="n"/>
      <c r="W52" s="61" t="str">
        <f>VLOOKUP(A52,'3.GateMove'!A:D,4,FALSE)</f>
        <v>2026-10-11</v>
      </c>
      <c r="X52" s="63">
        <f>((T52-W52)+1)</f>
        <v>6</v>
      </c>
      <c r="Y52" s="64">
        <f>IF(AND(OR(C52="BKK01",C52="BKK04"),L52="CFS/CY"),0,IF(M52="DG",1,IF(LEFT(C52,3)="LCH",7,IF(C52="BKK02",5,3))))</f>
        <v>3</v>
      </c>
      <c r="Z52" s="63">
        <f>IF(IF(AND(AC52="TML",AB52&gt;0),((T52-W52)+1)-AB52,((T52-W52)+1)-Y52)&gt;0,IF(AND(AC52="TML",AB52&gt;0),((T52-W52)+1)-AB52,((T52-W52)+1)-Y52),0)</f>
        <v>3</v>
      </c>
      <c r="AA52" s="187">
        <f>IF(AND(B52="G1",M52=""),IF(R52="20'",
VLOOKUP(Z52,Charge!$K$2:$M$5,2,TRUE)+(Z52-VLOOKUP(Z52,Charge!$K$2:$M$5,1,TRUE))*VLOOKUP(Z52,Charge!$K$2:$M$5,3,TRUE),
VLOOKUP(Z52,Charge!$N$2:$P$5,2,TRUE)+(Z52-VLOOKUP(Z52,Charge!$N$2:$P$5,1,TRUE))*VLOOKUP(Z52,Charge!$N$2:$P$5,3,TRUE)),
IF(AND(B52="G1",M52="DG"),IF(R52="20'",
VLOOKUP(Z52,Charge!$R$2:$T$5,2,TRUE)+(Z52-VLOOKUP(Z52,Charge!$R$2:$T$5,1,TRUE))*VLOOKUP(Z52,Charge!$R$2:$T$5,3,TRUE),
VLOOKUP(Z52,Charge!$U$2:$W$5,2,TRUE)+(Z52-VLOOKUP(Z52,Charge!$U$2:$W$5,1,TRUE))*VLOOKUP(Z52,Charge!$U$2:$W$5,3,TRUE)),
IF(AND(B52="G3",M52=""),IF(R52="20'",
VLOOKUP(Z52,Charge!$K$18:$M$21,2,TRUE)+(Z52-VLOOKUP(Z52,Charge!$K$18:$M$21,1,TRUE))*VLOOKUP(Z52,Charge!$K$18:$M$21,3,TRUE),
VLOOKUP(Z52,Charge!$N$18:$P$21,2,TRUE)+(Z52-VLOOKUP(Z52,Charge!$N$18:$P$21,1,TRUE))*VLOOKUP(Z52,Charge!$N$18:$P$21,3,TRUE)),
IF(AND(B52="G3",M52="DG"),IF(R52="20'",
VLOOKUP(Z52,Charge!$R$18:$T$21,2,TRUE)+(Z52-VLOOKUP(Z52,Charge!$R$18:$T$21,1,TRUE))*VLOOKUP(Z52,Charge!$R$18:$T$21,3,TRUE),
VLOOKUP(Z52,Charge!$U$18:$W$21,2,TRUE)+(Z52-VLOOKUP(Z52,Charge!$U$18:$W$21,1,TRUE))*VLOOKUP(Z52,Charge!$U$18:$W$21,3,TRUE)),
IF(AND(B52="G2",M52=""),IF(R52="20'",
VLOOKUP(Z52,Charge!$K$9:$M$12,2,TRUE)+(Z52-VLOOKUP(Z52,Charge!$K$9:$M$12,1,TRUE))*VLOOKUP(Z52,Charge!$K$9:$M$12,3,TRUE),
VLOOKUP(Z52,Charge!$N$9:$P$12,2,TRUE)+(Z52-VLOOKUP(Z52,Charge!$N$9:$P$12,1,TRUE))*VLOOKUP(Z52,Charge!$N$9:$P$12,3,TRUE)),
IF(AND(B52="G2",M52="DG"),IF(R52="20'",
VLOOKUP(Z52,Charge!$R$9:$T$12,2,TRUE)+(Z52-VLOOKUP(Z52,Charge!$R$9:$T$12,1,TRUE))*VLOOKUP(Z52,Charge!$R$9:$T$12,3,TRUE),
VLOOKUP(Z52,Charge!$U$9:$W$12,2,TRUE)+(Z52-VLOOKUP(Z52,Charge!$U$9:$W$12,1,TRUE))*VLOOKUP(Z52,Charge!$U$9:$W$12,3,TRUE)),IF(AND(B52="G4",M52=""),IF(R52="20'",Z52*Charge!$M$25,Z52*Charge!$P$25),IF(AND(B52="G4",M52="DG"),IF(R52="20'",Z52*Charge!$T$25,Z52*Charge!$W$25),0))))))))</f>
        <v>960</v>
      </c>
      <c r="AB52" s="184" t="n"/>
      <c r="AC52" s="184" t="n"/>
      <c r="AD52" s="60">
        <f>IF(M52="DG",3,IF(N52="RF",3,5))+IF(AND(LEFT(C52,3)="BKK",N52="RF",Q52="KTS"),1,0)+IF(Q52="KHS",1,0)</f>
        <v>5</v>
      </c>
      <c r="AE52" s="63">
        <f>(T52-V52)+1</f>
        <v>46312</v>
      </c>
      <c r="AF52" s="63">
        <f>IF(AB52&gt;IF((V52-W52)&gt;0,V52-W52,0),0,IF(AB52&lt;IF((V52-W52)&gt;0,V52-W52,0),IF((V52-W52)&gt;0,V52-W52,0)-AB52,IF((V52-W52)&gt;0,V52-W52,0)))</f>
        <v>0</v>
      </c>
      <c r="AG52" s="187">
        <f>IF(AND(M52=""),IF(R52="20'",
VLOOKUP(AF52,Charge!$K$31:$M$34,2,TRUE)+(AF52-VLOOKUP(AF52,Charge!$K$31:$M$34,1,TRUE))*VLOOKUP(AF52,Charge!$K$31:$M$34,3,TRUE),
VLOOKUP(AF52,Charge!$N$31:$P$34,2,TRUE)+(AF52-VLOOKUP(AF52,Charge!$N$31:$P$34,1,TRUE))*VLOOKUP(AF52,Charge!$N$31:$P$34,3,TRUE)),
IF(AND(M52="DG"),IF(R52="20'",
VLOOKUP(AF52,Charge!$R$31:$T$34,2,TRUE)+(AF52-VLOOKUP(AF52,Charge!$R$31:$T$34,1,TRUE))*VLOOKUP(AF52,Charge!$R$31:$T$34,3,TRUE),
VLOOKUP(AF52,Charge!$U$31:$W$34,2,TRUE)+(AF52-VLOOKUP(AF52,Charge!$U$31:$W$34,1,TRUE))*VLOOKUP(AF52,Charge!$U$31:$W$34,3,TRUE)),0))</f>
        <v>0</v>
      </c>
      <c r="AH52" s="65" t="n"/>
      <c r="AI52" s="65">
        <f>AA52-AH52</f>
        <v>960</v>
      </c>
      <c r="AJ52" s="188" t="n"/>
      <c r="AK52" s="62" t="str">
        <f>VLOOKUP(D52,'2.Bookinglist'!A:CT,40,FALSE)</f>
        <v>Nustsireerach</v>
      </c>
      <c r="AL52" s="60" t="str">
        <f>VLOOKUP(D52,'2.Bookinglist'!A:CW,101,FALSE)</f>
        <v>2026-10-14</v>
      </c>
      <c r="AM52" s="60" t="str">
        <f>VLOOKUP(D52,'2.Bookinglist'!A:BK,63,FALSE)</f>
        <v>BKK27</v>
      </c>
      <c r="AN52" s="62" t="str">
        <f>VLOOKUP(D52,'2.Bookinglist'!A:AZ,52,FALSE)</f>
        <v>Pickup : 2026-10-03, Return : 2026-10-10</v>
      </c>
      <c r="AO52" s="62">
        <f>VLOOKUP(D52,'2.Bookinglist'!A:CY,103,FALSE)</f>
        <v>0</v>
      </c>
    </row>
    <row r="53" ht="12.95" customHeight="1">
      <c r="A53" s="96" t="inlineStr">
        <is>
          <t>HLHU8521803</t>
        </is>
      </c>
      <c r="B53" s="184" t="str">
        <f>IF(C53=Charge!$M$1,Charge!$J$1,IF(C53=Charge!$M$23,Charge!$J$23,IF(C53=Charge!$M$17,Charge!$J$17,IF(C53=Charge!$N$17,Charge!$J$17,Charge!$J$7))))</f>
        <v>G3</v>
      </c>
      <c r="C53" s="61" t="str">
        <f>VLOOKUP(A53,'1.Loading'!A:R,14,FALSE)</f>
        <v>BKK01</v>
      </c>
      <c r="D53" s="61" t="str">
        <f>VLOOKUP(A53,'1.Loading'!A:R,17,FALSE)</f>
        <v>HASLS22261000948</v>
      </c>
      <c r="E53" s="62" t="str">
        <f>VLOOKUP(D53,'2.Bookinglist'!A:CT,27,FALSE)</f>
        <v>BIRLA CARBON (THAILAND) PUBLIC COMPANY LIMITED</v>
      </c>
      <c r="F53" s="62" t="str">
        <f>VLOOKUP(D53,'2.Bookinglist'!A:CT,28,FALSE)</f>
        <v>BIRLA CARBON (THAILAND) PUBLIC COMPANY LIMITED</v>
      </c>
      <c r="G53" s="60">
        <f>VLOOKUP(D53,'2.Bookinglist'!A:E,5,FALSE)</f>
        <v>0</v>
      </c>
      <c r="H53" s="61" t="str">
        <f>VLOOKUP(D53,'2.Bookinglist'!A:CT,15,FALSE)</f>
        <v>THBKK</v>
      </c>
      <c r="I53" s="61" t="str">
        <f>VLOOKUP(D53,'2.Bookinglist'!A:CT,19,FALSE)</f>
        <v>VNSGN</v>
      </c>
      <c r="J53" s="61">
        <f>VLOOKUP(D53,'2.Bookinglist'!A:CT,26,FALSE)</f>
        <v>0</v>
      </c>
      <c r="K53" s="61" t="str">
        <f>VLOOKUP(A53,'1.Loading'!A:R,5,FALSE)</f>
        <v>45GP</v>
      </c>
      <c r="L53" s="60" t="str">
        <f>VLOOKUP(D53,'2.Bookinglist'!A:CT,85,FALSE)</f>
        <v>CY/CY</v>
      </c>
      <c r="M53" s="60" t="str">
        <f>IF(VLOOKUP(D53,'2.Bookinglist'!A:CT,43,FALSE)=0,"","DG")</f>
        <v/>
      </c>
      <c r="N53" s="60" t="str">
        <f>IF(RIGHT(K53,2)="RE","RF","")</f>
        <v/>
      </c>
      <c r="O53" s="61" t="str">
        <f>VLOOKUP(A53,'1.Loading'!A:R,3,FALSE)</f>
        <v>SWIC</v>
      </c>
      <c r="P53" s="61" t="str">
        <f>VLOOKUP(A53,'1.Loading'!A:R,4,FALSE)</f>
        <v>2611N</v>
      </c>
      <c r="Q53" s="61" t="str">
        <f>VLOOKUP(D53,'2.Bookinglist'!A:CT,12,FALSE)</f>
        <v>KHS1</v>
      </c>
      <c r="R53" s="60" t="str">
        <f>IF(LEFT(K53,2)="22","20'","40'")</f>
        <v>40'</v>
      </c>
      <c r="S53" s="185" t="n"/>
      <c r="T53" s="61" t="str">
        <f>VLOOKUP(A53,'1.Loading'!A:R,2,FALSE)</f>
        <v>2026-10-16</v>
      </c>
      <c r="U53" s="63">
        <f>T53-S53</f>
        <v>46311</v>
      </c>
      <c r="V53" s="186" t="n"/>
      <c r="W53" s="61" t="str">
        <f>VLOOKUP(A53,'3.GateMove'!A:D,4,FALSE)</f>
        <v>2026-10-13</v>
      </c>
      <c r="X53" s="63">
        <f>((T53-W53)+1)</f>
        <v>4</v>
      </c>
      <c r="Y53" s="64">
        <f>IF(AND(OR(C53="BKK01",C53="BKK04"),L53="CFS/CY"),0,IF(M53="DG",1,IF(LEFT(C53,3)="LCH",7,IF(C53="BKK02",5,3))))</f>
        <v>3</v>
      </c>
      <c r="Z53" s="63">
        <f>IF(IF(AND(AC53="TML",AB53&gt;0),((T53-W53)+1)-AB53,((T53-W53)+1)-Y53)&gt;0,IF(AND(AC53="TML",AB53&gt;0),((T53-W53)+1)-AB53,((T53-W53)+1)-Y53),0)</f>
        <v>1</v>
      </c>
      <c r="AA53" s="187">
        <f>IF(AND(B53="G1",M53=""),IF(R53="20'",
VLOOKUP(Z53,Charge!$K$2:$M$5,2,TRUE)+(Z53-VLOOKUP(Z53,Charge!$K$2:$M$5,1,TRUE))*VLOOKUP(Z53,Charge!$K$2:$M$5,3,TRUE),
VLOOKUP(Z53,Charge!$N$2:$P$5,2,TRUE)+(Z53-VLOOKUP(Z53,Charge!$N$2:$P$5,1,TRUE))*VLOOKUP(Z53,Charge!$N$2:$P$5,3,TRUE)),
IF(AND(B53="G1",M53="DG"),IF(R53="20'",
VLOOKUP(Z53,Charge!$R$2:$T$5,2,TRUE)+(Z53-VLOOKUP(Z53,Charge!$R$2:$T$5,1,TRUE))*VLOOKUP(Z53,Charge!$R$2:$T$5,3,TRUE),
VLOOKUP(Z53,Charge!$U$2:$W$5,2,TRUE)+(Z53-VLOOKUP(Z53,Charge!$U$2:$W$5,1,TRUE))*VLOOKUP(Z53,Charge!$U$2:$W$5,3,TRUE)),
IF(AND(B53="G3",M53=""),IF(R53="20'",
VLOOKUP(Z53,Charge!$K$18:$M$21,2,TRUE)+(Z53-VLOOKUP(Z53,Charge!$K$18:$M$21,1,TRUE))*VLOOKUP(Z53,Charge!$K$18:$M$21,3,TRUE),
VLOOKUP(Z53,Charge!$N$18:$P$21,2,TRUE)+(Z53-VLOOKUP(Z53,Charge!$N$18:$P$21,1,TRUE))*VLOOKUP(Z53,Charge!$N$18:$P$21,3,TRUE)),
IF(AND(B53="G3",M53="DG"),IF(R53="20'",
VLOOKUP(Z53,Charge!$R$18:$T$21,2,TRUE)+(Z53-VLOOKUP(Z53,Charge!$R$18:$T$21,1,TRUE))*VLOOKUP(Z53,Charge!$R$18:$T$21,3,TRUE),
VLOOKUP(Z53,Charge!$U$18:$W$21,2,TRUE)+(Z53-VLOOKUP(Z53,Charge!$U$18:$W$21,1,TRUE))*VLOOKUP(Z53,Charge!$U$18:$W$21,3,TRUE)),
IF(AND(B53="G2",M53=""),IF(R53="20'",
VLOOKUP(Z53,Charge!$K$9:$M$12,2,TRUE)+(Z53-VLOOKUP(Z53,Charge!$K$9:$M$12,1,TRUE))*VLOOKUP(Z53,Charge!$K$9:$M$12,3,TRUE),
VLOOKUP(Z53,Charge!$N$9:$P$12,2,TRUE)+(Z53-VLOOKUP(Z53,Charge!$N$9:$P$12,1,TRUE))*VLOOKUP(Z53,Charge!$N$9:$P$12,3,TRUE)),
IF(AND(B53="G2",M53="DG"),IF(R53="20'",
VLOOKUP(Z53,Charge!$R$9:$T$12,2,TRUE)+(Z53-VLOOKUP(Z53,Charge!$R$9:$T$12,1,TRUE))*VLOOKUP(Z53,Charge!$R$9:$T$12,3,TRUE),
VLOOKUP(Z53,Charge!$U$9:$W$12,2,TRUE)+(Z53-VLOOKUP(Z53,Charge!$U$9:$W$12,1,TRUE))*VLOOKUP(Z53,Charge!$U$9:$W$12,3,TRUE)),IF(AND(B53="G4",M53=""),IF(R53="20'",Z53*Charge!$M$25,Z53*Charge!$P$25),IF(AND(B53="G4",M53="DG"),IF(R53="20'",Z53*Charge!$T$25,Z53*Charge!$W$25),0))))))))</f>
        <v>320</v>
      </c>
      <c r="AB53" s="184" t="n"/>
      <c r="AC53" s="184" t="n"/>
      <c r="AD53" s="60">
        <f>IF(M53="DG",3,IF(N53="RF",3,5))+IF(AND(LEFT(C53,3)="BKK",N53="RF",Q53="KTS"),1,0)+IF(Q53="KHS",1,0)</f>
        <v>5</v>
      </c>
      <c r="AE53" s="63">
        <f>(T53-V53)+1</f>
        <v>46312</v>
      </c>
      <c r="AF53" s="63">
        <f>IF(AB53&gt;IF((V53-W53)&gt;0,V53-W53,0),0,IF(AB53&lt;IF((V53-W53)&gt;0,V53-W53,0),IF((V53-W53)&gt;0,V53-W53,0)-AB53,IF((V53-W53)&gt;0,V53-W53,0)))</f>
        <v>0</v>
      </c>
      <c r="AG53" s="187">
        <f>IF(AND(M53=""),IF(R53="20'",
VLOOKUP(AF53,Charge!$K$31:$M$34,2,TRUE)+(AF53-VLOOKUP(AF53,Charge!$K$31:$M$34,1,TRUE))*VLOOKUP(AF53,Charge!$K$31:$M$34,3,TRUE),
VLOOKUP(AF53,Charge!$N$31:$P$34,2,TRUE)+(AF53-VLOOKUP(AF53,Charge!$N$31:$P$34,1,TRUE))*VLOOKUP(AF53,Charge!$N$31:$P$34,3,TRUE)),
IF(AND(M53="DG"),IF(R53="20'",
VLOOKUP(AF53,Charge!$R$31:$T$34,2,TRUE)+(AF53-VLOOKUP(AF53,Charge!$R$31:$T$34,1,TRUE))*VLOOKUP(AF53,Charge!$R$31:$T$34,3,TRUE),
VLOOKUP(AF53,Charge!$U$31:$W$34,2,TRUE)+(AF53-VLOOKUP(AF53,Charge!$U$31:$W$34,1,TRUE))*VLOOKUP(AF53,Charge!$U$31:$W$34,3,TRUE)),0))</f>
        <v>0</v>
      </c>
      <c r="AH53" s="65" t="n"/>
      <c r="AI53" s="65">
        <f>AA53-AH53</f>
        <v>320</v>
      </c>
      <c r="AJ53" s="188" t="n"/>
      <c r="AK53" s="62" t="str">
        <f>VLOOKUP(D53,'2.Bookinglist'!A:CT,40,FALSE)</f>
        <v>Dharaporn</v>
      </c>
      <c r="AL53" s="60" t="str">
        <f>VLOOKUP(D53,'2.Bookinglist'!A:CW,101,FALSE)</f>
        <v>2026-10-15</v>
      </c>
      <c r="AM53" s="60" t="str">
        <f>VLOOKUP(D53,'2.Bookinglist'!A:BK,63,FALSE)</f>
        <v>BKK27</v>
      </c>
      <c r="AN53" s="62" t="str">
        <f>VLOOKUP(D53,'2.Bookinglist'!A:AZ,52,FALSE)</f>
        <v>Pickup : 2026-10-13, Return : 2026-10-13</v>
      </c>
      <c r="AO53" s="62">
        <f>VLOOKUP(D53,'2.Bookinglist'!A:CY,103,FALSE)</f>
        <v>0</v>
      </c>
    </row>
    <row r="54" ht="12.95" customHeight="1">
      <c r="A54" s="96" t="inlineStr">
        <is>
          <t>HLHU8531226</t>
        </is>
      </c>
      <c r="B54" s="184" t="str">
        <f>IF(C54=Charge!$M$1,Charge!$J$1,IF(C54=Charge!$M$23,Charge!$J$23,IF(C54=Charge!$M$17,Charge!$J$17,IF(C54=Charge!$N$17,Charge!$J$17,Charge!$J$7))))</f>
        <v>G3</v>
      </c>
      <c r="C54" s="61" t="str">
        <f>VLOOKUP(A54,'1.Loading'!A:R,14,FALSE)</f>
        <v>BKK01</v>
      </c>
      <c r="D54" s="61" t="str">
        <f>VLOOKUP(A54,'1.Loading'!A:R,17,FALSE)</f>
        <v>HASLS22260901687</v>
      </c>
      <c r="E54" s="62" t="str">
        <f>VLOOKUP(D54,'2.Bookinglist'!A:CT,27,FALSE)</f>
        <v>BIRLA CARBON (THAILAND) PUBLIC COMPANY LIMITED</v>
      </c>
      <c r="F54" s="62" t="str">
        <f>VLOOKUP(D54,'2.Bookinglist'!A:CT,28,FALSE)</f>
        <v>BIRLA CARBON (THAILAND) PUBLIC COMPANY LIMITED</v>
      </c>
      <c r="G54" s="60">
        <f>VLOOKUP(D54,'2.Bookinglist'!A:E,5,FALSE)</f>
        <v>0</v>
      </c>
      <c r="H54" s="61" t="str">
        <f>VLOOKUP(D54,'2.Bookinglist'!A:CT,15,FALSE)</f>
        <v>THBKK</v>
      </c>
      <c r="I54" s="61" t="str">
        <f>VLOOKUP(D54,'2.Bookinglist'!A:CT,19,FALSE)</f>
        <v>VNSGN</v>
      </c>
      <c r="J54" s="61">
        <f>VLOOKUP(D54,'2.Bookinglist'!A:CT,26,FALSE)</f>
        <v>0</v>
      </c>
      <c r="K54" s="61" t="str">
        <f>VLOOKUP(A54,'1.Loading'!A:R,5,FALSE)</f>
        <v>45GP</v>
      </c>
      <c r="L54" s="60" t="str">
        <f>VLOOKUP(D54,'2.Bookinglist'!A:CT,85,FALSE)</f>
        <v>CY/CY</v>
      </c>
      <c r="M54" s="60" t="str">
        <f>IF(VLOOKUP(D54,'2.Bookinglist'!A:CT,43,FALSE)=0,"","DG")</f>
        <v/>
      </c>
      <c r="N54" s="60" t="str">
        <f>IF(RIGHT(K54,2)="RE","RF","")</f>
        <v/>
      </c>
      <c r="O54" s="61" t="str">
        <f>VLOOKUP(A54,'1.Loading'!A:R,3,FALSE)</f>
        <v>SWIC</v>
      </c>
      <c r="P54" s="61" t="str">
        <f>VLOOKUP(A54,'1.Loading'!A:R,4,FALSE)</f>
        <v>2611N</v>
      </c>
      <c r="Q54" s="61" t="str">
        <f>VLOOKUP(D54,'2.Bookinglist'!A:CT,12,FALSE)</f>
        <v>KHS1</v>
      </c>
      <c r="R54" s="60" t="str">
        <f>IF(LEFT(K54,2)="22","20'","40'")</f>
        <v>40'</v>
      </c>
      <c r="S54" s="185" t="n"/>
      <c r="T54" s="61" t="str">
        <f>VLOOKUP(A54,'1.Loading'!A:R,2,FALSE)</f>
        <v>2026-10-16</v>
      </c>
      <c r="U54" s="63">
        <f>T54-S54</f>
        <v>46311</v>
      </c>
      <c r="V54" s="186" t="n"/>
      <c r="W54" s="61" t="str">
        <f>VLOOKUP(A54,'3.GateMove'!A:D,4,FALSE)</f>
        <v>2026-10-12</v>
      </c>
      <c r="X54" s="63">
        <f>((T54-W54)+1)</f>
        <v>5</v>
      </c>
      <c r="Y54" s="64">
        <f>IF(AND(OR(C54="BKK01",C54="BKK04"),L54="CFS/CY"),0,IF(M54="DG",1,IF(LEFT(C54,3)="LCH",7,IF(C54="BKK02",5,3))))</f>
        <v>3</v>
      </c>
      <c r="Z54" s="63">
        <f>IF(IF(AND(AC54="TML",AB54&gt;0),((T54-W54)+1)-AB54,((T54-W54)+1)-Y54)&gt;0,IF(AND(AC54="TML",AB54&gt;0),((T54-W54)+1)-AB54,((T54-W54)+1)-Y54),0)</f>
        <v>2</v>
      </c>
      <c r="AA54" s="187">
        <f>IF(AND(B54="G1",M54=""),IF(R54="20'",
VLOOKUP(Z54,Charge!$K$2:$M$5,2,TRUE)+(Z54-VLOOKUP(Z54,Charge!$K$2:$M$5,1,TRUE))*VLOOKUP(Z54,Charge!$K$2:$M$5,3,TRUE),
VLOOKUP(Z54,Charge!$N$2:$P$5,2,TRUE)+(Z54-VLOOKUP(Z54,Charge!$N$2:$P$5,1,TRUE))*VLOOKUP(Z54,Charge!$N$2:$P$5,3,TRUE)),
IF(AND(B54="G1",M54="DG"),IF(R54="20'",
VLOOKUP(Z54,Charge!$R$2:$T$5,2,TRUE)+(Z54-VLOOKUP(Z54,Charge!$R$2:$T$5,1,TRUE))*VLOOKUP(Z54,Charge!$R$2:$T$5,3,TRUE),
VLOOKUP(Z54,Charge!$U$2:$W$5,2,TRUE)+(Z54-VLOOKUP(Z54,Charge!$U$2:$W$5,1,TRUE))*VLOOKUP(Z54,Charge!$U$2:$W$5,3,TRUE)),
IF(AND(B54="G3",M54=""),IF(R54="20'",
VLOOKUP(Z54,Charge!$K$18:$M$21,2,TRUE)+(Z54-VLOOKUP(Z54,Charge!$K$18:$M$21,1,TRUE))*VLOOKUP(Z54,Charge!$K$18:$M$21,3,TRUE),
VLOOKUP(Z54,Charge!$N$18:$P$21,2,TRUE)+(Z54-VLOOKUP(Z54,Charge!$N$18:$P$21,1,TRUE))*VLOOKUP(Z54,Charge!$N$18:$P$21,3,TRUE)),
IF(AND(B54="G3",M54="DG"),IF(R54="20'",
VLOOKUP(Z54,Charge!$R$18:$T$21,2,TRUE)+(Z54-VLOOKUP(Z54,Charge!$R$18:$T$21,1,TRUE))*VLOOKUP(Z54,Charge!$R$18:$T$21,3,TRUE),
VLOOKUP(Z54,Charge!$U$18:$W$21,2,TRUE)+(Z54-VLOOKUP(Z54,Charge!$U$18:$W$21,1,TRUE))*VLOOKUP(Z54,Charge!$U$18:$W$21,3,TRUE)),
IF(AND(B54="G2",M54=""),IF(R54="20'",
VLOOKUP(Z54,Charge!$K$9:$M$12,2,TRUE)+(Z54-VLOOKUP(Z54,Charge!$K$9:$M$12,1,TRUE))*VLOOKUP(Z54,Charge!$K$9:$M$12,3,TRUE),
VLOOKUP(Z54,Charge!$N$9:$P$12,2,TRUE)+(Z54-VLOOKUP(Z54,Charge!$N$9:$P$12,1,TRUE))*VLOOKUP(Z54,Charge!$N$9:$P$12,3,TRUE)),
IF(AND(B54="G2",M54="DG"),IF(R54="20'",
VLOOKUP(Z54,Charge!$R$9:$T$12,2,TRUE)+(Z54-VLOOKUP(Z54,Charge!$R$9:$T$12,1,TRUE))*VLOOKUP(Z54,Charge!$R$9:$T$12,3,TRUE),
VLOOKUP(Z54,Charge!$U$9:$W$12,2,TRUE)+(Z54-VLOOKUP(Z54,Charge!$U$9:$W$12,1,TRUE))*VLOOKUP(Z54,Charge!$U$9:$W$12,3,TRUE)),IF(AND(B54="G4",M54=""),IF(R54="20'",Z54*Charge!$M$25,Z54*Charge!$P$25),IF(AND(B54="G4",M54="DG"),IF(R54="20'",Z54*Charge!$T$25,Z54*Charge!$W$25),0))))))))</f>
        <v>640</v>
      </c>
      <c r="AB54" s="184" t="n"/>
      <c r="AC54" s="184" t="n"/>
      <c r="AD54" s="60">
        <f>IF(M54="DG",3,IF(N54="RF",3,5))+IF(AND(LEFT(C54,3)="BKK",N54="RF",Q54="KTS"),1,0)+IF(Q54="KHS",1,0)</f>
        <v>5</v>
      </c>
      <c r="AE54" s="63">
        <f>(T54-V54)+1</f>
        <v>46312</v>
      </c>
      <c r="AF54" s="63">
        <f>IF(AB54&gt;IF((V54-W54)&gt;0,V54-W54,0),0,IF(AB54&lt;IF((V54-W54)&gt;0,V54-W54,0),IF((V54-W54)&gt;0,V54-W54,0)-AB54,IF((V54-W54)&gt;0,V54-W54,0)))</f>
        <v>0</v>
      </c>
      <c r="AG54" s="187">
        <f>IF(AND(M54=""),IF(R54="20'",
VLOOKUP(AF54,Charge!$K$31:$M$34,2,TRUE)+(AF54-VLOOKUP(AF54,Charge!$K$31:$M$34,1,TRUE))*VLOOKUP(AF54,Charge!$K$31:$M$34,3,TRUE),
VLOOKUP(AF54,Charge!$N$31:$P$34,2,TRUE)+(AF54-VLOOKUP(AF54,Charge!$N$31:$P$34,1,TRUE))*VLOOKUP(AF54,Charge!$N$31:$P$34,3,TRUE)),
IF(AND(M54="DG"),IF(R54="20'",
VLOOKUP(AF54,Charge!$R$31:$T$34,2,TRUE)+(AF54-VLOOKUP(AF54,Charge!$R$31:$T$34,1,TRUE))*VLOOKUP(AF54,Charge!$R$31:$T$34,3,TRUE),
VLOOKUP(AF54,Charge!$U$31:$W$34,2,TRUE)+(AF54-VLOOKUP(AF54,Charge!$U$31:$W$34,1,TRUE))*VLOOKUP(AF54,Charge!$U$31:$W$34,3,TRUE)),0))</f>
        <v>0</v>
      </c>
      <c r="AH54" s="65" t="n"/>
      <c r="AI54" s="65">
        <f>AA54-AH54</f>
        <v>640</v>
      </c>
      <c r="AJ54" s="188" t="n"/>
      <c r="AK54" s="62" t="str">
        <f>VLOOKUP(D54,'2.Bookinglist'!A:CT,40,FALSE)</f>
        <v>Dharaporn</v>
      </c>
      <c r="AL54" s="60" t="str">
        <f>VLOOKUP(D54,'2.Bookinglist'!A:CW,101,FALSE)</f>
        <v>2026-10-13</v>
      </c>
      <c r="AM54" s="60" t="str">
        <f>VLOOKUP(D54,'2.Bookinglist'!A:BK,63,FALSE)</f>
        <v>BKK27</v>
      </c>
      <c r="AN54" s="62" t="str">
        <f>VLOOKUP(D54,'2.Bookinglist'!A:AZ,52,FALSE)</f>
        <v>Pickup : 2026-10-08, Return : 2026-10-09
CLS TIME DD.13/10/2026 @ 23.59</v>
      </c>
      <c r="AO54" s="62">
        <f>VLOOKUP(D54,'2.Bookinglist'!A:CY,103,FALSE)</f>
        <v>0</v>
      </c>
    </row>
    <row r="55" ht="12.95" customHeight="1">
      <c r="A55" s="96" t="inlineStr">
        <is>
          <t>HLHU8531400</t>
        </is>
      </c>
      <c r="B55" s="184" t="str">
        <f>IF(C55=Charge!$M$1,Charge!$J$1,IF(C55=Charge!$M$23,Charge!$J$23,IF(C55=Charge!$M$17,Charge!$J$17,IF(C55=Charge!$N$17,Charge!$J$17,Charge!$J$7))))</f>
        <v>G3</v>
      </c>
      <c r="C55" s="61" t="str">
        <f>VLOOKUP(A55,'1.Loading'!A:R,14,FALSE)</f>
        <v>BKK01</v>
      </c>
      <c r="D55" s="61" t="str">
        <f>VLOOKUP(A55,'1.Loading'!A:R,17,FALSE)</f>
        <v>HASLS22260901726</v>
      </c>
      <c r="E55" s="62" t="str">
        <f>VLOOKUP(D55,'2.Bookinglist'!A:CT,27,FALSE)</f>
        <v>HARPERS SEA FREIGHT CO., LTD.</v>
      </c>
      <c r="F55" s="62" t="str">
        <f>VLOOKUP(D55,'2.Bookinglist'!A:CT,28,FALSE)</f>
        <v>THAI ASAHI CO., LTD.</v>
      </c>
      <c r="G55" s="60">
        <f>VLOOKUP(D55,'2.Bookinglist'!A:E,5,FALSE)</f>
        <v>0</v>
      </c>
      <c r="H55" s="61" t="str">
        <f>VLOOKUP(D55,'2.Bookinglist'!A:CT,15,FALSE)</f>
        <v>THBKK</v>
      </c>
      <c r="I55" s="61" t="str">
        <f>VLOOKUP(D55,'2.Bookinglist'!A:CT,19,FALSE)</f>
        <v>KRKAN</v>
      </c>
      <c r="J55" s="61">
        <f>VLOOKUP(D55,'2.Bookinglist'!A:CT,26,FALSE)</f>
        <v>0</v>
      </c>
      <c r="K55" s="61" t="str">
        <f>VLOOKUP(A55,'1.Loading'!A:R,5,FALSE)</f>
        <v>45GP</v>
      </c>
      <c r="L55" s="60" t="str">
        <f>VLOOKUP(D55,'2.Bookinglist'!A:CT,85,FALSE)</f>
        <v>CY/CY</v>
      </c>
      <c r="M55" s="60" t="str">
        <f>IF(VLOOKUP(D55,'2.Bookinglist'!A:CT,43,FALSE)=0,"","DG")</f>
        <v/>
      </c>
      <c r="N55" s="60" t="str">
        <f>IF(RIGHT(K55,2)="RE","RF","")</f>
        <v/>
      </c>
      <c r="O55" s="61" t="str">
        <f>VLOOKUP(A55,'1.Loading'!A:R,3,FALSE)</f>
        <v>SWIC</v>
      </c>
      <c r="P55" s="61" t="str">
        <f>VLOOKUP(A55,'1.Loading'!A:R,4,FALSE)</f>
        <v>2611N</v>
      </c>
      <c r="Q55" s="61" t="str">
        <f>VLOOKUP(D55,'2.Bookinglist'!A:CT,12,FALSE)</f>
        <v>KHS1</v>
      </c>
      <c r="R55" s="60" t="str">
        <f>IF(LEFT(K55,2)="22","20'","40'")</f>
        <v>40'</v>
      </c>
      <c r="S55" s="185" t="n"/>
      <c r="T55" s="61" t="str">
        <f>VLOOKUP(A55,'1.Loading'!A:R,2,FALSE)</f>
        <v>2026-10-16</v>
      </c>
      <c r="U55" s="63">
        <f>T55-S55</f>
        <v>46311</v>
      </c>
      <c r="V55" s="186" t="n"/>
      <c r="W55" s="61" t="str">
        <f>VLOOKUP(A55,'3.GateMove'!A:D,4,FALSE)</f>
        <v>2026-10-13</v>
      </c>
      <c r="X55" s="63">
        <f>((T55-W55)+1)</f>
        <v>4</v>
      </c>
      <c r="Y55" s="64">
        <f>IF(AND(OR(C55="BKK01",C55="BKK04"),L55="CFS/CY"),0,IF(M55="DG",1,IF(LEFT(C55,3)="LCH",7,IF(C55="BKK02",5,3))))</f>
        <v>3</v>
      </c>
      <c r="Z55" s="63">
        <f>IF(IF(AND(AC55="TML",AB55&gt;0),((T55-W55)+1)-AB55,((T55-W55)+1)-Y55)&gt;0,IF(AND(AC55="TML",AB55&gt;0),((T55-W55)+1)-AB55,((T55-W55)+1)-Y55),0)</f>
        <v>1</v>
      </c>
      <c r="AA55" s="187">
        <f>IF(AND(B55="G1",M55=""),IF(R55="20'",
VLOOKUP(Z55,Charge!$K$2:$M$5,2,TRUE)+(Z55-VLOOKUP(Z55,Charge!$K$2:$M$5,1,TRUE))*VLOOKUP(Z55,Charge!$K$2:$M$5,3,TRUE),
VLOOKUP(Z55,Charge!$N$2:$P$5,2,TRUE)+(Z55-VLOOKUP(Z55,Charge!$N$2:$P$5,1,TRUE))*VLOOKUP(Z55,Charge!$N$2:$P$5,3,TRUE)),
IF(AND(B55="G1",M55="DG"),IF(R55="20'",
VLOOKUP(Z55,Charge!$R$2:$T$5,2,TRUE)+(Z55-VLOOKUP(Z55,Charge!$R$2:$T$5,1,TRUE))*VLOOKUP(Z55,Charge!$R$2:$T$5,3,TRUE),
VLOOKUP(Z55,Charge!$U$2:$W$5,2,TRUE)+(Z55-VLOOKUP(Z55,Charge!$U$2:$W$5,1,TRUE))*VLOOKUP(Z55,Charge!$U$2:$W$5,3,TRUE)),
IF(AND(B55="G3",M55=""),IF(R55="20'",
VLOOKUP(Z55,Charge!$K$18:$M$21,2,TRUE)+(Z55-VLOOKUP(Z55,Charge!$K$18:$M$21,1,TRUE))*VLOOKUP(Z55,Charge!$K$18:$M$21,3,TRUE),
VLOOKUP(Z55,Charge!$N$18:$P$21,2,TRUE)+(Z55-VLOOKUP(Z55,Charge!$N$18:$P$21,1,TRUE))*VLOOKUP(Z55,Charge!$N$18:$P$21,3,TRUE)),
IF(AND(B55="G3",M55="DG"),IF(R55="20'",
VLOOKUP(Z55,Charge!$R$18:$T$21,2,TRUE)+(Z55-VLOOKUP(Z55,Charge!$R$18:$T$21,1,TRUE))*VLOOKUP(Z55,Charge!$R$18:$T$21,3,TRUE),
VLOOKUP(Z55,Charge!$U$18:$W$21,2,TRUE)+(Z55-VLOOKUP(Z55,Charge!$U$18:$W$21,1,TRUE))*VLOOKUP(Z55,Charge!$U$18:$W$21,3,TRUE)),
IF(AND(B55="G2",M55=""),IF(R55="20'",
VLOOKUP(Z55,Charge!$K$9:$M$12,2,TRUE)+(Z55-VLOOKUP(Z55,Charge!$K$9:$M$12,1,TRUE))*VLOOKUP(Z55,Charge!$K$9:$M$12,3,TRUE),
VLOOKUP(Z55,Charge!$N$9:$P$12,2,TRUE)+(Z55-VLOOKUP(Z55,Charge!$N$9:$P$12,1,TRUE))*VLOOKUP(Z55,Charge!$N$9:$P$12,3,TRUE)),
IF(AND(B55="G2",M55="DG"),IF(R55="20'",
VLOOKUP(Z55,Charge!$R$9:$T$12,2,TRUE)+(Z55-VLOOKUP(Z55,Charge!$R$9:$T$12,1,TRUE))*VLOOKUP(Z55,Charge!$R$9:$T$12,3,TRUE),
VLOOKUP(Z55,Charge!$U$9:$W$12,2,TRUE)+(Z55-VLOOKUP(Z55,Charge!$U$9:$W$12,1,TRUE))*VLOOKUP(Z55,Charge!$U$9:$W$12,3,TRUE)),IF(AND(B55="G4",M55=""),IF(R55="20'",Z55*Charge!$M$25,Z55*Charge!$P$25),IF(AND(B55="G4",M55="DG"),IF(R55="20'",Z55*Charge!$T$25,Z55*Charge!$W$25),0))))))))</f>
        <v>320</v>
      </c>
      <c r="AB55" s="184" t="n"/>
      <c r="AC55" s="184" t="n"/>
      <c r="AD55" s="60">
        <f>IF(M55="DG",3,IF(N55="RF",3,5))+IF(AND(LEFT(C55,3)="BKK",N55="RF",Q55="KTS"),1,0)+IF(Q55="KHS",1,0)</f>
        <v>5</v>
      </c>
      <c r="AE55" s="63">
        <f>(T55-V55)+1</f>
        <v>46312</v>
      </c>
      <c r="AF55" s="63">
        <f>IF(AB55&gt;IF((V55-W55)&gt;0,V55-W55,0),0,IF(AB55&lt;IF((V55-W55)&gt;0,V55-W55,0),IF((V55-W55)&gt;0,V55-W55,0)-AB55,IF((V55-W55)&gt;0,V55-W55,0)))</f>
        <v>0</v>
      </c>
      <c r="AG55" s="187">
        <f>IF(AND(M55=""),IF(R55="20'",
VLOOKUP(AF55,Charge!$K$31:$M$34,2,TRUE)+(AF55-VLOOKUP(AF55,Charge!$K$31:$M$34,1,TRUE))*VLOOKUP(AF55,Charge!$K$31:$M$34,3,TRUE),
VLOOKUP(AF55,Charge!$N$31:$P$34,2,TRUE)+(AF55-VLOOKUP(AF55,Charge!$N$31:$P$34,1,TRUE))*VLOOKUP(AF55,Charge!$N$31:$P$34,3,TRUE)),
IF(AND(M55="DG"),IF(R55="20'",
VLOOKUP(AF55,Charge!$R$31:$T$34,2,TRUE)+(AF55-VLOOKUP(AF55,Charge!$R$31:$T$34,1,TRUE))*VLOOKUP(AF55,Charge!$R$31:$T$34,3,TRUE),
VLOOKUP(AF55,Charge!$U$31:$W$34,2,TRUE)+(AF55-VLOOKUP(AF55,Charge!$U$31:$W$34,1,TRUE))*VLOOKUP(AF55,Charge!$U$31:$W$34,3,TRUE)),0))</f>
        <v>0</v>
      </c>
      <c r="AH55" s="65" t="n"/>
      <c r="AI55" s="65">
        <f>AA55-AH55</f>
        <v>320</v>
      </c>
      <c r="AJ55" s="188" t="n"/>
      <c r="AK55" s="62" t="str">
        <f>VLOOKUP(D55,'2.Bookinglist'!A:CT,40,FALSE)</f>
        <v>Nustsireerach</v>
      </c>
      <c r="AL55" s="60" t="str">
        <f>VLOOKUP(D55,'2.Bookinglist'!A:CW,101,FALSE)</f>
        <v>2026-10-15</v>
      </c>
      <c r="AM55" s="60" t="str">
        <f>VLOOKUP(D55,'2.Bookinglist'!A:BK,63,FALSE)</f>
        <v>BKK27</v>
      </c>
      <c r="AN55" s="62" t="str">
        <f>VLOOKUP(D55,'2.Bookinglist'!A:AZ,52,FALSE)</f>
        <v>Pickup : 2026-10-09, Return : 2026-10-11 // FM PGPO 2612N BY HAL DD.05/10</v>
      </c>
      <c r="AO55" s="62">
        <f>VLOOKUP(D55,'2.Bookinglist'!A:CY,103,FALSE)</f>
        <v>0</v>
      </c>
    </row>
    <row r="56" ht="12.95" customHeight="1">
      <c r="A56" s="96" t="inlineStr">
        <is>
          <t>HLHU8557935</t>
        </is>
      </c>
      <c r="B56" s="184" t="str">
        <f>IF(C56=Charge!$M$1,Charge!$J$1,IF(C56=Charge!$M$23,Charge!$J$23,IF(C56=Charge!$M$17,Charge!$J$17,IF(C56=Charge!$N$17,Charge!$J$17,Charge!$J$7))))</f>
        <v>G3</v>
      </c>
      <c r="C56" s="61" t="str">
        <f>VLOOKUP(A56,'1.Loading'!A:R,14,FALSE)</f>
        <v>BKK01</v>
      </c>
      <c r="D56" s="61" t="str">
        <f>VLOOKUP(A56,'1.Loading'!A:R,17,FALSE)</f>
        <v>HASLS22260902182</v>
      </c>
      <c r="E56" s="62" t="str">
        <f>VLOOKUP(D56,'2.Bookinglist'!A:CT,27,FALSE)</f>
        <v>BIRLA CARBON (THAILAND) PUBLIC COMPANY LIMITED</v>
      </c>
      <c r="F56" s="62" t="str">
        <f>VLOOKUP(D56,'2.Bookinglist'!A:CT,28,FALSE)</f>
        <v>BIRLA CARBON (THAILAND) PUBLIC COMPANY LIMITED</v>
      </c>
      <c r="G56" s="60">
        <f>VLOOKUP(D56,'2.Bookinglist'!A:E,5,FALSE)</f>
        <v>0</v>
      </c>
      <c r="H56" s="61" t="str">
        <f>VLOOKUP(D56,'2.Bookinglist'!A:CT,15,FALSE)</f>
        <v>THBKK</v>
      </c>
      <c r="I56" s="61" t="str">
        <f>VLOOKUP(D56,'2.Bookinglist'!A:CT,19,FALSE)</f>
        <v>VNSGN</v>
      </c>
      <c r="J56" s="61">
        <f>VLOOKUP(D56,'2.Bookinglist'!A:CT,26,FALSE)</f>
        <v>0</v>
      </c>
      <c r="K56" s="61" t="str">
        <f>VLOOKUP(A56,'1.Loading'!A:R,5,FALSE)</f>
        <v>45GP</v>
      </c>
      <c r="L56" s="60" t="str">
        <f>VLOOKUP(D56,'2.Bookinglist'!A:CT,85,FALSE)</f>
        <v>CY/CY</v>
      </c>
      <c r="M56" s="60" t="str">
        <f>IF(VLOOKUP(D56,'2.Bookinglist'!A:CT,43,FALSE)=0,"","DG")</f>
        <v/>
      </c>
      <c r="N56" s="60" t="str">
        <f>IF(RIGHT(K56,2)="RE","RF","")</f>
        <v/>
      </c>
      <c r="O56" s="61" t="str">
        <f>VLOOKUP(A56,'1.Loading'!A:R,3,FALSE)</f>
        <v>SWIC</v>
      </c>
      <c r="P56" s="61" t="str">
        <f>VLOOKUP(A56,'1.Loading'!A:R,4,FALSE)</f>
        <v>2611N</v>
      </c>
      <c r="Q56" s="61" t="str">
        <f>VLOOKUP(D56,'2.Bookinglist'!A:CT,12,FALSE)</f>
        <v>KHS1</v>
      </c>
      <c r="R56" s="60" t="str">
        <f>IF(LEFT(K56,2)="22","20'","40'")</f>
        <v>40'</v>
      </c>
      <c r="S56" s="185" t="n"/>
      <c r="T56" s="61" t="str">
        <f>VLOOKUP(A56,'1.Loading'!A:R,2,FALSE)</f>
        <v>2026-10-16</v>
      </c>
      <c r="U56" s="63">
        <f>T56-S56</f>
        <v>46311</v>
      </c>
      <c r="V56" s="186" t="n"/>
      <c r="W56" s="61" t="str">
        <f>VLOOKUP(A56,'3.GateMove'!A:D,4,FALSE)</f>
        <v>2026-10-13</v>
      </c>
      <c r="X56" s="63">
        <f>((T56-W56)+1)</f>
        <v>4</v>
      </c>
      <c r="Y56" s="64">
        <f>IF(AND(OR(C56="BKK01",C56="BKK04"),L56="CFS/CY"),0,IF(M56="DG",1,IF(LEFT(C56,3)="LCH",7,IF(C56="BKK02",5,3))))</f>
        <v>3</v>
      </c>
      <c r="Z56" s="63">
        <f>IF(IF(AND(AC56="TML",AB56&gt;0),((T56-W56)+1)-AB56,((T56-W56)+1)-Y56)&gt;0,IF(AND(AC56="TML",AB56&gt;0),((T56-W56)+1)-AB56,((T56-W56)+1)-Y56),0)</f>
        <v>1</v>
      </c>
      <c r="AA56" s="187">
        <f>IF(AND(B56="G1",M56=""),IF(R56="20'",
VLOOKUP(Z56,Charge!$K$2:$M$5,2,TRUE)+(Z56-VLOOKUP(Z56,Charge!$K$2:$M$5,1,TRUE))*VLOOKUP(Z56,Charge!$K$2:$M$5,3,TRUE),
VLOOKUP(Z56,Charge!$N$2:$P$5,2,TRUE)+(Z56-VLOOKUP(Z56,Charge!$N$2:$P$5,1,TRUE))*VLOOKUP(Z56,Charge!$N$2:$P$5,3,TRUE)),
IF(AND(B56="G1",M56="DG"),IF(R56="20'",
VLOOKUP(Z56,Charge!$R$2:$T$5,2,TRUE)+(Z56-VLOOKUP(Z56,Charge!$R$2:$T$5,1,TRUE))*VLOOKUP(Z56,Charge!$R$2:$T$5,3,TRUE),
VLOOKUP(Z56,Charge!$U$2:$W$5,2,TRUE)+(Z56-VLOOKUP(Z56,Charge!$U$2:$W$5,1,TRUE))*VLOOKUP(Z56,Charge!$U$2:$W$5,3,TRUE)),
IF(AND(B56="G3",M56=""),IF(R56="20'",
VLOOKUP(Z56,Charge!$K$18:$M$21,2,TRUE)+(Z56-VLOOKUP(Z56,Charge!$K$18:$M$21,1,TRUE))*VLOOKUP(Z56,Charge!$K$18:$M$21,3,TRUE),
VLOOKUP(Z56,Charge!$N$18:$P$21,2,TRUE)+(Z56-VLOOKUP(Z56,Charge!$N$18:$P$21,1,TRUE))*VLOOKUP(Z56,Charge!$N$18:$P$21,3,TRUE)),
IF(AND(B56="G3",M56="DG"),IF(R56="20'",
VLOOKUP(Z56,Charge!$R$18:$T$21,2,TRUE)+(Z56-VLOOKUP(Z56,Charge!$R$18:$T$21,1,TRUE))*VLOOKUP(Z56,Charge!$R$18:$T$21,3,TRUE),
VLOOKUP(Z56,Charge!$U$18:$W$21,2,TRUE)+(Z56-VLOOKUP(Z56,Charge!$U$18:$W$21,1,TRUE))*VLOOKUP(Z56,Charge!$U$18:$W$21,3,TRUE)),
IF(AND(B56="G2",M56=""),IF(R56="20'",
VLOOKUP(Z56,Charge!$K$9:$M$12,2,TRUE)+(Z56-VLOOKUP(Z56,Charge!$K$9:$M$12,1,TRUE))*VLOOKUP(Z56,Charge!$K$9:$M$12,3,TRUE),
VLOOKUP(Z56,Charge!$N$9:$P$12,2,TRUE)+(Z56-VLOOKUP(Z56,Charge!$N$9:$P$12,1,TRUE))*VLOOKUP(Z56,Charge!$N$9:$P$12,3,TRUE)),
IF(AND(B56="G2",M56="DG"),IF(R56="20'",
VLOOKUP(Z56,Charge!$R$9:$T$12,2,TRUE)+(Z56-VLOOKUP(Z56,Charge!$R$9:$T$12,1,TRUE))*VLOOKUP(Z56,Charge!$R$9:$T$12,3,TRUE),
VLOOKUP(Z56,Charge!$U$9:$W$12,2,TRUE)+(Z56-VLOOKUP(Z56,Charge!$U$9:$W$12,1,TRUE))*VLOOKUP(Z56,Charge!$U$9:$W$12,3,TRUE)),IF(AND(B56="G4",M56=""),IF(R56="20'",Z56*Charge!$M$25,Z56*Charge!$P$25),IF(AND(B56="G4",M56="DG"),IF(R56="20'",Z56*Charge!$T$25,Z56*Charge!$W$25),0))))))))</f>
        <v>320</v>
      </c>
      <c r="AB56" s="184" t="n"/>
      <c r="AC56" s="184" t="n"/>
      <c r="AD56" s="60">
        <f>IF(M56="DG",3,IF(N56="RF",3,5))+IF(AND(LEFT(C56,3)="BKK",N56="RF",Q56="KTS"),1,0)+IF(Q56="KHS",1,0)</f>
        <v>5</v>
      </c>
      <c r="AE56" s="63">
        <f>(T56-V56)+1</f>
        <v>46312</v>
      </c>
      <c r="AF56" s="63">
        <f>IF(AB56&gt;IF((V56-W56)&gt;0,V56-W56,0),0,IF(AB56&lt;IF((V56-W56)&gt;0,V56-W56,0),IF((V56-W56)&gt;0,V56-W56,0)-AB56,IF((V56-W56)&gt;0,V56-W56,0)))</f>
        <v>0</v>
      </c>
      <c r="AG56" s="187">
        <f>IF(AND(M56=""),IF(R56="20'",
VLOOKUP(AF56,Charge!$K$31:$M$34,2,TRUE)+(AF56-VLOOKUP(AF56,Charge!$K$31:$M$34,1,TRUE))*VLOOKUP(AF56,Charge!$K$31:$M$34,3,TRUE),
VLOOKUP(AF56,Charge!$N$31:$P$34,2,TRUE)+(AF56-VLOOKUP(AF56,Charge!$N$31:$P$34,1,TRUE))*VLOOKUP(AF56,Charge!$N$31:$P$34,3,TRUE)),
IF(AND(M56="DG"),IF(R56="20'",
VLOOKUP(AF56,Charge!$R$31:$T$34,2,TRUE)+(AF56-VLOOKUP(AF56,Charge!$R$31:$T$34,1,TRUE))*VLOOKUP(AF56,Charge!$R$31:$T$34,3,TRUE),
VLOOKUP(AF56,Charge!$U$31:$W$34,2,TRUE)+(AF56-VLOOKUP(AF56,Charge!$U$31:$W$34,1,TRUE))*VLOOKUP(AF56,Charge!$U$31:$W$34,3,TRUE)),0))</f>
        <v>0</v>
      </c>
      <c r="AH56" s="65" t="n"/>
      <c r="AI56" s="65">
        <f>AA56-AH56</f>
        <v>320</v>
      </c>
      <c r="AJ56" s="188" t="n"/>
      <c r="AK56" s="62" t="str">
        <f>VLOOKUP(D56,'2.Bookinglist'!A:CT,40,FALSE)</f>
        <v>Dharaporn</v>
      </c>
      <c r="AL56" s="60" t="str">
        <f>VLOOKUP(D56,'2.Bookinglist'!A:CW,101,FALSE)</f>
        <v>2026-10-15</v>
      </c>
      <c r="AM56" s="60" t="str">
        <f>VLOOKUP(D56,'2.Bookinglist'!A:BK,63,FALSE)</f>
        <v>BKK27</v>
      </c>
      <c r="AN56" s="62" t="str">
        <f>VLOOKUP(D56,'2.Bookinglist'!A:AZ,52,FALSE)</f>
        <v>Pickup : 2026-10-10, Return : 2026-10-11
CLS TIME DD.13/10/2026 @ 23.59</v>
      </c>
      <c r="AO56" s="62">
        <f>VLOOKUP(D56,'2.Bookinglist'!A:CY,103,FALSE)</f>
        <v>0</v>
      </c>
    </row>
    <row r="57" ht="12.95" customHeight="1">
      <c r="A57" s="96" t="inlineStr">
        <is>
          <t>HLHU8560055</t>
        </is>
      </c>
      <c r="B57" s="184" t="str">
        <f>IF(C57=Charge!$M$1,Charge!$J$1,IF(C57=Charge!$M$23,Charge!$J$23,IF(C57=Charge!$M$17,Charge!$J$17,IF(C57=Charge!$N$17,Charge!$J$17,Charge!$J$7))))</f>
        <v>G3</v>
      </c>
      <c r="C57" s="61" t="str">
        <f>VLOOKUP(A57,'1.Loading'!A:R,14,FALSE)</f>
        <v>BKK01</v>
      </c>
      <c r="D57" s="61" t="str">
        <f>VLOOKUP(A57,'1.Loading'!A:R,17,FALSE)</f>
        <v>HASLS22260901687</v>
      </c>
      <c r="E57" s="62" t="str">
        <f>VLOOKUP(D57,'2.Bookinglist'!A:CT,27,FALSE)</f>
        <v>BIRLA CARBON (THAILAND) PUBLIC COMPANY LIMITED</v>
      </c>
      <c r="F57" s="62" t="str">
        <f>VLOOKUP(D57,'2.Bookinglist'!A:CT,28,FALSE)</f>
        <v>BIRLA CARBON (THAILAND) PUBLIC COMPANY LIMITED</v>
      </c>
      <c r="G57" s="60">
        <f>VLOOKUP(D57,'2.Bookinglist'!A:E,5,FALSE)</f>
        <v>0</v>
      </c>
      <c r="H57" s="61" t="str">
        <f>VLOOKUP(D57,'2.Bookinglist'!A:CT,15,FALSE)</f>
        <v>THBKK</v>
      </c>
      <c r="I57" s="61" t="str">
        <f>VLOOKUP(D57,'2.Bookinglist'!A:CT,19,FALSE)</f>
        <v>VNSGN</v>
      </c>
      <c r="J57" s="61">
        <f>VLOOKUP(D57,'2.Bookinglist'!A:CT,26,FALSE)</f>
        <v>0</v>
      </c>
      <c r="K57" s="61" t="str">
        <f>VLOOKUP(A57,'1.Loading'!A:R,5,FALSE)</f>
        <v>45GP</v>
      </c>
      <c r="L57" s="60" t="str">
        <f>VLOOKUP(D57,'2.Bookinglist'!A:CT,85,FALSE)</f>
        <v>CY/CY</v>
      </c>
      <c r="M57" s="60" t="str">
        <f>IF(VLOOKUP(D57,'2.Bookinglist'!A:CT,43,FALSE)=0,"","DG")</f>
        <v/>
      </c>
      <c r="N57" s="60" t="str">
        <f>IF(RIGHT(K57,2)="RE","RF","")</f>
        <v/>
      </c>
      <c r="O57" s="61" t="str">
        <f>VLOOKUP(A57,'1.Loading'!A:R,3,FALSE)</f>
        <v>SWIC</v>
      </c>
      <c r="P57" s="61" t="str">
        <f>VLOOKUP(A57,'1.Loading'!A:R,4,FALSE)</f>
        <v>2611N</v>
      </c>
      <c r="Q57" s="61" t="str">
        <f>VLOOKUP(D57,'2.Bookinglist'!A:CT,12,FALSE)</f>
        <v>KHS1</v>
      </c>
      <c r="R57" s="60" t="str">
        <f>IF(LEFT(K57,2)="22","20'","40'")</f>
        <v>40'</v>
      </c>
      <c r="S57" s="185" t="n"/>
      <c r="T57" s="61" t="str">
        <f>VLOOKUP(A57,'1.Loading'!A:R,2,FALSE)</f>
        <v>2026-10-16</v>
      </c>
      <c r="U57" s="63">
        <f>T57-S57</f>
        <v>46311</v>
      </c>
      <c r="V57" s="186" t="n"/>
      <c r="W57" s="61" t="str">
        <f>VLOOKUP(A57,'3.GateMove'!A:D,4,FALSE)</f>
        <v>2026-10-13</v>
      </c>
      <c r="X57" s="63">
        <f>((T57-W57)+1)</f>
        <v>4</v>
      </c>
      <c r="Y57" s="64">
        <f>IF(AND(OR(C57="BKK01",C57="BKK04"),L57="CFS/CY"),0,IF(M57="DG",1,IF(LEFT(C57,3)="LCH",7,IF(C57="BKK02",5,3))))</f>
        <v>3</v>
      </c>
      <c r="Z57" s="63">
        <f>IF(IF(AND(AC57="TML",AB57&gt;0),((T57-W57)+1)-AB57,((T57-W57)+1)-Y57)&gt;0,IF(AND(AC57="TML",AB57&gt;0),((T57-W57)+1)-AB57,((T57-W57)+1)-Y57),0)</f>
        <v>1</v>
      </c>
      <c r="AA57" s="187">
        <f>IF(AND(B57="G1",M57=""),IF(R57="20'",
VLOOKUP(Z57,Charge!$K$2:$M$5,2,TRUE)+(Z57-VLOOKUP(Z57,Charge!$K$2:$M$5,1,TRUE))*VLOOKUP(Z57,Charge!$K$2:$M$5,3,TRUE),
VLOOKUP(Z57,Charge!$N$2:$P$5,2,TRUE)+(Z57-VLOOKUP(Z57,Charge!$N$2:$P$5,1,TRUE))*VLOOKUP(Z57,Charge!$N$2:$P$5,3,TRUE)),
IF(AND(B57="G1",M57="DG"),IF(R57="20'",
VLOOKUP(Z57,Charge!$R$2:$T$5,2,TRUE)+(Z57-VLOOKUP(Z57,Charge!$R$2:$T$5,1,TRUE))*VLOOKUP(Z57,Charge!$R$2:$T$5,3,TRUE),
VLOOKUP(Z57,Charge!$U$2:$W$5,2,TRUE)+(Z57-VLOOKUP(Z57,Charge!$U$2:$W$5,1,TRUE))*VLOOKUP(Z57,Charge!$U$2:$W$5,3,TRUE)),
IF(AND(B57="G3",M57=""),IF(R57="20'",
VLOOKUP(Z57,Charge!$K$18:$M$21,2,TRUE)+(Z57-VLOOKUP(Z57,Charge!$K$18:$M$21,1,TRUE))*VLOOKUP(Z57,Charge!$K$18:$M$21,3,TRUE),
VLOOKUP(Z57,Charge!$N$18:$P$21,2,TRUE)+(Z57-VLOOKUP(Z57,Charge!$N$18:$P$21,1,TRUE))*VLOOKUP(Z57,Charge!$N$18:$P$21,3,TRUE)),
IF(AND(B57="G3",M57="DG"),IF(R57="20'",
VLOOKUP(Z57,Charge!$R$18:$T$21,2,TRUE)+(Z57-VLOOKUP(Z57,Charge!$R$18:$T$21,1,TRUE))*VLOOKUP(Z57,Charge!$R$18:$T$21,3,TRUE),
VLOOKUP(Z57,Charge!$U$18:$W$21,2,TRUE)+(Z57-VLOOKUP(Z57,Charge!$U$18:$W$21,1,TRUE))*VLOOKUP(Z57,Charge!$U$18:$W$21,3,TRUE)),
IF(AND(B57="G2",M57=""),IF(R57="20'",
VLOOKUP(Z57,Charge!$K$9:$M$12,2,TRUE)+(Z57-VLOOKUP(Z57,Charge!$K$9:$M$12,1,TRUE))*VLOOKUP(Z57,Charge!$K$9:$M$12,3,TRUE),
VLOOKUP(Z57,Charge!$N$9:$P$12,2,TRUE)+(Z57-VLOOKUP(Z57,Charge!$N$9:$P$12,1,TRUE))*VLOOKUP(Z57,Charge!$N$9:$P$12,3,TRUE)),
IF(AND(B57="G2",M57="DG"),IF(R57="20'",
VLOOKUP(Z57,Charge!$R$9:$T$12,2,TRUE)+(Z57-VLOOKUP(Z57,Charge!$R$9:$T$12,1,TRUE))*VLOOKUP(Z57,Charge!$R$9:$T$12,3,TRUE),
VLOOKUP(Z57,Charge!$U$9:$W$12,2,TRUE)+(Z57-VLOOKUP(Z57,Charge!$U$9:$W$12,1,TRUE))*VLOOKUP(Z57,Charge!$U$9:$W$12,3,TRUE)),IF(AND(B57="G4",M57=""),IF(R57="20'",Z57*Charge!$M$25,Z57*Charge!$P$25),IF(AND(B57="G4",M57="DG"),IF(R57="20'",Z57*Charge!$T$25,Z57*Charge!$W$25),0))))))))</f>
        <v>320</v>
      </c>
      <c r="AB57" s="184" t="n"/>
      <c r="AC57" s="184" t="n"/>
      <c r="AD57" s="60">
        <f>IF(M57="DG",3,IF(N57="RF",3,5))+IF(AND(LEFT(C57,3)="BKK",N57="RF",Q57="KTS"),1,0)+IF(Q57="KHS",1,0)</f>
        <v>5</v>
      </c>
      <c r="AE57" s="63">
        <f>(T57-V57)+1</f>
        <v>46312</v>
      </c>
      <c r="AF57" s="63">
        <f>IF(AB57&gt;IF((V57-W57)&gt;0,V57-W57,0),0,IF(AB57&lt;IF((V57-W57)&gt;0,V57-W57,0),IF((V57-W57)&gt;0,V57-W57,0)-AB57,IF((V57-W57)&gt;0,V57-W57,0)))</f>
        <v>0</v>
      </c>
      <c r="AG57" s="187">
        <f>IF(AND(M57=""),IF(R57="20'",
VLOOKUP(AF57,Charge!$K$31:$M$34,2,TRUE)+(AF57-VLOOKUP(AF57,Charge!$K$31:$M$34,1,TRUE))*VLOOKUP(AF57,Charge!$K$31:$M$34,3,TRUE),
VLOOKUP(AF57,Charge!$N$31:$P$34,2,TRUE)+(AF57-VLOOKUP(AF57,Charge!$N$31:$P$34,1,TRUE))*VLOOKUP(AF57,Charge!$N$31:$P$34,3,TRUE)),
IF(AND(M57="DG"),IF(R57="20'",
VLOOKUP(AF57,Charge!$R$31:$T$34,2,TRUE)+(AF57-VLOOKUP(AF57,Charge!$R$31:$T$34,1,TRUE))*VLOOKUP(AF57,Charge!$R$31:$T$34,3,TRUE),
VLOOKUP(AF57,Charge!$U$31:$W$34,2,TRUE)+(AF57-VLOOKUP(AF57,Charge!$U$31:$W$34,1,TRUE))*VLOOKUP(AF57,Charge!$U$31:$W$34,3,TRUE)),0))</f>
        <v>0</v>
      </c>
      <c r="AH57" s="65" t="n"/>
      <c r="AI57" s="65">
        <f>AA57-AH57</f>
        <v>320</v>
      </c>
      <c r="AJ57" s="188" t="n"/>
      <c r="AK57" s="62" t="str">
        <f>VLOOKUP(D57,'2.Bookinglist'!A:CT,40,FALSE)</f>
        <v>Dharaporn</v>
      </c>
      <c r="AL57" s="60" t="str">
        <f>VLOOKUP(D57,'2.Bookinglist'!A:CW,101,FALSE)</f>
        <v>2026-10-13</v>
      </c>
      <c r="AM57" s="60" t="str">
        <f>VLOOKUP(D57,'2.Bookinglist'!A:BK,63,FALSE)</f>
        <v>BKK27</v>
      </c>
      <c r="AN57" s="62" t="str">
        <f>VLOOKUP(D57,'2.Bookinglist'!A:AZ,52,FALSE)</f>
        <v>Pickup : 2026-10-08, Return : 2026-10-09
CLS TIME DD.13/10/2026 @ 23.59</v>
      </c>
      <c r="AO57" s="62">
        <f>VLOOKUP(D57,'2.Bookinglist'!A:CY,103,FALSE)</f>
        <v>0</v>
      </c>
    </row>
    <row r="58" ht="12.95" customHeight="1">
      <c r="A58" s="96" t="inlineStr">
        <is>
          <t>HLHU8589418</t>
        </is>
      </c>
      <c r="B58" s="184" t="str">
        <f>IF(C58=Charge!$M$1,Charge!$J$1,IF(C58=Charge!$M$23,Charge!$J$23,IF(C58=Charge!$M$17,Charge!$J$17,IF(C58=Charge!$N$17,Charge!$J$17,Charge!$J$7))))</f>
        <v>G3</v>
      </c>
      <c r="C58" s="61" t="str">
        <f>VLOOKUP(A58,'1.Loading'!A:R,14,FALSE)</f>
        <v>BKK01</v>
      </c>
      <c r="D58" s="61" t="str">
        <f>VLOOKUP(A58,'1.Loading'!A:R,17,FALSE)</f>
        <v>HASLS22260900218</v>
      </c>
      <c r="E58" s="62" t="str">
        <f>VLOOKUP(D58,'2.Bookinglist'!A:CT,27,FALSE)</f>
        <v>HARPERS SEA FREIGHT CO., LTD.</v>
      </c>
      <c r="F58" s="62" t="str">
        <f>VLOOKUP(D58,'2.Bookinglist'!A:CT,28,FALSE)</f>
        <v>THAI ASAHI CO., LTD.</v>
      </c>
      <c r="G58" s="60">
        <f>VLOOKUP(D58,'2.Bookinglist'!A:E,5,FALSE)</f>
        <v>0</v>
      </c>
      <c r="H58" s="61" t="str">
        <f>VLOOKUP(D58,'2.Bookinglist'!A:CT,15,FALSE)</f>
        <v>THBKK</v>
      </c>
      <c r="I58" s="61" t="str">
        <f>VLOOKUP(D58,'2.Bookinglist'!A:CT,19,FALSE)</f>
        <v>KRPUS</v>
      </c>
      <c r="J58" s="61">
        <f>VLOOKUP(D58,'2.Bookinglist'!A:CT,26,FALSE)</f>
        <v>0</v>
      </c>
      <c r="K58" s="61" t="str">
        <f>VLOOKUP(A58,'1.Loading'!A:R,5,FALSE)</f>
        <v>45GP</v>
      </c>
      <c r="L58" s="60" t="str">
        <f>VLOOKUP(D58,'2.Bookinglist'!A:CT,85,FALSE)</f>
        <v>CY/CY</v>
      </c>
      <c r="M58" s="60" t="str">
        <f>IF(VLOOKUP(D58,'2.Bookinglist'!A:CT,43,FALSE)=0,"","DG")</f>
        <v/>
      </c>
      <c r="N58" s="60" t="str">
        <f>IF(RIGHT(K58,2)="RE","RF","")</f>
        <v/>
      </c>
      <c r="O58" s="61" t="str">
        <f>VLOOKUP(A58,'1.Loading'!A:R,3,FALSE)</f>
        <v>SWIC</v>
      </c>
      <c r="P58" s="61" t="str">
        <f>VLOOKUP(A58,'1.Loading'!A:R,4,FALSE)</f>
        <v>2611N</v>
      </c>
      <c r="Q58" s="61" t="str">
        <f>VLOOKUP(D58,'2.Bookinglist'!A:CT,12,FALSE)</f>
        <v>KHS1</v>
      </c>
      <c r="R58" s="60" t="str">
        <f>IF(LEFT(K58,2)="22","20'","40'")</f>
        <v>40'</v>
      </c>
      <c r="S58" s="185" t="n"/>
      <c r="T58" s="61" t="str">
        <f>VLOOKUP(A58,'1.Loading'!A:R,2,FALSE)</f>
        <v>2026-10-16</v>
      </c>
      <c r="U58" s="63">
        <f>T58-S58</f>
        <v>46311</v>
      </c>
      <c r="V58" s="186" t="n"/>
      <c r="W58" s="61" t="str">
        <f>VLOOKUP(A58,'3.GateMove'!A:D,4,FALSE)</f>
        <v>2026-10-11</v>
      </c>
      <c r="X58" s="63">
        <f>((T58-W58)+1)</f>
        <v>6</v>
      </c>
      <c r="Y58" s="64">
        <f>IF(AND(OR(C58="BKK01",C58="BKK04"),L58="CFS/CY"),0,IF(M58="DG",1,IF(LEFT(C58,3)="LCH",7,IF(C58="BKK02",5,3))))</f>
        <v>3</v>
      </c>
      <c r="Z58" s="63">
        <f>IF(IF(AND(AC58="TML",AB58&gt;0),((T58-W58)+1)-AB58,((T58-W58)+1)-Y58)&gt;0,IF(AND(AC58="TML",AB58&gt;0),((T58-W58)+1)-AB58,((T58-W58)+1)-Y58),0)</f>
        <v>3</v>
      </c>
      <c r="AA58" s="187">
        <f>IF(AND(B58="G1",M58=""),IF(R58="20'",
VLOOKUP(Z58,Charge!$K$2:$M$5,2,TRUE)+(Z58-VLOOKUP(Z58,Charge!$K$2:$M$5,1,TRUE))*VLOOKUP(Z58,Charge!$K$2:$M$5,3,TRUE),
VLOOKUP(Z58,Charge!$N$2:$P$5,2,TRUE)+(Z58-VLOOKUP(Z58,Charge!$N$2:$P$5,1,TRUE))*VLOOKUP(Z58,Charge!$N$2:$P$5,3,TRUE)),
IF(AND(B58="G1",M58="DG"),IF(R58="20'",
VLOOKUP(Z58,Charge!$R$2:$T$5,2,TRUE)+(Z58-VLOOKUP(Z58,Charge!$R$2:$T$5,1,TRUE))*VLOOKUP(Z58,Charge!$R$2:$T$5,3,TRUE),
VLOOKUP(Z58,Charge!$U$2:$W$5,2,TRUE)+(Z58-VLOOKUP(Z58,Charge!$U$2:$W$5,1,TRUE))*VLOOKUP(Z58,Charge!$U$2:$W$5,3,TRUE)),
IF(AND(B58="G3",M58=""),IF(R58="20'",
VLOOKUP(Z58,Charge!$K$18:$M$21,2,TRUE)+(Z58-VLOOKUP(Z58,Charge!$K$18:$M$21,1,TRUE))*VLOOKUP(Z58,Charge!$K$18:$M$21,3,TRUE),
VLOOKUP(Z58,Charge!$N$18:$P$21,2,TRUE)+(Z58-VLOOKUP(Z58,Charge!$N$18:$P$21,1,TRUE))*VLOOKUP(Z58,Charge!$N$18:$P$21,3,TRUE)),
IF(AND(B58="G3",M58="DG"),IF(R58="20'",
VLOOKUP(Z58,Charge!$R$18:$T$21,2,TRUE)+(Z58-VLOOKUP(Z58,Charge!$R$18:$T$21,1,TRUE))*VLOOKUP(Z58,Charge!$R$18:$T$21,3,TRUE),
VLOOKUP(Z58,Charge!$U$18:$W$21,2,TRUE)+(Z58-VLOOKUP(Z58,Charge!$U$18:$W$21,1,TRUE))*VLOOKUP(Z58,Charge!$U$18:$W$21,3,TRUE)),
IF(AND(B58="G2",M58=""),IF(R58="20'",
VLOOKUP(Z58,Charge!$K$9:$M$12,2,TRUE)+(Z58-VLOOKUP(Z58,Charge!$K$9:$M$12,1,TRUE))*VLOOKUP(Z58,Charge!$K$9:$M$12,3,TRUE),
VLOOKUP(Z58,Charge!$N$9:$P$12,2,TRUE)+(Z58-VLOOKUP(Z58,Charge!$N$9:$P$12,1,TRUE))*VLOOKUP(Z58,Charge!$N$9:$P$12,3,TRUE)),
IF(AND(B58="G2",M58="DG"),IF(R58="20'",
VLOOKUP(Z58,Charge!$R$9:$T$12,2,TRUE)+(Z58-VLOOKUP(Z58,Charge!$R$9:$T$12,1,TRUE))*VLOOKUP(Z58,Charge!$R$9:$T$12,3,TRUE),
VLOOKUP(Z58,Charge!$U$9:$W$12,2,TRUE)+(Z58-VLOOKUP(Z58,Charge!$U$9:$W$12,1,TRUE))*VLOOKUP(Z58,Charge!$U$9:$W$12,3,TRUE)),IF(AND(B58="G4",M58=""),IF(R58="20'",Z58*Charge!$M$25,Z58*Charge!$P$25),IF(AND(B58="G4",M58="DG"),IF(R58="20'",Z58*Charge!$T$25,Z58*Charge!$W$25),0))))))))</f>
        <v>960</v>
      </c>
      <c r="AB58" s="184" t="n"/>
      <c r="AC58" s="184" t="n"/>
      <c r="AD58" s="60">
        <f>IF(M58="DG",3,IF(N58="RF",3,5))+IF(AND(LEFT(C58,3)="BKK",N58="RF",Q58="KTS"),1,0)+IF(Q58="KHS",1,0)</f>
        <v>5</v>
      </c>
      <c r="AE58" s="63">
        <f>(T58-V58)+1</f>
        <v>46312</v>
      </c>
      <c r="AF58" s="63">
        <f>IF(AB58&gt;IF((V58-W58)&gt;0,V58-W58,0),0,IF(AB58&lt;IF((V58-W58)&gt;0,V58-W58,0),IF((V58-W58)&gt;0,V58-W58,0)-AB58,IF((V58-W58)&gt;0,V58-W58,0)))</f>
        <v>0</v>
      </c>
      <c r="AG58" s="187">
        <f>IF(AND(M58=""),IF(R58="20'",
VLOOKUP(AF58,Charge!$K$31:$M$34,2,TRUE)+(AF58-VLOOKUP(AF58,Charge!$K$31:$M$34,1,TRUE))*VLOOKUP(AF58,Charge!$K$31:$M$34,3,TRUE),
VLOOKUP(AF58,Charge!$N$31:$P$34,2,TRUE)+(AF58-VLOOKUP(AF58,Charge!$N$31:$P$34,1,TRUE))*VLOOKUP(AF58,Charge!$N$31:$P$34,3,TRUE)),
IF(AND(M58="DG"),IF(R58="20'",
VLOOKUP(AF58,Charge!$R$31:$T$34,2,TRUE)+(AF58-VLOOKUP(AF58,Charge!$R$31:$T$34,1,TRUE))*VLOOKUP(AF58,Charge!$R$31:$T$34,3,TRUE),
VLOOKUP(AF58,Charge!$U$31:$W$34,2,TRUE)+(AF58-VLOOKUP(AF58,Charge!$U$31:$W$34,1,TRUE))*VLOOKUP(AF58,Charge!$U$31:$W$34,3,TRUE)),0))</f>
        <v>0</v>
      </c>
      <c r="AH58" s="65" t="n"/>
      <c r="AI58" s="65">
        <f>AA58-AH58</f>
        <v>960</v>
      </c>
      <c r="AJ58" s="188" t="n"/>
      <c r="AK58" s="62" t="str">
        <f>VLOOKUP(D58,'2.Bookinglist'!A:CT,40,FALSE)</f>
        <v>Nustsireerach</v>
      </c>
      <c r="AL58" s="60" t="str">
        <f>VLOOKUP(D58,'2.Bookinglist'!A:CW,101,FALSE)</f>
        <v>2026-10-14</v>
      </c>
      <c r="AM58" s="60" t="str">
        <f>VLOOKUP(D58,'2.Bookinglist'!A:BK,63,FALSE)</f>
        <v>BKK27</v>
      </c>
      <c r="AN58" s="62" t="str">
        <f>VLOOKUP(D58,'2.Bookinglist'!A:AZ,52,FALSE)</f>
        <v>Pickup : 2026-10-03, Return : 2026-10-10</v>
      </c>
      <c r="AO58" s="62">
        <f>VLOOKUP(D58,'2.Bookinglist'!A:CY,103,FALSE)</f>
        <v>0</v>
      </c>
    </row>
    <row r="59" ht="12.95" customHeight="1">
      <c r="A59" s="96" t="inlineStr">
        <is>
          <t>HLHU8589969</t>
        </is>
      </c>
      <c r="B59" s="184" t="str">
        <f>IF(C59=Charge!$M$1,Charge!$J$1,IF(C59=Charge!$M$23,Charge!$J$23,IF(C59=Charge!$M$17,Charge!$J$17,IF(C59=Charge!$N$17,Charge!$J$17,Charge!$J$7))))</f>
        <v>G3</v>
      </c>
      <c r="C59" s="61" t="str">
        <f>VLOOKUP(A59,'1.Loading'!A:R,14,FALSE)</f>
        <v>BKK01</v>
      </c>
      <c r="D59" s="61" t="str">
        <f>VLOOKUP(A59,'1.Loading'!A:R,17,FALSE)</f>
        <v>HASLS22260901303</v>
      </c>
      <c r="E59" s="62" t="str">
        <f>VLOOKUP(D59,'2.Bookinglist'!A:CT,27,FALSE)</f>
        <v>WOODWORKS THAI CO., LTD. (1980)</v>
      </c>
      <c r="F59" s="62" t="str">
        <f>VLOOKUP(D59,'2.Bookinglist'!A:CT,28,FALSE)</f>
        <v>WOODWORKS THAI CO., LTD. (1980)</v>
      </c>
      <c r="G59" s="60">
        <f>VLOOKUP(D59,'2.Bookinglist'!A:E,5,FALSE)</f>
        <v>0</v>
      </c>
      <c r="H59" s="61" t="str">
        <f>VLOOKUP(D59,'2.Bookinglist'!A:CT,15,FALSE)</f>
        <v>THBKK</v>
      </c>
      <c r="I59" s="61" t="str">
        <f>VLOOKUP(D59,'2.Bookinglist'!A:CT,19,FALSE)</f>
        <v>JPIMI</v>
      </c>
      <c r="J59" s="61" t="str">
        <f>VLOOKUP(D59,'2.Bookinglist'!A:CT,26,FALSE)</f>
        <v>KRPUS</v>
      </c>
      <c r="K59" s="61" t="str">
        <f>VLOOKUP(A59,'1.Loading'!A:R,5,FALSE)</f>
        <v>45GP</v>
      </c>
      <c r="L59" s="60" t="str">
        <f>VLOOKUP(D59,'2.Bookinglist'!A:CT,85,FALSE)</f>
        <v>CY/CY</v>
      </c>
      <c r="M59" s="60" t="str">
        <f>IF(VLOOKUP(D59,'2.Bookinglist'!A:CT,43,FALSE)=0,"","DG")</f>
        <v/>
      </c>
      <c r="N59" s="60" t="str">
        <f>IF(RIGHT(K59,2)="RE","RF","")</f>
        <v/>
      </c>
      <c r="O59" s="61" t="str">
        <f>VLOOKUP(A59,'1.Loading'!A:R,3,FALSE)</f>
        <v>SWIC</v>
      </c>
      <c r="P59" s="61" t="str">
        <f>VLOOKUP(A59,'1.Loading'!A:R,4,FALSE)</f>
        <v>2611N</v>
      </c>
      <c r="Q59" s="61" t="str">
        <f>VLOOKUP(D59,'2.Bookinglist'!A:CT,12,FALSE)</f>
        <v>KHS1</v>
      </c>
      <c r="R59" s="60" t="str">
        <f>IF(LEFT(K59,2)="22","20'","40'")</f>
        <v>40'</v>
      </c>
      <c r="S59" s="185" t="n"/>
      <c r="T59" s="61" t="str">
        <f>VLOOKUP(A59,'1.Loading'!A:R,2,FALSE)</f>
        <v>2026-10-16</v>
      </c>
      <c r="U59" s="63">
        <f>T59-S59</f>
        <v>46311</v>
      </c>
      <c r="V59" s="186" t="n"/>
      <c r="W59" s="61" t="str">
        <f>VLOOKUP(A59,'3.GateMove'!A:D,4,FALSE)</f>
        <v>2026-10-12</v>
      </c>
      <c r="X59" s="63">
        <f>((T59-W59)+1)</f>
        <v>5</v>
      </c>
      <c r="Y59" s="64">
        <f>IF(AND(OR(C59="BKK01",C59="BKK04"),L59="CFS/CY"),0,IF(M59="DG",1,IF(LEFT(C59,3)="LCH",7,IF(C59="BKK02",5,3))))</f>
        <v>3</v>
      </c>
      <c r="Z59" s="63">
        <f>IF(IF(AND(AC59="TML",AB59&gt;0),((T59-W59)+1)-AB59,((T59-W59)+1)-Y59)&gt;0,IF(AND(AC59="TML",AB59&gt;0),((T59-W59)+1)-AB59,((T59-W59)+1)-Y59),0)</f>
        <v>2</v>
      </c>
      <c r="AA59" s="187">
        <f>IF(AND(B59="G1",M59=""),IF(R59="20'",
VLOOKUP(Z59,Charge!$K$2:$M$5,2,TRUE)+(Z59-VLOOKUP(Z59,Charge!$K$2:$M$5,1,TRUE))*VLOOKUP(Z59,Charge!$K$2:$M$5,3,TRUE),
VLOOKUP(Z59,Charge!$N$2:$P$5,2,TRUE)+(Z59-VLOOKUP(Z59,Charge!$N$2:$P$5,1,TRUE))*VLOOKUP(Z59,Charge!$N$2:$P$5,3,TRUE)),
IF(AND(B59="G1",M59="DG"),IF(R59="20'",
VLOOKUP(Z59,Charge!$R$2:$T$5,2,TRUE)+(Z59-VLOOKUP(Z59,Charge!$R$2:$T$5,1,TRUE))*VLOOKUP(Z59,Charge!$R$2:$T$5,3,TRUE),
VLOOKUP(Z59,Charge!$U$2:$W$5,2,TRUE)+(Z59-VLOOKUP(Z59,Charge!$U$2:$W$5,1,TRUE))*VLOOKUP(Z59,Charge!$U$2:$W$5,3,TRUE)),
IF(AND(B59="G3",M59=""),IF(R59="20'",
VLOOKUP(Z59,Charge!$K$18:$M$21,2,TRUE)+(Z59-VLOOKUP(Z59,Charge!$K$18:$M$21,1,TRUE))*VLOOKUP(Z59,Charge!$K$18:$M$21,3,TRUE),
VLOOKUP(Z59,Charge!$N$18:$P$21,2,TRUE)+(Z59-VLOOKUP(Z59,Charge!$N$18:$P$21,1,TRUE))*VLOOKUP(Z59,Charge!$N$18:$P$21,3,TRUE)),
IF(AND(B59="G3",M59="DG"),IF(R59="20'",
VLOOKUP(Z59,Charge!$R$18:$T$21,2,TRUE)+(Z59-VLOOKUP(Z59,Charge!$R$18:$T$21,1,TRUE))*VLOOKUP(Z59,Charge!$R$18:$T$21,3,TRUE),
VLOOKUP(Z59,Charge!$U$18:$W$21,2,TRUE)+(Z59-VLOOKUP(Z59,Charge!$U$18:$W$21,1,TRUE))*VLOOKUP(Z59,Charge!$U$18:$W$21,3,TRUE)),
IF(AND(B59="G2",M59=""),IF(R59="20'",
VLOOKUP(Z59,Charge!$K$9:$M$12,2,TRUE)+(Z59-VLOOKUP(Z59,Charge!$K$9:$M$12,1,TRUE))*VLOOKUP(Z59,Charge!$K$9:$M$12,3,TRUE),
VLOOKUP(Z59,Charge!$N$9:$P$12,2,TRUE)+(Z59-VLOOKUP(Z59,Charge!$N$9:$P$12,1,TRUE))*VLOOKUP(Z59,Charge!$N$9:$P$12,3,TRUE)),
IF(AND(B59="G2",M59="DG"),IF(R59="20'",
VLOOKUP(Z59,Charge!$R$9:$T$12,2,TRUE)+(Z59-VLOOKUP(Z59,Charge!$R$9:$T$12,1,TRUE))*VLOOKUP(Z59,Charge!$R$9:$T$12,3,TRUE),
VLOOKUP(Z59,Charge!$U$9:$W$12,2,TRUE)+(Z59-VLOOKUP(Z59,Charge!$U$9:$W$12,1,TRUE))*VLOOKUP(Z59,Charge!$U$9:$W$12,3,TRUE)),IF(AND(B59="G4",M59=""),IF(R59="20'",Z59*Charge!$M$25,Z59*Charge!$P$25),IF(AND(B59="G4",M59="DG"),IF(R59="20'",Z59*Charge!$T$25,Z59*Charge!$W$25),0))))))))</f>
        <v>640</v>
      </c>
      <c r="AB59" s="184" t="n"/>
      <c r="AC59" s="184" t="n"/>
      <c r="AD59" s="60">
        <f>IF(M59="DG",3,IF(N59="RF",3,5))+IF(AND(LEFT(C59,3)="BKK",N59="RF",Q59="KTS"),1,0)+IF(Q59="KHS",1,0)</f>
        <v>5</v>
      </c>
      <c r="AE59" s="63">
        <f>(T59-V59)+1</f>
        <v>46312</v>
      </c>
      <c r="AF59" s="63">
        <f>IF(AB59&gt;IF((V59-W59)&gt;0,V59-W59,0),0,IF(AB59&lt;IF((V59-W59)&gt;0,V59-W59,0),IF((V59-W59)&gt;0,V59-W59,0)-AB59,IF((V59-W59)&gt;0,V59-W59,0)))</f>
        <v>0</v>
      </c>
      <c r="AG59" s="187">
        <f>IF(AND(M59=""),IF(R59="20'",
VLOOKUP(AF59,Charge!$K$31:$M$34,2,TRUE)+(AF59-VLOOKUP(AF59,Charge!$K$31:$M$34,1,TRUE))*VLOOKUP(AF59,Charge!$K$31:$M$34,3,TRUE),
VLOOKUP(AF59,Charge!$N$31:$P$34,2,TRUE)+(AF59-VLOOKUP(AF59,Charge!$N$31:$P$34,1,TRUE))*VLOOKUP(AF59,Charge!$N$31:$P$34,3,TRUE)),
IF(AND(M59="DG"),IF(R59="20'",
VLOOKUP(AF59,Charge!$R$31:$T$34,2,TRUE)+(AF59-VLOOKUP(AF59,Charge!$R$31:$T$34,1,TRUE))*VLOOKUP(AF59,Charge!$R$31:$T$34,3,TRUE),
VLOOKUP(AF59,Charge!$U$31:$W$34,2,TRUE)+(AF59-VLOOKUP(AF59,Charge!$U$31:$W$34,1,TRUE))*VLOOKUP(AF59,Charge!$U$31:$W$34,3,TRUE)),0))</f>
        <v>0</v>
      </c>
      <c r="AH59" s="65" t="n"/>
      <c r="AI59" s="65">
        <f>AA59-AH59</f>
        <v>640</v>
      </c>
      <c r="AJ59" s="188" t="n"/>
      <c r="AK59" s="62" t="str">
        <f>VLOOKUP(D59,'2.Bookinglist'!A:CT,40,FALSE)</f>
        <v>Hiroaki Tamura</v>
      </c>
      <c r="AL59" s="60" t="str">
        <f>VLOOKUP(D59,'2.Bookinglist'!A:CW,101,FALSE)</f>
        <v>2026-10-15</v>
      </c>
      <c r="AM59" s="60" t="str">
        <f>VLOOKUP(D59,'2.Bookinglist'!A:BK,63,FALSE)</f>
        <v>BKK25</v>
      </c>
      <c r="AN59" s="62" t="str">
        <f>VLOOKUP(D59,'2.Bookinglist'!A:AZ,52,FALSE)</f>
        <v>Pickup : 2026-10-10, Return : 2026-10-10 = 1X40HQ
Pickup : 2026-10-12, Return : 2026-10-12 = 1X40HQ</v>
      </c>
      <c r="AO59" s="62">
        <f>VLOOKUP(D59,'2.Bookinglist'!A:CY,103,FALSE)</f>
        <v>0</v>
      </c>
    </row>
    <row r="60" ht="12.95" customHeight="1">
      <c r="A60" s="96" t="inlineStr">
        <is>
          <t>SEGU4886149</t>
        </is>
      </c>
      <c r="B60" s="184" t="str">
        <f>IF(C60=Charge!$M$1,Charge!$J$1,IF(C60=Charge!$M$23,Charge!$J$23,IF(C60=Charge!$M$17,Charge!$J$17,IF(C60=Charge!$N$17,Charge!$J$17,Charge!$J$7))))</f>
        <v>G3</v>
      </c>
      <c r="C60" s="61" t="str">
        <f>VLOOKUP(A60,'1.Loading'!A:R,14,FALSE)</f>
        <v>BKK01</v>
      </c>
      <c r="D60" s="61" t="str">
        <f>VLOOKUP(A60,'1.Loading'!A:R,17,FALSE)</f>
        <v>HASLS22261000742</v>
      </c>
      <c r="E60" s="62" t="str">
        <f>VLOOKUP(D60,'2.Bookinglist'!A:CT,27,FALSE)</f>
        <v>AIR FIRST ONE LOGISTICS CO., LTD.</v>
      </c>
      <c r="F60" s="62" t="str">
        <f>VLOOKUP(D60,'2.Bookinglist'!A:CT,28,FALSE)</f>
        <v>115 GO COMPANY LIMITED</v>
      </c>
      <c r="G60" s="60">
        <f>VLOOKUP(D60,'2.Bookinglist'!A:E,5,FALSE)</f>
        <v>0</v>
      </c>
      <c r="H60" s="61" t="str">
        <f>VLOOKUP(D60,'2.Bookinglist'!A:CT,15,FALSE)</f>
        <v>THBKK</v>
      </c>
      <c r="I60" s="61" t="str">
        <f>VLOOKUP(D60,'2.Bookinglist'!A:CT,19,FALSE)</f>
        <v>VNSGN</v>
      </c>
      <c r="J60" s="61">
        <f>VLOOKUP(D60,'2.Bookinglist'!A:CT,26,FALSE)</f>
        <v>0</v>
      </c>
      <c r="K60" s="61" t="str">
        <f>VLOOKUP(A60,'1.Loading'!A:R,5,FALSE)</f>
        <v>45GP</v>
      </c>
      <c r="L60" s="60" t="str">
        <f>VLOOKUP(D60,'2.Bookinglist'!A:CT,85,FALSE)</f>
        <v>CY/CY</v>
      </c>
      <c r="M60" s="60" t="str">
        <f>IF(VLOOKUP(D60,'2.Bookinglist'!A:CT,43,FALSE)=0,"","DG")</f>
        <v/>
      </c>
      <c r="N60" s="60" t="str">
        <f>IF(RIGHT(K60,2)="RE","RF","")</f>
        <v/>
      </c>
      <c r="O60" s="61" t="str">
        <f>VLOOKUP(A60,'1.Loading'!A:R,3,FALSE)</f>
        <v>SWIC</v>
      </c>
      <c r="P60" s="61" t="str">
        <f>VLOOKUP(A60,'1.Loading'!A:R,4,FALSE)</f>
        <v>2611N</v>
      </c>
      <c r="Q60" s="61" t="str">
        <f>VLOOKUP(D60,'2.Bookinglist'!A:CT,12,FALSE)</f>
        <v>KHS1</v>
      </c>
      <c r="R60" s="60" t="str">
        <f>IF(LEFT(K60,2)="22","20'","40'")</f>
        <v>40'</v>
      </c>
      <c r="S60" s="185" t="n"/>
      <c r="T60" s="61" t="str">
        <f>VLOOKUP(A60,'1.Loading'!A:R,2,FALSE)</f>
        <v>2026-10-16</v>
      </c>
      <c r="U60" s="63">
        <f>T60-S60</f>
        <v>46311</v>
      </c>
      <c r="V60" s="186" t="n"/>
      <c r="W60" s="61" t="str">
        <f>VLOOKUP(A60,'3.GateMove'!A:D,4,FALSE)</f>
        <v>2026-10-13</v>
      </c>
      <c r="X60" s="63">
        <f>((T60-W60)+1)</f>
        <v>4</v>
      </c>
      <c r="Y60" s="64">
        <f>IF(AND(OR(C60="BKK01",C60="BKK04"),L60="CFS/CY"),0,IF(M60="DG",1,IF(LEFT(C60,3)="LCH",7,IF(C60="BKK02",5,3))))</f>
        <v>3</v>
      </c>
      <c r="Z60" s="63">
        <f>IF(IF(AND(AC60="TML",AB60&gt;0),((T60-W60)+1)-AB60,((T60-W60)+1)-Y60)&gt;0,IF(AND(AC60="TML",AB60&gt;0),((T60-W60)+1)-AB60,((T60-W60)+1)-Y60),0)</f>
        <v>1</v>
      </c>
      <c r="AA60" s="187">
        <f>IF(AND(B60="G1",M60=""),IF(R60="20'",
VLOOKUP(Z60,Charge!$K$2:$M$5,2,TRUE)+(Z60-VLOOKUP(Z60,Charge!$K$2:$M$5,1,TRUE))*VLOOKUP(Z60,Charge!$K$2:$M$5,3,TRUE),
VLOOKUP(Z60,Charge!$N$2:$P$5,2,TRUE)+(Z60-VLOOKUP(Z60,Charge!$N$2:$P$5,1,TRUE))*VLOOKUP(Z60,Charge!$N$2:$P$5,3,TRUE)),
IF(AND(B60="G1",M60="DG"),IF(R60="20'",
VLOOKUP(Z60,Charge!$R$2:$T$5,2,TRUE)+(Z60-VLOOKUP(Z60,Charge!$R$2:$T$5,1,TRUE))*VLOOKUP(Z60,Charge!$R$2:$T$5,3,TRUE),
VLOOKUP(Z60,Charge!$U$2:$W$5,2,TRUE)+(Z60-VLOOKUP(Z60,Charge!$U$2:$W$5,1,TRUE))*VLOOKUP(Z60,Charge!$U$2:$W$5,3,TRUE)),
IF(AND(B60="G3",M60=""),IF(R60="20'",
VLOOKUP(Z60,Charge!$K$18:$M$21,2,TRUE)+(Z60-VLOOKUP(Z60,Charge!$K$18:$M$21,1,TRUE))*VLOOKUP(Z60,Charge!$K$18:$M$21,3,TRUE),
VLOOKUP(Z60,Charge!$N$18:$P$21,2,TRUE)+(Z60-VLOOKUP(Z60,Charge!$N$18:$P$21,1,TRUE))*VLOOKUP(Z60,Charge!$N$18:$P$21,3,TRUE)),
IF(AND(B60="G3",M60="DG"),IF(R60="20'",
VLOOKUP(Z60,Charge!$R$18:$T$21,2,TRUE)+(Z60-VLOOKUP(Z60,Charge!$R$18:$T$21,1,TRUE))*VLOOKUP(Z60,Charge!$R$18:$T$21,3,TRUE),
VLOOKUP(Z60,Charge!$U$18:$W$21,2,TRUE)+(Z60-VLOOKUP(Z60,Charge!$U$18:$W$21,1,TRUE))*VLOOKUP(Z60,Charge!$U$18:$W$21,3,TRUE)),
IF(AND(B60="G2",M60=""),IF(R60="20'",
VLOOKUP(Z60,Charge!$K$9:$M$12,2,TRUE)+(Z60-VLOOKUP(Z60,Charge!$K$9:$M$12,1,TRUE))*VLOOKUP(Z60,Charge!$K$9:$M$12,3,TRUE),
VLOOKUP(Z60,Charge!$N$9:$P$12,2,TRUE)+(Z60-VLOOKUP(Z60,Charge!$N$9:$P$12,1,TRUE))*VLOOKUP(Z60,Charge!$N$9:$P$12,3,TRUE)),
IF(AND(B60="G2",M60="DG"),IF(R60="20'",
VLOOKUP(Z60,Charge!$R$9:$T$12,2,TRUE)+(Z60-VLOOKUP(Z60,Charge!$R$9:$T$12,1,TRUE))*VLOOKUP(Z60,Charge!$R$9:$T$12,3,TRUE),
VLOOKUP(Z60,Charge!$U$9:$W$12,2,TRUE)+(Z60-VLOOKUP(Z60,Charge!$U$9:$W$12,1,TRUE))*VLOOKUP(Z60,Charge!$U$9:$W$12,3,TRUE)),IF(AND(B60="G4",M60=""),IF(R60="20'",Z60*Charge!$M$25,Z60*Charge!$P$25),IF(AND(B60="G4",M60="DG"),IF(R60="20'",Z60*Charge!$T$25,Z60*Charge!$W$25),0))))))))</f>
        <v>320</v>
      </c>
      <c r="AB60" s="184" t="n"/>
      <c r="AC60" s="184" t="n"/>
      <c r="AD60" s="60">
        <f>IF(M60="DG",3,IF(N60="RF",3,5))+IF(AND(LEFT(C60,3)="BKK",N60="RF",Q60="KTS"),1,0)+IF(Q60="KHS",1,0)</f>
        <v>5</v>
      </c>
      <c r="AE60" s="63">
        <f>(T60-V60)+1</f>
        <v>46312</v>
      </c>
      <c r="AF60" s="63">
        <f>IF(AB60&gt;IF((V60-W60)&gt;0,V60-W60,0),0,IF(AB60&lt;IF((V60-W60)&gt;0,V60-W60,0),IF((V60-W60)&gt;0,V60-W60,0)-AB60,IF((V60-W60)&gt;0,V60-W60,0)))</f>
        <v>0</v>
      </c>
      <c r="AG60" s="187">
        <f>IF(AND(M60=""),IF(R60="20'",
VLOOKUP(AF60,Charge!$K$31:$M$34,2,TRUE)+(AF60-VLOOKUP(AF60,Charge!$K$31:$M$34,1,TRUE))*VLOOKUP(AF60,Charge!$K$31:$M$34,3,TRUE),
VLOOKUP(AF60,Charge!$N$31:$P$34,2,TRUE)+(AF60-VLOOKUP(AF60,Charge!$N$31:$P$34,1,TRUE))*VLOOKUP(AF60,Charge!$N$31:$P$34,3,TRUE)),
IF(AND(M60="DG"),IF(R60="20'",
VLOOKUP(AF60,Charge!$R$31:$T$34,2,TRUE)+(AF60-VLOOKUP(AF60,Charge!$R$31:$T$34,1,TRUE))*VLOOKUP(AF60,Charge!$R$31:$T$34,3,TRUE),
VLOOKUP(AF60,Charge!$U$31:$W$34,2,TRUE)+(AF60-VLOOKUP(AF60,Charge!$U$31:$W$34,1,TRUE))*VLOOKUP(AF60,Charge!$U$31:$W$34,3,TRUE)),0))</f>
        <v>0</v>
      </c>
      <c r="AH60" s="65" t="n"/>
      <c r="AI60" s="65">
        <f>AA60-AH60</f>
        <v>320</v>
      </c>
      <c r="AJ60" s="188" t="n"/>
      <c r="AK60" s="62" t="str">
        <f>VLOOKUP(D60,'2.Bookinglist'!A:CT,40,FALSE)</f>
        <v>Nannaapust Sukporntaweewat</v>
      </c>
      <c r="AL60" s="60" t="str">
        <f>VLOOKUP(D60,'2.Bookinglist'!A:CW,101,FALSE)</f>
        <v>2026-10-15</v>
      </c>
      <c r="AM60" s="60" t="str">
        <f>VLOOKUP(D60,'2.Bookinglist'!A:BK,63,FALSE)</f>
        <v>BKK27</v>
      </c>
      <c r="AN60" s="62" t="str">
        <f>VLOOKUP(D60,'2.Bookinglist'!A:AZ,52,FALSE)</f>
        <v>Pickup : 2026-10-12, Return : 2026-10-12</v>
      </c>
      <c r="AO60" s="62">
        <f>VLOOKUP(D60,'2.Bookinglist'!A:CY,103,FALSE)</f>
        <v>0</v>
      </c>
    </row>
    <row r="61" ht="12.95" customHeight="1">
      <c r="A61" s="96" t="inlineStr">
        <is>
          <t>SEGU6569436</t>
        </is>
      </c>
      <c r="B61" s="184" t="str">
        <f>IF(C61=Charge!$M$1,Charge!$J$1,IF(C61=Charge!$M$23,Charge!$J$23,IF(C61=Charge!$M$17,Charge!$J$17,IF(C61=Charge!$N$17,Charge!$J$17,Charge!$J$7))))</f>
        <v>G3</v>
      </c>
      <c r="C61" s="61" t="str">
        <f>VLOOKUP(A61,'1.Loading'!A:R,14,FALSE)</f>
        <v>BKK01</v>
      </c>
      <c r="D61" s="61" t="str">
        <f>VLOOKUP(A61,'1.Loading'!A:R,17,FALSE)</f>
        <v>HASLS22260902222</v>
      </c>
      <c r="E61" s="62" t="str">
        <f>VLOOKUP(D61,'2.Bookinglist'!A:CT,27,FALSE)</f>
        <v>CAPRICORN LOGISTICS CO., LTD.</v>
      </c>
      <c r="F61" s="62" t="str">
        <f>VLOOKUP(D61,'2.Bookinglist'!A:CT,28,FALSE)</f>
        <v>SWAN INDUSTRIES (THAILAND) LTD.</v>
      </c>
      <c r="G61" s="60">
        <f>VLOOKUP(D61,'2.Bookinglist'!A:E,5,FALSE)</f>
        <v>0</v>
      </c>
      <c r="H61" s="61" t="str">
        <f>VLOOKUP(D61,'2.Bookinglist'!A:CT,15,FALSE)</f>
        <v>THBKK</v>
      </c>
      <c r="I61" s="61" t="str">
        <f>VLOOKUP(D61,'2.Bookinglist'!A:CT,19,FALSE)</f>
        <v>VNSGN</v>
      </c>
      <c r="J61" s="61">
        <f>VLOOKUP(D61,'2.Bookinglist'!A:CT,26,FALSE)</f>
        <v>0</v>
      </c>
      <c r="K61" s="61" t="str">
        <f>VLOOKUP(A61,'1.Loading'!A:R,5,FALSE)</f>
        <v>45GP</v>
      </c>
      <c r="L61" s="60" t="str">
        <f>VLOOKUP(D61,'2.Bookinglist'!A:CT,85,FALSE)</f>
        <v>CY/CY</v>
      </c>
      <c r="M61" s="60" t="str">
        <f>IF(VLOOKUP(D61,'2.Bookinglist'!A:CT,43,FALSE)=0,"","DG")</f>
        <v/>
      </c>
      <c r="N61" s="60" t="str">
        <f>IF(RIGHT(K61,2)="RE","RF","")</f>
        <v/>
      </c>
      <c r="O61" s="61" t="str">
        <f>VLOOKUP(A61,'1.Loading'!A:R,3,FALSE)</f>
        <v>SWIC</v>
      </c>
      <c r="P61" s="61" t="str">
        <f>VLOOKUP(A61,'1.Loading'!A:R,4,FALSE)</f>
        <v>2611N</v>
      </c>
      <c r="Q61" s="61" t="str">
        <f>VLOOKUP(D61,'2.Bookinglist'!A:CT,12,FALSE)</f>
        <v>KHS1</v>
      </c>
      <c r="R61" s="60" t="str">
        <f>IF(LEFT(K61,2)="22","20'","40'")</f>
        <v>40'</v>
      </c>
      <c r="S61" s="185" t="n"/>
      <c r="T61" s="61" t="str">
        <f>VLOOKUP(A61,'1.Loading'!A:R,2,FALSE)</f>
        <v>2026-10-16</v>
      </c>
      <c r="U61" s="63">
        <f>T61-S61</f>
        <v>46311</v>
      </c>
      <c r="V61" s="186" t="n"/>
      <c r="W61" s="61" t="str">
        <f>VLOOKUP(A61,'3.GateMove'!A:D,4,FALSE)</f>
        <v>2026-10-13</v>
      </c>
      <c r="X61" s="63">
        <f>((T61-W61)+1)</f>
        <v>4</v>
      </c>
      <c r="Y61" s="64">
        <f>IF(AND(OR(C61="BKK01",C61="BKK04"),L61="CFS/CY"),0,IF(M61="DG",1,IF(LEFT(C61,3)="LCH",7,IF(C61="BKK02",5,3))))</f>
        <v>3</v>
      </c>
      <c r="Z61" s="63">
        <f>IF(IF(AND(AC61="TML",AB61&gt;0),((T61-W61)+1)-AB61,((T61-W61)+1)-Y61)&gt;0,IF(AND(AC61="TML",AB61&gt;0),((T61-W61)+1)-AB61,((T61-W61)+1)-Y61),0)</f>
        <v>1</v>
      </c>
      <c r="AA61" s="187">
        <f>IF(AND(B61="G1",M61=""),IF(R61="20'",
VLOOKUP(Z61,Charge!$K$2:$M$5,2,TRUE)+(Z61-VLOOKUP(Z61,Charge!$K$2:$M$5,1,TRUE))*VLOOKUP(Z61,Charge!$K$2:$M$5,3,TRUE),
VLOOKUP(Z61,Charge!$N$2:$P$5,2,TRUE)+(Z61-VLOOKUP(Z61,Charge!$N$2:$P$5,1,TRUE))*VLOOKUP(Z61,Charge!$N$2:$P$5,3,TRUE)),
IF(AND(B61="G1",M61="DG"),IF(R61="20'",
VLOOKUP(Z61,Charge!$R$2:$T$5,2,TRUE)+(Z61-VLOOKUP(Z61,Charge!$R$2:$T$5,1,TRUE))*VLOOKUP(Z61,Charge!$R$2:$T$5,3,TRUE),
VLOOKUP(Z61,Charge!$U$2:$W$5,2,TRUE)+(Z61-VLOOKUP(Z61,Charge!$U$2:$W$5,1,TRUE))*VLOOKUP(Z61,Charge!$U$2:$W$5,3,TRUE)),
IF(AND(B61="G3",M61=""),IF(R61="20'",
VLOOKUP(Z61,Charge!$K$18:$M$21,2,TRUE)+(Z61-VLOOKUP(Z61,Charge!$K$18:$M$21,1,TRUE))*VLOOKUP(Z61,Charge!$K$18:$M$21,3,TRUE),
VLOOKUP(Z61,Charge!$N$18:$P$21,2,TRUE)+(Z61-VLOOKUP(Z61,Charge!$N$18:$P$21,1,TRUE))*VLOOKUP(Z61,Charge!$N$18:$P$21,3,TRUE)),
IF(AND(B61="G3",M61="DG"),IF(R61="20'",
VLOOKUP(Z61,Charge!$R$18:$T$21,2,TRUE)+(Z61-VLOOKUP(Z61,Charge!$R$18:$T$21,1,TRUE))*VLOOKUP(Z61,Charge!$R$18:$T$21,3,TRUE),
VLOOKUP(Z61,Charge!$U$18:$W$21,2,TRUE)+(Z61-VLOOKUP(Z61,Charge!$U$18:$W$21,1,TRUE))*VLOOKUP(Z61,Charge!$U$18:$W$21,3,TRUE)),
IF(AND(B61="G2",M61=""),IF(R61="20'",
VLOOKUP(Z61,Charge!$K$9:$M$12,2,TRUE)+(Z61-VLOOKUP(Z61,Charge!$K$9:$M$12,1,TRUE))*VLOOKUP(Z61,Charge!$K$9:$M$12,3,TRUE),
VLOOKUP(Z61,Charge!$N$9:$P$12,2,TRUE)+(Z61-VLOOKUP(Z61,Charge!$N$9:$P$12,1,TRUE))*VLOOKUP(Z61,Charge!$N$9:$P$12,3,TRUE)),
IF(AND(B61="G2",M61="DG"),IF(R61="20'",
VLOOKUP(Z61,Charge!$R$9:$T$12,2,TRUE)+(Z61-VLOOKUP(Z61,Charge!$R$9:$T$12,1,TRUE))*VLOOKUP(Z61,Charge!$R$9:$T$12,3,TRUE),
VLOOKUP(Z61,Charge!$U$9:$W$12,2,TRUE)+(Z61-VLOOKUP(Z61,Charge!$U$9:$W$12,1,TRUE))*VLOOKUP(Z61,Charge!$U$9:$W$12,3,TRUE)),IF(AND(B61="G4",M61=""),IF(R61="20'",Z61*Charge!$M$25,Z61*Charge!$P$25),IF(AND(B61="G4",M61="DG"),IF(R61="20'",Z61*Charge!$T$25,Z61*Charge!$W$25),0))))))))</f>
        <v>320</v>
      </c>
      <c r="AB61" s="184" t="n"/>
      <c r="AC61" s="184" t="n"/>
      <c r="AD61" s="60">
        <f>IF(M61="DG",3,IF(N61="RF",3,5))+IF(AND(LEFT(C61,3)="BKK",N61="RF",Q61="KTS"),1,0)+IF(Q61="KHS",1,0)</f>
        <v>5</v>
      </c>
      <c r="AE61" s="63">
        <f>(T61-V61)+1</f>
        <v>46312</v>
      </c>
      <c r="AF61" s="63">
        <f>IF(AB61&gt;IF((V61-W61)&gt;0,V61-W61,0),0,IF(AB61&lt;IF((V61-W61)&gt;0,V61-W61,0),IF((V61-W61)&gt;0,V61-W61,0)-AB61,IF((V61-W61)&gt;0,V61-W61,0)))</f>
        <v>0</v>
      </c>
      <c r="AG61" s="187">
        <f>IF(AND(M61=""),IF(R61="20'",
VLOOKUP(AF61,Charge!$K$31:$M$34,2,TRUE)+(AF61-VLOOKUP(AF61,Charge!$K$31:$M$34,1,TRUE))*VLOOKUP(AF61,Charge!$K$31:$M$34,3,TRUE),
VLOOKUP(AF61,Charge!$N$31:$P$34,2,TRUE)+(AF61-VLOOKUP(AF61,Charge!$N$31:$P$34,1,TRUE))*VLOOKUP(AF61,Charge!$N$31:$P$34,3,TRUE)),
IF(AND(M61="DG"),IF(R61="20'",
VLOOKUP(AF61,Charge!$R$31:$T$34,2,TRUE)+(AF61-VLOOKUP(AF61,Charge!$R$31:$T$34,1,TRUE))*VLOOKUP(AF61,Charge!$R$31:$T$34,3,TRUE),
VLOOKUP(AF61,Charge!$U$31:$W$34,2,TRUE)+(AF61-VLOOKUP(AF61,Charge!$U$31:$W$34,1,TRUE))*VLOOKUP(AF61,Charge!$U$31:$W$34,3,TRUE)),0))</f>
        <v>0</v>
      </c>
      <c r="AH61" s="65" t="n"/>
      <c r="AI61" s="65">
        <f>AA61-AH61</f>
        <v>320</v>
      </c>
      <c r="AJ61" s="188" t="n"/>
      <c r="AK61" s="62" t="str">
        <f>VLOOKUP(D61,'2.Bookinglist'!A:CT,40,FALSE)</f>
        <v>Nguyen Xuan Toan</v>
      </c>
      <c r="AL61" s="60" t="str">
        <f>VLOOKUP(D61,'2.Bookinglist'!A:CW,101,FALSE)</f>
        <v>2026-10-15</v>
      </c>
      <c r="AM61" s="60" t="str">
        <f>VLOOKUP(D61,'2.Bookinglist'!A:BK,63,FALSE)</f>
        <v>BKK27</v>
      </c>
      <c r="AN61" s="62" t="str">
        <f>VLOOKUP(D61,'2.Bookinglist'!A:AZ,52,FALSE)</f>
        <v>Pickup : 2026-10-12, Return : 2026-10-12 (1ST RETURN DD.11/10/26)</v>
      </c>
      <c r="AO61" s="62">
        <f>VLOOKUP(D61,'2.Bookinglist'!A:CY,103,FALSE)</f>
        <v>0</v>
      </c>
    </row>
    <row r="62" ht="12.95" customHeight="1">
      <c r="A62" s="96" t="inlineStr">
        <is>
          <t>SKHU6329430</t>
        </is>
      </c>
      <c r="B62" s="184" t="str">
        <f>IF(C62=Charge!$M$1,Charge!$J$1,IF(C62=Charge!$M$23,Charge!$J$23,IF(C62=Charge!$M$17,Charge!$J$17,IF(C62=Charge!$N$17,Charge!$J$17,Charge!$J$7))))</f>
        <v>G3</v>
      </c>
      <c r="C62" s="61" t="str">
        <f>VLOOKUP(A62,'1.Loading'!A:R,14,FALSE)</f>
        <v>BKK01</v>
      </c>
      <c r="D62" s="61" t="str">
        <f>VLOOKUP(A62,'1.Loading'!A:R,17,FALSE)</f>
        <v>HASLS22261000692</v>
      </c>
      <c r="E62" s="62" t="str">
        <f>VLOOKUP(D62,'2.Bookinglist'!A:CT,27,FALSE)</f>
        <v>BIRLA CARBON (THAILAND) PUBLIC COMPANY LIMITED</v>
      </c>
      <c r="F62" s="62" t="str">
        <f>VLOOKUP(D62,'2.Bookinglist'!A:CT,28,FALSE)</f>
        <v>BIRLA CARBON (THAILAND) PUBLIC COMPANY LIMITED</v>
      </c>
      <c r="G62" s="60">
        <f>VLOOKUP(D62,'2.Bookinglist'!A:E,5,FALSE)</f>
        <v>0</v>
      </c>
      <c r="H62" s="61" t="str">
        <f>VLOOKUP(D62,'2.Bookinglist'!A:CT,15,FALSE)</f>
        <v>THBKK</v>
      </c>
      <c r="I62" s="61" t="str">
        <f>VLOOKUP(D62,'2.Bookinglist'!A:CT,19,FALSE)</f>
        <v>VNSGN</v>
      </c>
      <c r="J62" s="61">
        <f>VLOOKUP(D62,'2.Bookinglist'!A:CT,26,FALSE)</f>
        <v>0</v>
      </c>
      <c r="K62" s="61" t="str">
        <f>VLOOKUP(A62,'1.Loading'!A:R,5,FALSE)</f>
        <v>45GP</v>
      </c>
      <c r="L62" s="60" t="str">
        <f>VLOOKUP(D62,'2.Bookinglist'!A:CT,85,FALSE)</f>
        <v>CY/CY</v>
      </c>
      <c r="M62" s="60" t="str">
        <f>IF(VLOOKUP(D62,'2.Bookinglist'!A:CT,43,FALSE)=0,"","DG")</f>
        <v/>
      </c>
      <c r="N62" s="60" t="str">
        <f>IF(RIGHT(K62,2)="RE","RF","")</f>
        <v/>
      </c>
      <c r="O62" s="61" t="str">
        <f>VLOOKUP(A62,'1.Loading'!A:R,3,FALSE)</f>
        <v>SWIC</v>
      </c>
      <c r="P62" s="61" t="str">
        <f>VLOOKUP(A62,'1.Loading'!A:R,4,FALSE)</f>
        <v>2611N</v>
      </c>
      <c r="Q62" s="61" t="str">
        <f>VLOOKUP(D62,'2.Bookinglist'!A:CT,12,FALSE)</f>
        <v>KHS1</v>
      </c>
      <c r="R62" s="60" t="str">
        <f>IF(LEFT(K62,2)="22","20'","40'")</f>
        <v>40'</v>
      </c>
      <c r="S62" s="185" t="n"/>
      <c r="T62" s="61" t="str">
        <f>VLOOKUP(A62,'1.Loading'!A:R,2,FALSE)</f>
        <v>2026-10-16</v>
      </c>
      <c r="U62" s="63">
        <f>T62-S62</f>
        <v>46311</v>
      </c>
      <c r="V62" s="186" t="n"/>
      <c r="W62" s="61" t="str">
        <f>VLOOKUP(A62,'3.GateMove'!A:D,4,FALSE)</f>
        <v>2026-10-13</v>
      </c>
      <c r="X62" s="63">
        <f>((T62-W62)+1)</f>
        <v>4</v>
      </c>
      <c r="Y62" s="64">
        <f>IF(AND(OR(C62="BKK01",C62="BKK04"),L62="CFS/CY"),0,IF(M62="DG",1,IF(LEFT(C62,3)="LCH",7,IF(C62="BKK02",5,3))))</f>
        <v>3</v>
      </c>
      <c r="Z62" s="63">
        <f>IF(IF(AND(AC62="TML",AB62&gt;0),((T62-W62)+1)-AB62,((T62-W62)+1)-Y62)&gt;0,IF(AND(AC62="TML",AB62&gt;0),((T62-W62)+1)-AB62,((T62-W62)+1)-Y62),0)</f>
        <v>1</v>
      </c>
      <c r="AA62" s="187">
        <f>IF(AND(B62="G1",M62=""),IF(R62="20'",
VLOOKUP(Z62,Charge!$K$2:$M$5,2,TRUE)+(Z62-VLOOKUP(Z62,Charge!$K$2:$M$5,1,TRUE))*VLOOKUP(Z62,Charge!$K$2:$M$5,3,TRUE),
VLOOKUP(Z62,Charge!$N$2:$P$5,2,TRUE)+(Z62-VLOOKUP(Z62,Charge!$N$2:$P$5,1,TRUE))*VLOOKUP(Z62,Charge!$N$2:$P$5,3,TRUE)),
IF(AND(B62="G1",M62="DG"),IF(R62="20'",
VLOOKUP(Z62,Charge!$R$2:$T$5,2,TRUE)+(Z62-VLOOKUP(Z62,Charge!$R$2:$T$5,1,TRUE))*VLOOKUP(Z62,Charge!$R$2:$T$5,3,TRUE),
VLOOKUP(Z62,Charge!$U$2:$W$5,2,TRUE)+(Z62-VLOOKUP(Z62,Charge!$U$2:$W$5,1,TRUE))*VLOOKUP(Z62,Charge!$U$2:$W$5,3,TRUE)),
IF(AND(B62="G3",M62=""),IF(R62="20'",
VLOOKUP(Z62,Charge!$K$18:$M$21,2,TRUE)+(Z62-VLOOKUP(Z62,Charge!$K$18:$M$21,1,TRUE))*VLOOKUP(Z62,Charge!$K$18:$M$21,3,TRUE),
VLOOKUP(Z62,Charge!$N$18:$P$21,2,TRUE)+(Z62-VLOOKUP(Z62,Charge!$N$18:$P$21,1,TRUE))*VLOOKUP(Z62,Charge!$N$18:$P$21,3,TRUE)),
IF(AND(B62="G3",M62="DG"),IF(R62="20'",
VLOOKUP(Z62,Charge!$R$18:$T$21,2,TRUE)+(Z62-VLOOKUP(Z62,Charge!$R$18:$T$21,1,TRUE))*VLOOKUP(Z62,Charge!$R$18:$T$21,3,TRUE),
VLOOKUP(Z62,Charge!$U$18:$W$21,2,TRUE)+(Z62-VLOOKUP(Z62,Charge!$U$18:$W$21,1,TRUE))*VLOOKUP(Z62,Charge!$U$18:$W$21,3,TRUE)),
IF(AND(B62="G2",M62=""),IF(R62="20'",
VLOOKUP(Z62,Charge!$K$9:$M$12,2,TRUE)+(Z62-VLOOKUP(Z62,Charge!$K$9:$M$12,1,TRUE))*VLOOKUP(Z62,Charge!$K$9:$M$12,3,TRUE),
VLOOKUP(Z62,Charge!$N$9:$P$12,2,TRUE)+(Z62-VLOOKUP(Z62,Charge!$N$9:$P$12,1,TRUE))*VLOOKUP(Z62,Charge!$N$9:$P$12,3,TRUE)),
IF(AND(B62="G2",M62="DG"),IF(R62="20'",
VLOOKUP(Z62,Charge!$R$9:$T$12,2,TRUE)+(Z62-VLOOKUP(Z62,Charge!$R$9:$T$12,1,TRUE))*VLOOKUP(Z62,Charge!$R$9:$T$12,3,TRUE),
VLOOKUP(Z62,Charge!$U$9:$W$12,2,TRUE)+(Z62-VLOOKUP(Z62,Charge!$U$9:$W$12,1,TRUE))*VLOOKUP(Z62,Charge!$U$9:$W$12,3,TRUE)),IF(AND(B62="G4",M62=""),IF(R62="20'",Z62*Charge!$M$25,Z62*Charge!$P$25),IF(AND(B62="G4",M62="DG"),IF(R62="20'",Z62*Charge!$T$25,Z62*Charge!$W$25),0))))))))</f>
        <v>320</v>
      </c>
      <c r="AB62" s="184" t="n"/>
      <c r="AC62" s="184" t="n"/>
      <c r="AD62" s="60">
        <f>IF(M62="DG",3,IF(N62="RF",3,5))+IF(AND(LEFT(C62,3)="BKK",N62="RF",Q62="KTS"),1,0)+IF(Q62="KHS",1,0)</f>
        <v>5</v>
      </c>
      <c r="AE62" s="63">
        <f>(T62-V62)+1</f>
        <v>46312</v>
      </c>
      <c r="AF62" s="63">
        <f>IF(AB62&gt;IF((V62-W62)&gt;0,V62-W62,0),0,IF(AB62&lt;IF((V62-W62)&gt;0,V62-W62,0),IF((V62-W62)&gt;0,V62-W62,0)-AB62,IF((V62-W62)&gt;0,V62-W62,0)))</f>
        <v>0</v>
      </c>
      <c r="AG62" s="187">
        <f>IF(AND(M62=""),IF(R62="20'",
VLOOKUP(AF62,Charge!$K$31:$M$34,2,TRUE)+(AF62-VLOOKUP(AF62,Charge!$K$31:$M$34,1,TRUE))*VLOOKUP(AF62,Charge!$K$31:$M$34,3,TRUE),
VLOOKUP(AF62,Charge!$N$31:$P$34,2,TRUE)+(AF62-VLOOKUP(AF62,Charge!$N$31:$P$34,1,TRUE))*VLOOKUP(AF62,Charge!$N$31:$P$34,3,TRUE)),
IF(AND(M62="DG"),IF(R62="20'",
VLOOKUP(AF62,Charge!$R$31:$T$34,2,TRUE)+(AF62-VLOOKUP(AF62,Charge!$R$31:$T$34,1,TRUE))*VLOOKUP(AF62,Charge!$R$31:$T$34,3,TRUE),
VLOOKUP(AF62,Charge!$U$31:$W$34,2,TRUE)+(AF62-VLOOKUP(AF62,Charge!$U$31:$W$34,1,TRUE))*VLOOKUP(AF62,Charge!$U$31:$W$34,3,TRUE)),0))</f>
        <v>0</v>
      </c>
      <c r="AH62" s="65" t="n"/>
      <c r="AI62" s="65">
        <f>AA62-AH62</f>
        <v>320</v>
      </c>
      <c r="AJ62" s="188" t="n"/>
      <c r="AK62" s="62" t="str">
        <f>VLOOKUP(D62,'2.Bookinglist'!A:CT,40,FALSE)</f>
        <v>Dharaporn</v>
      </c>
      <c r="AL62" s="60" t="str">
        <f>VLOOKUP(D62,'2.Bookinglist'!A:CW,101,FALSE)</f>
        <v>2026-10-15</v>
      </c>
      <c r="AM62" s="60" t="str">
        <f>VLOOKUP(D62,'2.Bookinglist'!A:BK,63,FALSE)</f>
        <v>BKK27</v>
      </c>
      <c r="AN62" s="62" t="str">
        <f>VLOOKUP(D62,'2.Bookinglist'!A:AZ,52,FALSE)</f>
        <v>Pickup : 2026-10-10, Return : 2026-10-11 
CLS TIME DD.13/10/2026 @ 23.59
</v>
      </c>
      <c r="AO62" s="62">
        <f>VLOOKUP(D62,'2.Bookinglist'!A:CY,103,FALSE)</f>
        <v>0</v>
      </c>
    </row>
    <row r="63" ht="12.95" customHeight="1">
      <c r="A63" s="96" t="inlineStr">
        <is>
          <t>SKHU6333173</t>
        </is>
      </c>
      <c r="B63" s="184" t="str">
        <f>IF(C63=Charge!$M$1,Charge!$J$1,IF(C63=Charge!$M$23,Charge!$J$23,IF(C63=Charge!$M$17,Charge!$J$17,IF(C63=Charge!$N$17,Charge!$J$17,Charge!$J$7))))</f>
        <v>G3</v>
      </c>
      <c r="C63" s="61" t="str">
        <f>VLOOKUP(A63,'1.Loading'!A:R,14,FALSE)</f>
        <v>BKK01</v>
      </c>
      <c r="D63" s="61" t="str">
        <f>VLOOKUP(A63,'1.Loading'!A:R,17,FALSE)</f>
        <v>HASLS22260901687</v>
      </c>
      <c r="E63" s="62" t="str">
        <f>VLOOKUP(D63,'2.Bookinglist'!A:CT,27,FALSE)</f>
        <v>BIRLA CARBON (THAILAND) PUBLIC COMPANY LIMITED</v>
      </c>
      <c r="F63" s="62" t="str">
        <f>VLOOKUP(D63,'2.Bookinglist'!A:CT,28,FALSE)</f>
        <v>BIRLA CARBON (THAILAND) PUBLIC COMPANY LIMITED</v>
      </c>
      <c r="G63" s="60">
        <f>VLOOKUP(D63,'2.Bookinglist'!A:E,5,FALSE)</f>
        <v>0</v>
      </c>
      <c r="H63" s="61" t="str">
        <f>VLOOKUP(D63,'2.Bookinglist'!A:CT,15,FALSE)</f>
        <v>THBKK</v>
      </c>
      <c r="I63" s="61" t="str">
        <f>VLOOKUP(D63,'2.Bookinglist'!A:CT,19,FALSE)</f>
        <v>VNSGN</v>
      </c>
      <c r="J63" s="61">
        <f>VLOOKUP(D63,'2.Bookinglist'!A:CT,26,FALSE)</f>
        <v>0</v>
      </c>
      <c r="K63" s="61" t="str">
        <f>VLOOKUP(A63,'1.Loading'!A:R,5,FALSE)</f>
        <v>45GP</v>
      </c>
      <c r="L63" s="60" t="str">
        <f>VLOOKUP(D63,'2.Bookinglist'!A:CT,85,FALSE)</f>
        <v>CY/CY</v>
      </c>
      <c r="M63" s="60" t="str">
        <f>IF(VLOOKUP(D63,'2.Bookinglist'!A:CT,43,FALSE)=0,"","DG")</f>
        <v/>
      </c>
      <c r="N63" s="60" t="str">
        <f>IF(RIGHT(K63,2)="RE","RF","")</f>
        <v/>
      </c>
      <c r="O63" s="61" t="str">
        <f>VLOOKUP(A63,'1.Loading'!A:R,3,FALSE)</f>
        <v>SWIC</v>
      </c>
      <c r="P63" s="61" t="str">
        <f>VLOOKUP(A63,'1.Loading'!A:R,4,FALSE)</f>
        <v>2611N</v>
      </c>
      <c r="Q63" s="61" t="str">
        <f>VLOOKUP(D63,'2.Bookinglist'!A:CT,12,FALSE)</f>
        <v>KHS1</v>
      </c>
      <c r="R63" s="60" t="str">
        <f>IF(LEFT(K63,2)="22","20'","40'")</f>
        <v>40'</v>
      </c>
      <c r="S63" s="185" t="n"/>
      <c r="T63" s="61" t="str">
        <f>VLOOKUP(A63,'1.Loading'!A:R,2,FALSE)</f>
        <v>2026-10-16</v>
      </c>
      <c r="U63" s="63">
        <f>T63-S63</f>
        <v>46311</v>
      </c>
      <c r="V63" s="186" t="n"/>
      <c r="W63" s="61" t="str">
        <f>VLOOKUP(A63,'3.GateMove'!A:D,4,FALSE)</f>
        <v>2026-10-12</v>
      </c>
      <c r="X63" s="63">
        <f>((T63-W63)+1)</f>
        <v>5</v>
      </c>
      <c r="Y63" s="64">
        <f>IF(AND(OR(C63="BKK01",C63="BKK04"),L63="CFS/CY"),0,IF(M63="DG",1,IF(LEFT(C63,3)="LCH",7,IF(C63="BKK02",5,3))))</f>
        <v>3</v>
      </c>
      <c r="Z63" s="63">
        <f>IF(IF(AND(AC63="TML",AB63&gt;0),((T63-W63)+1)-AB63,((T63-W63)+1)-Y63)&gt;0,IF(AND(AC63="TML",AB63&gt;0),((T63-W63)+1)-AB63,((T63-W63)+1)-Y63),0)</f>
        <v>2</v>
      </c>
      <c r="AA63" s="187">
        <f>IF(AND(B63="G1",M63=""),IF(R63="20'",
VLOOKUP(Z63,Charge!$K$2:$M$5,2,TRUE)+(Z63-VLOOKUP(Z63,Charge!$K$2:$M$5,1,TRUE))*VLOOKUP(Z63,Charge!$K$2:$M$5,3,TRUE),
VLOOKUP(Z63,Charge!$N$2:$P$5,2,TRUE)+(Z63-VLOOKUP(Z63,Charge!$N$2:$P$5,1,TRUE))*VLOOKUP(Z63,Charge!$N$2:$P$5,3,TRUE)),
IF(AND(B63="G1",M63="DG"),IF(R63="20'",
VLOOKUP(Z63,Charge!$R$2:$T$5,2,TRUE)+(Z63-VLOOKUP(Z63,Charge!$R$2:$T$5,1,TRUE))*VLOOKUP(Z63,Charge!$R$2:$T$5,3,TRUE),
VLOOKUP(Z63,Charge!$U$2:$W$5,2,TRUE)+(Z63-VLOOKUP(Z63,Charge!$U$2:$W$5,1,TRUE))*VLOOKUP(Z63,Charge!$U$2:$W$5,3,TRUE)),
IF(AND(B63="G3",M63=""),IF(R63="20'",
VLOOKUP(Z63,Charge!$K$18:$M$21,2,TRUE)+(Z63-VLOOKUP(Z63,Charge!$K$18:$M$21,1,TRUE))*VLOOKUP(Z63,Charge!$K$18:$M$21,3,TRUE),
VLOOKUP(Z63,Charge!$N$18:$P$21,2,TRUE)+(Z63-VLOOKUP(Z63,Charge!$N$18:$P$21,1,TRUE))*VLOOKUP(Z63,Charge!$N$18:$P$21,3,TRUE)),
IF(AND(B63="G3",M63="DG"),IF(R63="20'",
VLOOKUP(Z63,Charge!$R$18:$T$21,2,TRUE)+(Z63-VLOOKUP(Z63,Charge!$R$18:$T$21,1,TRUE))*VLOOKUP(Z63,Charge!$R$18:$T$21,3,TRUE),
VLOOKUP(Z63,Charge!$U$18:$W$21,2,TRUE)+(Z63-VLOOKUP(Z63,Charge!$U$18:$W$21,1,TRUE))*VLOOKUP(Z63,Charge!$U$18:$W$21,3,TRUE)),
IF(AND(B63="G2",M63=""),IF(R63="20'",
VLOOKUP(Z63,Charge!$K$9:$M$12,2,TRUE)+(Z63-VLOOKUP(Z63,Charge!$K$9:$M$12,1,TRUE))*VLOOKUP(Z63,Charge!$K$9:$M$12,3,TRUE),
VLOOKUP(Z63,Charge!$N$9:$P$12,2,TRUE)+(Z63-VLOOKUP(Z63,Charge!$N$9:$P$12,1,TRUE))*VLOOKUP(Z63,Charge!$N$9:$P$12,3,TRUE)),
IF(AND(B63="G2",M63="DG"),IF(R63="20'",
VLOOKUP(Z63,Charge!$R$9:$T$12,2,TRUE)+(Z63-VLOOKUP(Z63,Charge!$R$9:$T$12,1,TRUE))*VLOOKUP(Z63,Charge!$R$9:$T$12,3,TRUE),
VLOOKUP(Z63,Charge!$U$9:$W$12,2,TRUE)+(Z63-VLOOKUP(Z63,Charge!$U$9:$W$12,1,TRUE))*VLOOKUP(Z63,Charge!$U$9:$W$12,3,TRUE)),IF(AND(B63="G4",M63=""),IF(R63="20'",Z63*Charge!$M$25,Z63*Charge!$P$25),IF(AND(B63="G4",M63="DG"),IF(R63="20'",Z63*Charge!$T$25,Z63*Charge!$W$25),0))))))))</f>
        <v>640</v>
      </c>
      <c r="AB63" s="184" t="n"/>
      <c r="AC63" s="184" t="n"/>
      <c r="AD63" s="60">
        <f>IF(M63="DG",3,IF(N63="RF",3,5))+IF(AND(LEFT(C63,3)="BKK",N63="RF",Q63="KTS"),1,0)+IF(Q63="KHS",1,0)</f>
        <v>5</v>
      </c>
      <c r="AE63" s="63">
        <f>(T63-V63)+1</f>
        <v>46312</v>
      </c>
      <c r="AF63" s="63">
        <f>IF(AB63&gt;IF((V63-W63)&gt;0,V63-W63,0),0,IF(AB63&lt;IF((V63-W63)&gt;0,V63-W63,0),IF((V63-W63)&gt;0,V63-W63,0)-AB63,IF((V63-W63)&gt;0,V63-W63,0)))</f>
        <v>0</v>
      </c>
      <c r="AG63" s="187">
        <f>IF(AND(M63=""),IF(R63="20'",
VLOOKUP(AF63,Charge!$K$31:$M$34,2,TRUE)+(AF63-VLOOKUP(AF63,Charge!$K$31:$M$34,1,TRUE))*VLOOKUP(AF63,Charge!$K$31:$M$34,3,TRUE),
VLOOKUP(AF63,Charge!$N$31:$P$34,2,TRUE)+(AF63-VLOOKUP(AF63,Charge!$N$31:$P$34,1,TRUE))*VLOOKUP(AF63,Charge!$N$31:$P$34,3,TRUE)),
IF(AND(M63="DG"),IF(R63="20'",
VLOOKUP(AF63,Charge!$R$31:$T$34,2,TRUE)+(AF63-VLOOKUP(AF63,Charge!$R$31:$T$34,1,TRUE))*VLOOKUP(AF63,Charge!$R$31:$T$34,3,TRUE),
VLOOKUP(AF63,Charge!$U$31:$W$34,2,TRUE)+(AF63-VLOOKUP(AF63,Charge!$U$31:$W$34,1,TRUE))*VLOOKUP(AF63,Charge!$U$31:$W$34,3,TRUE)),0))</f>
        <v>0</v>
      </c>
      <c r="AH63" s="65" t="n"/>
      <c r="AI63" s="65">
        <f>AA63-AH63</f>
        <v>640</v>
      </c>
      <c r="AJ63" s="188" t="n"/>
      <c r="AK63" s="62" t="str">
        <f>VLOOKUP(D63,'2.Bookinglist'!A:CT,40,FALSE)</f>
        <v>Dharaporn</v>
      </c>
      <c r="AL63" s="60" t="str">
        <f>VLOOKUP(D63,'2.Bookinglist'!A:CW,101,FALSE)</f>
        <v>2026-10-13</v>
      </c>
      <c r="AM63" s="60" t="str">
        <f>VLOOKUP(D63,'2.Bookinglist'!A:BK,63,FALSE)</f>
        <v>BKK27</v>
      </c>
      <c r="AN63" s="62" t="str">
        <f>VLOOKUP(D63,'2.Bookinglist'!A:AZ,52,FALSE)</f>
        <v>Pickup : 2026-10-08, Return : 2026-10-09
CLS TIME DD.13/10/2026 @ 23.59</v>
      </c>
      <c r="AO63" s="62">
        <f>VLOOKUP(D63,'2.Bookinglist'!A:CY,103,FALSE)</f>
        <v>0</v>
      </c>
    </row>
    <row r="64" ht="12.95" customHeight="1">
      <c r="A64" s="96" t="inlineStr">
        <is>
          <t>SKHU6360986</t>
        </is>
      </c>
      <c r="B64" s="184" t="str">
        <f>IF(C64=Charge!$M$1,Charge!$J$1,IF(C64=Charge!$M$23,Charge!$J$23,IF(C64=Charge!$M$17,Charge!$J$17,IF(C64=Charge!$N$17,Charge!$J$17,Charge!$J$7))))</f>
        <v>G3</v>
      </c>
      <c r="C64" s="61" t="str">
        <f>VLOOKUP(A64,'1.Loading'!A:R,14,FALSE)</f>
        <v>BKK01</v>
      </c>
      <c r="D64" s="61" t="str">
        <f>VLOOKUP(A64,'1.Loading'!A:R,17,FALSE)</f>
        <v>HASLS22260902196</v>
      </c>
      <c r="E64" s="62" t="str">
        <f>VLOOKUP(D64,'2.Bookinglist'!A:CT,27,FALSE)</f>
        <v>PRIME LOGISTICS INTERNATIONAL CO., LTD.</v>
      </c>
      <c r="F64" s="62" t="str">
        <f>VLOOKUP(D64,'2.Bookinglist'!A:CT,28,FALSE)</f>
        <v>ASIAN GLOBAL HOLDING CO.,LTD</v>
      </c>
      <c r="G64" s="60">
        <f>VLOOKUP(D64,'2.Bookinglist'!A:E,5,FALSE)</f>
        <v>0</v>
      </c>
      <c r="H64" s="61" t="str">
        <f>VLOOKUP(D64,'2.Bookinglist'!A:CT,15,FALSE)</f>
        <v>THBKK</v>
      </c>
      <c r="I64" s="61" t="str">
        <f>VLOOKUP(D64,'2.Bookinglist'!A:CT,19,FALSE)</f>
        <v>VNSGN</v>
      </c>
      <c r="J64" s="61">
        <f>VLOOKUP(D64,'2.Bookinglist'!A:CT,26,FALSE)</f>
        <v>0</v>
      </c>
      <c r="K64" s="61" t="str">
        <f>VLOOKUP(A64,'1.Loading'!A:R,5,FALSE)</f>
        <v>45GP</v>
      </c>
      <c r="L64" s="60" t="str">
        <f>VLOOKUP(D64,'2.Bookinglist'!A:CT,85,FALSE)</f>
        <v>CY/CY</v>
      </c>
      <c r="M64" s="60" t="str">
        <f>IF(VLOOKUP(D64,'2.Bookinglist'!A:CT,43,FALSE)=0,"","DG")</f>
        <v/>
      </c>
      <c r="N64" s="60" t="str">
        <f>IF(RIGHT(K64,2)="RE","RF","")</f>
        <v/>
      </c>
      <c r="O64" s="61" t="str">
        <f>VLOOKUP(A64,'1.Loading'!A:R,3,FALSE)</f>
        <v>SWIC</v>
      </c>
      <c r="P64" s="61" t="str">
        <f>VLOOKUP(A64,'1.Loading'!A:R,4,FALSE)</f>
        <v>2611N</v>
      </c>
      <c r="Q64" s="61" t="str">
        <f>VLOOKUP(D64,'2.Bookinglist'!A:CT,12,FALSE)</f>
        <v>KHS1</v>
      </c>
      <c r="R64" s="60" t="str">
        <f>IF(LEFT(K64,2)="22","20'","40'")</f>
        <v>40'</v>
      </c>
      <c r="S64" s="185" t="n"/>
      <c r="T64" s="61" t="str">
        <f>VLOOKUP(A64,'1.Loading'!A:R,2,FALSE)</f>
        <v>2026-10-16</v>
      </c>
      <c r="U64" s="63">
        <f>T64-S64</f>
        <v>46311</v>
      </c>
      <c r="V64" s="186" t="n"/>
      <c r="W64" s="61" t="str">
        <f>VLOOKUP(A64,'3.GateMove'!A:D,4,FALSE)</f>
        <v>2026-10-12</v>
      </c>
      <c r="X64" s="63">
        <f>((T64-W64)+1)</f>
        <v>5</v>
      </c>
      <c r="Y64" s="64">
        <f>IF(AND(OR(C64="BKK01",C64="BKK04"),L64="CFS/CY"),0,IF(M64="DG",1,IF(LEFT(C64,3)="LCH",7,IF(C64="BKK02",5,3))))</f>
        <v>3</v>
      </c>
      <c r="Z64" s="63">
        <f>IF(IF(AND(AC64="TML",AB64&gt;0),((T64-W64)+1)-AB64,((T64-W64)+1)-Y64)&gt;0,IF(AND(AC64="TML",AB64&gt;0),((T64-W64)+1)-AB64,((T64-W64)+1)-Y64),0)</f>
        <v>2</v>
      </c>
      <c r="AA64" s="187">
        <f>IF(AND(B64="G1",M64=""),IF(R64="20'",
VLOOKUP(Z64,Charge!$K$2:$M$5,2,TRUE)+(Z64-VLOOKUP(Z64,Charge!$K$2:$M$5,1,TRUE))*VLOOKUP(Z64,Charge!$K$2:$M$5,3,TRUE),
VLOOKUP(Z64,Charge!$N$2:$P$5,2,TRUE)+(Z64-VLOOKUP(Z64,Charge!$N$2:$P$5,1,TRUE))*VLOOKUP(Z64,Charge!$N$2:$P$5,3,TRUE)),
IF(AND(B64="G1",M64="DG"),IF(R64="20'",
VLOOKUP(Z64,Charge!$R$2:$T$5,2,TRUE)+(Z64-VLOOKUP(Z64,Charge!$R$2:$T$5,1,TRUE))*VLOOKUP(Z64,Charge!$R$2:$T$5,3,TRUE),
VLOOKUP(Z64,Charge!$U$2:$W$5,2,TRUE)+(Z64-VLOOKUP(Z64,Charge!$U$2:$W$5,1,TRUE))*VLOOKUP(Z64,Charge!$U$2:$W$5,3,TRUE)),
IF(AND(B64="G3",M64=""),IF(R64="20'",
VLOOKUP(Z64,Charge!$K$18:$M$21,2,TRUE)+(Z64-VLOOKUP(Z64,Charge!$K$18:$M$21,1,TRUE))*VLOOKUP(Z64,Charge!$K$18:$M$21,3,TRUE),
VLOOKUP(Z64,Charge!$N$18:$P$21,2,TRUE)+(Z64-VLOOKUP(Z64,Charge!$N$18:$P$21,1,TRUE))*VLOOKUP(Z64,Charge!$N$18:$P$21,3,TRUE)),
IF(AND(B64="G3",M64="DG"),IF(R64="20'",
VLOOKUP(Z64,Charge!$R$18:$T$21,2,TRUE)+(Z64-VLOOKUP(Z64,Charge!$R$18:$T$21,1,TRUE))*VLOOKUP(Z64,Charge!$R$18:$T$21,3,TRUE),
VLOOKUP(Z64,Charge!$U$18:$W$21,2,TRUE)+(Z64-VLOOKUP(Z64,Charge!$U$18:$W$21,1,TRUE))*VLOOKUP(Z64,Charge!$U$18:$W$21,3,TRUE)),
IF(AND(B64="G2",M64=""),IF(R64="20'",
VLOOKUP(Z64,Charge!$K$9:$M$12,2,TRUE)+(Z64-VLOOKUP(Z64,Charge!$K$9:$M$12,1,TRUE))*VLOOKUP(Z64,Charge!$K$9:$M$12,3,TRUE),
VLOOKUP(Z64,Charge!$N$9:$P$12,2,TRUE)+(Z64-VLOOKUP(Z64,Charge!$N$9:$P$12,1,TRUE))*VLOOKUP(Z64,Charge!$N$9:$P$12,3,TRUE)),
IF(AND(B64="G2",M64="DG"),IF(R64="20'",
VLOOKUP(Z64,Charge!$R$9:$T$12,2,TRUE)+(Z64-VLOOKUP(Z64,Charge!$R$9:$T$12,1,TRUE))*VLOOKUP(Z64,Charge!$R$9:$T$12,3,TRUE),
VLOOKUP(Z64,Charge!$U$9:$W$12,2,TRUE)+(Z64-VLOOKUP(Z64,Charge!$U$9:$W$12,1,TRUE))*VLOOKUP(Z64,Charge!$U$9:$W$12,3,TRUE)),IF(AND(B64="G4",M64=""),IF(R64="20'",Z64*Charge!$M$25,Z64*Charge!$P$25),IF(AND(B64="G4",M64="DG"),IF(R64="20'",Z64*Charge!$T$25,Z64*Charge!$W$25),0))))))))</f>
        <v>640</v>
      </c>
      <c r="AB64" s="184" t="n"/>
      <c r="AC64" s="184" t="n"/>
      <c r="AD64" s="60">
        <f>IF(M64="DG",3,IF(N64="RF",3,5))+IF(AND(LEFT(C64,3)="BKK",N64="RF",Q64="KTS"),1,0)+IF(Q64="KHS",1,0)</f>
        <v>5</v>
      </c>
      <c r="AE64" s="63">
        <f>(T64-V64)+1</f>
        <v>46312</v>
      </c>
      <c r="AF64" s="63">
        <f>IF(AB64&gt;IF((V64-W64)&gt;0,V64-W64,0),0,IF(AB64&lt;IF((V64-W64)&gt;0,V64-W64,0),IF((V64-W64)&gt;0,V64-W64,0)-AB64,IF((V64-W64)&gt;0,V64-W64,0)))</f>
        <v>0</v>
      </c>
      <c r="AG64" s="187">
        <f>IF(AND(M64=""),IF(R64="20'",
VLOOKUP(AF64,Charge!$K$31:$M$34,2,TRUE)+(AF64-VLOOKUP(AF64,Charge!$K$31:$M$34,1,TRUE))*VLOOKUP(AF64,Charge!$K$31:$M$34,3,TRUE),
VLOOKUP(AF64,Charge!$N$31:$P$34,2,TRUE)+(AF64-VLOOKUP(AF64,Charge!$N$31:$P$34,1,TRUE))*VLOOKUP(AF64,Charge!$N$31:$P$34,3,TRUE)),
IF(AND(M64="DG"),IF(R64="20'",
VLOOKUP(AF64,Charge!$R$31:$T$34,2,TRUE)+(AF64-VLOOKUP(AF64,Charge!$R$31:$T$34,1,TRUE))*VLOOKUP(AF64,Charge!$R$31:$T$34,3,TRUE),
VLOOKUP(AF64,Charge!$U$31:$W$34,2,TRUE)+(AF64-VLOOKUP(AF64,Charge!$U$31:$W$34,1,TRUE))*VLOOKUP(AF64,Charge!$U$31:$W$34,3,TRUE)),0))</f>
        <v>0</v>
      </c>
      <c r="AH64" s="65" t="n"/>
      <c r="AI64" s="65">
        <f>AA64-AH64</f>
        <v>640</v>
      </c>
      <c r="AJ64" s="188" t="n"/>
      <c r="AK64" s="62" t="str">
        <f>VLOOKUP(D64,'2.Bookinglist'!A:CT,40,FALSE)</f>
        <v>Nannaapust Sukporntaweewat</v>
      </c>
      <c r="AL64" s="60" t="str">
        <f>VLOOKUP(D64,'2.Bookinglist'!A:CW,101,FALSE)</f>
        <v>2026-10-15</v>
      </c>
      <c r="AM64" s="60" t="str">
        <f>VLOOKUP(D64,'2.Bookinglist'!A:BK,63,FALSE)</f>
        <v>BKK27</v>
      </c>
      <c r="AN64" s="62" t="str">
        <f>VLOOKUP(D64,'2.Bookinglist'!A:AZ,52,FALSE)</f>
        <v>Pickup : 2026-10-10, Return : 2026-09-12</v>
      </c>
      <c r="AO64" s="62">
        <f>VLOOKUP(D64,'2.Bookinglist'!A:CY,103,FALSE)</f>
        <v>0</v>
      </c>
    </row>
    <row r="65" ht="12.95" customHeight="1">
      <c r="A65" s="96" t="inlineStr">
        <is>
          <t>SKHU6384041</t>
        </is>
      </c>
      <c r="B65" s="184" t="str">
        <f>IF(C65=Charge!$M$1,Charge!$J$1,IF(C65=Charge!$M$23,Charge!$J$23,IF(C65=Charge!$M$17,Charge!$J$17,IF(C65=Charge!$N$17,Charge!$J$17,Charge!$J$7))))</f>
        <v>G3</v>
      </c>
      <c r="C65" s="61" t="str">
        <f>VLOOKUP(A65,'1.Loading'!A:R,14,FALSE)</f>
        <v>BKK01</v>
      </c>
      <c r="D65" s="61" t="str">
        <f>VLOOKUP(A65,'1.Loading'!A:R,17,FALSE)</f>
        <v>HASLS22261000948</v>
      </c>
      <c r="E65" s="62" t="str">
        <f>VLOOKUP(D65,'2.Bookinglist'!A:CT,27,FALSE)</f>
        <v>BIRLA CARBON (THAILAND) PUBLIC COMPANY LIMITED</v>
      </c>
      <c r="F65" s="62" t="str">
        <f>VLOOKUP(D65,'2.Bookinglist'!A:CT,28,FALSE)</f>
        <v>BIRLA CARBON (THAILAND) PUBLIC COMPANY LIMITED</v>
      </c>
      <c r="G65" s="60">
        <f>VLOOKUP(D65,'2.Bookinglist'!A:E,5,FALSE)</f>
        <v>0</v>
      </c>
      <c r="H65" s="61" t="str">
        <f>VLOOKUP(D65,'2.Bookinglist'!A:CT,15,FALSE)</f>
        <v>THBKK</v>
      </c>
      <c r="I65" s="61" t="str">
        <f>VLOOKUP(D65,'2.Bookinglist'!A:CT,19,FALSE)</f>
        <v>VNSGN</v>
      </c>
      <c r="J65" s="61">
        <f>VLOOKUP(D65,'2.Bookinglist'!A:CT,26,FALSE)</f>
        <v>0</v>
      </c>
      <c r="K65" s="61" t="str">
        <f>VLOOKUP(A65,'1.Loading'!A:R,5,FALSE)</f>
        <v>45GP</v>
      </c>
      <c r="L65" s="60" t="str">
        <f>VLOOKUP(D65,'2.Bookinglist'!A:CT,85,FALSE)</f>
        <v>CY/CY</v>
      </c>
      <c r="M65" s="60" t="str">
        <f>IF(VLOOKUP(D65,'2.Bookinglist'!A:CT,43,FALSE)=0,"","DG")</f>
        <v/>
      </c>
      <c r="N65" s="60" t="str">
        <f>IF(RIGHT(K65,2)="RE","RF","")</f>
        <v/>
      </c>
      <c r="O65" s="61" t="str">
        <f>VLOOKUP(A65,'1.Loading'!A:R,3,FALSE)</f>
        <v>SWIC</v>
      </c>
      <c r="P65" s="61" t="str">
        <f>VLOOKUP(A65,'1.Loading'!A:R,4,FALSE)</f>
        <v>2611N</v>
      </c>
      <c r="Q65" s="61" t="str">
        <f>VLOOKUP(D65,'2.Bookinglist'!A:CT,12,FALSE)</f>
        <v>KHS1</v>
      </c>
      <c r="R65" s="60" t="str">
        <f>IF(LEFT(K65,2)="22","20'","40'")</f>
        <v>40'</v>
      </c>
      <c r="S65" s="185" t="n"/>
      <c r="T65" s="61" t="str">
        <f>VLOOKUP(A65,'1.Loading'!A:R,2,FALSE)</f>
        <v>2026-10-16</v>
      </c>
      <c r="U65" s="63">
        <f>T65-S65</f>
        <v>46311</v>
      </c>
      <c r="V65" s="186" t="n"/>
      <c r="W65" s="61" t="str">
        <f>VLOOKUP(A65,'3.GateMove'!A:D,4,FALSE)</f>
        <v>2026-10-13</v>
      </c>
      <c r="X65" s="63">
        <f>((T65-W65)+1)</f>
        <v>4</v>
      </c>
      <c r="Y65" s="64">
        <f>IF(AND(OR(C65="BKK01",C65="BKK04"),L65="CFS/CY"),0,IF(M65="DG",1,IF(LEFT(C65,3)="LCH",7,IF(C65="BKK02",5,3))))</f>
        <v>3</v>
      </c>
      <c r="Z65" s="63">
        <f>IF(IF(AND(AC65="TML",AB65&gt;0),((T65-W65)+1)-AB65,((T65-W65)+1)-Y65)&gt;0,IF(AND(AC65="TML",AB65&gt;0),((T65-W65)+1)-AB65,((T65-W65)+1)-Y65),0)</f>
        <v>1</v>
      </c>
      <c r="AA65" s="187">
        <f>IF(AND(B65="G1",M65=""),IF(R65="20'",
VLOOKUP(Z65,Charge!$K$2:$M$5,2,TRUE)+(Z65-VLOOKUP(Z65,Charge!$K$2:$M$5,1,TRUE))*VLOOKUP(Z65,Charge!$K$2:$M$5,3,TRUE),
VLOOKUP(Z65,Charge!$N$2:$P$5,2,TRUE)+(Z65-VLOOKUP(Z65,Charge!$N$2:$P$5,1,TRUE))*VLOOKUP(Z65,Charge!$N$2:$P$5,3,TRUE)),
IF(AND(B65="G1",M65="DG"),IF(R65="20'",
VLOOKUP(Z65,Charge!$R$2:$T$5,2,TRUE)+(Z65-VLOOKUP(Z65,Charge!$R$2:$T$5,1,TRUE))*VLOOKUP(Z65,Charge!$R$2:$T$5,3,TRUE),
VLOOKUP(Z65,Charge!$U$2:$W$5,2,TRUE)+(Z65-VLOOKUP(Z65,Charge!$U$2:$W$5,1,TRUE))*VLOOKUP(Z65,Charge!$U$2:$W$5,3,TRUE)),
IF(AND(B65="G3",M65=""),IF(R65="20'",
VLOOKUP(Z65,Charge!$K$18:$M$21,2,TRUE)+(Z65-VLOOKUP(Z65,Charge!$K$18:$M$21,1,TRUE))*VLOOKUP(Z65,Charge!$K$18:$M$21,3,TRUE),
VLOOKUP(Z65,Charge!$N$18:$P$21,2,TRUE)+(Z65-VLOOKUP(Z65,Charge!$N$18:$P$21,1,TRUE))*VLOOKUP(Z65,Charge!$N$18:$P$21,3,TRUE)),
IF(AND(B65="G3",M65="DG"),IF(R65="20'",
VLOOKUP(Z65,Charge!$R$18:$T$21,2,TRUE)+(Z65-VLOOKUP(Z65,Charge!$R$18:$T$21,1,TRUE))*VLOOKUP(Z65,Charge!$R$18:$T$21,3,TRUE),
VLOOKUP(Z65,Charge!$U$18:$W$21,2,TRUE)+(Z65-VLOOKUP(Z65,Charge!$U$18:$W$21,1,TRUE))*VLOOKUP(Z65,Charge!$U$18:$W$21,3,TRUE)),
IF(AND(B65="G2",M65=""),IF(R65="20'",
VLOOKUP(Z65,Charge!$K$9:$M$12,2,TRUE)+(Z65-VLOOKUP(Z65,Charge!$K$9:$M$12,1,TRUE))*VLOOKUP(Z65,Charge!$K$9:$M$12,3,TRUE),
VLOOKUP(Z65,Charge!$N$9:$P$12,2,TRUE)+(Z65-VLOOKUP(Z65,Charge!$N$9:$P$12,1,TRUE))*VLOOKUP(Z65,Charge!$N$9:$P$12,3,TRUE)),
IF(AND(B65="G2",M65="DG"),IF(R65="20'",
VLOOKUP(Z65,Charge!$R$9:$T$12,2,TRUE)+(Z65-VLOOKUP(Z65,Charge!$R$9:$T$12,1,TRUE))*VLOOKUP(Z65,Charge!$R$9:$T$12,3,TRUE),
VLOOKUP(Z65,Charge!$U$9:$W$12,2,TRUE)+(Z65-VLOOKUP(Z65,Charge!$U$9:$W$12,1,TRUE))*VLOOKUP(Z65,Charge!$U$9:$W$12,3,TRUE)),IF(AND(B65="G4",M65=""),IF(R65="20'",Z65*Charge!$M$25,Z65*Charge!$P$25),IF(AND(B65="G4",M65="DG"),IF(R65="20'",Z65*Charge!$T$25,Z65*Charge!$W$25),0))))))))</f>
        <v>320</v>
      </c>
      <c r="AB65" s="184" t="n"/>
      <c r="AC65" s="184" t="n"/>
      <c r="AD65" s="60">
        <f>IF(M65="DG",3,IF(N65="RF",3,5))+IF(AND(LEFT(C65,3)="BKK",N65="RF",Q65="KTS"),1,0)+IF(Q65="KHS",1,0)</f>
        <v>5</v>
      </c>
      <c r="AE65" s="63">
        <f>(T65-V65)+1</f>
        <v>46312</v>
      </c>
      <c r="AF65" s="63">
        <f>IF(AB65&gt;IF((V65-W65)&gt;0,V65-W65,0),0,IF(AB65&lt;IF((V65-W65)&gt;0,V65-W65,0),IF((V65-W65)&gt;0,V65-W65,0)-AB65,IF((V65-W65)&gt;0,V65-W65,0)))</f>
        <v>0</v>
      </c>
      <c r="AG65" s="187">
        <f>IF(AND(M65=""),IF(R65="20'",
VLOOKUP(AF65,Charge!$K$31:$M$34,2,TRUE)+(AF65-VLOOKUP(AF65,Charge!$K$31:$M$34,1,TRUE))*VLOOKUP(AF65,Charge!$K$31:$M$34,3,TRUE),
VLOOKUP(AF65,Charge!$N$31:$P$34,2,TRUE)+(AF65-VLOOKUP(AF65,Charge!$N$31:$P$34,1,TRUE))*VLOOKUP(AF65,Charge!$N$31:$P$34,3,TRUE)),
IF(AND(M65="DG"),IF(R65="20'",
VLOOKUP(AF65,Charge!$R$31:$T$34,2,TRUE)+(AF65-VLOOKUP(AF65,Charge!$R$31:$T$34,1,TRUE))*VLOOKUP(AF65,Charge!$R$31:$T$34,3,TRUE),
VLOOKUP(AF65,Charge!$U$31:$W$34,2,TRUE)+(AF65-VLOOKUP(AF65,Charge!$U$31:$W$34,1,TRUE))*VLOOKUP(AF65,Charge!$U$31:$W$34,3,TRUE)),0))</f>
        <v>0</v>
      </c>
      <c r="AH65" s="65" t="n"/>
      <c r="AI65" s="65">
        <f>AA65-AH65</f>
        <v>320</v>
      </c>
      <c r="AJ65" s="188" t="n"/>
      <c r="AK65" s="62" t="str">
        <f>VLOOKUP(D65,'2.Bookinglist'!A:CT,40,FALSE)</f>
        <v>Dharaporn</v>
      </c>
      <c r="AL65" s="60" t="str">
        <f>VLOOKUP(D65,'2.Bookinglist'!A:CW,101,FALSE)</f>
        <v>2026-10-15</v>
      </c>
      <c r="AM65" s="60" t="str">
        <f>VLOOKUP(D65,'2.Bookinglist'!A:BK,63,FALSE)</f>
        <v>BKK27</v>
      </c>
      <c r="AN65" s="62" t="str">
        <f>VLOOKUP(D65,'2.Bookinglist'!A:AZ,52,FALSE)</f>
        <v>Pickup : 2026-10-13, Return : 2026-10-13</v>
      </c>
      <c r="AO65" s="62">
        <f>VLOOKUP(D65,'2.Bookinglist'!A:CY,103,FALSE)</f>
        <v>0</v>
      </c>
    </row>
    <row r="66" ht="12.95" customHeight="1">
      <c r="A66" s="96" t="inlineStr">
        <is>
          <t>SKHU6408375</t>
        </is>
      </c>
      <c r="B66" s="184" t="str">
        <f>IF(C66=Charge!$M$1,Charge!$J$1,IF(C66=Charge!$M$23,Charge!$J$23,IF(C66=Charge!$M$17,Charge!$J$17,IF(C66=Charge!$N$17,Charge!$J$17,Charge!$J$7))))</f>
        <v>G3</v>
      </c>
      <c r="C66" s="61" t="str">
        <f>VLOOKUP(A66,'1.Loading'!A:R,14,FALSE)</f>
        <v>BKK01</v>
      </c>
      <c r="D66" s="61" t="str">
        <f>VLOOKUP(A66,'1.Loading'!A:R,17,FALSE)</f>
        <v>HASLS22261000692</v>
      </c>
      <c r="E66" s="62" t="str">
        <f>VLOOKUP(D66,'2.Bookinglist'!A:CT,27,FALSE)</f>
        <v>BIRLA CARBON (THAILAND) PUBLIC COMPANY LIMITED</v>
      </c>
      <c r="F66" s="62" t="str">
        <f>VLOOKUP(D66,'2.Bookinglist'!A:CT,28,FALSE)</f>
        <v>BIRLA CARBON (THAILAND) PUBLIC COMPANY LIMITED</v>
      </c>
      <c r="G66" s="60">
        <f>VLOOKUP(D66,'2.Bookinglist'!A:E,5,FALSE)</f>
        <v>0</v>
      </c>
      <c r="H66" s="61" t="str">
        <f>VLOOKUP(D66,'2.Bookinglist'!A:CT,15,FALSE)</f>
        <v>THBKK</v>
      </c>
      <c r="I66" s="61" t="str">
        <f>VLOOKUP(D66,'2.Bookinglist'!A:CT,19,FALSE)</f>
        <v>VNSGN</v>
      </c>
      <c r="J66" s="61">
        <f>VLOOKUP(D66,'2.Bookinglist'!A:CT,26,FALSE)</f>
        <v>0</v>
      </c>
      <c r="K66" s="61" t="str">
        <f>VLOOKUP(A66,'1.Loading'!A:R,5,FALSE)</f>
        <v>45GP</v>
      </c>
      <c r="L66" s="60" t="str">
        <f>VLOOKUP(D66,'2.Bookinglist'!A:CT,85,FALSE)</f>
        <v>CY/CY</v>
      </c>
      <c r="M66" s="60" t="str">
        <f>IF(VLOOKUP(D66,'2.Bookinglist'!A:CT,43,FALSE)=0,"","DG")</f>
        <v/>
      </c>
      <c r="N66" s="60" t="str">
        <f>IF(RIGHT(K66,2)="RE","RF","")</f>
        <v/>
      </c>
      <c r="O66" s="61" t="str">
        <f>VLOOKUP(A66,'1.Loading'!A:R,3,FALSE)</f>
        <v>SWIC</v>
      </c>
      <c r="P66" s="61" t="str">
        <f>VLOOKUP(A66,'1.Loading'!A:R,4,FALSE)</f>
        <v>2611N</v>
      </c>
      <c r="Q66" s="61" t="str">
        <f>VLOOKUP(D66,'2.Bookinglist'!A:CT,12,FALSE)</f>
        <v>KHS1</v>
      </c>
      <c r="R66" s="60" t="str">
        <f>IF(LEFT(K66,2)="22","20'","40'")</f>
        <v>40'</v>
      </c>
      <c r="S66" s="185" t="n"/>
      <c r="T66" s="61" t="str">
        <f>VLOOKUP(A66,'1.Loading'!A:R,2,FALSE)</f>
        <v>2026-10-16</v>
      </c>
      <c r="U66" s="63">
        <f>T66-S66</f>
        <v>46311</v>
      </c>
      <c r="V66" s="186" t="n"/>
      <c r="W66" s="61" t="str">
        <f>VLOOKUP(A66,'3.GateMove'!A:D,4,FALSE)</f>
        <v>2026-10-13</v>
      </c>
      <c r="X66" s="63">
        <f>((T66-W66)+1)</f>
        <v>4</v>
      </c>
      <c r="Y66" s="64">
        <f>IF(AND(OR(C66="BKK01",C66="BKK04"),L66="CFS/CY"),0,IF(M66="DG",1,IF(LEFT(C66,3)="LCH",7,IF(C66="BKK02",5,3))))</f>
        <v>3</v>
      </c>
      <c r="Z66" s="63">
        <f>IF(IF(AND(AC66="TML",AB66&gt;0),((T66-W66)+1)-AB66,((T66-W66)+1)-Y66)&gt;0,IF(AND(AC66="TML",AB66&gt;0),((T66-W66)+1)-AB66,((T66-W66)+1)-Y66),0)</f>
        <v>1</v>
      </c>
      <c r="AA66" s="187">
        <f>IF(AND(B66="G1",M66=""),IF(R66="20'",
VLOOKUP(Z66,Charge!$K$2:$M$5,2,TRUE)+(Z66-VLOOKUP(Z66,Charge!$K$2:$M$5,1,TRUE))*VLOOKUP(Z66,Charge!$K$2:$M$5,3,TRUE),
VLOOKUP(Z66,Charge!$N$2:$P$5,2,TRUE)+(Z66-VLOOKUP(Z66,Charge!$N$2:$P$5,1,TRUE))*VLOOKUP(Z66,Charge!$N$2:$P$5,3,TRUE)),
IF(AND(B66="G1",M66="DG"),IF(R66="20'",
VLOOKUP(Z66,Charge!$R$2:$T$5,2,TRUE)+(Z66-VLOOKUP(Z66,Charge!$R$2:$T$5,1,TRUE))*VLOOKUP(Z66,Charge!$R$2:$T$5,3,TRUE),
VLOOKUP(Z66,Charge!$U$2:$W$5,2,TRUE)+(Z66-VLOOKUP(Z66,Charge!$U$2:$W$5,1,TRUE))*VLOOKUP(Z66,Charge!$U$2:$W$5,3,TRUE)),
IF(AND(B66="G3",M66=""),IF(R66="20'",
VLOOKUP(Z66,Charge!$K$18:$M$21,2,TRUE)+(Z66-VLOOKUP(Z66,Charge!$K$18:$M$21,1,TRUE))*VLOOKUP(Z66,Charge!$K$18:$M$21,3,TRUE),
VLOOKUP(Z66,Charge!$N$18:$P$21,2,TRUE)+(Z66-VLOOKUP(Z66,Charge!$N$18:$P$21,1,TRUE))*VLOOKUP(Z66,Charge!$N$18:$P$21,3,TRUE)),
IF(AND(B66="G3",M66="DG"),IF(R66="20'",
VLOOKUP(Z66,Charge!$R$18:$T$21,2,TRUE)+(Z66-VLOOKUP(Z66,Charge!$R$18:$T$21,1,TRUE))*VLOOKUP(Z66,Charge!$R$18:$T$21,3,TRUE),
VLOOKUP(Z66,Charge!$U$18:$W$21,2,TRUE)+(Z66-VLOOKUP(Z66,Charge!$U$18:$W$21,1,TRUE))*VLOOKUP(Z66,Charge!$U$18:$W$21,3,TRUE)),
IF(AND(B66="G2",M66=""),IF(R66="20'",
VLOOKUP(Z66,Charge!$K$9:$M$12,2,TRUE)+(Z66-VLOOKUP(Z66,Charge!$K$9:$M$12,1,TRUE))*VLOOKUP(Z66,Charge!$K$9:$M$12,3,TRUE),
VLOOKUP(Z66,Charge!$N$9:$P$12,2,TRUE)+(Z66-VLOOKUP(Z66,Charge!$N$9:$P$12,1,TRUE))*VLOOKUP(Z66,Charge!$N$9:$P$12,3,TRUE)),
IF(AND(B66="G2",M66="DG"),IF(R66="20'",
VLOOKUP(Z66,Charge!$R$9:$T$12,2,TRUE)+(Z66-VLOOKUP(Z66,Charge!$R$9:$T$12,1,TRUE))*VLOOKUP(Z66,Charge!$R$9:$T$12,3,TRUE),
VLOOKUP(Z66,Charge!$U$9:$W$12,2,TRUE)+(Z66-VLOOKUP(Z66,Charge!$U$9:$W$12,1,TRUE))*VLOOKUP(Z66,Charge!$U$9:$W$12,3,TRUE)),IF(AND(B66="G4",M66=""),IF(R66="20'",Z66*Charge!$M$25,Z66*Charge!$P$25),IF(AND(B66="G4",M66="DG"),IF(R66="20'",Z66*Charge!$T$25,Z66*Charge!$W$25),0))))))))</f>
        <v>320</v>
      </c>
      <c r="AB66" s="184" t="n"/>
      <c r="AC66" s="184" t="n"/>
      <c r="AD66" s="60">
        <f>IF(M66="DG",3,IF(N66="RF",3,5))+IF(AND(LEFT(C66,3)="BKK",N66="RF",Q66="KTS"),1,0)+IF(Q66="KHS",1,0)</f>
        <v>5</v>
      </c>
      <c r="AE66" s="63">
        <f>(T66-V66)+1</f>
        <v>46312</v>
      </c>
      <c r="AF66" s="63">
        <f>IF(AB66&gt;IF((V66-W66)&gt;0,V66-W66,0),0,IF(AB66&lt;IF((V66-W66)&gt;0,V66-W66,0),IF((V66-W66)&gt;0,V66-W66,0)-AB66,IF((V66-W66)&gt;0,V66-W66,0)))</f>
        <v>0</v>
      </c>
      <c r="AG66" s="187">
        <f>IF(AND(M66=""),IF(R66="20'",
VLOOKUP(AF66,Charge!$K$31:$M$34,2,TRUE)+(AF66-VLOOKUP(AF66,Charge!$K$31:$M$34,1,TRUE))*VLOOKUP(AF66,Charge!$K$31:$M$34,3,TRUE),
VLOOKUP(AF66,Charge!$N$31:$P$34,2,TRUE)+(AF66-VLOOKUP(AF66,Charge!$N$31:$P$34,1,TRUE))*VLOOKUP(AF66,Charge!$N$31:$P$34,3,TRUE)),
IF(AND(M66="DG"),IF(R66="20'",
VLOOKUP(AF66,Charge!$R$31:$T$34,2,TRUE)+(AF66-VLOOKUP(AF66,Charge!$R$31:$T$34,1,TRUE))*VLOOKUP(AF66,Charge!$R$31:$T$34,3,TRUE),
VLOOKUP(AF66,Charge!$U$31:$W$34,2,TRUE)+(AF66-VLOOKUP(AF66,Charge!$U$31:$W$34,1,TRUE))*VLOOKUP(AF66,Charge!$U$31:$W$34,3,TRUE)),0))</f>
        <v>0</v>
      </c>
      <c r="AH66" s="65" t="n"/>
      <c r="AI66" s="65">
        <f>AA66-AH66</f>
        <v>320</v>
      </c>
      <c r="AJ66" s="188" t="n"/>
      <c r="AK66" s="62" t="str">
        <f>VLOOKUP(D66,'2.Bookinglist'!A:CT,40,FALSE)</f>
        <v>Dharaporn</v>
      </c>
      <c r="AL66" s="60" t="str">
        <f>VLOOKUP(D66,'2.Bookinglist'!A:CW,101,FALSE)</f>
        <v>2026-10-15</v>
      </c>
      <c r="AM66" s="60" t="str">
        <f>VLOOKUP(D66,'2.Bookinglist'!A:BK,63,FALSE)</f>
        <v>BKK27</v>
      </c>
      <c r="AN66" s="62" t="str">
        <f>VLOOKUP(D66,'2.Bookinglist'!A:AZ,52,FALSE)</f>
        <v>Pickup : 2026-10-10, Return : 2026-10-11 
CLS TIME DD.13/10/2026 @ 23.59
</v>
      </c>
      <c r="AO66" s="62">
        <f>VLOOKUP(D66,'2.Bookinglist'!A:CY,103,FALSE)</f>
        <v>0</v>
      </c>
    </row>
    <row r="67" ht="12.95" customHeight="1">
      <c r="A67" s="96" t="inlineStr">
        <is>
          <t>SKHU6420339</t>
        </is>
      </c>
      <c r="B67" s="184" t="str">
        <f>IF(C67=Charge!$M$1,Charge!$J$1,IF(C67=Charge!$M$23,Charge!$J$23,IF(C67=Charge!$M$17,Charge!$J$17,IF(C67=Charge!$N$17,Charge!$J$17,Charge!$J$7))))</f>
        <v>G3</v>
      </c>
      <c r="C67" s="61" t="str">
        <f>VLOOKUP(A67,'1.Loading'!A:R,14,FALSE)</f>
        <v>BKK01</v>
      </c>
      <c r="D67" s="61" t="str">
        <f>VLOOKUP(A67,'1.Loading'!A:R,17,FALSE)</f>
        <v>HASLS22261000949</v>
      </c>
      <c r="E67" s="62" t="str">
        <f>VLOOKUP(D67,'2.Bookinglist'!A:CT,27,FALSE)</f>
        <v>BIRLA CARBON (THAILAND) PUBLIC COMPANY LIMITED</v>
      </c>
      <c r="F67" s="62" t="str">
        <f>VLOOKUP(D67,'2.Bookinglist'!A:CT,28,FALSE)</f>
        <v>BIRLA CARBON (THAILAND) PUBLIC COMPANY LIMITED</v>
      </c>
      <c r="G67" s="60">
        <f>VLOOKUP(D67,'2.Bookinglist'!A:E,5,FALSE)</f>
        <v>0</v>
      </c>
      <c r="H67" s="61" t="str">
        <f>VLOOKUP(D67,'2.Bookinglist'!A:CT,15,FALSE)</f>
        <v>THBKK</v>
      </c>
      <c r="I67" s="61" t="str">
        <f>VLOOKUP(D67,'2.Bookinglist'!A:CT,19,FALSE)</f>
        <v>VNSGN</v>
      </c>
      <c r="J67" s="61">
        <f>VLOOKUP(D67,'2.Bookinglist'!A:CT,26,FALSE)</f>
        <v>0</v>
      </c>
      <c r="K67" s="61" t="str">
        <f>VLOOKUP(A67,'1.Loading'!A:R,5,FALSE)</f>
        <v>45GP</v>
      </c>
      <c r="L67" s="60" t="str">
        <f>VLOOKUP(D67,'2.Bookinglist'!A:CT,85,FALSE)</f>
        <v>CY/CY</v>
      </c>
      <c r="M67" s="60" t="str">
        <f>IF(VLOOKUP(D67,'2.Bookinglist'!A:CT,43,FALSE)=0,"","DG")</f>
        <v/>
      </c>
      <c r="N67" s="60" t="str">
        <f>IF(RIGHT(K67,2)="RE","RF","")</f>
        <v/>
      </c>
      <c r="O67" s="61" t="str">
        <f>VLOOKUP(A67,'1.Loading'!A:R,3,FALSE)</f>
        <v>SWIC</v>
      </c>
      <c r="P67" s="61" t="str">
        <f>VLOOKUP(A67,'1.Loading'!A:R,4,FALSE)</f>
        <v>2611N</v>
      </c>
      <c r="Q67" s="61" t="str">
        <f>VLOOKUP(D67,'2.Bookinglist'!A:CT,12,FALSE)</f>
        <v>KHS1</v>
      </c>
      <c r="R67" s="60" t="str">
        <f>IF(LEFT(K67,2)="22","20'","40'")</f>
        <v>40'</v>
      </c>
      <c r="S67" s="185" t="n"/>
      <c r="T67" s="61" t="str">
        <f>VLOOKUP(A67,'1.Loading'!A:R,2,FALSE)</f>
        <v>2026-10-16</v>
      </c>
      <c r="U67" s="63">
        <f>T67-S67</f>
        <v>46311</v>
      </c>
      <c r="V67" s="186" t="n"/>
      <c r="W67" s="61" t="str">
        <f>VLOOKUP(A67,'3.GateMove'!A:D,4,FALSE)</f>
        <v>2026-10-14</v>
      </c>
      <c r="X67" s="63">
        <f>((T67-W67)+1)</f>
        <v>3</v>
      </c>
      <c r="Y67" s="64">
        <f>IF(AND(OR(C67="BKK01",C67="BKK04"),L67="CFS/CY"),0,IF(M67="DG",1,IF(LEFT(C67,3)="LCH",7,IF(C67="BKK02",5,3))))</f>
        <v>3</v>
      </c>
      <c r="Z67" s="63">
        <f>IF(IF(AND(AC67="TML",AB67&gt;0),((T67-W67)+1)-AB67,((T67-W67)+1)-Y67)&gt;0,IF(AND(AC67="TML",AB67&gt;0),((T67-W67)+1)-AB67,((T67-W67)+1)-Y67),0)</f>
        <v>0</v>
      </c>
      <c r="AA67" s="187">
        <f>IF(AND(B67="G1",M67=""),IF(R67="20'",
VLOOKUP(Z67,Charge!$K$2:$M$5,2,TRUE)+(Z67-VLOOKUP(Z67,Charge!$K$2:$M$5,1,TRUE))*VLOOKUP(Z67,Charge!$K$2:$M$5,3,TRUE),
VLOOKUP(Z67,Charge!$N$2:$P$5,2,TRUE)+(Z67-VLOOKUP(Z67,Charge!$N$2:$P$5,1,TRUE))*VLOOKUP(Z67,Charge!$N$2:$P$5,3,TRUE)),
IF(AND(B67="G1",M67="DG"),IF(R67="20'",
VLOOKUP(Z67,Charge!$R$2:$T$5,2,TRUE)+(Z67-VLOOKUP(Z67,Charge!$R$2:$T$5,1,TRUE))*VLOOKUP(Z67,Charge!$R$2:$T$5,3,TRUE),
VLOOKUP(Z67,Charge!$U$2:$W$5,2,TRUE)+(Z67-VLOOKUP(Z67,Charge!$U$2:$W$5,1,TRUE))*VLOOKUP(Z67,Charge!$U$2:$W$5,3,TRUE)),
IF(AND(B67="G3",M67=""),IF(R67="20'",
VLOOKUP(Z67,Charge!$K$18:$M$21,2,TRUE)+(Z67-VLOOKUP(Z67,Charge!$K$18:$M$21,1,TRUE))*VLOOKUP(Z67,Charge!$K$18:$M$21,3,TRUE),
VLOOKUP(Z67,Charge!$N$18:$P$21,2,TRUE)+(Z67-VLOOKUP(Z67,Charge!$N$18:$P$21,1,TRUE))*VLOOKUP(Z67,Charge!$N$18:$P$21,3,TRUE)),
IF(AND(B67="G3",M67="DG"),IF(R67="20'",
VLOOKUP(Z67,Charge!$R$18:$T$21,2,TRUE)+(Z67-VLOOKUP(Z67,Charge!$R$18:$T$21,1,TRUE))*VLOOKUP(Z67,Charge!$R$18:$T$21,3,TRUE),
VLOOKUP(Z67,Charge!$U$18:$W$21,2,TRUE)+(Z67-VLOOKUP(Z67,Charge!$U$18:$W$21,1,TRUE))*VLOOKUP(Z67,Charge!$U$18:$W$21,3,TRUE)),
IF(AND(B67="G2",M67=""),IF(R67="20'",
VLOOKUP(Z67,Charge!$K$9:$M$12,2,TRUE)+(Z67-VLOOKUP(Z67,Charge!$K$9:$M$12,1,TRUE))*VLOOKUP(Z67,Charge!$K$9:$M$12,3,TRUE),
VLOOKUP(Z67,Charge!$N$9:$P$12,2,TRUE)+(Z67-VLOOKUP(Z67,Charge!$N$9:$P$12,1,TRUE))*VLOOKUP(Z67,Charge!$N$9:$P$12,3,TRUE)),
IF(AND(B67="G2",M67="DG"),IF(R67="20'",
VLOOKUP(Z67,Charge!$R$9:$T$12,2,TRUE)+(Z67-VLOOKUP(Z67,Charge!$R$9:$T$12,1,TRUE))*VLOOKUP(Z67,Charge!$R$9:$T$12,3,TRUE),
VLOOKUP(Z67,Charge!$U$9:$W$12,2,TRUE)+(Z67-VLOOKUP(Z67,Charge!$U$9:$W$12,1,TRUE))*VLOOKUP(Z67,Charge!$U$9:$W$12,3,TRUE)),IF(AND(B67="G4",M67=""),IF(R67="20'",Z67*Charge!$M$25,Z67*Charge!$P$25),IF(AND(B67="G4",M67="DG"),IF(R67="20'",Z67*Charge!$T$25,Z67*Charge!$W$25),0))))))))</f>
        <v>0</v>
      </c>
      <c r="AB67" s="184" t="n"/>
      <c r="AC67" s="184" t="n"/>
      <c r="AD67" s="60">
        <f>IF(M67="DG",3,IF(N67="RF",3,5))+IF(AND(LEFT(C67,3)="BKK",N67="RF",Q67="KTS"),1,0)+IF(Q67="KHS",1,0)</f>
        <v>5</v>
      </c>
      <c r="AE67" s="63">
        <f>(T67-V67)+1</f>
        <v>46312</v>
      </c>
      <c r="AF67" s="63">
        <f>IF(AB67&gt;IF((V67-W67)&gt;0,V67-W67,0),0,IF(AB67&lt;IF((V67-W67)&gt;0,V67-W67,0),IF((V67-W67)&gt;0,V67-W67,0)-AB67,IF((V67-W67)&gt;0,V67-W67,0)))</f>
        <v>0</v>
      </c>
      <c r="AG67" s="187">
        <f>IF(AND(M67=""),IF(R67="20'",
VLOOKUP(AF67,Charge!$K$31:$M$34,2,TRUE)+(AF67-VLOOKUP(AF67,Charge!$K$31:$M$34,1,TRUE))*VLOOKUP(AF67,Charge!$K$31:$M$34,3,TRUE),
VLOOKUP(AF67,Charge!$N$31:$P$34,2,TRUE)+(AF67-VLOOKUP(AF67,Charge!$N$31:$P$34,1,TRUE))*VLOOKUP(AF67,Charge!$N$31:$P$34,3,TRUE)),
IF(AND(M67="DG"),IF(R67="20'",
VLOOKUP(AF67,Charge!$R$31:$T$34,2,TRUE)+(AF67-VLOOKUP(AF67,Charge!$R$31:$T$34,1,TRUE))*VLOOKUP(AF67,Charge!$R$31:$T$34,3,TRUE),
VLOOKUP(AF67,Charge!$U$31:$W$34,2,TRUE)+(AF67-VLOOKUP(AF67,Charge!$U$31:$W$34,1,TRUE))*VLOOKUP(AF67,Charge!$U$31:$W$34,3,TRUE)),0))</f>
        <v>0</v>
      </c>
      <c r="AH67" s="65" t="n"/>
      <c r="AI67" s="65">
        <f>AA67-AH67</f>
        <v>0</v>
      </c>
      <c r="AJ67" s="188" t="n"/>
      <c r="AK67" s="62" t="str">
        <f>VLOOKUP(D67,'2.Bookinglist'!A:CT,40,FALSE)</f>
        <v>Dharaporn</v>
      </c>
      <c r="AL67" s="60" t="str">
        <f>VLOOKUP(D67,'2.Bookinglist'!A:CW,101,FALSE)</f>
        <v>2026-10-15</v>
      </c>
      <c r="AM67" s="60" t="str">
        <f>VLOOKUP(D67,'2.Bookinglist'!A:BK,63,FALSE)</f>
        <v>BKK27</v>
      </c>
      <c r="AN67" s="62" t="str">
        <f>VLOOKUP(D67,'2.Bookinglist'!A:AZ,52,FALSE)</f>
        <v>Pickup : 2026-10-13, Return : 2026-10-13</v>
      </c>
      <c r="AO67" s="62">
        <f>VLOOKUP(D67,'2.Bookinglist'!A:CY,103,FALSE)</f>
        <v>0</v>
      </c>
    </row>
    <row r="68" ht="12.95" customHeight="1">
      <c r="A68" s="96" t="inlineStr">
        <is>
          <t>SKHU6428094</t>
        </is>
      </c>
      <c r="B68" s="184" t="str">
        <f>IF(C68=Charge!$M$1,Charge!$J$1,IF(C68=Charge!$M$23,Charge!$J$23,IF(C68=Charge!$M$17,Charge!$J$17,IF(C68=Charge!$N$17,Charge!$J$17,Charge!$J$7))))</f>
        <v>G3</v>
      </c>
      <c r="C68" s="61" t="str">
        <f>VLOOKUP(A68,'1.Loading'!A:R,14,FALSE)</f>
        <v>BKK01</v>
      </c>
      <c r="D68" s="61" t="str">
        <f>VLOOKUP(A68,'1.Loading'!A:R,17,FALSE)</f>
        <v>HASLS22260900218</v>
      </c>
      <c r="E68" s="62" t="str">
        <f>VLOOKUP(D68,'2.Bookinglist'!A:CT,27,FALSE)</f>
        <v>HARPERS SEA FREIGHT CO., LTD.</v>
      </c>
      <c r="F68" s="62" t="str">
        <f>VLOOKUP(D68,'2.Bookinglist'!A:CT,28,FALSE)</f>
        <v>THAI ASAHI CO., LTD.</v>
      </c>
      <c r="G68" s="60">
        <f>VLOOKUP(D68,'2.Bookinglist'!A:E,5,FALSE)</f>
        <v>0</v>
      </c>
      <c r="H68" s="61" t="str">
        <f>VLOOKUP(D68,'2.Bookinglist'!A:CT,15,FALSE)</f>
        <v>THBKK</v>
      </c>
      <c r="I68" s="61" t="str">
        <f>VLOOKUP(D68,'2.Bookinglist'!A:CT,19,FALSE)</f>
        <v>KRPUS</v>
      </c>
      <c r="J68" s="61">
        <f>VLOOKUP(D68,'2.Bookinglist'!A:CT,26,FALSE)</f>
        <v>0</v>
      </c>
      <c r="K68" s="61" t="str">
        <f>VLOOKUP(A68,'1.Loading'!A:R,5,FALSE)</f>
        <v>45GP</v>
      </c>
      <c r="L68" s="60" t="str">
        <f>VLOOKUP(D68,'2.Bookinglist'!A:CT,85,FALSE)</f>
        <v>CY/CY</v>
      </c>
      <c r="M68" s="60" t="str">
        <f>IF(VLOOKUP(D68,'2.Bookinglist'!A:CT,43,FALSE)=0,"","DG")</f>
        <v/>
      </c>
      <c r="N68" s="60" t="str">
        <f>IF(RIGHT(K68,2)="RE","RF","")</f>
        <v/>
      </c>
      <c r="O68" s="61" t="str">
        <f>VLOOKUP(A68,'1.Loading'!A:R,3,FALSE)</f>
        <v>SWIC</v>
      </c>
      <c r="P68" s="61" t="str">
        <f>VLOOKUP(A68,'1.Loading'!A:R,4,FALSE)</f>
        <v>2611N</v>
      </c>
      <c r="Q68" s="61" t="str">
        <f>VLOOKUP(D68,'2.Bookinglist'!A:CT,12,FALSE)</f>
        <v>KHS1</v>
      </c>
      <c r="R68" s="60" t="str">
        <f>IF(LEFT(K68,2)="22","20'","40'")</f>
        <v>40'</v>
      </c>
      <c r="S68" s="185" t="n"/>
      <c r="T68" s="61" t="str">
        <f>VLOOKUP(A68,'1.Loading'!A:R,2,FALSE)</f>
        <v>2026-10-16</v>
      </c>
      <c r="U68" s="63">
        <f>T68-S68</f>
        <v>46311</v>
      </c>
      <c r="V68" s="186" t="n"/>
      <c r="W68" s="61" t="str">
        <f>VLOOKUP(A68,'3.GateMove'!A:D,4,FALSE)</f>
        <v>2026-10-11</v>
      </c>
      <c r="X68" s="63">
        <f>((T68-W68)+1)</f>
        <v>6</v>
      </c>
      <c r="Y68" s="64">
        <f>IF(AND(OR(C68="BKK01",C68="BKK04"),L68="CFS/CY"),0,IF(M68="DG",1,IF(LEFT(C68,3)="LCH",7,IF(C68="BKK02",5,3))))</f>
        <v>3</v>
      </c>
      <c r="Z68" s="63">
        <f>IF(IF(AND(AC68="TML",AB68&gt;0),((T68-W68)+1)-AB68,((T68-W68)+1)-Y68)&gt;0,IF(AND(AC68="TML",AB68&gt;0),((T68-W68)+1)-AB68,((T68-W68)+1)-Y68),0)</f>
        <v>3</v>
      </c>
      <c r="AA68" s="187">
        <f>IF(AND(B68="G1",M68=""),IF(R68="20'",
VLOOKUP(Z68,Charge!$K$2:$M$5,2,TRUE)+(Z68-VLOOKUP(Z68,Charge!$K$2:$M$5,1,TRUE))*VLOOKUP(Z68,Charge!$K$2:$M$5,3,TRUE),
VLOOKUP(Z68,Charge!$N$2:$P$5,2,TRUE)+(Z68-VLOOKUP(Z68,Charge!$N$2:$P$5,1,TRUE))*VLOOKUP(Z68,Charge!$N$2:$P$5,3,TRUE)),
IF(AND(B68="G1",M68="DG"),IF(R68="20'",
VLOOKUP(Z68,Charge!$R$2:$T$5,2,TRUE)+(Z68-VLOOKUP(Z68,Charge!$R$2:$T$5,1,TRUE))*VLOOKUP(Z68,Charge!$R$2:$T$5,3,TRUE),
VLOOKUP(Z68,Charge!$U$2:$W$5,2,TRUE)+(Z68-VLOOKUP(Z68,Charge!$U$2:$W$5,1,TRUE))*VLOOKUP(Z68,Charge!$U$2:$W$5,3,TRUE)),
IF(AND(B68="G3",M68=""),IF(R68="20'",
VLOOKUP(Z68,Charge!$K$18:$M$21,2,TRUE)+(Z68-VLOOKUP(Z68,Charge!$K$18:$M$21,1,TRUE))*VLOOKUP(Z68,Charge!$K$18:$M$21,3,TRUE),
VLOOKUP(Z68,Charge!$N$18:$P$21,2,TRUE)+(Z68-VLOOKUP(Z68,Charge!$N$18:$P$21,1,TRUE))*VLOOKUP(Z68,Charge!$N$18:$P$21,3,TRUE)),
IF(AND(B68="G3",M68="DG"),IF(R68="20'",
VLOOKUP(Z68,Charge!$R$18:$T$21,2,TRUE)+(Z68-VLOOKUP(Z68,Charge!$R$18:$T$21,1,TRUE))*VLOOKUP(Z68,Charge!$R$18:$T$21,3,TRUE),
VLOOKUP(Z68,Charge!$U$18:$W$21,2,TRUE)+(Z68-VLOOKUP(Z68,Charge!$U$18:$W$21,1,TRUE))*VLOOKUP(Z68,Charge!$U$18:$W$21,3,TRUE)),
IF(AND(B68="G2",M68=""),IF(R68="20'",
VLOOKUP(Z68,Charge!$K$9:$M$12,2,TRUE)+(Z68-VLOOKUP(Z68,Charge!$K$9:$M$12,1,TRUE))*VLOOKUP(Z68,Charge!$K$9:$M$12,3,TRUE),
VLOOKUP(Z68,Charge!$N$9:$P$12,2,TRUE)+(Z68-VLOOKUP(Z68,Charge!$N$9:$P$12,1,TRUE))*VLOOKUP(Z68,Charge!$N$9:$P$12,3,TRUE)),
IF(AND(B68="G2",M68="DG"),IF(R68="20'",
VLOOKUP(Z68,Charge!$R$9:$T$12,2,TRUE)+(Z68-VLOOKUP(Z68,Charge!$R$9:$T$12,1,TRUE))*VLOOKUP(Z68,Charge!$R$9:$T$12,3,TRUE),
VLOOKUP(Z68,Charge!$U$9:$W$12,2,TRUE)+(Z68-VLOOKUP(Z68,Charge!$U$9:$W$12,1,TRUE))*VLOOKUP(Z68,Charge!$U$9:$W$12,3,TRUE)),IF(AND(B68="G4",M68=""),IF(R68="20'",Z68*Charge!$M$25,Z68*Charge!$P$25),IF(AND(B68="G4",M68="DG"),IF(R68="20'",Z68*Charge!$T$25,Z68*Charge!$W$25),0))))))))</f>
        <v>960</v>
      </c>
      <c r="AB68" s="184" t="n"/>
      <c r="AC68" s="184" t="n"/>
      <c r="AD68" s="60">
        <f>IF(M68="DG",3,IF(N68="RF",3,5))+IF(AND(LEFT(C68,3)="BKK",N68="RF",Q68="KTS"),1,0)+IF(Q68="KHS",1,0)</f>
        <v>5</v>
      </c>
      <c r="AE68" s="63">
        <f>(T68-V68)+1</f>
        <v>46312</v>
      </c>
      <c r="AF68" s="63">
        <f>IF(AB68&gt;IF((V68-W68)&gt;0,V68-W68,0),0,IF(AB68&lt;IF((V68-W68)&gt;0,V68-W68,0),IF((V68-W68)&gt;0,V68-W68,0)-AB68,IF((V68-W68)&gt;0,V68-W68,0)))</f>
        <v>0</v>
      </c>
      <c r="AG68" s="187">
        <f>IF(AND(M68=""),IF(R68="20'",
VLOOKUP(AF68,Charge!$K$31:$M$34,2,TRUE)+(AF68-VLOOKUP(AF68,Charge!$K$31:$M$34,1,TRUE))*VLOOKUP(AF68,Charge!$K$31:$M$34,3,TRUE),
VLOOKUP(AF68,Charge!$N$31:$P$34,2,TRUE)+(AF68-VLOOKUP(AF68,Charge!$N$31:$P$34,1,TRUE))*VLOOKUP(AF68,Charge!$N$31:$P$34,3,TRUE)),
IF(AND(M68="DG"),IF(R68="20'",
VLOOKUP(AF68,Charge!$R$31:$T$34,2,TRUE)+(AF68-VLOOKUP(AF68,Charge!$R$31:$T$34,1,TRUE))*VLOOKUP(AF68,Charge!$R$31:$T$34,3,TRUE),
VLOOKUP(AF68,Charge!$U$31:$W$34,2,TRUE)+(AF68-VLOOKUP(AF68,Charge!$U$31:$W$34,1,TRUE))*VLOOKUP(AF68,Charge!$U$31:$W$34,3,TRUE)),0))</f>
        <v>0</v>
      </c>
      <c r="AH68" s="65" t="n"/>
      <c r="AI68" s="65">
        <f>AA68-AH68</f>
        <v>960</v>
      </c>
      <c r="AJ68" s="188" t="n"/>
      <c r="AK68" s="62" t="str">
        <f>VLOOKUP(D68,'2.Bookinglist'!A:CT,40,FALSE)</f>
        <v>Nustsireerach</v>
      </c>
      <c r="AL68" s="60" t="str">
        <f>VLOOKUP(D68,'2.Bookinglist'!A:CW,101,FALSE)</f>
        <v>2026-10-14</v>
      </c>
      <c r="AM68" s="60" t="str">
        <f>VLOOKUP(D68,'2.Bookinglist'!A:BK,63,FALSE)</f>
        <v>BKK27</v>
      </c>
      <c r="AN68" s="62" t="str">
        <f>VLOOKUP(D68,'2.Bookinglist'!A:AZ,52,FALSE)</f>
        <v>Pickup : 2026-10-03, Return : 2026-10-10</v>
      </c>
      <c r="AO68" s="62">
        <f>VLOOKUP(D68,'2.Bookinglist'!A:CY,103,FALSE)</f>
        <v>0</v>
      </c>
    </row>
    <row r="69" ht="12.95" customHeight="1">
      <c r="A69" s="96" t="inlineStr">
        <is>
          <t>SKHU6429866</t>
        </is>
      </c>
      <c r="B69" s="184" t="str">
        <f>IF(C69=Charge!$M$1,Charge!$J$1,IF(C69=Charge!$M$23,Charge!$J$23,IF(C69=Charge!$M$17,Charge!$J$17,IF(C69=Charge!$N$17,Charge!$J$17,Charge!$J$7))))</f>
        <v>G3</v>
      </c>
      <c r="C69" s="61" t="str">
        <f>VLOOKUP(A69,'1.Loading'!A:R,14,FALSE)</f>
        <v>BKK01</v>
      </c>
      <c r="D69" s="61" t="str">
        <f>VLOOKUP(A69,'1.Loading'!A:R,17,FALSE)</f>
        <v>HASLS22260902182</v>
      </c>
      <c r="E69" s="62" t="str">
        <f>VLOOKUP(D69,'2.Bookinglist'!A:CT,27,FALSE)</f>
        <v>BIRLA CARBON (THAILAND) PUBLIC COMPANY LIMITED</v>
      </c>
      <c r="F69" s="62" t="str">
        <f>VLOOKUP(D69,'2.Bookinglist'!A:CT,28,FALSE)</f>
        <v>BIRLA CARBON (THAILAND) PUBLIC COMPANY LIMITED</v>
      </c>
      <c r="G69" s="60">
        <f>VLOOKUP(D69,'2.Bookinglist'!A:E,5,FALSE)</f>
        <v>0</v>
      </c>
      <c r="H69" s="61" t="str">
        <f>VLOOKUP(D69,'2.Bookinglist'!A:CT,15,FALSE)</f>
        <v>THBKK</v>
      </c>
      <c r="I69" s="61" t="str">
        <f>VLOOKUP(D69,'2.Bookinglist'!A:CT,19,FALSE)</f>
        <v>VNSGN</v>
      </c>
      <c r="J69" s="61">
        <f>VLOOKUP(D69,'2.Bookinglist'!A:CT,26,FALSE)</f>
        <v>0</v>
      </c>
      <c r="K69" s="61" t="str">
        <f>VLOOKUP(A69,'1.Loading'!A:R,5,FALSE)</f>
        <v>45GP</v>
      </c>
      <c r="L69" s="60" t="str">
        <f>VLOOKUP(D69,'2.Bookinglist'!A:CT,85,FALSE)</f>
        <v>CY/CY</v>
      </c>
      <c r="M69" s="60" t="str">
        <f>IF(VLOOKUP(D69,'2.Bookinglist'!A:CT,43,FALSE)=0,"","DG")</f>
        <v/>
      </c>
      <c r="N69" s="60" t="str">
        <f>IF(RIGHT(K69,2)="RE","RF","")</f>
        <v/>
      </c>
      <c r="O69" s="61" t="str">
        <f>VLOOKUP(A69,'1.Loading'!A:R,3,FALSE)</f>
        <v>SWIC</v>
      </c>
      <c r="P69" s="61" t="str">
        <f>VLOOKUP(A69,'1.Loading'!A:R,4,FALSE)</f>
        <v>2611N</v>
      </c>
      <c r="Q69" s="61" t="str">
        <f>VLOOKUP(D69,'2.Bookinglist'!A:CT,12,FALSE)</f>
        <v>KHS1</v>
      </c>
      <c r="R69" s="60" t="str">
        <f>IF(LEFT(K69,2)="22","20'","40'")</f>
        <v>40'</v>
      </c>
      <c r="S69" s="185" t="n"/>
      <c r="T69" s="61" t="str">
        <f>VLOOKUP(A69,'1.Loading'!A:R,2,FALSE)</f>
        <v>2026-10-16</v>
      </c>
      <c r="U69" s="63">
        <f>T69-S69</f>
        <v>46311</v>
      </c>
      <c r="V69" s="186" t="n"/>
      <c r="W69" s="61" t="str">
        <f>VLOOKUP(A69,'3.GateMove'!A:D,4,FALSE)</f>
        <v>2026-10-13</v>
      </c>
      <c r="X69" s="63">
        <f>((T69-W69)+1)</f>
        <v>4</v>
      </c>
      <c r="Y69" s="64">
        <f>IF(AND(OR(C69="BKK01",C69="BKK04"),L69="CFS/CY"),0,IF(M69="DG",1,IF(LEFT(C69,3)="LCH",7,IF(C69="BKK02",5,3))))</f>
        <v>3</v>
      </c>
      <c r="Z69" s="63">
        <f>IF(IF(AND(AC69="TML",AB69&gt;0),((T69-W69)+1)-AB69,((T69-W69)+1)-Y69)&gt;0,IF(AND(AC69="TML",AB69&gt;0),((T69-W69)+1)-AB69,((T69-W69)+1)-Y69),0)</f>
        <v>1</v>
      </c>
      <c r="AA69" s="187">
        <f>IF(AND(B69="G1",M69=""),IF(R69="20'",
VLOOKUP(Z69,Charge!$K$2:$M$5,2,TRUE)+(Z69-VLOOKUP(Z69,Charge!$K$2:$M$5,1,TRUE))*VLOOKUP(Z69,Charge!$K$2:$M$5,3,TRUE),
VLOOKUP(Z69,Charge!$N$2:$P$5,2,TRUE)+(Z69-VLOOKUP(Z69,Charge!$N$2:$P$5,1,TRUE))*VLOOKUP(Z69,Charge!$N$2:$P$5,3,TRUE)),
IF(AND(B69="G1",M69="DG"),IF(R69="20'",
VLOOKUP(Z69,Charge!$R$2:$T$5,2,TRUE)+(Z69-VLOOKUP(Z69,Charge!$R$2:$T$5,1,TRUE))*VLOOKUP(Z69,Charge!$R$2:$T$5,3,TRUE),
VLOOKUP(Z69,Charge!$U$2:$W$5,2,TRUE)+(Z69-VLOOKUP(Z69,Charge!$U$2:$W$5,1,TRUE))*VLOOKUP(Z69,Charge!$U$2:$W$5,3,TRUE)),
IF(AND(B69="G3",M69=""),IF(R69="20'",
VLOOKUP(Z69,Charge!$K$18:$M$21,2,TRUE)+(Z69-VLOOKUP(Z69,Charge!$K$18:$M$21,1,TRUE))*VLOOKUP(Z69,Charge!$K$18:$M$21,3,TRUE),
VLOOKUP(Z69,Charge!$N$18:$P$21,2,TRUE)+(Z69-VLOOKUP(Z69,Charge!$N$18:$P$21,1,TRUE))*VLOOKUP(Z69,Charge!$N$18:$P$21,3,TRUE)),
IF(AND(B69="G3",M69="DG"),IF(R69="20'",
VLOOKUP(Z69,Charge!$R$18:$T$21,2,TRUE)+(Z69-VLOOKUP(Z69,Charge!$R$18:$T$21,1,TRUE))*VLOOKUP(Z69,Charge!$R$18:$T$21,3,TRUE),
VLOOKUP(Z69,Charge!$U$18:$W$21,2,TRUE)+(Z69-VLOOKUP(Z69,Charge!$U$18:$W$21,1,TRUE))*VLOOKUP(Z69,Charge!$U$18:$W$21,3,TRUE)),
IF(AND(B69="G2",M69=""),IF(R69="20'",
VLOOKUP(Z69,Charge!$K$9:$M$12,2,TRUE)+(Z69-VLOOKUP(Z69,Charge!$K$9:$M$12,1,TRUE))*VLOOKUP(Z69,Charge!$K$9:$M$12,3,TRUE),
VLOOKUP(Z69,Charge!$N$9:$P$12,2,TRUE)+(Z69-VLOOKUP(Z69,Charge!$N$9:$P$12,1,TRUE))*VLOOKUP(Z69,Charge!$N$9:$P$12,3,TRUE)),
IF(AND(B69="G2",M69="DG"),IF(R69="20'",
VLOOKUP(Z69,Charge!$R$9:$T$12,2,TRUE)+(Z69-VLOOKUP(Z69,Charge!$R$9:$T$12,1,TRUE))*VLOOKUP(Z69,Charge!$R$9:$T$12,3,TRUE),
VLOOKUP(Z69,Charge!$U$9:$W$12,2,TRUE)+(Z69-VLOOKUP(Z69,Charge!$U$9:$W$12,1,TRUE))*VLOOKUP(Z69,Charge!$U$9:$W$12,3,TRUE)),IF(AND(B69="G4",M69=""),IF(R69="20'",Z69*Charge!$M$25,Z69*Charge!$P$25),IF(AND(B69="G4",M69="DG"),IF(R69="20'",Z69*Charge!$T$25,Z69*Charge!$W$25),0))))))))</f>
        <v>320</v>
      </c>
      <c r="AB69" s="184" t="n"/>
      <c r="AC69" s="184" t="n"/>
      <c r="AD69" s="60">
        <f>IF(M69="DG",3,IF(N69="RF",3,5))+IF(AND(LEFT(C69,3)="BKK",N69="RF",Q69="KTS"),1,0)+IF(Q69="KHS",1,0)</f>
        <v>5</v>
      </c>
      <c r="AE69" s="63">
        <f>(T69-V69)+1</f>
        <v>46312</v>
      </c>
      <c r="AF69" s="63">
        <f>IF(AB69&gt;IF((V69-W69)&gt;0,V69-W69,0),0,IF(AB69&lt;IF((V69-W69)&gt;0,V69-W69,0),IF((V69-W69)&gt;0,V69-W69,0)-AB69,IF((V69-W69)&gt;0,V69-W69,0)))</f>
        <v>0</v>
      </c>
      <c r="AG69" s="187">
        <f>IF(AND(M69=""),IF(R69="20'",
VLOOKUP(AF69,Charge!$K$31:$M$34,2,TRUE)+(AF69-VLOOKUP(AF69,Charge!$K$31:$M$34,1,TRUE))*VLOOKUP(AF69,Charge!$K$31:$M$34,3,TRUE),
VLOOKUP(AF69,Charge!$N$31:$P$34,2,TRUE)+(AF69-VLOOKUP(AF69,Charge!$N$31:$P$34,1,TRUE))*VLOOKUP(AF69,Charge!$N$31:$P$34,3,TRUE)),
IF(AND(M69="DG"),IF(R69="20'",
VLOOKUP(AF69,Charge!$R$31:$T$34,2,TRUE)+(AF69-VLOOKUP(AF69,Charge!$R$31:$T$34,1,TRUE))*VLOOKUP(AF69,Charge!$R$31:$T$34,3,TRUE),
VLOOKUP(AF69,Charge!$U$31:$W$34,2,TRUE)+(AF69-VLOOKUP(AF69,Charge!$U$31:$W$34,1,TRUE))*VLOOKUP(AF69,Charge!$U$31:$W$34,3,TRUE)),0))</f>
        <v>0</v>
      </c>
      <c r="AH69" s="65" t="n"/>
      <c r="AI69" s="65">
        <f>AA69-AH69</f>
        <v>320</v>
      </c>
      <c r="AJ69" s="188" t="n"/>
      <c r="AK69" s="62" t="str">
        <f>VLOOKUP(D69,'2.Bookinglist'!A:CT,40,FALSE)</f>
        <v>Dharaporn</v>
      </c>
      <c r="AL69" s="60" t="str">
        <f>VLOOKUP(D69,'2.Bookinglist'!A:CW,101,FALSE)</f>
        <v>2026-10-15</v>
      </c>
      <c r="AM69" s="60" t="str">
        <f>VLOOKUP(D69,'2.Bookinglist'!A:BK,63,FALSE)</f>
        <v>BKK27</v>
      </c>
      <c r="AN69" s="62" t="str">
        <f>VLOOKUP(D69,'2.Bookinglist'!A:AZ,52,FALSE)</f>
        <v>Pickup : 2026-10-10, Return : 2026-10-11
CLS TIME DD.13/10/2026 @ 23.59</v>
      </c>
      <c r="AO69" s="62">
        <f>VLOOKUP(D69,'2.Bookinglist'!A:CY,103,FALSE)</f>
        <v>0</v>
      </c>
    </row>
    <row r="70" ht="12.95" customHeight="1">
      <c r="A70" s="96" t="inlineStr">
        <is>
          <t>SKHU6438699</t>
        </is>
      </c>
      <c r="B70" s="184" t="str">
        <f>IF(C70=Charge!$M$1,Charge!$J$1,IF(C70=Charge!$M$23,Charge!$J$23,IF(C70=Charge!$M$17,Charge!$J$17,IF(C70=Charge!$N$17,Charge!$J$17,Charge!$J$7))))</f>
        <v>G3</v>
      </c>
      <c r="C70" s="61" t="str">
        <f>VLOOKUP(A70,'1.Loading'!A:R,14,FALSE)</f>
        <v>BKK01</v>
      </c>
      <c r="D70" s="61" t="str">
        <f>VLOOKUP(A70,'1.Loading'!A:R,17,FALSE)</f>
        <v>HASLS22260901303</v>
      </c>
      <c r="E70" s="62" t="str">
        <f>VLOOKUP(D70,'2.Bookinglist'!A:CT,27,FALSE)</f>
        <v>WOODWORKS THAI CO., LTD. (1980)</v>
      </c>
      <c r="F70" s="62" t="str">
        <f>VLOOKUP(D70,'2.Bookinglist'!A:CT,28,FALSE)</f>
        <v>WOODWORKS THAI CO., LTD. (1980)</v>
      </c>
      <c r="G70" s="60">
        <f>VLOOKUP(D70,'2.Bookinglist'!A:E,5,FALSE)</f>
        <v>0</v>
      </c>
      <c r="H70" s="61" t="str">
        <f>VLOOKUP(D70,'2.Bookinglist'!A:CT,15,FALSE)</f>
        <v>THBKK</v>
      </c>
      <c r="I70" s="61" t="str">
        <f>VLOOKUP(D70,'2.Bookinglist'!A:CT,19,FALSE)</f>
        <v>JPIMI</v>
      </c>
      <c r="J70" s="61" t="str">
        <f>VLOOKUP(D70,'2.Bookinglist'!A:CT,26,FALSE)</f>
        <v>KRPUS</v>
      </c>
      <c r="K70" s="61" t="str">
        <f>VLOOKUP(A70,'1.Loading'!A:R,5,FALSE)</f>
        <v>45GP</v>
      </c>
      <c r="L70" s="60" t="str">
        <f>VLOOKUP(D70,'2.Bookinglist'!A:CT,85,FALSE)</f>
        <v>CY/CY</v>
      </c>
      <c r="M70" s="60" t="str">
        <f>IF(VLOOKUP(D70,'2.Bookinglist'!A:CT,43,FALSE)=0,"","DG")</f>
        <v/>
      </c>
      <c r="N70" s="60" t="str">
        <f>IF(RIGHT(K70,2)="RE","RF","")</f>
        <v/>
      </c>
      <c r="O70" s="61" t="str">
        <f>VLOOKUP(A70,'1.Loading'!A:R,3,FALSE)</f>
        <v>SWIC</v>
      </c>
      <c r="P70" s="61" t="str">
        <f>VLOOKUP(A70,'1.Loading'!A:R,4,FALSE)</f>
        <v>2611N</v>
      </c>
      <c r="Q70" s="61" t="str">
        <f>VLOOKUP(D70,'2.Bookinglist'!A:CT,12,FALSE)</f>
        <v>KHS1</v>
      </c>
      <c r="R70" s="60" t="str">
        <f>IF(LEFT(K70,2)="22","20'","40'")</f>
        <v>40'</v>
      </c>
      <c r="S70" s="185" t="n"/>
      <c r="T70" s="61" t="str">
        <f>VLOOKUP(A70,'1.Loading'!A:R,2,FALSE)</f>
        <v>2026-10-16</v>
      </c>
      <c r="U70" s="63">
        <f>T70-S70</f>
        <v>46311</v>
      </c>
      <c r="V70" s="186" t="n"/>
      <c r="W70" s="61" t="str">
        <f>VLOOKUP(A70,'3.GateMove'!A:D,4,FALSE)</f>
        <v>2026-10-10</v>
      </c>
      <c r="X70" s="63">
        <f>((T70-W70)+1)</f>
        <v>7</v>
      </c>
      <c r="Y70" s="64">
        <f>IF(AND(OR(C70="BKK01",C70="BKK04"),L70="CFS/CY"),0,IF(M70="DG",1,IF(LEFT(C70,3)="LCH",7,IF(C70="BKK02",5,3))))</f>
        <v>3</v>
      </c>
      <c r="Z70" s="63">
        <f>IF(IF(AND(AC70="TML",AB70&gt;0),((T70-W70)+1)-AB70,((T70-W70)+1)-Y70)&gt;0,IF(AND(AC70="TML",AB70&gt;0),((T70-W70)+1)-AB70,((T70-W70)+1)-Y70),0)</f>
        <v>4</v>
      </c>
      <c r="AA70" s="187">
        <f>IF(AND(B70="G1",M70=""),IF(R70="20'",
VLOOKUP(Z70,Charge!$K$2:$M$5,2,TRUE)+(Z70-VLOOKUP(Z70,Charge!$K$2:$M$5,1,TRUE))*VLOOKUP(Z70,Charge!$K$2:$M$5,3,TRUE),
VLOOKUP(Z70,Charge!$N$2:$P$5,2,TRUE)+(Z70-VLOOKUP(Z70,Charge!$N$2:$P$5,1,TRUE))*VLOOKUP(Z70,Charge!$N$2:$P$5,3,TRUE)),
IF(AND(B70="G1",M70="DG"),IF(R70="20'",
VLOOKUP(Z70,Charge!$R$2:$T$5,2,TRUE)+(Z70-VLOOKUP(Z70,Charge!$R$2:$T$5,1,TRUE))*VLOOKUP(Z70,Charge!$R$2:$T$5,3,TRUE),
VLOOKUP(Z70,Charge!$U$2:$W$5,2,TRUE)+(Z70-VLOOKUP(Z70,Charge!$U$2:$W$5,1,TRUE))*VLOOKUP(Z70,Charge!$U$2:$W$5,3,TRUE)),
IF(AND(B70="G3",M70=""),IF(R70="20'",
VLOOKUP(Z70,Charge!$K$18:$M$21,2,TRUE)+(Z70-VLOOKUP(Z70,Charge!$K$18:$M$21,1,TRUE))*VLOOKUP(Z70,Charge!$K$18:$M$21,3,TRUE),
VLOOKUP(Z70,Charge!$N$18:$P$21,2,TRUE)+(Z70-VLOOKUP(Z70,Charge!$N$18:$P$21,1,TRUE))*VLOOKUP(Z70,Charge!$N$18:$P$21,3,TRUE)),
IF(AND(B70="G3",M70="DG"),IF(R70="20'",
VLOOKUP(Z70,Charge!$R$18:$T$21,2,TRUE)+(Z70-VLOOKUP(Z70,Charge!$R$18:$T$21,1,TRUE))*VLOOKUP(Z70,Charge!$R$18:$T$21,3,TRUE),
VLOOKUP(Z70,Charge!$U$18:$W$21,2,TRUE)+(Z70-VLOOKUP(Z70,Charge!$U$18:$W$21,1,TRUE))*VLOOKUP(Z70,Charge!$U$18:$W$21,3,TRUE)),
IF(AND(B70="G2",M70=""),IF(R70="20'",
VLOOKUP(Z70,Charge!$K$9:$M$12,2,TRUE)+(Z70-VLOOKUP(Z70,Charge!$K$9:$M$12,1,TRUE))*VLOOKUP(Z70,Charge!$K$9:$M$12,3,TRUE),
VLOOKUP(Z70,Charge!$N$9:$P$12,2,TRUE)+(Z70-VLOOKUP(Z70,Charge!$N$9:$P$12,1,TRUE))*VLOOKUP(Z70,Charge!$N$9:$P$12,3,TRUE)),
IF(AND(B70="G2",M70="DG"),IF(R70="20'",
VLOOKUP(Z70,Charge!$R$9:$T$12,2,TRUE)+(Z70-VLOOKUP(Z70,Charge!$R$9:$T$12,1,TRUE))*VLOOKUP(Z70,Charge!$R$9:$T$12,3,TRUE),
VLOOKUP(Z70,Charge!$U$9:$W$12,2,TRUE)+(Z70-VLOOKUP(Z70,Charge!$U$9:$W$12,1,TRUE))*VLOOKUP(Z70,Charge!$U$9:$W$12,3,TRUE)),IF(AND(B70="G4",M70=""),IF(R70="20'",Z70*Charge!$M$25,Z70*Charge!$P$25),IF(AND(B70="G4",M70="DG"),IF(R70="20'",Z70*Charge!$T$25,Z70*Charge!$W$25),0))))))))</f>
        <v>1280</v>
      </c>
      <c r="AB70" s="184" t="n"/>
      <c r="AC70" s="184" t="n"/>
      <c r="AD70" s="60">
        <f>IF(M70="DG",3,IF(N70="RF",3,5))+IF(AND(LEFT(C70,3)="BKK",N70="RF",Q70="KTS"),1,0)+IF(Q70="KHS",1,0)</f>
        <v>5</v>
      </c>
      <c r="AE70" s="63">
        <f>(T70-V70)+1</f>
        <v>46312</v>
      </c>
      <c r="AF70" s="63">
        <f>IF(AB70&gt;IF((V70-W70)&gt;0,V70-W70,0),0,IF(AB70&lt;IF((V70-W70)&gt;0,V70-W70,0),IF((V70-W70)&gt;0,V70-W70,0)-AB70,IF((V70-W70)&gt;0,V70-W70,0)))</f>
        <v>0</v>
      </c>
      <c r="AG70" s="187">
        <f>IF(AND(M70=""),IF(R70="20'",
VLOOKUP(AF70,Charge!$K$31:$M$34,2,TRUE)+(AF70-VLOOKUP(AF70,Charge!$K$31:$M$34,1,TRUE))*VLOOKUP(AF70,Charge!$K$31:$M$34,3,TRUE),
VLOOKUP(AF70,Charge!$N$31:$P$34,2,TRUE)+(AF70-VLOOKUP(AF70,Charge!$N$31:$P$34,1,TRUE))*VLOOKUP(AF70,Charge!$N$31:$P$34,3,TRUE)),
IF(AND(M70="DG"),IF(R70="20'",
VLOOKUP(AF70,Charge!$R$31:$T$34,2,TRUE)+(AF70-VLOOKUP(AF70,Charge!$R$31:$T$34,1,TRUE))*VLOOKUP(AF70,Charge!$R$31:$T$34,3,TRUE),
VLOOKUP(AF70,Charge!$U$31:$W$34,2,TRUE)+(AF70-VLOOKUP(AF70,Charge!$U$31:$W$34,1,TRUE))*VLOOKUP(AF70,Charge!$U$31:$W$34,3,TRUE)),0))</f>
        <v>0</v>
      </c>
      <c r="AH70" s="65" t="n"/>
      <c r="AI70" s="65">
        <f>AA70-AH70</f>
        <v>1280</v>
      </c>
      <c r="AJ70" s="188" t="n"/>
      <c r="AK70" s="62" t="str">
        <f>VLOOKUP(D70,'2.Bookinglist'!A:CT,40,FALSE)</f>
        <v>Hiroaki Tamura</v>
      </c>
      <c r="AL70" s="60" t="str">
        <f>VLOOKUP(D70,'2.Bookinglist'!A:CW,101,FALSE)</f>
        <v>2026-10-15</v>
      </c>
      <c r="AM70" s="60" t="str">
        <f>VLOOKUP(D70,'2.Bookinglist'!A:BK,63,FALSE)</f>
        <v>BKK25</v>
      </c>
      <c r="AN70" s="62" t="str">
        <f>VLOOKUP(D70,'2.Bookinglist'!A:AZ,52,FALSE)</f>
        <v>Pickup : 2026-10-10, Return : 2026-10-10 = 1X40HQ
Pickup : 2026-10-12, Return : 2026-10-12 = 1X40HQ</v>
      </c>
      <c r="AO70" s="62">
        <f>VLOOKUP(D70,'2.Bookinglist'!A:CY,103,FALSE)</f>
        <v>0</v>
      </c>
    </row>
    <row r="71" ht="12.95" customHeight="1">
      <c r="A71" s="96" t="inlineStr">
        <is>
          <t>SKHU6442301</t>
        </is>
      </c>
      <c r="B71" s="184" t="str">
        <f>IF(C71=Charge!$M$1,Charge!$J$1,IF(C71=Charge!$M$23,Charge!$J$23,IF(C71=Charge!$M$17,Charge!$J$17,IF(C71=Charge!$N$17,Charge!$J$17,Charge!$J$7))))</f>
        <v>G3</v>
      </c>
      <c r="C71" s="61" t="str">
        <f>VLOOKUP(A71,'1.Loading'!A:R,14,FALSE)</f>
        <v>BKK01</v>
      </c>
      <c r="D71" s="61" t="str">
        <f>VLOOKUP(A71,'1.Loading'!A:R,17,FALSE)</f>
        <v>HASLS22260901726</v>
      </c>
      <c r="E71" s="62" t="str">
        <f>VLOOKUP(D71,'2.Bookinglist'!A:CT,27,FALSE)</f>
        <v>HARPERS SEA FREIGHT CO., LTD.</v>
      </c>
      <c r="F71" s="62" t="str">
        <f>VLOOKUP(D71,'2.Bookinglist'!A:CT,28,FALSE)</f>
        <v>THAI ASAHI CO., LTD.</v>
      </c>
      <c r="G71" s="60">
        <f>VLOOKUP(D71,'2.Bookinglist'!A:E,5,FALSE)</f>
        <v>0</v>
      </c>
      <c r="H71" s="61" t="str">
        <f>VLOOKUP(D71,'2.Bookinglist'!A:CT,15,FALSE)</f>
        <v>THBKK</v>
      </c>
      <c r="I71" s="61" t="str">
        <f>VLOOKUP(D71,'2.Bookinglist'!A:CT,19,FALSE)</f>
        <v>KRKAN</v>
      </c>
      <c r="J71" s="61">
        <f>VLOOKUP(D71,'2.Bookinglist'!A:CT,26,FALSE)</f>
        <v>0</v>
      </c>
      <c r="K71" s="61" t="str">
        <f>VLOOKUP(A71,'1.Loading'!A:R,5,FALSE)</f>
        <v>45GP</v>
      </c>
      <c r="L71" s="60" t="str">
        <f>VLOOKUP(D71,'2.Bookinglist'!A:CT,85,FALSE)</f>
        <v>CY/CY</v>
      </c>
      <c r="M71" s="60" t="str">
        <f>IF(VLOOKUP(D71,'2.Bookinglist'!A:CT,43,FALSE)=0,"","DG")</f>
        <v/>
      </c>
      <c r="N71" s="60" t="str">
        <f>IF(RIGHT(K71,2)="RE","RF","")</f>
        <v/>
      </c>
      <c r="O71" s="61" t="str">
        <f>VLOOKUP(A71,'1.Loading'!A:R,3,FALSE)</f>
        <v>SWIC</v>
      </c>
      <c r="P71" s="61" t="str">
        <f>VLOOKUP(A71,'1.Loading'!A:R,4,FALSE)</f>
        <v>2611N</v>
      </c>
      <c r="Q71" s="61" t="str">
        <f>VLOOKUP(D71,'2.Bookinglist'!A:CT,12,FALSE)</f>
        <v>KHS1</v>
      </c>
      <c r="R71" s="60" t="str">
        <f>IF(LEFT(K71,2)="22","20'","40'")</f>
        <v>40'</v>
      </c>
      <c r="S71" s="185" t="n"/>
      <c r="T71" s="61" t="str">
        <f>VLOOKUP(A71,'1.Loading'!A:R,2,FALSE)</f>
        <v>2026-10-16</v>
      </c>
      <c r="U71" s="63">
        <f>T71-S71</f>
        <v>46311</v>
      </c>
      <c r="V71" s="186" t="n"/>
      <c r="W71" s="61" t="str">
        <f>VLOOKUP(A71,'3.GateMove'!A:D,4,FALSE)</f>
        <v>2026-10-12</v>
      </c>
      <c r="X71" s="63">
        <f>((T71-W71)+1)</f>
        <v>5</v>
      </c>
      <c r="Y71" s="64">
        <f>IF(AND(OR(C71="BKK01",C71="BKK04"),L71="CFS/CY"),0,IF(M71="DG",1,IF(LEFT(C71,3)="LCH",7,IF(C71="BKK02",5,3))))</f>
        <v>3</v>
      </c>
      <c r="Z71" s="63">
        <f>IF(IF(AND(AC71="TML",AB71&gt;0),((T71-W71)+1)-AB71,((T71-W71)+1)-Y71)&gt;0,IF(AND(AC71="TML",AB71&gt;0),((T71-W71)+1)-AB71,((T71-W71)+1)-Y71),0)</f>
        <v>2</v>
      </c>
      <c r="AA71" s="187">
        <f>IF(AND(B71="G1",M71=""),IF(R71="20'",
VLOOKUP(Z71,Charge!$K$2:$M$5,2,TRUE)+(Z71-VLOOKUP(Z71,Charge!$K$2:$M$5,1,TRUE))*VLOOKUP(Z71,Charge!$K$2:$M$5,3,TRUE),
VLOOKUP(Z71,Charge!$N$2:$P$5,2,TRUE)+(Z71-VLOOKUP(Z71,Charge!$N$2:$P$5,1,TRUE))*VLOOKUP(Z71,Charge!$N$2:$P$5,3,TRUE)),
IF(AND(B71="G1",M71="DG"),IF(R71="20'",
VLOOKUP(Z71,Charge!$R$2:$T$5,2,TRUE)+(Z71-VLOOKUP(Z71,Charge!$R$2:$T$5,1,TRUE))*VLOOKUP(Z71,Charge!$R$2:$T$5,3,TRUE),
VLOOKUP(Z71,Charge!$U$2:$W$5,2,TRUE)+(Z71-VLOOKUP(Z71,Charge!$U$2:$W$5,1,TRUE))*VLOOKUP(Z71,Charge!$U$2:$W$5,3,TRUE)),
IF(AND(B71="G3",M71=""),IF(R71="20'",
VLOOKUP(Z71,Charge!$K$18:$M$21,2,TRUE)+(Z71-VLOOKUP(Z71,Charge!$K$18:$M$21,1,TRUE))*VLOOKUP(Z71,Charge!$K$18:$M$21,3,TRUE),
VLOOKUP(Z71,Charge!$N$18:$P$21,2,TRUE)+(Z71-VLOOKUP(Z71,Charge!$N$18:$P$21,1,TRUE))*VLOOKUP(Z71,Charge!$N$18:$P$21,3,TRUE)),
IF(AND(B71="G3",M71="DG"),IF(R71="20'",
VLOOKUP(Z71,Charge!$R$18:$T$21,2,TRUE)+(Z71-VLOOKUP(Z71,Charge!$R$18:$T$21,1,TRUE))*VLOOKUP(Z71,Charge!$R$18:$T$21,3,TRUE),
VLOOKUP(Z71,Charge!$U$18:$W$21,2,TRUE)+(Z71-VLOOKUP(Z71,Charge!$U$18:$W$21,1,TRUE))*VLOOKUP(Z71,Charge!$U$18:$W$21,3,TRUE)),
IF(AND(B71="G2",M71=""),IF(R71="20'",
VLOOKUP(Z71,Charge!$K$9:$M$12,2,TRUE)+(Z71-VLOOKUP(Z71,Charge!$K$9:$M$12,1,TRUE))*VLOOKUP(Z71,Charge!$K$9:$M$12,3,TRUE),
VLOOKUP(Z71,Charge!$N$9:$P$12,2,TRUE)+(Z71-VLOOKUP(Z71,Charge!$N$9:$P$12,1,TRUE))*VLOOKUP(Z71,Charge!$N$9:$P$12,3,TRUE)),
IF(AND(B71="G2",M71="DG"),IF(R71="20'",
VLOOKUP(Z71,Charge!$R$9:$T$12,2,TRUE)+(Z71-VLOOKUP(Z71,Charge!$R$9:$T$12,1,TRUE))*VLOOKUP(Z71,Charge!$R$9:$T$12,3,TRUE),
VLOOKUP(Z71,Charge!$U$9:$W$12,2,TRUE)+(Z71-VLOOKUP(Z71,Charge!$U$9:$W$12,1,TRUE))*VLOOKUP(Z71,Charge!$U$9:$W$12,3,TRUE)),IF(AND(B71="G4",M71=""),IF(R71="20'",Z71*Charge!$M$25,Z71*Charge!$P$25),IF(AND(B71="G4",M71="DG"),IF(R71="20'",Z71*Charge!$T$25,Z71*Charge!$W$25),0))))))))</f>
        <v>640</v>
      </c>
      <c r="AB71" s="184" t="n"/>
      <c r="AC71" s="184" t="n"/>
      <c r="AD71" s="60">
        <f>IF(M71="DG",3,IF(N71="RF",3,5))+IF(AND(LEFT(C71,3)="BKK",N71="RF",Q71="KTS"),1,0)+IF(Q71="KHS",1,0)</f>
        <v>5</v>
      </c>
      <c r="AE71" s="63">
        <f>(T71-V71)+1</f>
        <v>46312</v>
      </c>
      <c r="AF71" s="63">
        <f>IF(AB71&gt;IF((V71-W71)&gt;0,V71-W71,0),0,IF(AB71&lt;IF((V71-W71)&gt;0,V71-W71,0),IF((V71-W71)&gt;0,V71-W71,0)-AB71,IF((V71-W71)&gt;0,V71-W71,0)))</f>
        <v>0</v>
      </c>
      <c r="AG71" s="187">
        <f>IF(AND(M71=""),IF(R71="20'",
VLOOKUP(AF71,Charge!$K$31:$M$34,2,TRUE)+(AF71-VLOOKUP(AF71,Charge!$K$31:$M$34,1,TRUE))*VLOOKUP(AF71,Charge!$K$31:$M$34,3,TRUE),
VLOOKUP(AF71,Charge!$N$31:$P$34,2,TRUE)+(AF71-VLOOKUP(AF71,Charge!$N$31:$P$34,1,TRUE))*VLOOKUP(AF71,Charge!$N$31:$P$34,3,TRUE)),
IF(AND(M71="DG"),IF(R71="20'",
VLOOKUP(AF71,Charge!$R$31:$T$34,2,TRUE)+(AF71-VLOOKUP(AF71,Charge!$R$31:$T$34,1,TRUE))*VLOOKUP(AF71,Charge!$R$31:$T$34,3,TRUE),
VLOOKUP(AF71,Charge!$U$31:$W$34,2,TRUE)+(AF71-VLOOKUP(AF71,Charge!$U$31:$W$34,1,TRUE))*VLOOKUP(AF71,Charge!$U$31:$W$34,3,TRUE)),0))</f>
        <v>0</v>
      </c>
      <c r="AH71" s="65" t="n"/>
      <c r="AI71" s="65">
        <f>AA71-AH71</f>
        <v>640</v>
      </c>
      <c r="AJ71" s="188" t="n"/>
      <c r="AK71" s="62" t="str">
        <f>VLOOKUP(D71,'2.Bookinglist'!A:CT,40,FALSE)</f>
        <v>Nustsireerach</v>
      </c>
      <c r="AL71" s="60" t="str">
        <f>VLOOKUP(D71,'2.Bookinglist'!A:CW,101,FALSE)</f>
        <v>2026-10-15</v>
      </c>
      <c r="AM71" s="60" t="str">
        <f>VLOOKUP(D71,'2.Bookinglist'!A:BK,63,FALSE)</f>
        <v>BKK27</v>
      </c>
      <c r="AN71" s="62" t="str">
        <f>VLOOKUP(D71,'2.Bookinglist'!A:AZ,52,FALSE)</f>
        <v>Pickup : 2026-10-09, Return : 2026-10-11 // FM PGPO 2612N BY HAL DD.05/10</v>
      </c>
      <c r="AO71" s="62">
        <f>VLOOKUP(D71,'2.Bookinglist'!A:CY,103,FALSE)</f>
        <v>0</v>
      </c>
    </row>
    <row r="72" ht="12.95" customHeight="1">
      <c r="A72" s="96" t="inlineStr">
        <is>
          <t>SKHU6448547</t>
        </is>
      </c>
      <c r="B72" s="184" t="str">
        <f>IF(C72=Charge!$M$1,Charge!$J$1,IF(C72=Charge!$M$23,Charge!$J$23,IF(C72=Charge!$M$17,Charge!$J$17,IF(C72=Charge!$N$17,Charge!$J$17,Charge!$J$7))))</f>
        <v>G3</v>
      </c>
      <c r="C72" s="61" t="str">
        <f>VLOOKUP(A72,'1.Loading'!A:R,14,FALSE)</f>
        <v>BKK01</v>
      </c>
      <c r="D72" s="61" t="str">
        <f>VLOOKUP(A72,'1.Loading'!A:R,17,FALSE)</f>
        <v>HASLS22260902223</v>
      </c>
      <c r="E72" s="62" t="str">
        <f>VLOOKUP(D72,'2.Bookinglist'!A:CT,27,FALSE)</f>
        <v>CAPRICORN LOGISTICS CO., LTD.</v>
      </c>
      <c r="F72" s="62" t="str">
        <f>VLOOKUP(D72,'2.Bookinglist'!A:CT,28,FALSE)</f>
        <v>SWAN INDUSTRIES (THAILAND) LTD.</v>
      </c>
      <c r="G72" s="60">
        <f>VLOOKUP(D72,'2.Bookinglist'!A:E,5,FALSE)</f>
        <v>0</v>
      </c>
      <c r="H72" s="61" t="str">
        <f>VLOOKUP(D72,'2.Bookinglist'!A:CT,15,FALSE)</f>
        <v>THBKK</v>
      </c>
      <c r="I72" s="61" t="str">
        <f>VLOOKUP(D72,'2.Bookinglist'!A:CT,19,FALSE)</f>
        <v>VNSGN</v>
      </c>
      <c r="J72" s="61">
        <f>VLOOKUP(D72,'2.Bookinglist'!A:CT,26,FALSE)</f>
        <v>0</v>
      </c>
      <c r="K72" s="61" t="str">
        <f>VLOOKUP(A72,'1.Loading'!A:R,5,FALSE)</f>
        <v>45GP</v>
      </c>
      <c r="L72" s="60" t="str">
        <f>VLOOKUP(D72,'2.Bookinglist'!A:CT,85,FALSE)</f>
        <v>CY/CY</v>
      </c>
      <c r="M72" s="60" t="str">
        <f>IF(VLOOKUP(D72,'2.Bookinglist'!A:CT,43,FALSE)=0,"","DG")</f>
        <v/>
      </c>
      <c r="N72" s="60" t="str">
        <f>IF(RIGHT(K72,2)="RE","RF","")</f>
        <v/>
      </c>
      <c r="O72" s="61" t="str">
        <f>VLOOKUP(A72,'1.Loading'!A:R,3,FALSE)</f>
        <v>SWIC</v>
      </c>
      <c r="P72" s="61" t="str">
        <f>VLOOKUP(A72,'1.Loading'!A:R,4,FALSE)</f>
        <v>2611N</v>
      </c>
      <c r="Q72" s="61" t="str">
        <f>VLOOKUP(D72,'2.Bookinglist'!A:CT,12,FALSE)</f>
        <v>KHS1</v>
      </c>
      <c r="R72" s="60" t="str">
        <f>IF(LEFT(K72,2)="22","20'","40'")</f>
        <v>40'</v>
      </c>
      <c r="S72" s="185" t="n"/>
      <c r="T72" s="61" t="str">
        <f>VLOOKUP(A72,'1.Loading'!A:R,2,FALSE)</f>
        <v>2026-10-16</v>
      </c>
      <c r="U72" s="63">
        <f>T72-S72</f>
        <v>46311</v>
      </c>
      <c r="V72" s="186" t="n"/>
      <c r="W72" s="61" t="str">
        <f>VLOOKUP(A72,'3.GateMove'!A:D,4,FALSE)</f>
        <v>2026-10-13</v>
      </c>
      <c r="X72" s="63">
        <f>((T72-W72)+1)</f>
        <v>4</v>
      </c>
      <c r="Y72" s="64">
        <f>IF(AND(OR(C72="BKK01",C72="BKK04"),L72="CFS/CY"),0,IF(M72="DG",1,IF(LEFT(C72,3)="LCH",7,IF(C72="BKK02",5,3))))</f>
        <v>3</v>
      </c>
      <c r="Z72" s="63">
        <f>IF(IF(AND(AC72="TML",AB72&gt;0),((T72-W72)+1)-AB72,((T72-W72)+1)-Y72)&gt;0,IF(AND(AC72="TML",AB72&gt;0),((T72-W72)+1)-AB72,((T72-W72)+1)-Y72),0)</f>
        <v>1</v>
      </c>
      <c r="AA72" s="187">
        <f>IF(AND(B72="G1",M72=""),IF(R72="20'",
VLOOKUP(Z72,Charge!$K$2:$M$5,2,TRUE)+(Z72-VLOOKUP(Z72,Charge!$K$2:$M$5,1,TRUE))*VLOOKUP(Z72,Charge!$K$2:$M$5,3,TRUE),
VLOOKUP(Z72,Charge!$N$2:$P$5,2,TRUE)+(Z72-VLOOKUP(Z72,Charge!$N$2:$P$5,1,TRUE))*VLOOKUP(Z72,Charge!$N$2:$P$5,3,TRUE)),
IF(AND(B72="G1",M72="DG"),IF(R72="20'",
VLOOKUP(Z72,Charge!$R$2:$T$5,2,TRUE)+(Z72-VLOOKUP(Z72,Charge!$R$2:$T$5,1,TRUE))*VLOOKUP(Z72,Charge!$R$2:$T$5,3,TRUE),
VLOOKUP(Z72,Charge!$U$2:$W$5,2,TRUE)+(Z72-VLOOKUP(Z72,Charge!$U$2:$W$5,1,TRUE))*VLOOKUP(Z72,Charge!$U$2:$W$5,3,TRUE)),
IF(AND(B72="G3",M72=""),IF(R72="20'",
VLOOKUP(Z72,Charge!$K$18:$M$21,2,TRUE)+(Z72-VLOOKUP(Z72,Charge!$K$18:$M$21,1,TRUE))*VLOOKUP(Z72,Charge!$K$18:$M$21,3,TRUE),
VLOOKUP(Z72,Charge!$N$18:$P$21,2,TRUE)+(Z72-VLOOKUP(Z72,Charge!$N$18:$P$21,1,TRUE))*VLOOKUP(Z72,Charge!$N$18:$P$21,3,TRUE)),
IF(AND(B72="G3",M72="DG"),IF(R72="20'",
VLOOKUP(Z72,Charge!$R$18:$T$21,2,TRUE)+(Z72-VLOOKUP(Z72,Charge!$R$18:$T$21,1,TRUE))*VLOOKUP(Z72,Charge!$R$18:$T$21,3,TRUE),
VLOOKUP(Z72,Charge!$U$18:$W$21,2,TRUE)+(Z72-VLOOKUP(Z72,Charge!$U$18:$W$21,1,TRUE))*VLOOKUP(Z72,Charge!$U$18:$W$21,3,TRUE)),
IF(AND(B72="G2",M72=""),IF(R72="20'",
VLOOKUP(Z72,Charge!$K$9:$M$12,2,TRUE)+(Z72-VLOOKUP(Z72,Charge!$K$9:$M$12,1,TRUE))*VLOOKUP(Z72,Charge!$K$9:$M$12,3,TRUE),
VLOOKUP(Z72,Charge!$N$9:$P$12,2,TRUE)+(Z72-VLOOKUP(Z72,Charge!$N$9:$P$12,1,TRUE))*VLOOKUP(Z72,Charge!$N$9:$P$12,3,TRUE)),
IF(AND(B72="G2",M72="DG"),IF(R72="20'",
VLOOKUP(Z72,Charge!$R$9:$T$12,2,TRUE)+(Z72-VLOOKUP(Z72,Charge!$R$9:$T$12,1,TRUE))*VLOOKUP(Z72,Charge!$R$9:$T$12,3,TRUE),
VLOOKUP(Z72,Charge!$U$9:$W$12,2,TRUE)+(Z72-VLOOKUP(Z72,Charge!$U$9:$W$12,1,TRUE))*VLOOKUP(Z72,Charge!$U$9:$W$12,3,TRUE)),IF(AND(B72="G4",M72=""),IF(R72="20'",Z72*Charge!$M$25,Z72*Charge!$P$25),IF(AND(B72="G4",M72="DG"),IF(R72="20'",Z72*Charge!$T$25,Z72*Charge!$W$25),0))))))))</f>
        <v>320</v>
      </c>
      <c r="AB72" s="184" t="n"/>
      <c r="AC72" s="184" t="n"/>
      <c r="AD72" s="60">
        <f>IF(M72="DG",3,IF(N72="RF",3,5))+IF(AND(LEFT(C72,3)="BKK",N72="RF",Q72="KTS"),1,0)+IF(Q72="KHS",1,0)</f>
        <v>5</v>
      </c>
      <c r="AE72" s="63">
        <f>(T72-V72)+1</f>
        <v>46312</v>
      </c>
      <c r="AF72" s="63">
        <f>IF(AB72&gt;IF((V72-W72)&gt;0,V72-W72,0),0,IF(AB72&lt;IF((V72-W72)&gt;0,V72-W72,0),IF((V72-W72)&gt;0,V72-W72,0)-AB72,IF((V72-W72)&gt;0,V72-W72,0)))</f>
        <v>0</v>
      </c>
      <c r="AG72" s="187">
        <f>IF(AND(M72=""),IF(R72="20'",
VLOOKUP(AF72,Charge!$K$31:$M$34,2,TRUE)+(AF72-VLOOKUP(AF72,Charge!$K$31:$M$34,1,TRUE))*VLOOKUP(AF72,Charge!$K$31:$M$34,3,TRUE),
VLOOKUP(AF72,Charge!$N$31:$P$34,2,TRUE)+(AF72-VLOOKUP(AF72,Charge!$N$31:$P$34,1,TRUE))*VLOOKUP(AF72,Charge!$N$31:$P$34,3,TRUE)),
IF(AND(M72="DG"),IF(R72="20'",
VLOOKUP(AF72,Charge!$R$31:$T$34,2,TRUE)+(AF72-VLOOKUP(AF72,Charge!$R$31:$T$34,1,TRUE))*VLOOKUP(AF72,Charge!$R$31:$T$34,3,TRUE),
VLOOKUP(AF72,Charge!$U$31:$W$34,2,TRUE)+(AF72-VLOOKUP(AF72,Charge!$U$31:$W$34,1,TRUE))*VLOOKUP(AF72,Charge!$U$31:$W$34,3,TRUE)),0))</f>
        <v>0</v>
      </c>
      <c r="AH72" s="65" t="n"/>
      <c r="AI72" s="65">
        <f>AA72-AH72</f>
        <v>320</v>
      </c>
      <c r="AJ72" s="188" t="n"/>
      <c r="AK72" s="62" t="str">
        <f>VLOOKUP(D72,'2.Bookinglist'!A:CT,40,FALSE)</f>
        <v>Nguyen Xuan Toan</v>
      </c>
      <c r="AL72" s="60" t="str">
        <f>VLOOKUP(D72,'2.Bookinglist'!A:CW,101,FALSE)</f>
        <v>2026-10-15</v>
      </c>
      <c r="AM72" s="60" t="str">
        <f>VLOOKUP(D72,'2.Bookinglist'!A:BK,63,FALSE)</f>
        <v>BKK27</v>
      </c>
      <c r="AN72" s="62" t="str">
        <f>VLOOKUP(D72,'2.Bookinglist'!A:AZ,52,FALSE)</f>
        <v>Pickup : 2026-10-12, Return : 2026-10-12 (1ST RETURN 11/10/26)</v>
      </c>
      <c r="AO72" s="62">
        <f>VLOOKUP(D72,'2.Bookinglist'!A:CY,103,FALSE)</f>
        <v>0</v>
      </c>
    </row>
    <row r="73" ht="12.95" customHeight="1">
      <c r="A73" s="96" t="inlineStr">
        <is>
          <t>SKHU6462988</t>
        </is>
      </c>
      <c r="B73" s="184" t="str">
        <f>IF(C73=Charge!$M$1,Charge!$J$1,IF(C73=Charge!$M$23,Charge!$J$23,IF(C73=Charge!$M$17,Charge!$J$17,IF(C73=Charge!$N$17,Charge!$J$17,Charge!$J$7))))</f>
        <v>G3</v>
      </c>
      <c r="C73" s="61" t="str">
        <f>VLOOKUP(A73,'1.Loading'!A:R,14,FALSE)</f>
        <v>BKK01</v>
      </c>
      <c r="D73" s="61" t="str">
        <f>VLOOKUP(A73,'1.Loading'!A:R,17,FALSE)</f>
        <v>HASLS22260902182</v>
      </c>
      <c r="E73" s="62" t="str">
        <f>VLOOKUP(D73,'2.Bookinglist'!A:CT,27,FALSE)</f>
        <v>BIRLA CARBON (THAILAND) PUBLIC COMPANY LIMITED</v>
      </c>
      <c r="F73" s="62" t="str">
        <f>VLOOKUP(D73,'2.Bookinglist'!A:CT,28,FALSE)</f>
        <v>BIRLA CARBON (THAILAND) PUBLIC COMPANY LIMITED</v>
      </c>
      <c r="G73" s="60">
        <f>VLOOKUP(D73,'2.Bookinglist'!A:E,5,FALSE)</f>
        <v>0</v>
      </c>
      <c r="H73" s="61" t="str">
        <f>VLOOKUP(D73,'2.Bookinglist'!A:CT,15,FALSE)</f>
        <v>THBKK</v>
      </c>
      <c r="I73" s="61" t="str">
        <f>VLOOKUP(D73,'2.Bookinglist'!A:CT,19,FALSE)</f>
        <v>VNSGN</v>
      </c>
      <c r="J73" s="61">
        <f>VLOOKUP(D73,'2.Bookinglist'!A:CT,26,FALSE)</f>
        <v>0</v>
      </c>
      <c r="K73" s="61" t="str">
        <f>VLOOKUP(A73,'1.Loading'!A:R,5,FALSE)</f>
        <v>45GP</v>
      </c>
      <c r="L73" s="60" t="str">
        <f>VLOOKUP(D73,'2.Bookinglist'!A:CT,85,FALSE)</f>
        <v>CY/CY</v>
      </c>
      <c r="M73" s="60" t="str">
        <f>IF(VLOOKUP(D73,'2.Bookinglist'!A:CT,43,FALSE)=0,"","DG")</f>
        <v/>
      </c>
      <c r="N73" s="60" t="str">
        <f>IF(RIGHT(K73,2)="RE","RF","")</f>
        <v/>
      </c>
      <c r="O73" s="61" t="str">
        <f>VLOOKUP(A73,'1.Loading'!A:R,3,FALSE)</f>
        <v>SWIC</v>
      </c>
      <c r="P73" s="61" t="str">
        <f>VLOOKUP(A73,'1.Loading'!A:R,4,FALSE)</f>
        <v>2611N</v>
      </c>
      <c r="Q73" s="61" t="str">
        <f>VLOOKUP(D73,'2.Bookinglist'!A:CT,12,FALSE)</f>
        <v>KHS1</v>
      </c>
      <c r="R73" s="60" t="str">
        <f>IF(LEFT(K73,2)="22","20'","40'")</f>
        <v>40'</v>
      </c>
      <c r="S73" s="185" t="n"/>
      <c r="T73" s="61" t="str">
        <f>VLOOKUP(A73,'1.Loading'!A:R,2,FALSE)</f>
        <v>2026-10-16</v>
      </c>
      <c r="U73" s="63">
        <f>T73-S73</f>
        <v>46311</v>
      </c>
      <c r="V73" s="186" t="n"/>
      <c r="W73" s="61" t="str">
        <f>VLOOKUP(A73,'3.GateMove'!A:D,4,FALSE)</f>
        <v>2026-10-12</v>
      </c>
      <c r="X73" s="63">
        <f>((T73-W73)+1)</f>
        <v>5</v>
      </c>
      <c r="Y73" s="64">
        <f>IF(AND(OR(C73="BKK01",C73="BKK04"),L73="CFS/CY"),0,IF(M73="DG",1,IF(LEFT(C73,3)="LCH",7,IF(C73="BKK02",5,3))))</f>
        <v>3</v>
      </c>
      <c r="Z73" s="63">
        <f>IF(IF(AND(AC73="TML",AB73&gt;0),((T73-W73)+1)-AB73,((T73-W73)+1)-Y73)&gt;0,IF(AND(AC73="TML",AB73&gt;0),((T73-W73)+1)-AB73,((T73-W73)+1)-Y73),0)</f>
        <v>2</v>
      </c>
      <c r="AA73" s="187">
        <f>IF(AND(B73="G1",M73=""),IF(R73="20'",
VLOOKUP(Z73,Charge!$K$2:$M$5,2,TRUE)+(Z73-VLOOKUP(Z73,Charge!$K$2:$M$5,1,TRUE))*VLOOKUP(Z73,Charge!$K$2:$M$5,3,TRUE),
VLOOKUP(Z73,Charge!$N$2:$P$5,2,TRUE)+(Z73-VLOOKUP(Z73,Charge!$N$2:$P$5,1,TRUE))*VLOOKUP(Z73,Charge!$N$2:$P$5,3,TRUE)),
IF(AND(B73="G1",M73="DG"),IF(R73="20'",
VLOOKUP(Z73,Charge!$R$2:$T$5,2,TRUE)+(Z73-VLOOKUP(Z73,Charge!$R$2:$T$5,1,TRUE))*VLOOKUP(Z73,Charge!$R$2:$T$5,3,TRUE),
VLOOKUP(Z73,Charge!$U$2:$W$5,2,TRUE)+(Z73-VLOOKUP(Z73,Charge!$U$2:$W$5,1,TRUE))*VLOOKUP(Z73,Charge!$U$2:$W$5,3,TRUE)),
IF(AND(B73="G3",M73=""),IF(R73="20'",
VLOOKUP(Z73,Charge!$K$18:$M$21,2,TRUE)+(Z73-VLOOKUP(Z73,Charge!$K$18:$M$21,1,TRUE))*VLOOKUP(Z73,Charge!$K$18:$M$21,3,TRUE),
VLOOKUP(Z73,Charge!$N$18:$P$21,2,TRUE)+(Z73-VLOOKUP(Z73,Charge!$N$18:$P$21,1,TRUE))*VLOOKUP(Z73,Charge!$N$18:$P$21,3,TRUE)),
IF(AND(B73="G3",M73="DG"),IF(R73="20'",
VLOOKUP(Z73,Charge!$R$18:$T$21,2,TRUE)+(Z73-VLOOKUP(Z73,Charge!$R$18:$T$21,1,TRUE))*VLOOKUP(Z73,Charge!$R$18:$T$21,3,TRUE),
VLOOKUP(Z73,Charge!$U$18:$W$21,2,TRUE)+(Z73-VLOOKUP(Z73,Charge!$U$18:$W$21,1,TRUE))*VLOOKUP(Z73,Charge!$U$18:$W$21,3,TRUE)),
IF(AND(B73="G2",M73=""),IF(R73="20'",
VLOOKUP(Z73,Charge!$K$9:$M$12,2,TRUE)+(Z73-VLOOKUP(Z73,Charge!$K$9:$M$12,1,TRUE))*VLOOKUP(Z73,Charge!$K$9:$M$12,3,TRUE),
VLOOKUP(Z73,Charge!$N$9:$P$12,2,TRUE)+(Z73-VLOOKUP(Z73,Charge!$N$9:$P$12,1,TRUE))*VLOOKUP(Z73,Charge!$N$9:$P$12,3,TRUE)),
IF(AND(B73="G2",M73="DG"),IF(R73="20'",
VLOOKUP(Z73,Charge!$R$9:$T$12,2,TRUE)+(Z73-VLOOKUP(Z73,Charge!$R$9:$T$12,1,TRUE))*VLOOKUP(Z73,Charge!$R$9:$T$12,3,TRUE),
VLOOKUP(Z73,Charge!$U$9:$W$12,2,TRUE)+(Z73-VLOOKUP(Z73,Charge!$U$9:$W$12,1,TRUE))*VLOOKUP(Z73,Charge!$U$9:$W$12,3,TRUE)),IF(AND(B73="G4",M73=""),IF(R73="20'",Z73*Charge!$M$25,Z73*Charge!$P$25),IF(AND(B73="G4",M73="DG"),IF(R73="20'",Z73*Charge!$T$25,Z73*Charge!$W$25),0))))))))</f>
        <v>640</v>
      </c>
      <c r="AB73" s="184" t="n"/>
      <c r="AC73" s="184" t="n"/>
      <c r="AD73" s="60">
        <f>IF(M73="DG",3,IF(N73="RF",3,5))+IF(AND(LEFT(C73,3)="BKK",N73="RF",Q73="KTS"),1,0)+IF(Q73="KHS",1,0)</f>
        <v>5</v>
      </c>
      <c r="AE73" s="63">
        <f>(T73-V73)+1</f>
        <v>46312</v>
      </c>
      <c r="AF73" s="63">
        <f>IF(AB73&gt;IF((V73-W73)&gt;0,V73-W73,0),0,IF(AB73&lt;IF((V73-W73)&gt;0,V73-W73,0),IF((V73-W73)&gt;0,V73-W73,0)-AB73,IF((V73-W73)&gt;0,V73-W73,0)))</f>
        <v>0</v>
      </c>
      <c r="AG73" s="187">
        <f>IF(AND(M73=""),IF(R73="20'",
VLOOKUP(AF73,Charge!$K$31:$M$34,2,TRUE)+(AF73-VLOOKUP(AF73,Charge!$K$31:$M$34,1,TRUE))*VLOOKUP(AF73,Charge!$K$31:$M$34,3,TRUE),
VLOOKUP(AF73,Charge!$N$31:$P$34,2,TRUE)+(AF73-VLOOKUP(AF73,Charge!$N$31:$P$34,1,TRUE))*VLOOKUP(AF73,Charge!$N$31:$P$34,3,TRUE)),
IF(AND(M73="DG"),IF(R73="20'",
VLOOKUP(AF73,Charge!$R$31:$T$34,2,TRUE)+(AF73-VLOOKUP(AF73,Charge!$R$31:$T$34,1,TRUE))*VLOOKUP(AF73,Charge!$R$31:$T$34,3,TRUE),
VLOOKUP(AF73,Charge!$U$31:$W$34,2,TRUE)+(AF73-VLOOKUP(AF73,Charge!$U$31:$W$34,1,TRUE))*VLOOKUP(AF73,Charge!$U$31:$W$34,3,TRUE)),0))</f>
        <v>0</v>
      </c>
      <c r="AH73" s="65" t="n"/>
      <c r="AI73" s="65">
        <f>AA73-AH73</f>
        <v>640</v>
      </c>
      <c r="AJ73" s="188" t="n"/>
      <c r="AK73" s="62" t="str">
        <f>VLOOKUP(D73,'2.Bookinglist'!A:CT,40,FALSE)</f>
        <v>Dharaporn</v>
      </c>
      <c r="AL73" s="60" t="str">
        <f>VLOOKUP(D73,'2.Bookinglist'!A:CW,101,FALSE)</f>
        <v>2026-10-15</v>
      </c>
      <c r="AM73" s="60" t="str">
        <f>VLOOKUP(D73,'2.Bookinglist'!A:BK,63,FALSE)</f>
        <v>BKK27</v>
      </c>
      <c r="AN73" s="62" t="str">
        <f>VLOOKUP(D73,'2.Bookinglist'!A:AZ,52,FALSE)</f>
        <v>Pickup : 2026-10-10, Return : 2026-10-11
CLS TIME DD.13/10/2026 @ 23.59</v>
      </c>
      <c r="AO73" s="62">
        <f>VLOOKUP(D73,'2.Bookinglist'!A:CY,103,FALSE)</f>
        <v>0</v>
      </c>
    </row>
    <row r="74" ht="12.95" customHeight="1">
      <c r="A74" s="96" t="inlineStr">
        <is>
          <t>SKHU6514844</t>
        </is>
      </c>
      <c r="B74" s="184" t="str">
        <f>IF(C74=Charge!$M$1,Charge!$J$1,IF(C74=Charge!$M$23,Charge!$J$23,IF(C74=Charge!$M$17,Charge!$J$17,IF(C74=Charge!$N$17,Charge!$J$17,Charge!$J$7))))</f>
        <v>G3</v>
      </c>
      <c r="C74" s="61" t="str">
        <f>VLOOKUP(A74,'1.Loading'!A:R,14,FALSE)</f>
        <v>BKK01</v>
      </c>
      <c r="D74" s="61" t="str">
        <f>VLOOKUP(A74,'1.Loading'!A:R,17,FALSE)</f>
        <v>HASLS22260902182</v>
      </c>
      <c r="E74" s="62" t="str">
        <f>VLOOKUP(D74,'2.Bookinglist'!A:CT,27,FALSE)</f>
        <v>BIRLA CARBON (THAILAND) PUBLIC COMPANY LIMITED</v>
      </c>
      <c r="F74" s="62" t="str">
        <f>VLOOKUP(D74,'2.Bookinglist'!A:CT,28,FALSE)</f>
        <v>BIRLA CARBON (THAILAND) PUBLIC COMPANY LIMITED</v>
      </c>
      <c r="G74" s="60">
        <f>VLOOKUP(D74,'2.Bookinglist'!A:E,5,FALSE)</f>
        <v>0</v>
      </c>
      <c r="H74" s="61" t="str">
        <f>VLOOKUP(D74,'2.Bookinglist'!A:CT,15,FALSE)</f>
        <v>THBKK</v>
      </c>
      <c r="I74" s="61" t="str">
        <f>VLOOKUP(D74,'2.Bookinglist'!A:CT,19,FALSE)</f>
        <v>VNSGN</v>
      </c>
      <c r="J74" s="61">
        <f>VLOOKUP(D74,'2.Bookinglist'!A:CT,26,FALSE)</f>
        <v>0</v>
      </c>
      <c r="K74" s="61" t="str">
        <f>VLOOKUP(A74,'1.Loading'!A:R,5,FALSE)</f>
        <v>45GP</v>
      </c>
      <c r="L74" s="60" t="str">
        <f>VLOOKUP(D74,'2.Bookinglist'!A:CT,85,FALSE)</f>
        <v>CY/CY</v>
      </c>
      <c r="M74" s="60" t="str">
        <f>IF(VLOOKUP(D74,'2.Bookinglist'!A:CT,43,FALSE)=0,"","DG")</f>
        <v/>
      </c>
      <c r="N74" s="60" t="str">
        <f>IF(RIGHT(K74,2)="RE","RF","")</f>
        <v/>
      </c>
      <c r="O74" s="61" t="str">
        <f>VLOOKUP(A74,'1.Loading'!A:R,3,FALSE)</f>
        <v>SWIC</v>
      </c>
      <c r="P74" s="61" t="str">
        <f>VLOOKUP(A74,'1.Loading'!A:R,4,FALSE)</f>
        <v>2611N</v>
      </c>
      <c r="Q74" s="61" t="str">
        <f>VLOOKUP(D74,'2.Bookinglist'!A:CT,12,FALSE)</f>
        <v>KHS1</v>
      </c>
      <c r="R74" s="60" t="str">
        <f>IF(LEFT(K74,2)="22","20'","40'")</f>
        <v>40'</v>
      </c>
      <c r="S74" s="185" t="n"/>
      <c r="T74" s="61" t="str">
        <f>VLOOKUP(A74,'1.Loading'!A:R,2,FALSE)</f>
        <v>2026-10-16</v>
      </c>
      <c r="U74" s="63">
        <f>T74-S74</f>
        <v>46311</v>
      </c>
      <c r="V74" s="186" t="n"/>
      <c r="W74" s="61" t="str">
        <f>VLOOKUP(A74,'3.GateMove'!A:D,4,FALSE)</f>
        <v>2026-10-13</v>
      </c>
      <c r="X74" s="63">
        <f>((T74-W74)+1)</f>
        <v>4</v>
      </c>
      <c r="Y74" s="64">
        <f>IF(AND(OR(C74="BKK01",C74="BKK04"),L74="CFS/CY"),0,IF(M74="DG",1,IF(LEFT(C74,3)="LCH",7,IF(C74="BKK02",5,3))))</f>
        <v>3</v>
      </c>
      <c r="Z74" s="63">
        <f>IF(IF(AND(AC74="TML",AB74&gt;0),((T74-W74)+1)-AB74,((T74-W74)+1)-Y74)&gt;0,IF(AND(AC74="TML",AB74&gt;0),((T74-W74)+1)-AB74,((T74-W74)+1)-Y74),0)</f>
        <v>1</v>
      </c>
      <c r="AA74" s="187">
        <f>IF(AND(B74="G1",M74=""),IF(R74="20'",
VLOOKUP(Z74,Charge!$K$2:$M$5,2,TRUE)+(Z74-VLOOKUP(Z74,Charge!$K$2:$M$5,1,TRUE))*VLOOKUP(Z74,Charge!$K$2:$M$5,3,TRUE),
VLOOKUP(Z74,Charge!$N$2:$P$5,2,TRUE)+(Z74-VLOOKUP(Z74,Charge!$N$2:$P$5,1,TRUE))*VLOOKUP(Z74,Charge!$N$2:$P$5,3,TRUE)),
IF(AND(B74="G1",M74="DG"),IF(R74="20'",
VLOOKUP(Z74,Charge!$R$2:$T$5,2,TRUE)+(Z74-VLOOKUP(Z74,Charge!$R$2:$T$5,1,TRUE))*VLOOKUP(Z74,Charge!$R$2:$T$5,3,TRUE),
VLOOKUP(Z74,Charge!$U$2:$W$5,2,TRUE)+(Z74-VLOOKUP(Z74,Charge!$U$2:$W$5,1,TRUE))*VLOOKUP(Z74,Charge!$U$2:$W$5,3,TRUE)),
IF(AND(B74="G3",M74=""),IF(R74="20'",
VLOOKUP(Z74,Charge!$K$18:$M$21,2,TRUE)+(Z74-VLOOKUP(Z74,Charge!$K$18:$M$21,1,TRUE))*VLOOKUP(Z74,Charge!$K$18:$M$21,3,TRUE),
VLOOKUP(Z74,Charge!$N$18:$P$21,2,TRUE)+(Z74-VLOOKUP(Z74,Charge!$N$18:$P$21,1,TRUE))*VLOOKUP(Z74,Charge!$N$18:$P$21,3,TRUE)),
IF(AND(B74="G3",M74="DG"),IF(R74="20'",
VLOOKUP(Z74,Charge!$R$18:$T$21,2,TRUE)+(Z74-VLOOKUP(Z74,Charge!$R$18:$T$21,1,TRUE))*VLOOKUP(Z74,Charge!$R$18:$T$21,3,TRUE),
VLOOKUP(Z74,Charge!$U$18:$W$21,2,TRUE)+(Z74-VLOOKUP(Z74,Charge!$U$18:$W$21,1,TRUE))*VLOOKUP(Z74,Charge!$U$18:$W$21,3,TRUE)),
IF(AND(B74="G2",M74=""),IF(R74="20'",
VLOOKUP(Z74,Charge!$K$9:$M$12,2,TRUE)+(Z74-VLOOKUP(Z74,Charge!$K$9:$M$12,1,TRUE))*VLOOKUP(Z74,Charge!$K$9:$M$12,3,TRUE),
VLOOKUP(Z74,Charge!$N$9:$P$12,2,TRUE)+(Z74-VLOOKUP(Z74,Charge!$N$9:$P$12,1,TRUE))*VLOOKUP(Z74,Charge!$N$9:$P$12,3,TRUE)),
IF(AND(B74="G2",M74="DG"),IF(R74="20'",
VLOOKUP(Z74,Charge!$R$9:$T$12,2,TRUE)+(Z74-VLOOKUP(Z74,Charge!$R$9:$T$12,1,TRUE))*VLOOKUP(Z74,Charge!$R$9:$T$12,3,TRUE),
VLOOKUP(Z74,Charge!$U$9:$W$12,2,TRUE)+(Z74-VLOOKUP(Z74,Charge!$U$9:$W$12,1,TRUE))*VLOOKUP(Z74,Charge!$U$9:$W$12,3,TRUE)),IF(AND(B74="G4",M74=""),IF(R74="20'",Z74*Charge!$M$25,Z74*Charge!$P$25),IF(AND(B74="G4",M74="DG"),IF(R74="20'",Z74*Charge!$T$25,Z74*Charge!$W$25),0))))))))</f>
        <v>320</v>
      </c>
      <c r="AB74" s="184" t="n"/>
      <c r="AC74" s="184" t="n"/>
      <c r="AD74" s="60">
        <f>IF(M74="DG",3,IF(N74="RF",3,5))+IF(AND(LEFT(C74,3)="BKK",N74="RF",Q74="KTS"),1,0)+IF(Q74="KHS",1,0)</f>
        <v>5</v>
      </c>
      <c r="AE74" s="63">
        <f>(T74-V74)+1</f>
        <v>46312</v>
      </c>
      <c r="AF74" s="63">
        <f>IF(AB74&gt;IF((V74-W74)&gt;0,V74-W74,0),0,IF(AB74&lt;IF((V74-W74)&gt;0,V74-W74,0),IF((V74-W74)&gt;0,V74-W74,0)-AB74,IF((V74-W74)&gt;0,V74-W74,0)))</f>
        <v>0</v>
      </c>
      <c r="AG74" s="187">
        <f>IF(AND(M74=""),IF(R74="20'",
VLOOKUP(AF74,Charge!$K$31:$M$34,2,TRUE)+(AF74-VLOOKUP(AF74,Charge!$K$31:$M$34,1,TRUE))*VLOOKUP(AF74,Charge!$K$31:$M$34,3,TRUE),
VLOOKUP(AF74,Charge!$N$31:$P$34,2,TRUE)+(AF74-VLOOKUP(AF74,Charge!$N$31:$P$34,1,TRUE))*VLOOKUP(AF74,Charge!$N$31:$P$34,3,TRUE)),
IF(AND(M74="DG"),IF(R74="20'",
VLOOKUP(AF74,Charge!$R$31:$T$34,2,TRUE)+(AF74-VLOOKUP(AF74,Charge!$R$31:$T$34,1,TRUE))*VLOOKUP(AF74,Charge!$R$31:$T$34,3,TRUE),
VLOOKUP(AF74,Charge!$U$31:$W$34,2,TRUE)+(AF74-VLOOKUP(AF74,Charge!$U$31:$W$34,1,TRUE))*VLOOKUP(AF74,Charge!$U$31:$W$34,3,TRUE)),0))</f>
        <v>0</v>
      </c>
      <c r="AH74" s="65" t="n"/>
      <c r="AI74" s="65">
        <f>AA74-AH74</f>
        <v>320</v>
      </c>
      <c r="AJ74" s="188" t="n"/>
      <c r="AK74" s="62" t="str">
        <f>VLOOKUP(D74,'2.Bookinglist'!A:CT,40,FALSE)</f>
        <v>Dharaporn</v>
      </c>
      <c r="AL74" s="60" t="str">
        <f>VLOOKUP(D74,'2.Bookinglist'!A:CW,101,FALSE)</f>
        <v>2026-10-15</v>
      </c>
      <c r="AM74" s="60" t="str">
        <f>VLOOKUP(D74,'2.Bookinglist'!A:BK,63,FALSE)</f>
        <v>BKK27</v>
      </c>
      <c r="AN74" s="62" t="str">
        <f>VLOOKUP(D74,'2.Bookinglist'!A:AZ,52,FALSE)</f>
        <v>Pickup : 2026-10-10, Return : 2026-10-11
CLS TIME DD.13/10/2026 @ 23.59</v>
      </c>
      <c r="AO74" s="62">
        <f>VLOOKUP(D74,'2.Bookinglist'!A:CY,103,FALSE)</f>
        <v>0</v>
      </c>
    </row>
    <row r="75" ht="12.95" customHeight="1">
      <c r="A75" s="96" t="inlineStr">
        <is>
          <t>SKHU6515671</t>
        </is>
      </c>
      <c r="B75" s="184" t="str">
        <f>IF(C75=Charge!$M$1,Charge!$J$1,IF(C75=Charge!$M$23,Charge!$J$23,IF(C75=Charge!$M$17,Charge!$J$17,IF(C75=Charge!$N$17,Charge!$J$17,Charge!$J$7))))</f>
        <v>G3</v>
      </c>
      <c r="C75" s="61" t="str">
        <f>VLOOKUP(A75,'1.Loading'!A:R,14,FALSE)</f>
        <v>BKK01</v>
      </c>
      <c r="D75" s="61" t="str">
        <f>VLOOKUP(A75,'1.Loading'!A:R,17,FALSE)</f>
        <v>HASLS22261000692</v>
      </c>
      <c r="E75" s="62" t="str">
        <f>VLOOKUP(D75,'2.Bookinglist'!A:CT,27,FALSE)</f>
        <v>BIRLA CARBON (THAILAND) PUBLIC COMPANY LIMITED</v>
      </c>
      <c r="F75" s="62" t="str">
        <f>VLOOKUP(D75,'2.Bookinglist'!A:CT,28,FALSE)</f>
        <v>BIRLA CARBON (THAILAND) PUBLIC COMPANY LIMITED</v>
      </c>
      <c r="G75" s="60">
        <f>VLOOKUP(D75,'2.Bookinglist'!A:E,5,FALSE)</f>
        <v>0</v>
      </c>
      <c r="H75" s="61" t="str">
        <f>VLOOKUP(D75,'2.Bookinglist'!A:CT,15,FALSE)</f>
        <v>THBKK</v>
      </c>
      <c r="I75" s="61" t="str">
        <f>VLOOKUP(D75,'2.Bookinglist'!A:CT,19,FALSE)</f>
        <v>VNSGN</v>
      </c>
      <c r="J75" s="61">
        <f>VLOOKUP(D75,'2.Bookinglist'!A:CT,26,FALSE)</f>
        <v>0</v>
      </c>
      <c r="K75" s="61" t="str">
        <f>VLOOKUP(A75,'1.Loading'!A:R,5,FALSE)</f>
        <v>45GP</v>
      </c>
      <c r="L75" s="60" t="str">
        <f>VLOOKUP(D75,'2.Bookinglist'!A:CT,85,FALSE)</f>
        <v>CY/CY</v>
      </c>
      <c r="M75" s="60" t="str">
        <f>IF(VLOOKUP(D75,'2.Bookinglist'!A:CT,43,FALSE)=0,"","DG")</f>
        <v/>
      </c>
      <c r="N75" s="60" t="str">
        <f>IF(RIGHT(K75,2)="RE","RF","")</f>
        <v/>
      </c>
      <c r="O75" s="61" t="str">
        <f>VLOOKUP(A75,'1.Loading'!A:R,3,FALSE)</f>
        <v>SWIC</v>
      </c>
      <c r="P75" s="61" t="str">
        <f>VLOOKUP(A75,'1.Loading'!A:R,4,FALSE)</f>
        <v>2611N</v>
      </c>
      <c r="Q75" s="61" t="str">
        <f>VLOOKUP(D75,'2.Bookinglist'!A:CT,12,FALSE)</f>
        <v>KHS1</v>
      </c>
      <c r="R75" s="60" t="str">
        <f>IF(LEFT(K75,2)="22","20'","40'")</f>
        <v>40'</v>
      </c>
      <c r="S75" s="185" t="n"/>
      <c r="T75" s="61" t="str">
        <f>VLOOKUP(A75,'1.Loading'!A:R,2,FALSE)</f>
        <v>2026-10-16</v>
      </c>
      <c r="U75" s="63">
        <f>T75-S75</f>
        <v>46311</v>
      </c>
      <c r="V75" s="186" t="n"/>
      <c r="W75" s="61" t="str">
        <f>VLOOKUP(A75,'3.GateMove'!A:D,4,FALSE)</f>
        <v>2026-10-12</v>
      </c>
      <c r="X75" s="63">
        <f>((T75-W75)+1)</f>
        <v>5</v>
      </c>
      <c r="Y75" s="64">
        <f>IF(AND(OR(C75="BKK01",C75="BKK04"),L75="CFS/CY"),0,IF(M75="DG",1,IF(LEFT(C75,3)="LCH",7,IF(C75="BKK02",5,3))))</f>
        <v>3</v>
      </c>
      <c r="Z75" s="63">
        <f>IF(IF(AND(AC75="TML",AB75&gt;0),((T75-W75)+1)-AB75,((T75-W75)+1)-Y75)&gt;0,IF(AND(AC75="TML",AB75&gt;0),((T75-W75)+1)-AB75,((T75-W75)+1)-Y75),0)</f>
        <v>2</v>
      </c>
      <c r="AA75" s="187">
        <f>IF(AND(B75="G1",M75=""),IF(R75="20'",
VLOOKUP(Z75,Charge!$K$2:$M$5,2,TRUE)+(Z75-VLOOKUP(Z75,Charge!$K$2:$M$5,1,TRUE))*VLOOKUP(Z75,Charge!$K$2:$M$5,3,TRUE),
VLOOKUP(Z75,Charge!$N$2:$P$5,2,TRUE)+(Z75-VLOOKUP(Z75,Charge!$N$2:$P$5,1,TRUE))*VLOOKUP(Z75,Charge!$N$2:$P$5,3,TRUE)),
IF(AND(B75="G1",M75="DG"),IF(R75="20'",
VLOOKUP(Z75,Charge!$R$2:$T$5,2,TRUE)+(Z75-VLOOKUP(Z75,Charge!$R$2:$T$5,1,TRUE))*VLOOKUP(Z75,Charge!$R$2:$T$5,3,TRUE),
VLOOKUP(Z75,Charge!$U$2:$W$5,2,TRUE)+(Z75-VLOOKUP(Z75,Charge!$U$2:$W$5,1,TRUE))*VLOOKUP(Z75,Charge!$U$2:$W$5,3,TRUE)),
IF(AND(B75="G3",M75=""),IF(R75="20'",
VLOOKUP(Z75,Charge!$K$18:$M$21,2,TRUE)+(Z75-VLOOKUP(Z75,Charge!$K$18:$M$21,1,TRUE))*VLOOKUP(Z75,Charge!$K$18:$M$21,3,TRUE),
VLOOKUP(Z75,Charge!$N$18:$P$21,2,TRUE)+(Z75-VLOOKUP(Z75,Charge!$N$18:$P$21,1,TRUE))*VLOOKUP(Z75,Charge!$N$18:$P$21,3,TRUE)),
IF(AND(B75="G3",M75="DG"),IF(R75="20'",
VLOOKUP(Z75,Charge!$R$18:$T$21,2,TRUE)+(Z75-VLOOKUP(Z75,Charge!$R$18:$T$21,1,TRUE))*VLOOKUP(Z75,Charge!$R$18:$T$21,3,TRUE),
VLOOKUP(Z75,Charge!$U$18:$W$21,2,TRUE)+(Z75-VLOOKUP(Z75,Charge!$U$18:$W$21,1,TRUE))*VLOOKUP(Z75,Charge!$U$18:$W$21,3,TRUE)),
IF(AND(B75="G2",M75=""),IF(R75="20'",
VLOOKUP(Z75,Charge!$K$9:$M$12,2,TRUE)+(Z75-VLOOKUP(Z75,Charge!$K$9:$M$12,1,TRUE))*VLOOKUP(Z75,Charge!$K$9:$M$12,3,TRUE),
VLOOKUP(Z75,Charge!$N$9:$P$12,2,TRUE)+(Z75-VLOOKUP(Z75,Charge!$N$9:$P$12,1,TRUE))*VLOOKUP(Z75,Charge!$N$9:$P$12,3,TRUE)),
IF(AND(B75="G2",M75="DG"),IF(R75="20'",
VLOOKUP(Z75,Charge!$R$9:$T$12,2,TRUE)+(Z75-VLOOKUP(Z75,Charge!$R$9:$T$12,1,TRUE))*VLOOKUP(Z75,Charge!$R$9:$T$12,3,TRUE),
VLOOKUP(Z75,Charge!$U$9:$W$12,2,TRUE)+(Z75-VLOOKUP(Z75,Charge!$U$9:$W$12,1,TRUE))*VLOOKUP(Z75,Charge!$U$9:$W$12,3,TRUE)),IF(AND(B75="G4",M75=""),IF(R75="20'",Z75*Charge!$M$25,Z75*Charge!$P$25),IF(AND(B75="G4",M75="DG"),IF(R75="20'",Z75*Charge!$T$25,Z75*Charge!$W$25),0))))))))</f>
        <v>640</v>
      </c>
      <c r="AB75" s="184" t="n"/>
      <c r="AC75" s="184" t="n"/>
      <c r="AD75" s="60">
        <f>IF(M75="DG",3,IF(N75="RF",3,5))+IF(AND(LEFT(C75,3)="BKK",N75="RF",Q75="KTS"),1,0)+IF(Q75="KHS",1,0)</f>
        <v>5</v>
      </c>
      <c r="AE75" s="63">
        <f>(T75-V75)+1</f>
        <v>46312</v>
      </c>
      <c r="AF75" s="63">
        <f>IF(AB75&gt;IF((V75-W75)&gt;0,V75-W75,0),0,IF(AB75&lt;IF((V75-W75)&gt;0,V75-W75,0),IF((V75-W75)&gt;0,V75-W75,0)-AB75,IF((V75-W75)&gt;0,V75-W75,0)))</f>
        <v>0</v>
      </c>
      <c r="AG75" s="187">
        <f>IF(AND(M75=""),IF(R75="20'",
VLOOKUP(AF75,Charge!$K$31:$M$34,2,TRUE)+(AF75-VLOOKUP(AF75,Charge!$K$31:$M$34,1,TRUE))*VLOOKUP(AF75,Charge!$K$31:$M$34,3,TRUE),
VLOOKUP(AF75,Charge!$N$31:$P$34,2,TRUE)+(AF75-VLOOKUP(AF75,Charge!$N$31:$P$34,1,TRUE))*VLOOKUP(AF75,Charge!$N$31:$P$34,3,TRUE)),
IF(AND(M75="DG"),IF(R75="20'",
VLOOKUP(AF75,Charge!$R$31:$T$34,2,TRUE)+(AF75-VLOOKUP(AF75,Charge!$R$31:$T$34,1,TRUE))*VLOOKUP(AF75,Charge!$R$31:$T$34,3,TRUE),
VLOOKUP(AF75,Charge!$U$31:$W$34,2,TRUE)+(AF75-VLOOKUP(AF75,Charge!$U$31:$W$34,1,TRUE))*VLOOKUP(AF75,Charge!$U$31:$W$34,3,TRUE)),0))</f>
        <v>0</v>
      </c>
      <c r="AH75" s="65" t="n"/>
      <c r="AI75" s="65">
        <f>AA75-AH75</f>
        <v>640</v>
      </c>
      <c r="AJ75" s="188" t="n"/>
      <c r="AK75" s="62" t="str">
        <f>VLOOKUP(D75,'2.Bookinglist'!A:CT,40,FALSE)</f>
        <v>Dharaporn</v>
      </c>
      <c r="AL75" s="60" t="str">
        <f>VLOOKUP(D75,'2.Bookinglist'!A:CW,101,FALSE)</f>
        <v>2026-10-15</v>
      </c>
      <c r="AM75" s="60" t="str">
        <f>VLOOKUP(D75,'2.Bookinglist'!A:BK,63,FALSE)</f>
        <v>BKK27</v>
      </c>
      <c r="AN75" s="62" t="str">
        <f>VLOOKUP(D75,'2.Bookinglist'!A:AZ,52,FALSE)</f>
        <v>Pickup : 2026-10-10, Return : 2026-10-11 
CLS TIME DD.13/10/2026 @ 23.59
</v>
      </c>
      <c r="AO75" s="62">
        <f>VLOOKUP(D75,'2.Bookinglist'!A:CY,103,FALSE)</f>
        <v>0</v>
      </c>
    </row>
    <row r="76" ht="12.95" customHeight="1">
      <c r="A76" s="96" t="inlineStr">
        <is>
          <t>SKHU6521817</t>
        </is>
      </c>
      <c r="B76" s="184" t="str">
        <f>IF(C76=Charge!$M$1,Charge!$J$1,IF(C76=Charge!$M$23,Charge!$J$23,IF(C76=Charge!$M$17,Charge!$J$17,IF(C76=Charge!$N$17,Charge!$J$17,Charge!$J$7))))</f>
        <v>G3</v>
      </c>
      <c r="C76" s="61" t="str">
        <f>VLOOKUP(A76,'1.Loading'!A:R,14,FALSE)</f>
        <v>BKK01</v>
      </c>
      <c r="D76" s="61" t="str">
        <f>VLOOKUP(A76,'1.Loading'!A:R,17,FALSE)</f>
        <v>HASLS22260902097</v>
      </c>
      <c r="E76" s="62" t="str">
        <f>VLOOKUP(D76,'2.Bookinglist'!A:CT,27,FALSE)</f>
        <v>QUANTERM LOGISTICS (THAILAND) CO., LTD.</v>
      </c>
      <c r="F76" s="62" t="str">
        <f>VLOOKUP(D76,'2.Bookinglist'!A:CT,28,FALSE)</f>
        <v>QUANTERM LOGISTICS (THAILAND) CO., LTD.</v>
      </c>
      <c r="G76" s="60">
        <f>VLOOKUP(D76,'2.Bookinglist'!A:E,5,FALSE)</f>
        <v>0</v>
      </c>
      <c r="H76" s="61" t="str">
        <f>VLOOKUP(D76,'2.Bookinglist'!A:CT,15,FALSE)</f>
        <v>THBKK</v>
      </c>
      <c r="I76" s="61" t="str">
        <f>VLOOKUP(D76,'2.Bookinglist'!A:CT,19,FALSE)</f>
        <v>VNSGN</v>
      </c>
      <c r="J76" s="61">
        <f>VLOOKUP(D76,'2.Bookinglist'!A:CT,26,FALSE)</f>
        <v>0</v>
      </c>
      <c r="K76" s="61" t="str">
        <f>VLOOKUP(A76,'1.Loading'!A:R,5,FALSE)</f>
        <v>45GP</v>
      </c>
      <c r="L76" s="60" t="str">
        <f>VLOOKUP(D76,'2.Bookinglist'!A:CT,85,FALSE)</f>
        <v>CY/CY</v>
      </c>
      <c r="M76" s="60" t="str">
        <f>IF(VLOOKUP(D76,'2.Bookinglist'!A:CT,43,FALSE)=0,"","DG")</f>
        <v/>
      </c>
      <c r="N76" s="60" t="str">
        <f>IF(RIGHT(K76,2)="RE","RF","")</f>
        <v/>
      </c>
      <c r="O76" s="61" t="str">
        <f>VLOOKUP(A76,'1.Loading'!A:R,3,FALSE)</f>
        <v>SWIC</v>
      </c>
      <c r="P76" s="61" t="str">
        <f>VLOOKUP(A76,'1.Loading'!A:R,4,FALSE)</f>
        <v>2611N</v>
      </c>
      <c r="Q76" s="61" t="str">
        <f>VLOOKUP(D76,'2.Bookinglist'!A:CT,12,FALSE)</f>
        <v>KHS1</v>
      </c>
      <c r="R76" s="60" t="str">
        <f>IF(LEFT(K76,2)="22","20'","40'")</f>
        <v>40'</v>
      </c>
      <c r="S76" s="185" t="n"/>
      <c r="T76" s="61" t="str">
        <f>VLOOKUP(A76,'1.Loading'!A:R,2,FALSE)</f>
        <v>2026-10-16</v>
      </c>
      <c r="U76" s="63">
        <f>T76-S76</f>
        <v>46311</v>
      </c>
      <c r="V76" s="186" t="n"/>
      <c r="W76" s="61" t="str">
        <f>VLOOKUP(A76,'3.GateMove'!A:D,4,FALSE)</f>
        <v>2026-10-13</v>
      </c>
      <c r="X76" s="63">
        <f>((T76-W76)+1)</f>
        <v>4</v>
      </c>
      <c r="Y76" s="64">
        <f>IF(AND(OR(C76="BKK01",C76="BKK04"),L76="CFS/CY"),0,IF(M76="DG",1,IF(LEFT(C76,3)="LCH",7,IF(C76="BKK02",5,3))))</f>
        <v>3</v>
      </c>
      <c r="Z76" s="63">
        <f>IF(IF(AND(AC76="TML",AB76&gt;0),((T76-W76)+1)-AB76,((T76-W76)+1)-Y76)&gt;0,IF(AND(AC76="TML",AB76&gt;0),((T76-W76)+1)-AB76,((T76-W76)+1)-Y76),0)</f>
        <v>1</v>
      </c>
      <c r="AA76" s="187">
        <f>IF(AND(B76="G1",M76=""),IF(R76="20'",
VLOOKUP(Z76,Charge!$K$2:$M$5,2,TRUE)+(Z76-VLOOKUP(Z76,Charge!$K$2:$M$5,1,TRUE))*VLOOKUP(Z76,Charge!$K$2:$M$5,3,TRUE),
VLOOKUP(Z76,Charge!$N$2:$P$5,2,TRUE)+(Z76-VLOOKUP(Z76,Charge!$N$2:$P$5,1,TRUE))*VLOOKUP(Z76,Charge!$N$2:$P$5,3,TRUE)),
IF(AND(B76="G1",M76="DG"),IF(R76="20'",
VLOOKUP(Z76,Charge!$R$2:$T$5,2,TRUE)+(Z76-VLOOKUP(Z76,Charge!$R$2:$T$5,1,TRUE))*VLOOKUP(Z76,Charge!$R$2:$T$5,3,TRUE),
VLOOKUP(Z76,Charge!$U$2:$W$5,2,TRUE)+(Z76-VLOOKUP(Z76,Charge!$U$2:$W$5,1,TRUE))*VLOOKUP(Z76,Charge!$U$2:$W$5,3,TRUE)),
IF(AND(B76="G3",M76=""),IF(R76="20'",
VLOOKUP(Z76,Charge!$K$18:$M$21,2,TRUE)+(Z76-VLOOKUP(Z76,Charge!$K$18:$M$21,1,TRUE))*VLOOKUP(Z76,Charge!$K$18:$M$21,3,TRUE),
VLOOKUP(Z76,Charge!$N$18:$P$21,2,TRUE)+(Z76-VLOOKUP(Z76,Charge!$N$18:$P$21,1,TRUE))*VLOOKUP(Z76,Charge!$N$18:$P$21,3,TRUE)),
IF(AND(B76="G3",M76="DG"),IF(R76="20'",
VLOOKUP(Z76,Charge!$R$18:$T$21,2,TRUE)+(Z76-VLOOKUP(Z76,Charge!$R$18:$T$21,1,TRUE))*VLOOKUP(Z76,Charge!$R$18:$T$21,3,TRUE),
VLOOKUP(Z76,Charge!$U$18:$W$21,2,TRUE)+(Z76-VLOOKUP(Z76,Charge!$U$18:$W$21,1,TRUE))*VLOOKUP(Z76,Charge!$U$18:$W$21,3,TRUE)),
IF(AND(B76="G2",M76=""),IF(R76="20'",
VLOOKUP(Z76,Charge!$K$9:$M$12,2,TRUE)+(Z76-VLOOKUP(Z76,Charge!$K$9:$M$12,1,TRUE))*VLOOKUP(Z76,Charge!$K$9:$M$12,3,TRUE),
VLOOKUP(Z76,Charge!$N$9:$P$12,2,TRUE)+(Z76-VLOOKUP(Z76,Charge!$N$9:$P$12,1,TRUE))*VLOOKUP(Z76,Charge!$N$9:$P$12,3,TRUE)),
IF(AND(B76="G2",M76="DG"),IF(R76="20'",
VLOOKUP(Z76,Charge!$R$9:$T$12,2,TRUE)+(Z76-VLOOKUP(Z76,Charge!$R$9:$T$12,1,TRUE))*VLOOKUP(Z76,Charge!$R$9:$T$12,3,TRUE),
VLOOKUP(Z76,Charge!$U$9:$W$12,2,TRUE)+(Z76-VLOOKUP(Z76,Charge!$U$9:$W$12,1,TRUE))*VLOOKUP(Z76,Charge!$U$9:$W$12,3,TRUE)),IF(AND(B76="G4",M76=""),IF(R76="20'",Z76*Charge!$M$25,Z76*Charge!$P$25),IF(AND(B76="G4",M76="DG"),IF(R76="20'",Z76*Charge!$T$25,Z76*Charge!$W$25),0))))))))</f>
        <v>320</v>
      </c>
      <c r="AB76" s="184" t="n"/>
      <c r="AC76" s="184" t="n"/>
      <c r="AD76" s="60">
        <f>IF(M76="DG",3,IF(N76="RF",3,5))+IF(AND(LEFT(C76,3)="BKK",N76="RF",Q76="KTS"),1,0)+IF(Q76="KHS",1,0)</f>
        <v>5</v>
      </c>
      <c r="AE76" s="63">
        <f>(T76-V76)+1</f>
        <v>46312</v>
      </c>
      <c r="AF76" s="63">
        <f>IF(AB76&gt;IF((V76-W76)&gt;0,V76-W76,0),0,IF(AB76&lt;IF((V76-W76)&gt;0,V76-W76,0),IF((V76-W76)&gt;0,V76-W76,0)-AB76,IF((V76-W76)&gt;0,V76-W76,0)))</f>
        <v>0</v>
      </c>
      <c r="AG76" s="187">
        <f>IF(AND(M76=""),IF(R76="20'",
VLOOKUP(AF76,Charge!$K$31:$M$34,2,TRUE)+(AF76-VLOOKUP(AF76,Charge!$K$31:$M$34,1,TRUE))*VLOOKUP(AF76,Charge!$K$31:$M$34,3,TRUE),
VLOOKUP(AF76,Charge!$N$31:$P$34,2,TRUE)+(AF76-VLOOKUP(AF76,Charge!$N$31:$P$34,1,TRUE))*VLOOKUP(AF76,Charge!$N$31:$P$34,3,TRUE)),
IF(AND(M76="DG"),IF(R76="20'",
VLOOKUP(AF76,Charge!$R$31:$T$34,2,TRUE)+(AF76-VLOOKUP(AF76,Charge!$R$31:$T$34,1,TRUE))*VLOOKUP(AF76,Charge!$R$31:$T$34,3,TRUE),
VLOOKUP(AF76,Charge!$U$31:$W$34,2,TRUE)+(AF76-VLOOKUP(AF76,Charge!$U$31:$W$34,1,TRUE))*VLOOKUP(AF76,Charge!$U$31:$W$34,3,TRUE)),0))</f>
        <v>0</v>
      </c>
      <c r="AH76" s="65" t="n"/>
      <c r="AI76" s="65">
        <f>AA76-AH76</f>
        <v>320</v>
      </c>
      <c r="AJ76" s="188" t="n"/>
      <c r="AK76" s="62" t="str">
        <f>VLOOKUP(D76,'2.Bookinglist'!A:CT,40,FALSE)</f>
        <v>Papavadee Chiengchin</v>
      </c>
      <c r="AL76" s="60" t="str">
        <f>VLOOKUP(D76,'2.Bookinglist'!A:CW,101,FALSE)</f>
        <v>2026-10-15</v>
      </c>
      <c r="AM76" s="60" t="str">
        <f>VLOOKUP(D76,'2.Bookinglist'!A:BK,63,FALSE)</f>
        <v>BKK01</v>
      </c>
      <c r="AN76" s="62" t="str">
        <f>VLOOKUP(D76,'2.Bookinglist'!A:AZ,52,FALSE)</f>
        <v>Pickup : 2026-10-12, Return : 2026-10-12 CONSOL </v>
      </c>
      <c r="AO76" s="62">
        <f>VLOOKUP(D76,'2.Bookinglist'!A:CY,103,FALSE)</f>
        <v>0</v>
      </c>
    </row>
    <row r="77" ht="12.95" customHeight="1">
      <c r="A77" s="96" t="inlineStr">
        <is>
          <t>SKHU6532025</t>
        </is>
      </c>
      <c r="B77" s="184" t="str">
        <f>IF(C77=Charge!$M$1,Charge!$J$1,IF(C77=Charge!$M$23,Charge!$J$23,IF(C77=Charge!$M$17,Charge!$J$17,IF(C77=Charge!$N$17,Charge!$J$17,Charge!$J$7))))</f>
        <v>G3</v>
      </c>
      <c r="C77" s="61" t="str">
        <f>VLOOKUP(A77,'1.Loading'!A:R,14,FALSE)</f>
        <v>BKK01</v>
      </c>
      <c r="D77" s="61" t="str">
        <f>VLOOKUP(A77,'1.Loading'!A:R,17,FALSE)</f>
        <v>HASLS22260901687</v>
      </c>
      <c r="E77" s="62" t="str">
        <f>VLOOKUP(D77,'2.Bookinglist'!A:CT,27,FALSE)</f>
        <v>BIRLA CARBON (THAILAND) PUBLIC COMPANY LIMITED</v>
      </c>
      <c r="F77" s="62" t="str">
        <f>VLOOKUP(D77,'2.Bookinglist'!A:CT,28,FALSE)</f>
        <v>BIRLA CARBON (THAILAND) PUBLIC COMPANY LIMITED</v>
      </c>
      <c r="G77" s="60">
        <f>VLOOKUP(D77,'2.Bookinglist'!A:E,5,FALSE)</f>
        <v>0</v>
      </c>
      <c r="H77" s="61" t="str">
        <f>VLOOKUP(D77,'2.Bookinglist'!A:CT,15,FALSE)</f>
        <v>THBKK</v>
      </c>
      <c r="I77" s="61" t="str">
        <f>VLOOKUP(D77,'2.Bookinglist'!A:CT,19,FALSE)</f>
        <v>VNSGN</v>
      </c>
      <c r="J77" s="61">
        <f>VLOOKUP(D77,'2.Bookinglist'!A:CT,26,FALSE)</f>
        <v>0</v>
      </c>
      <c r="K77" s="61" t="str">
        <f>VLOOKUP(A77,'1.Loading'!A:R,5,FALSE)</f>
        <v>45GP</v>
      </c>
      <c r="L77" s="60" t="str">
        <f>VLOOKUP(D77,'2.Bookinglist'!A:CT,85,FALSE)</f>
        <v>CY/CY</v>
      </c>
      <c r="M77" s="60" t="str">
        <f>IF(VLOOKUP(D77,'2.Bookinglist'!A:CT,43,FALSE)=0,"","DG")</f>
        <v/>
      </c>
      <c r="N77" s="60" t="str">
        <f>IF(RIGHT(K77,2)="RE","RF","")</f>
        <v/>
      </c>
      <c r="O77" s="61" t="str">
        <f>VLOOKUP(A77,'1.Loading'!A:R,3,FALSE)</f>
        <v>SWIC</v>
      </c>
      <c r="P77" s="61" t="str">
        <f>VLOOKUP(A77,'1.Loading'!A:R,4,FALSE)</f>
        <v>2611N</v>
      </c>
      <c r="Q77" s="61" t="str">
        <f>VLOOKUP(D77,'2.Bookinglist'!A:CT,12,FALSE)</f>
        <v>KHS1</v>
      </c>
      <c r="R77" s="60" t="str">
        <f>IF(LEFT(K77,2)="22","20'","40'")</f>
        <v>40'</v>
      </c>
      <c r="S77" s="185" t="n"/>
      <c r="T77" s="61" t="str">
        <f>VLOOKUP(A77,'1.Loading'!A:R,2,FALSE)</f>
        <v>2026-10-16</v>
      </c>
      <c r="U77" s="63">
        <f>T77-S77</f>
        <v>46311</v>
      </c>
      <c r="V77" s="186" t="n"/>
      <c r="W77" s="61" t="str">
        <f>VLOOKUP(A77,'3.GateMove'!A:D,4,FALSE)</f>
        <v>2026-10-13</v>
      </c>
      <c r="X77" s="63">
        <f>((T77-W77)+1)</f>
        <v>4</v>
      </c>
      <c r="Y77" s="64">
        <f>IF(AND(OR(C77="BKK01",C77="BKK04"),L77="CFS/CY"),0,IF(M77="DG",1,IF(LEFT(C77,3)="LCH",7,IF(C77="BKK02",5,3))))</f>
        <v>3</v>
      </c>
      <c r="Z77" s="63">
        <f>IF(IF(AND(AC77="TML",AB77&gt;0),((T77-W77)+1)-AB77,((T77-W77)+1)-Y77)&gt;0,IF(AND(AC77="TML",AB77&gt;0),((T77-W77)+1)-AB77,((T77-W77)+1)-Y77),0)</f>
        <v>1</v>
      </c>
      <c r="AA77" s="187">
        <f>IF(AND(B77="G1",M77=""),IF(R77="20'",
VLOOKUP(Z77,Charge!$K$2:$M$5,2,TRUE)+(Z77-VLOOKUP(Z77,Charge!$K$2:$M$5,1,TRUE))*VLOOKUP(Z77,Charge!$K$2:$M$5,3,TRUE),
VLOOKUP(Z77,Charge!$N$2:$P$5,2,TRUE)+(Z77-VLOOKUP(Z77,Charge!$N$2:$P$5,1,TRUE))*VLOOKUP(Z77,Charge!$N$2:$P$5,3,TRUE)),
IF(AND(B77="G1",M77="DG"),IF(R77="20'",
VLOOKUP(Z77,Charge!$R$2:$T$5,2,TRUE)+(Z77-VLOOKUP(Z77,Charge!$R$2:$T$5,1,TRUE))*VLOOKUP(Z77,Charge!$R$2:$T$5,3,TRUE),
VLOOKUP(Z77,Charge!$U$2:$W$5,2,TRUE)+(Z77-VLOOKUP(Z77,Charge!$U$2:$W$5,1,TRUE))*VLOOKUP(Z77,Charge!$U$2:$W$5,3,TRUE)),
IF(AND(B77="G3",M77=""),IF(R77="20'",
VLOOKUP(Z77,Charge!$K$18:$M$21,2,TRUE)+(Z77-VLOOKUP(Z77,Charge!$K$18:$M$21,1,TRUE))*VLOOKUP(Z77,Charge!$K$18:$M$21,3,TRUE),
VLOOKUP(Z77,Charge!$N$18:$P$21,2,TRUE)+(Z77-VLOOKUP(Z77,Charge!$N$18:$P$21,1,TRUE))*VLOOKUP(Z77,Charge!$N$18:$P$21,3,TRUE)),
IF(AND(B77="G3",M77="DG"),IF(R77="20'",
VLOOKUP(Z77,Charge!$R$18:$T$21,2,TRUE)+(Z77-VLOOKUP(Z77,Charge!$R$18:$T$21,1,TRUE))*VLOOKUP(Z77,Charge!$R$18:$T$21,3,TRUE),
VLOOKUP(Z77,Charge!$U$18:$W$21,2,TRUE)+(Z77-VLOOKUP(Z77,Charge!$U$18:$W$21,1,TRUE))*VLOOKUP(Z77,Charge!$U$18:$W$21,3,TRUE)),
IF(AND(B77="G2",M77=""),IF(R77="20'",
VLOOKUP(Z77,Charge!$K$9:$M$12,2,TRUE)+(Z77-VLOOKUP(Z77,Charge!$K$9:$M$12,1,TRUE))*VLOOKUP(Z77,Charge!$K$9:$M$12,3,TRUE),
VLOOKUP(Z77,Charge!$N$9:$P$12,2,TRUE)+(Z77-VLOOKUP(Z77,Charge!$N$9:$P$12,1,TRUE))*VLOOKUP(Z77,Charge!$N$9:$P$12,3,TRUE)),
IF(AND(B77="G2",M77="DG"),IF(R77="20'",
VLOOKUP(Z77,Charge!$R$9:$T$12,2,TRUE)+(Z77-VLOOKUP(Z77,Charge!$R$9:$T$12,1,TRUE))*VLOOKUP(Z77,Charge!$R$9:$T$12,3,TRUE),
VLOOKUP(Z77,Charge!$U$9:$W$12,2,TRUE)+(Z77-VLOOKUP(Z77,Charge!$U$9:$W$12,1,TRUE))*VLOOKUP(Z77,Charge!$U$9:$W$12,3,TRUE)),IF(AND(B77="G4",M77=""),IF(R77="20'",Z77*Charge!$M$25,Z77*Charge!$P$25),IF(AND(B77="G4",M77="DG"),IF(R77="20'",Z77*Charge!$T$25,Z77*Charge!$W$25),0))))))))</f>
        <v>320</v>
      </c>
      <c r="AB77" s="184" t="n"/>
      <c r="AC77" s="184" t="n"/>
      <c r="AD77" s="60">
        <f>IF(M77="DG",3,IF(N77="RF",3,5))+IF(AND(LEFT(C77,3)="BKK",N77="RF",Q77="KTS"),1,0)+IF(Q77="KHS",1,0)</f>
        <v>5</v>
      </c>
      <c r="AE77" s="63">
        <f>(T77-V77)+1</f>
        <v>46312</v>
      </c>
      <c r="AF77" s="63">
        <f>IF(AB77&gt;IF((V77-W77)&gt;0,V77-W77,0),0,IF(AB77&lt;IF((V77-W77)&gt;0,V77-W77,0),IF((V77-W77)&gt;0,V77-W77,0)-AB77,IF((V77-W77)&gt;0,V77-W77,0)))</f>
        <v>0</v>
      </c>
      <c r="AG77" s="187">
        <f>IF(AND(M77=""),IF(R77="20'",
VLOOKUP(AF77,Charge!$K$31:$M$34,2,TRUE)+(AF77-VLOOKUP(AF77,Charge!$K$31:$M$34,1,TRUE))*VLOOKUP(AF77,Charge!$K$31:$M$34,3,TRUE),
VLOOKUP(AF77,Charge!$N$31:$P$34,2,TRUE)+(AF77-VLOOKUP(AF77,Charge!$N$31:$P$34,1,TRUE))*VLOOKUP(AF77,Charge!$N$31:$P$34,3,TRUE)),
IF(AND(M77="DG"),IF(R77="20'",
VLOOKUP(AF77,Charge!$R$31:$T$34,2,TRUE)+(AF77-VLOOKUP(AF77,Charge!$R$31:$T$34,1,TRUE))*VLOOKUP(AF77,Charge!$R$31:$T$34,3,TRUE),
VLOOKUP(AF77,Charge!$U$31:$W$34,2,TRUE)+(AF77-VLOOKUP(AF77,Charge!$U$31:$W$34,1,TRUE))*VLOOKUP(AF77,Charge!$U$31:$W$34,3,TRUE)),0))</f>
        <v>0</v>
      </c>
      <c r="AH77" s="65" t="n"/>
      <c r="AI77" s="65">
        <f>AA77-AH77</f>
        <v>320</v>
      </c>
      <c r="AJ77" s="188" t="n"/>
      <c r="AK77" s="62" t="str">
        <f>VLOOKUP(D77,'2.Bookinglist'!A:CT,40,FALSE)</f>
        <v>Dharaporn</v>
      </c>
      <c r="AL77" s="60" t="str">
        <f>VLOOKUP(D77,'2.Bookinglist'!A:CW,101,FALSE)</f>
        <v>2026-10-13</v>
      </c>
      <c r="AM77" s="60" t="str">
        <f>VLOOKUP(D77,'2.Bookinglist'!A:BK,63,FALSE)</f>
        <v>BKK27</v>
      </c>
      <c r="AN77" s="62" t="str">
        <f>VLOOKUP(D77,'2.Bookinglist'!A:AZ,52,FALSE)</f>
        <v>Pickup : 2026-10-08, Return : 2026-10-09
CLS TIME DD.13/10/2026 @ 23.59</v>
      </c>
      <c r="AO77" s="62">
        <f>VLOOKUP(D77,'2.Bookinglist'!A:CY,103,FALSE)</f>
        <v>0</v>
      </c>
    </row>
    <row r="78" ht="12.95" customHeight="1">
      <c r="A78" s="96" t="inlineStr">
        <is>
          <t>SKHU6536653</t>
        </is>
      </c>
      <c r="B78" s="184" t="str">
        <f>IF(C78=Charge!$M$1,Charge!$J$1,IF(C78=Charge!$M$23,Charge!$J$23,IF(C78=Charge!$M$17,Charge!$J$17,IF(C78=Charge!$N$17,Charge!$J$17,Charge!$J$7))))</f>
        <v>G3</v>
      </c>
      <c r="C78" s="61" t="str">
        <f>VLOOKUP(A78,'1.Loading'!A:R,14,FALSE)</f>
        <v>BKK01</v>
      </c>
      <c r="D78" s="61" t="str">
        <f>VLOOKUP(A78,'1.Loading'!A:R,17,FALSE)</f>
        <v>HASLS22260902383</v>
      </c>
      <c r="E78" s="62" t="str">
        <f>VLOOKUP(D78,'2.Bookinglist'!A:CT,27,FALSE)</f>
        <v>MARINE EXPRESS CO., LTD.</v>
      </c>
      <c r="F78" s="62" t="str">
        <f>VLOOKUP(D78,'2.Bookinglist'!A:CT,28,FALSE)</f>
        <v>R.J. LONDON CHEMICAL INDUSTRIES CO., LTD.</v>
      </c>
      <c r="G78" s="60">
        <f>VLOOKUP(D78,'2.Bookinglist'!A:E,5,FALSE)</f>
        <v>0</v>
      </c>
      <c r="H78" s="61" t="str">
        <f>VLOOKUP(D78,'2.Bookinglist'!A:CT,15,FALSE)</f>
        <v>THBKK</v>
      </c>
      <c r="I78" s="61" t="str">
        <f>VLOOKUP(D78,'2.Bookinglist'!A:CT,19,FALSE)</f>
        <v>VNSGN</v>
      </c>
      <c r="J78" s="61">
        <f>VLOOKUP(D78,'2.Bookinglist'!A:CT,26,FALSE)</f>
        <v>0</v>
      </c>
      <c r="K78" s="61" t="str">
        <f>VLOOKUP(A78,'1.Loading'!A:R,5,FALSE)</f>
        <v>45GP</v>
      </c>
      <c r="L78" s="60" t="str">
        <f>VLOOKUP(D78,'2.Bookinglist'!A:CT,85,FALSE)</f>
        <v>CY/CY</v>
      </c>
      <c r="M78" s="60" t="str">
        <f>IF(VLOOKUP(D78,'2.Bookinglist'!A:CT,43,FALSE)=0,"","DG")</f>
        <v/>
      </c>
      <c r="N78" s="60" t="str">
        <f>IF(RIGHT(K78,2)="RE","RF","")</f>
        <v/>
      </c>
      <c r="O78" s="61" t="str">
        <f>VLOOKUP(A78,'1.Loading'!A:R,3,FALSE)</f>
        <v>SWIC</v>
      </c>
      <c r="P78" s="61" t="str">
        <f>VLOOKUP(A78,'1.Loading'!A:R,4,FALSE)</f>
        <v>2611N</v>
      </c>
      <c r="Q78" s="61" t="str">
        <f>VLOOKUP(D78,'2.Bookinglist'!A:CT,12,FALSE)</f>
        <v>KHS1</v>
      </c>
      <c r="R78" s="60" t="str">
        <f>IF(LEFT(K78,2)="22","20'","40'")</f>
        <v>40'</v>
      </c>
      <c r="S78" s="185" t="n"/>
      <c r="T78" s="61" t="str">
        <f>VLOOKUP(A78,'1.Loading'!A:R,2,FALSE)</f>
        <v>2026-10-16</v>
      </c>
      <c r="U78" s="63">
        <f>T78-S78</f>
        <v>46311</v>
      </c>
      <c r="V78" s="186" t="n"/>
      <c r="W78" s="61" t="str">
        <f>VLOOKUP(A78,'3.GateMove'!A:D,4,FALSE)</f>
        <v>2026-10-12</v>
      </c>
      <c r="X78" s="63">
        <f>((T78-W78)+1)</f>
        <v>5</v>
      </c>
      <c r="Y78" s="64">
        <f>IF(AND(OR(C78="BKK01",C78="BKK04"),L78="CFS/CY"),0,IF(M78="DG",1,IF(LEFT(C78,3)="LCH",7,IF(C78="BKK02",5,3))))</f>
        <v>3</v>
      </c>
      <c r="Z78" s="63">
        <f>IF(IF(AND(AC78="TML",AB78&gt;0),((T78-W78)+1)-AB78,((T78-W78)+1)-Y78)&gt;0,IF(AND(AC78="TML",AB78&gt;0),((T78-W78)+1)-AB78,((T78-W78)+1)-Y78),0)</f>
        <v>2</v>
      </c>
      <c r="AA78" s="187">
        <f>IF(AND(B78="G1",M78=""),IF(R78="20'",
VLOOKUP(Z78,Charge!$K$2:$M$5,2,TRUE)+(Z78-VLOOKUP(Z78,Charge!$K$2:$M$5,1,TRUE))*VLOOKUP(Z78,Charge!$K$2:$M$5,3,TRUE),
VLOOKUP(Z78,Charge!$N$2:$P$5,2,TRUE)+(Z78-VLOOKUP(Z78,Charge!$N$2:$P$5,1,TRUE))*VLOOKUP(Z78,Charge!$N$2:$P$5,3,TRUE)),
IF(AND(B78="G1",M78="DG"),IF(R78="20'",
VLOOKUP(Z78,Charge!$R$2:$T$5,2,TRUE)+(Z78-VLOOKUP(Z78,Charge!$R$2:$T$5,1,TRUE))*VLOOKUP(Z78,Charge!$R$2:$T$5,3,TRUE),
VLOOKUP(Z78,Charge!$U$2:$W$5,2,TRUE)+(Z78-VLOOKUP(Z78,Charge!$U$2:$W$5,1,TRUE))*VLOOKUP(Z78,Charge!$U$2:$W$5,3,TRUE)),
IF(AND(B78="G3",M78=""),IF(R78="20'",
VLOOKUP(Z78,Charge!$K$18:$M$21,2,TRUE)+(Z78-VLOOKUP(Z78,Charge!$K$18:$M$21,1,TRUE))*VLOOKUP(Z78,Charge!$K$18:$M$21,3,TRUE),
VLOOKUP(Z78,Charge!$N$18:$P$21,2,TRUE)+(Z78-VLOOKUP(Z78,Charge!$N$18:$P$21,1,TRUE))*VLOOKUP(Z78,Charge!$N$18:$P$21,3,TRUE)),
IF(AND(B78="G3",M78="DG"),IF(R78="20'",
VLOOKUP(Z78,Charge!$R$18:$T$21,2,TRUE)+(Z78-VLOOKUP(Z78,Charge!$R$18:$T$21,1,TRUE))*VLOOKUP(Z78,Charge!$R$18:$T$21,3,TRUE),
VLOOKUP(Z78,Charge!$U$18:$W$21,2,TRUE)+(Z78-VLOOKUP(Z78,Charge!$U$18:$W$21,1,TRUE))*VLOOKUP(Z78,Charge!$U$18:$W$21,3,TRUE)),
IF(AND(B78="G2",M78=""),IF(R78="20'",
VLOOKUP(Z78,Charge!$K$9:$M$12,2,TRUE)+(Z78-VLOOKUP(Z78,Charge!$K$9:$M$12,1,TRUE))*VLOOKUP(Z78,Charge!$K$9:$M$12,3,TRUE),
VLOOKUP(Z78,Charge!$N$9:$P$12,2,TRUE)+(Z78-VLOOKUP(Z78,Charge!$N$9:$P$12,1,TRUE))*VLOOKUP(Z78,Charge!$N$9:$P$12,3,TRUE)),
IF(AND(B78="G2",M78="DG"),IF(R78="20'",
VLOOKUP(Z78,Charge!$R$9:$T$12,2,TRUE)+(Z78-VLOOKUP(Z78,Charge!$R$9:$T$12,1,TRUE))*VLOOKUP(Z78,Charge!$R$9:$T$12,3,TRUE),
VLOOKUP(Z78,Charge!$U$9:$W$12,2,TRUE)+(Z78-VLOOKUP(Z78,Charge!$U$9:$W$12,1,TRUE))*VLOOKUP(Z78,Charge!$U$9:$W$12,3,TRUE)),IF(AND(B78="G4",M78=""),IF(R78="20'",Z78*Charge!$M$25,Z78*Charge!$P$25),IF(AND(B78="G4",M78="DG"),IF(R78="20'",Z78*Charge!$T$25,Z78*Charge!$W$25),0))))))))</f>
        <v>640</v>
      </c>
      <c r="AB78" s="184" t="n"/>
      <c r="AC78" s="184" t="n"/>
      <c r="AD78" s="60">
        <f>IF(M78="DG",3,IF(N78="RF",3,5))+IF(AND(LEFT(C78,3)="BKK",N78="RF",Q78="KTS"),1,0)+IF(Q78="KHS",1,0)</f>
        <v>5</v>
      </c>
      <c r="AE78" s="63">
        <f>(T78-V78)+1</f>
        <v>46312</v>
      </c>
      <c r="AF78" s="63">
        <f>IF(AB78&gt;IF((V78-W78)&gt;0,V78-W78,0),0,IF(AB78&lt;IF((V78-W78)&gt;0,V78-W78,0),IF((V78-W78)&gt;0,V78-W78,0)-AB78,IF((V78-W78)&gt;0,V78-W78,0)))</f>
        <v>0</v>
      </c>
      <c r="AG78" s="187">
        <f>IF(AND(M78=""),IF(R78="20'",
VLOOKUP(AF78,Charge!$K$31:$M$34,2,TRUE)+(AF78-VLOOKUP(AF78,Charge!$K$31:$M$34,1,TRUE))*VLOOKUP(AF78,Charge!$K$31:$M$34,3,TRUE),
VLOOKUP(AF78,Charge!$N$31:$P$34,2,TRUE)+(AF78-VLOOKUP(AF78,Charge!$N$31:$P$34,1,TRUE))*VLOOKUP(AF78,Charge!$N$31:$P$34,3,TRUE)),
IF(AND(M78="DG"),IF(R78="20'",
VLOOKUP(AF78,Charge!$R$31:$T$34,2,TRUE)+(AF78-VLOOKUP(AF78,Charge!$R$31:$T$34,1,TRUE))*VLOOKUP(AF78,Charge!$R$31:$T$34,3,TRUE),
VLOOKUP(AF78,Charge!$U$31:$W$34,2,TRUE)+(AF78-VLOOKUP(AF78,Charge!$U$31:$W$34,1,TRUE))*VLOOKUP(AF78,Charge!$U$31:$W$34,3,TRUE)),0))</f>
        <v>0</v>
      </c>
      <c r="AH78" s="65" t="n"/>
      <c r="AI78" s="65">
        <f>AA78-AH78</f>
        <v>640</v>
      </c>
      <c r="AJ78" s="188" t="n"/>
      <c r="AK78" s="62" t="str">
        <f>VLOOKUP(D78,'2.Bookinglist'!A:CT,40,FALSE)</f>
        <v>Vilaiporn</v>
      </c>
      <c r="AL78" s="60" t="str">
        <f>VLOOKUP(D78,'2.Bookinglist'!A:CW,101,FALSE)</f>
        <v>2026-10-15</v>
      </c>
      <c r="AM78" s="60" t="str">
        <f>VLOOKUP(D78,'2.Bookinglist'!A:BK,63,FALSE)</f>
        <v>BKK27</v>
      </c>
      <c r="AN78" s="62" t="str">
        <f>VLOOKUP(D78,'2.Bookinglist'!A:AZ,52,FALSE)</f>
        <v>Pickup : 2026-10-09, Return : 2026-10-11</v>
      </c>
      <c r="AO78" s="62">
        <f>VLOOKUP(D78,'2.Bookinglist'!A:CY,103,FALSE)</f>
        <v>0</v>
      </c>
    </row>
    <row r="79" ht="12.95" customHeight="1">
      <c r="A79" s="96" t="inlineStr">
        <is>
          <t>SKHU6548567</t>
        </is>
      </c>
      <c r="B79" s="184" t="str">
        <f>IF(C79=Charge!$M$1,Charge!$J$1,IF(C79=Charge!$M$23,Charge!$J$23,IF(C79=Charge!$M$17,Charge!$J$17,IF(C79=Charge!$N$17,Charge!$J$17,Charge!$J$7))))</f>
        <v>G3</v>
      </c>
      <c r="C79" s="61" t="str">
        <f>VLOOKUP(A79,'1.Loading'!A:R,14,FALSE)</f>
        <v>BKK01</v>
      </c>
      <c r="D79" s="61" t="str">
        <f>VLOOKUP(A79,'1.Loading'!A:R,17,FALSE)</f>
        <v>HASLS22260902223</v>
      </c>
      <c r="E79" s="62" t="str">
        <f>VLOOKUP(D79,'2.Bookinglist'!A:CT,27,FALSE)</f>
        <v>CAPRICORN LOGISTICS CO., LTD.</v>
      </c>
      <c r="F79" s="62" t="str">
        <f>VLOOKUP(D79,'2.Bookinglist'!A:CT,28,FALSE)</f>
        <v>SWAN INDUSTRIES (THAILAND) LTD.</v>
      </c>
      <c r="G79" s="60">
        <f>VLOOKUP(D79,'2.Bookinglist'!A:E,5,FALSE)</f>
        <v>0</v>
      </c>
      <c r="H79" s="61" t="str">
        <f>VLOOKUP(D79,'2.Bookinglist'!A:CT,15,FALSE)</f>
        <v>THBKK</v>
      </c>
      <c r="I79" s="61" t="str">
        <f>VLOOKUP(D79,'2.Bookinglist'!A:CT,19,FALSE)</f>
        <v>VNSGN</v>
      </c>
      <c r="J79" s="61">
        <f>VLOOKUP(D79,'2.Bookinglist'!A:CT,26,FALSE)</f>
        <v>0</v>
      </c>
      <c r="K79" s="61" t="str">
        <f>VLOOKUP(A79,'1.Loading'!A:R,5,FALSE)</f>
        <v>45GP</v>
      </c>
      <c r="L79" s="60" t="str">
        <f>VLOOKUP(D79,'2.Bookinglist'!A:CT,85,FALSE)</f>
        <v>CY/CY</v>
      </c>
      <c r="M79" s="60" t="str">
        <f>IF(VLOOKUP(D79,'2.Bookinglist'!A:CT,43,FALSE)=0,"","DG")</f>
        <v/>
      </c>
      <c r="N79" s="60" t="str">
        <f>IF(RIGHT(K79,2)="RE","RF","")</f>
        <v/>
      </c>
      <c r="O79" s="61" t="str">
        <f>VLOOKUP(A79,'1.Loading'!A:R,3,FALSE)</f>
        <v>SWIC</v>
      </c>
      <c r="P79" s="61" t="str">
        <f>VLOOKUP(A79,'1.Loading'!A:R,4,FALSE)</f>
        <v>2611N</v>
      </c>
      <c r="Q79" s="61" t="str">
        <f>VLOOKUP(D79,'2.Bookinglist'!A:CT,12,FALSE)</f>
        <v>KHS1</v>
      </c>
      <c r="R79" s="60" t="str">
        <f>IF(LEFT(K79,2)="22","20'","40'")</f>
        <v>40'</v>
      </c>
      <c r="S79" s="185" t="n"/>
      <c r="T79" s="61" t="str">
        <f>VLOOKUP(A79,'1.Loading'!A:R,2,FALSE)</f>
        <v>2026-10-16</v>
      </c>
      <c r="U79" s="63">
        <f>T79-S79</f>
        <v>46311</v>
      </c>
      <c r="V79" s="186" t="n"/>
      <c r="W79" s="61" t="str">
        <f>VLOOKUP(A79,'3.GateMove'!A:D,4,FALSE)</f>
        <v>2026-10-13</v>
      </c>
      <c r="X79" s="63">
        <f>((T79-W79)+1)</f>
        <v>4</v>
      </c>
      <c r="Y79" s="64">
        <f>IF(AND(OR(C79="BKK01",C79="BKK04"),L79="CFS/CY"),0,IF(M79="DG",1,IF(LEFT(C79,3)="LCH",7,IF(C79="BKK02",5,3))))</f>
        <v>3</v>
      </c>
      <c r="Z79" s="63">
        <f>IF(IF(AND(AC79="TML",AB79&gt;0),((T79-W79)+1)-AB79,((T79-W79)+1)-Y79)&gt;0,IF(AND(AC79="TML",AB79&gt;0),((T79-W79)+1)-AB79,((T79-W79)+1)-Y79),0)</f>
        <v>1</v>
      </c>
      <c r="AA79" s="187">
        <f>IF(AND(B79="G1",M79=""),IF(R79="20'",
VLOOKUP(Z79,Charge!$K$2:$M$5,2,TRUE)+(Z79-VLOOKUP(Z79,Charge!$K$2:$M$5,1,TRUE))*VLOOKUP(Z79,Charge!$K$2:$M$5,3,TRUE),
VLOOKUP(Z79,Charge!$N$2:$P$5,2,TRUE)+(Z79-VLOOKUP(Z79,Charge!$N$2:$P$5,1,TRUE))*VLOOKUP(Z79,Charge!$N$2:$P$5,3,TRUE)),
IF(AND(B79="G1",M79="DG"),IF(R79="20'",
VLOOKUP(Z79,Charge!$R$2:$T$5,2,TRUE)+(Z79-VLOOKUP(Z79,Charge!$R$2:$T$5,1,TRUE))*VLOOKUP(Z79,Charge!$R$2:$T$5,3,TRUE),
VLOOKUP(Z79,Charge!$U$2:$W$5,2,TRUE)+(Z79-VLOOKUP(Z79,Charge!$U$2:$W$5,1,TRUE))*VLOOKUP(Z79,Charge!$U$2:$W$5,3,TRUE)),
IF(AND(B79="G3",M79=""),IF(R79="20'",
VLOOKUP(Z79,Charge!$K$18:$M$21,2,TRUE)+(Z79-VLOOKUP(Z79,Charge!$K$18:$M$21,1,TRUE))*VLOOKUP(Z79,Charge!$K$18:$M$21,3,TRUE),
VLOOKUP(Z79,Charge!$N$18:$P$21,2,TRUE)+(Z79-VLOOKUP(Z79,Charge!$N$18:$P$21,1,TRUE))*VLOOKUP(Z79,Charge!$N$18:$P$21,3,TRUE)),
IF(AND(B79="G3",M79="DG"),IF(R79="20'",
VLOOKUP(Z79,Charge!$R$18:$T$21,2,TRUE)+(Z79-VLOOKUP(Z79,Charge!$R$18:$T$21,1,TRUE))*VLOOKUP(Z79,Charge!$R$18:$T$21,3,TRUE),
VLOOKUP(Z79,Charge!$U$18:$W$21,2,TRUE)+(Z79-VLOOKUP(Z79,Charge!$U$18:$W$21,1,TRUE))*VLOOKUP(Z79,Charge!$U$18:$W$21,3,TRUE)),
IF(AND(B79="G2",M79=""),IF(R79="20'",
VLOOKUP(Z79,Charge!$K$9:$M$12,2,TRUE)+(Z79-VLOOKUP(Z79,Charge!$K$9:$M$12,1,TRUE))*VLOOKUP(Z79,Charge!$K$9:$M$12,3,TRUE),
VLOOKUP(Z79,Charge!$N$9:$P$12,2,TRUE)+(Z79-VLOOKUP(Z79,Charge!$N$9:$P$12,1,TRUE))*VLOOKUP(Z79,Charge!$N$9:$P$12,3,TRUE)),
IF(AND(B79="G2",M79="DG"),IF(R79="20'",
VLOOKUP(Z79,Charge!$R$9:$T$12,2,TRUE)+(Z79-VLOOKUP(Z79,Charge!$R$9:$T$12,1,TRUE))*VLOOKUP(Z79,Charge!$R$9:$T$12,3,TRUE),
VLOOKUP(Z79,Charge!$U$9:$W$12,2,TRUE)+(Z79-VLOOKUP(Z79,Charge!$U$9:$W$12,1,TRUE))*VLOOKUP(Z79,Charge!$U$9:$W$12,3,TRUE)),IF(AND(B79="G4",M79=""),IF(R79="20'",Z79*Charge!$M$25,Z79*Charge!$P$25),IF(AND(B79="G4",M79="DG"),IF(R79="20'",Z79*Charge!$T$25,Z79*Charge!$W$25),0))))))))</f>
        <v>320</v>
      </c>
      <c r="AB79" s="184" t="n"/>
      <c r="AC79" s="184" t="n"/>
      <c r="AD79" s="60">
        <f>IF(M79="DG",3,IF(N79="RF",3,5))+IF(AND(LEFT(C79,3)="BKK",N79="RF",Q79="KTS"),1,0)+IF(Q79="KHS",1,0)</f>
        <v>5</v>
      </c>
      <c r="AE79" s="63">
        <f>(T79-V79)+1</f>
        <v>46312</v>
      </c>
      <c r="AF79" s="63">
        <f>IF(AB79&gt;IF((V79-W79)&gt;0,V79-W79,0),0,IF(AB79&lt;IF((V79-W79)&gt;0,V79-W79,0),IF((V79-W79)&gt;0,V79-W79,0)-AB79,IF((V79-W79)&gt;0,V79-W79,0)))</f>
        <v>0</v>
      </c>
      <c r="AG79" s="187">
        <f>IF(AND(M79=""),IF(R79="20'",
VLOOKUP(AF79,Charge!$K$31:$M$34,2,TRUE)+(AF79-VLOOKUP(AF79,Charge!$K$31:$M$34,1,TRUE))*VLOOKUP(AF79,Charge!$K$31:$M$34,3,TRUE),
VLOOKUP(AF79,Charge!$N$31:$P$34,2,TRUE)+(AF79-VLOOKUP(AF79,Charge!$N$31:$P$34,1,TRUE))*VLOOKUP(AF79,Charge!$N$31:$P$34,3,TRUE)),
IF(AND(M79="DG"),IF(R79="20'",
VLOOKUP(AF79,Charge!$R$31:$T$34,2,TRUE)+(AF79-VLOOKUP(AF79,Charge!$R$31:$T$34,1,TRUE))*VLOOKUP(AF79,Charge!$R$31:$T$34,3,TRUE),
VLOOKUP(AF79,Charge!$U$31:$W$34,2,TRUE)+(AF79-VLOOKUP(AF79,Charge!$U$31:$W$34,1,TRUE))*VLOOKUP(AF79,Charge!$U$31:$W$34,3,TRUE)),0))</f>
        <v>0</v>
      </c>
      <c r="AH79" s="65" t="n"/>
      <c r="AI79" s="65">
        <f>AA79-AH79</f>
        <v>320</v>
      </c>
      <c r="AJ79" s="188" t="n"/>
      <c r="AK79" s="62" t="str">
        <f>VLOOKUP(D79,'2.Bookinglist'!A:CT,40,FALSE)</f>
        <v>Nguyen Xuan Toan</v>
      </c>
      <c r="AL79" s="60" t="str">
        <f>VLOOKUP(D79,'2.Bookinglist'!A:CW,101,FALSE)</f>
        <v>2026-10-15</v>
      </c>
      <c r="AM79" s="60" t="str">
        <f>VLOOKUP(D79,'2.Bookinglist'!A:BK,63,FALSE)</f>
        <v>BKK27</v>
      </c>
      <c r="AN79" s="62" t="str">
        <f>VLOOKUP(D79,'2.Bookinglist'!A:AZ,52,FALSE)</f>
        <v>Pickup : 2026-10-12, Return : 2026-10-12 (1ST RETURN 11/10/26)</v>
      </c>
      <c r="AO79" s="62">
        <f>VLOOKUP(D79,'2.Bookinglist'!A:CY,103,FALSE)</f>
        <v>0</v>
      </c>
    </row>
    <row r="80" ht="12.95" customHeight="1">
      <c r="A80" s="96" t="inlineStr">
        <is>
          <t>SKHU6567572</t>
        </is>
      </c>
      <c r="B80" s="184" t="str">
        <f>IF(C80=Charge!$M$1,Charge!$J$1,IF(C80=Charge!$M$23,Charge!$J$23,IF(C80=Charge!$M$17,Charge!$J$17,IF(C80=Charge!$N$17,Charge!$J$17,Charge!$J$7))))</f>
        <v>G3</v>
      </c>
      <c r="C80" s="61" t="str">
        <f>VLOOKUP(A80,'1.Loading'!A:R,14,FALSE)</f>
        <v>BKK01</v>
      </c>
      <c r="D80" s="61" t="str">
        <f>VLOOKUP(A80,'1.Loading'!A:R,17,FALSE)</f>
        <v>HASLS22260901611</v>
      </c>
      <c r="E80" s="62" t="str">
        <f>VLOOKUP(D80,'2.Bookinglist'!A:CT,27,FALSE)</f>
        <v>CNT STAR CO., LTD.</v>
      </c>
      <c r="F80" s="62" t="str">
        <f>VLOOKUP(D80,'2.Bookinglist'!A:CT,28,FALSE)</f>
        <v>SAWATPAIBOON AGRICULTURE CO., LTD</v>
      </c>
      <c r="G80" s="60">
        <f>VLOOKUP(D80,'2.Bookinglist'!A:E,5,FALSE)</f>
        <v>0</v>
      </c>
      <c r="H80" s="61" t="str">
        <f>VLOOKUP(D80,'2.Bookinglist'!A:CT,15,FALSE)</f>
        <v>THBKK</v>
      </c>
      <c r="I80" s="61" t="str">
        <f>VLOOKUP(D80,'2.Bookinglist'!A:CT,19,FALSE)</f>
        <v>KRKAN</v>
      </c>
      <c r="J80" s="61">
        <f>VLOOKUP(D80,'2.Bookinglist'!A:CT,26,FALSE)</f>
        <v>0</v>
      </c>
      <c r="K80" s="61" t="str">
        <f>VLOOKUP(A80,'1.Loading'!A:R,5,FALSE)</f>
        <v>45GP</v>
      </c>
      <c r="L80" s="60" t="str">
        <f>VLOOKUP(D80,'2.Bookinglist'!A:CT,85,FALSE)</f>
        <v>CY/CY</v>
      </c>
      <c r="M80" s="60" t="str">
        <f>IF(VLOOKUP(D80,'2.Bookinglist'!A:CT,43,FALSE)=0,"","DG")</f>
        <v/>
      </c>
      <c r="N80" s="60" t="str">
        <f>IF(RIGHT(K80,2)="RE","RF","")</f>
        <v/>
      </c>
      <c r="O80" s="61" t="str">
        <f>VLOOKUP(A80,'1.Loading'!A:R,3,FALSE)</f>
        <v>SWIC</v>
      </c>
      <c r="P80" s="61" t="str">
        <f>VLOOKUP(A80,'1.Loading'!A:R,4,FALSE)</f>
        <v>2611N</v>
      </c>
      <c r="Q80" s="61" t="str">
        <f>VLOOKUP(D80,'2.Bookinglist'!A:CT,12,FALSE)</f>
        <v>KHS1</v>
      </c>
      <c r="R80" s="60" t="str">
        <f>IF(LEFT(K80,2)="22","20'","40'")</f>
        <v>40'</v>
      </c>
      <c r="S80" s="185" t="n"/>
      <c r="T80" s="61" t="str">
        <f>VLOOKUP(A80,'1.Loading'!A:R,2,FALSE)</f>
        <v>2026-10-16</v>
      </c>
      <c r="U80" s="63">
        <f>T80-S80</f>
        <v>46311</v>
      </c>
      <c r="V80" s="186" t="n"/>
      <c r="W80" s="61" t="str">
        <f>VLOOKUP(A80,'3.GateMove'!A:D,4,FALSE)</f>
        <v>2026-10-11</v>
      </c>
      <c r="X80" s="63">
        <f>((T80-W80)+1)</f>
        <v>6</v>
      </c>
      <c r="Y80" s="64">
        <f>IF(AND(OR(C80="BKK01",C80="BKK04"),L80="CFS/CY"),0,IF(M80="DG",1,IF(LEFT(C80,3)="LCH",7,IF(C80="BKK02",5,3))))</f>
        <v>3</v>
      </c>
      <c r="Z80" s="63">
        <f>IF(IF(AND(AC80="TML",AB80&gt;0),((T80-W80)+1)-AB80,((T80-W80)+1)-Y80)&gt;0,IF(AND(AC80="TML",AB80&gt;0),((T80-W80)+1)-AB80,((T80-W80)+1)-Y80),0)</f>
        <v>3</v>
      </c>
      <c r="AA80" s="187">
        <f>IF(AND(B80="G1",M80=""),IF(R80="20'",
VLOOKUP(Z80,Charge!$K$2:$M$5,2,TRUE)+(Z80-VLOOKUP(Z80,Charge!$K$2:$M$5,1,TRUE))*VLOOKUP(Z80,Charge!$K$2:$M$5,3,TRUE),
VLOOKUP(Z80,Charge!$N$2:$P$5,2,TRUE)+(Z80-VLOOKUP(Z80,Charge!$N$2:$P$5,1,TRUE))*VLOOKUP(Z80,Charge!$N$2:$P$5,3,TRUE)),
IF(AND(B80="G1",M80="DG"),IF(R80="20'",
VLOOKUP(Z80,Charge!$R$2:$T$5,2,TRUE)+(Z80-VLOOKUP(Z80,Charge!$R$2:$T$5,1,TRUE))*VLOOKUP(Z80,Charge!$R$2:$T$5,3,TRUE),
VLOOKUP(Z80,Charge!$U$2:$W$5,2,TRUE)+(Z80-VLOOKUP(Z80,Charge!$U$2:$W$5,1,TRUE))*VLOOKUP(Z80,Charge!$U$2:$W$5,3,TRUE)),
IF(AND(B80="G3",M80=""),IF(R80="20'",
VLOOKUP(Z80,Charge!$K$18:$M$21,2,TRUE)+(Z80-VLOOKUP(Z80,Charge!$K$18:$M$21,1,TRUE))*VLOOKUP(Z80,Charge!$K$18:$M$21,3,TRUE),
VLOOKUP(Z80,Charge!$N$18:$P$21,2,TRUE)+(Z80-VLOOKUP(Z80,Charge!$N$18:$P$21,1,TRUE))*VLOOKUP(Z80,Charge!$N$18:$P$21,3,TRUE)),
IF(AND(B80="G3",M80="DG"),IF(R80="20'",
VLOOKUP(Z80,Charge!$R$18:$T$21,2,TRUE)+(Z80-VLOOKUP(Z80,Charge!$R$18:$T$21,1,TRUE))*VLOOKUP(Z80,Charge!$R$18:$T$21,3,TRUE),
VLOOKUP(Z80,Charge!$U$18:$W$21,2,TRUE)+(Z80-VLOOKUP(Z80,Charge!$U$18:$W$21,1,TRUE))*VLOOKUP(Z80,Charge!$U$18:$W$21,3,TRUE)),
IF(AND(B80="G2",M80=""),IF(R80="20'",
VLOOKUP(Z80,Charge!$K$9:$M$12,2,TRUE)+(Z80-VLOOKUP(Z80,Charge!$K$9:$M$12,1,TRUE))*VLOOKUP(Z80,Charge!$K$9:$M$12,3,TRUE),
VLOOKUP(Z80,Charge!$N$9:$P$12,2,TRUE)+(Z80-VLOOKUP(Z80,Charge!$N$9:$P$12,1,TRUE))*VLOOKUP(Z80,Charge!$N$9:$P$12,3,TRUE)),
IF(AND(B80="G2",M80="DG"),IF(R80="20'",
VLOOKUP(Z80,Charge!$R$9:$T$12,2,TRUE)+(Z80-VLOOKUP(Z80,Charge!$R$9:$T$12,1,TRUE))*VLOOKUP(Z80,Charge!$R$9:$T$12,3,TRUE),
VLOOKUP(Z80,Charge!$U$9:$W$12,2,TRUE)+(Z80-VLOOKUP(Z80,Charge!$U$9:$W$12,1,TRUE))*VLOOKUP(Z80,Charge!$U$9:$W$12,3,TRUE)),IF(AND(B80="G4",M80=""),IF(R80="20'",Z80*Charge!$M$25,Z80*Charge!$P$25),IF(AND(B80="G4",M80="DG"),IF(R80="20'",Z80*Charge!$T$25,Z80*Charge!$W$25),0))))))))</f>
        <v>960</v>
      </c>
      <c r="AB80" s="184" t="n"/>
      <c r="AC80" s="184" t="n"/>
      <c r="AD80" s="60">
        <f>IF(M80="DG",3,IF(N80="RF",3,5))+IF(AND(LEFT(C80,3)="BKK",N80="RF",Q80="KTS"),1,0)+IF(Q80="KHS",1,0)</f>
        <v>5</v>
      </c>
      <c r="AE80" s="63">
        <f>(T80-V80)+1</f>
        <v>46312</v>
      </c>
      <c r="AF80" s="63">
        <f>IF(AB80&gt;IF((V80-W80)&gt;0,V80-W80,0),0,IF(AB80&lt;IF((V80-W80)&gt;0,V80-W80,0),IF((V80-W80)&gt;0,V80-W80,0)-AB80,IF((V80-W80)&gt;0,V80-W80,0)))</f>
        <v>0</v>
      </c>
      <c r="AG80" s="187">
        <f>IF(AND(M80=""),IF(R80="20'",
VLOOKUP(AF80,Charge!$K$31:$M$34,2,TRUE)+(AF80-VLOOKUP(AF80,Charge!$K$31:$M$34,1,TRUE))*VLOOKUP(AF80,Charge!$K$31:$M$34,3,TRUE),
VLOOKUP(AF80,Charge!$N$31:$P$34,2,TRUE)+(AF80-VLOOKUP(AF80,Charge!$N$31:$P$34,1,TRUE))*VLOOKUP(AF80,Charge!$N$31:$P$34,3,TRUE)),
IF(AND(M80="DG"),IF(R80="20'",
VLOOKUP(AF80,Charge!$R$31:$T$34,2,TRUE)+(AF80-VLOOKUP(AF80,Charge!$R$31:$T$34,1,TRUE))*VLOOKUP(AF80,Charge!$R$31:$T$34,3,TRUE),
VLOOKUP(AF80,Charge!$U$31:$W$34,2,TRUE)+(AF80-VLOOKUP(AF80,Charge!$U$31:$W$34,1,TRUE))*VLOOKUP(AF80,Charge!$U$31:$W$34,3,TRUE)),0))</f>
        <v>0</v>
      </c>
      <c r="AH80" s="65" t="n"/>
      <c r="AI80" s="65">
        <f>AA80-AH80</f>
        <v>960</v>
      </c>
      <c r="AJ80" s="188" t="n"/>
      <c r="AK80" s="62" t="str">
        <f>VLOOKUP(D80,'2.Bookinglist'!A:CT,40,FALSE)</f>
        <v>Kanokporn</v>
      </c>
      <c r="AL80" s="60" t="str">
        <f>VLOOKUP(D80,'2.Bookinglist'!A:CW,101,FALSE)</f>
        <v>2026-10-15</v>
      </c>
      <c r="AM80" s="60" t="str">
        <f>VLOOKUP(D80,'2.Bookinglist'!A:BK,63,FALSE)</f>
        <v>BKK27</v>
      </c>
      <c r="AN80" s="62" t="str">
        <f>VLOOKUP(D80,'2.Bookinglist'!A:AZ,52,FALSE)</f>
        <v>CY-RTN : 10-11/10/2026</v>
      </c>
      <c r="AO80" s="62">
        <f>VLOOKUP(D80,'2.Bookinglist'!A:CY,103,FALSE)</f>
        <v>0</v>
      </c>
    </row>
    <row r="81" ht="12.95" customHeight="1">
      <c r="A81" s="96" t="inlineStr">
        <is>
          <t>SKHU6587331</t>
        </is>
      </c>
      <c r="B81" s="184" t="str">
        <f>IF(C81=Charge!$M$1,Charge!$J$1,IF(C81=Charge!$M$23,Charge!$J$23,IF(C81=Charge!$M$17,Charge!$J$17,IF(C81=Charge!$N$17,Charge!$J$17,Charge!$J$7))))</f>
        <v>G3</v>
      </c>
      <c r="C81" s="61" t="str">
        <f>VLOOKUP(A81,'1.Loading'!A:R,14,FALSE)</f>
        <v>BKK01</v>
      </c>
      <c r="D81" s="61" t="str">
        <f>VLOOKUP(A81,'1.Loading'!A:R,17,FALSE)</f>
        <v>HASLS22260900218</v>
      </c>
      <c r="E81" s="62" t="str">
        <f>VLOOKUP(D81,'2.Bookinglist'!A:CT,27,FALSE)</f>
        <v>HARPERS SEA FREIGHT CO., LTD.</v>
      </c>
      <c r="F81" s="62" t="str">
        <f>VLOOKUP(D81,'2.Bookinglist'!A:CT,28,FALSE)</f>
        <v>THAI ASAHI CO., LTD.</v>
      </c>
      <c r="G81" s="60">
        <f>VLOOKUP(D81,'2.Bookinglist'!A:E,5,FALSE)</f>
        <v>0</v>
      </c>
      <c r="H81" s="61" t="str">
        <f>VLOOKUP(D81,'2.Bookinglist'!A:CT,15,FALSE)</f>
        <v>THBKK</v>
      </c>
      <c r="I81" s="61" t="str">
        <f>VLOOKUP(D81,'2.Bookinglist'!A:CT,19,FALSE)</f>
        <v>KRPUS</v>
      </c>
      <c r="J81" s="61">
        <f>VLOOKUP(D81,'2.Bookinglist'!A:CT,26,FALSE)</f>
        <v>0</v>
      </c>
      <c r="K81" s="61" t="str">
        <f>VLOOKUP(A81,'1.Loading'!A:R,5,FALSE)</f>
        <v>45GP</v>
      </c>
      <c r="L81" s="60" t="str">
        <f>VLOOKUP(D81,'2.Bookinglist'!A:CT,85,FALSE)</f>
        <v>CY/CY</v>
      </c>
      <c r="M81" s="60" t="str">
        <f>IF(VLOOKUP(D81,'2.Bookinglist'!A:CT,43,FALSE)=0,"","DG")</f>
        <v/>
      </c>
      <c r="N81" s="60" t="str">
        <f>IF(RIGHT(K81,2)="RE","RF","")</f>
        <v/>
      </c>
      <c r="O81" s="61" t="str">
        <f>VLOOKUP(A81,'1.Loading'!A:R,3,FALSE)</f>
        <v>SWIC</v>
      </c>
      <c r="P81" s="61" t="str">
        <f>VLOOKUP(A81,'1.Loading'!A:R,4,FALSE)</f>
        <v>2611N</v>
      </c>
      <c r="Q81" s="61" t="str">
        <f>VLOOKUP(D81,'2.Bookinglist'!A:CT,12,FALSE)</f>
        <v>KHS1</v>
      </c>
      <c r="R81" s="60" t="str">
        <f>IF(LEFT(K81,2)="22","20'","40'")</f>
        <v>40'</v>
      </c>
      <c r="S81" s="185" t="n"/>
      <c r="T81" s="61" t="str">
        <f>VLOOKUP(A81,'1.Loading'!A:R,2,FALSE)</f>
        <v>2026-10-16</v>
      </c>
      <c r="U81" s="63">
        <f>T81-S81</f>
        <v>46311</v>
      </c>
      <c r="V81" s="186" t="n"/>
      <c r="W81" s="61" t="str">
        <f>VLOOKUP(A81,'3.GateMove'!A:D,4,FALSE)</f>
        <v>2026-10-11</v>
      </c>
      <c r="X81" s="63">
        <f>((T81-W81)+1)</f>
        <v>6</v>
      </c>
      <c r="Y81" s="64">
        <f>IF(AND(OR(C81="BKK01",C81="BKK04"),L81="CFS/CY"),0,IF(M81="DG",1,IF(LEFT(C81,3)="LCH",7,IF(C81="BKK02",5,3))))</f>
        <v>3</v>
      </c>
      <c r="Z81" s="63">
        <f>IF(IF(AND(AC81="TML",AB81&gt;0),((T81-W81)+1)-AB81,((T81-W81)+1)-Y81)&gt;0,IF(AND(AC81="TML",AB81&gt;0),((T81-W81)+1)-AB81,((T81-W81)+1)-Y81),0)</f>
        <v>3</v>
      </c>
      <c r="AA81" s="187">
        <f>IF(AND(B81="G1",M81=""),IF(R81="20'",
VLOOKUP(Z81,Charge!$K$2:$M$5,2,TRUE)+(Z81-VLOOKUP(Z81,Charge!$K$2:$M$5,1,TRUE))*VLOOKUP(Z81,Charge!$K$2:$M$5,3,TRUE),
VLOOKUP(Z81,Charge!$N$2:$P$5,2,TRUE)+(Z81-VLOOKUP(Z81,Charge!$N$2:$P$5,1,TRUE))*VLOOKUP(Z81,Charge!$N$2:$P$5,3,TRUE)),
IF(AND(B81="G1",M81="DG"),IF(R81="20'",
VLOOKUP(Z81,Charge!$R$2:$T$5,2,TRUE)+(Z81-VLOOKUP(Z81,Charge!$R$2:$T$5,1,TRUE))*VLOOKUP(Z81,Charge!$R$2:$T$5,3,TRUE),
VLOOKUP(Z81,Charge!$U$2:$W$5,2,TRUE)+(Z81-VLOOKUP(Z81,Charge!$U$2:$W$5,1,TRUE))*VLOOKUP(Z81,Charge!$U$2:$W$5,3,TRUE)),
IF(AND(B81="G3",M81=""),IF(R81="20'",
VLOOKUP(Z81,Charge!$K$18:$M$21,2,TRUE)+(Z81-VLOOKUP(Z81,Charge!$K$18:$M$21,1,TRUE))*VLOOKUP(Z81,Charge!$K$18:$M$21,3,TRUE),
VLOOKUP(Z81,Charge!$N$18:$P$21,2,TRUE)+(Z81-VLOOKUP(Z81,Charge!$N$18:$P$21,1,TRUE))*VLOOKUP(Z81,Charge!$N$18:$P$21,3,TRUE)),
IF(AND(B81="G3",M81="DG"),IF(R81="20'",
VLOOKUP(Z81,Charge!$R$18:$T$21,2,TRUE)+(Z81-VLOOKUP(Z81,Charge!$R$18:$T$21,1,TRUE))*VLOOKUP(Z81,Charge!$R$18:$T$21,3,TRUE),
VLOOKUP(Z81,Charge!$U$18:$W$21,2,TRUE)+(Z81-VLOOKUP(Z81,Charge!$U$18:$W$21,1,TRUE))*VLOOKUP(Z81,Charge!$U$18:$W$21,3,TRUE)),
IF(AND(B81="G2",M81=""),IF(R81="20'",
VLOOKUP(Z81,Charge!$K$9:$M$12,2,TRUE)+(Z81-VLOOKUP(Z81,Charge!$K$9:$M$12,1,TRUE))*VLOOKUP(Z81,Charge!$K$9:$M$12,3,TRUE),
VLOOKUP(Z81,Charge!$N$9:$P$12,2,TRUE)+(Z81-VLOOKUP(Z81,Charge!$N$9:$P$12,1,TRUE))*VLOOKUP(Z81,Charge!$N$9:$P$12,3,TRUE)),
IF(AND(B81="G2",M81="DG"),IF(R81="20'",
VLOOKUP(Z81,Charge!$R$9:$T$12,2,TRUE)+(Z81-VLOOKUP(Z81,Charge!$R$9:$T$12,1,TRUE))*VLOOKUP(Z81,Charge!$R$9:$T$12,3,TRUE),
VLOOKUP(Z81,Charge!$U$9:$W$12,2,TRUE)+(Z81-VLOOKUP(Z81,Charge!$U$9:$W$12,1,TRUE))*VLOOKUP(Z81,Charge!$U$9:$W$12,3,TRUE)),IF(AND(B81="G4",M81=""),IF(R81="20'",Z81*Charge!$M$25,Z81*Charge!$P$25),IF(AND(B81="G4",M81="DG"),IF(R81="20'",Z81*Charge!$T$25,Z81*Charge!$W$25),0))))))))</f>
        <v>960</v>
      </c>
      <c r="AB81" s="184" t="n"/>
      <c r="AC81" s="184" t="n"/>
      <c r="AD81" s="60">
        <f>IF(M81="DG",3,IF(N81="RF",3,5))+IF(AND(LEFT(C81,3)="BKK",N81="RF",Q81="KTS"),1,0)+IF(Q81="KHS",1,0)</f>
        <v>5</v>
      </c>
      <c r="AE81" s="63">
        <f>(T81-V81)+1</f>
        <v>46312</v>
      </c>
      <c r="AF81" s="63">
        <f>IF(AB81&gt;IF((V81-W81)&gt;0,V81-W81,0),0,IF(AB81&lt;IF((V81-W81)&gt;0,V81-W81,0),IF((V81-W81)&gt;0,V81-W81,0)-AB81,IF((V81-W81)&gt;0,V81-W81,0)))</f>
        <v>0</v>
      </c>
      <c r="AG81" s="187">
        <f>IF(AND(M81=""),IF(R81="20'",
VLOOKUP(AF81,Charge!$K$31:$M$34,2,TRUE)+(AF81-VLOOKUP(AF81,Charge!$K$31:$M$34,1,TRUE))*VLOOKUP(AF81,Charge!$K$31:$M$34,3,TRUE),
VLOOKUP(AF81,Charge!$N$31:$P$34,2,TRUE)+(AF81-VLOOKUP(AF81,Charge!$N$31:$P$34,1,TRUE))*VLOOKUP(AF81,Charge!$N$31:$P$34,3,TRUE)),
IF(AND(M81="DG"),IF(R81="20'",
VLOOKUP(AF81,Charge!$R$31:$T$34,2,TRUE)+(AF81-VLOOKUP(AF81,Charge!$R$31:$T$34,1,TRUE))*VLOOKUP(AF81,Charge!$R$31:$T$34,3,TRUE),
VLOOKUP(AF81,Charge!$U$31:$W$34,2,TRUE)+(AF81-VLOOKUP(AF81,Charge!$U$31:$W$34,1,TRUE))*VLOOKUP(AF81,Charge!$U$31:$W$34,3,TRUE)),0))</f>
        <v>0</v>
      </c>
      <c r="AH81" s="65" t="n"/>
      <c r="AI81" s="65">
        <f>AA81-AH81</f>
        <v>960</v>
      </c>
      <c r="AJ81" s="188" t="n"/>
      <c r="AK81" s="62" t="str">
        <f>VLOOKUP(D81,'2.Bookinglist'!A:CT,40,FALSE)</f>
        <v>Nustsireerach</v>
      </c>
      <c r="AL81" s="60" t="str">
        <f>VLOOKUP(D81,'2.Bookinglist'!A:CW,101,FALSE)</f>
        <v>2026-10-14</v>
      </c>
      <c r="AM81" s="60" t="str">
        <f>VLOOKUP(D81,'2.Bookinglist'!A:BK,63,FALSE)</f>
        <v>BKK27</v>
      </c>
      <c r="AN81" s="62" t="str">
        <f>VLOOKUP(D81,'2.Bookinglist'!A:AZ,52,FALSE)</f>
        <v>Pickup : 2026-10-03, Return : 2026-10-10</v>
      </c>
      <c r="AO81" s="62">
        <f>VLOOKUP(D81,'2.Bookinglist'!A:CY,103,FALSE)</f>
        <v>0</v>
      </c>
    </row>
    <row r="82" ht="12.95" customHeight="1">
      <c r="A82" s="96" t="inlineStr">
        <is>
          <t>SKHU6591218</t>
        </is>
      </c>
      <c r="B82" s="184" t="str">
        <f>IF(C82=Charge!$M$1,Charge!$J$1,IF(C82=Charge!$M$23,Charge!$J$23,IF(C82=Charge!$M$17,Charge!$J$17,IF(C82=Charge!$N$17,Charge!$J$17,Charge!$J$7))))</f>
        <v>G3</v>
      </c>
      <c r="C82" s="61" t="str">
        <f>VLOOKUP(A82,'1.Loading'!A:R,14,FALSE)</f>
        <v>BKK01</v>
      </c>
      <c r="D82" s="61" t="str">
        <f>VLOOKUP(A82,'1.Loading'!A:R,17,FALSE)</f>
        <v>HASLS22261000692</v>
      </c>
      <c r="E82" s="62" t="str">
        <f>VLOOKUP(D82,'2.Bookinglist'!A:CT,27,FALSE)</f>
        <v>BIRLA CARBON (THAILAND) PUBLIC COMPANY LIMITED</v>
      </c>
      <c r="F82" s="62" t="str">
        <f>VLOOKUP(D82,'2.Bookinglist'!A:CT,28,FALSE)</f>
        <v>BIRLA CARBON (THAILAND) PUBLIC COMPANY LIMITED</v>
      </c>
      <c r="G82" s="60">
        <f>VLOOKUP(D82,'2.Bookinglist'!A:E,5,FALSE)</f>
        <v>0</v>
      </c>
      <c r="H82" s="61" t="str">
        <f>VLOOKUP(D82,'2.Bookinglist'!A:CT,15,FALSE)</f>
        <v>THBKK</v>
      </c>
      <c r="I82" s="61" t="str">
        <f>VLOOKUP(D82,'2.Bookinglist'!A:CT,19,FALSE)</f>
        <v>VNSGN</v>
      </c>
      <c r="J82" s="61">
        <f>VLOOKUP(D82,'2.Bookinglist'!A:CT,26,FALSE)</f>
        <v>0</v>
      </c>
      <c r="K82" s="61" t="str">
        <f>VLOOKUP(A82,'1.Loading'!A:R,5,FALSE)</f>
        <v>45GP</v>
      </c>
      <c r="L82" s="60" t="str">
        <f>VLOOKUP(D82,'2.Bookinglist'!A:CT,85,FALSE)</f>
        <v>CY/CY</v>
      </c>
      <c r="M82" s="60" t="str">
        <f>IF(VLOOKUP(D82,'2.Bookinglist'!A:CT,43,FALSE)=0,"","DG")</f>
        <v/>
      </c>
      <c r="N82" s="60" t="str">
        <f>IF(RIGHT(K82,2)="RE","RF","")</f>
        <v/>
      </c>
      <c r="O82" s="61" t="str">
        <f>VLOOKUP(A82,'1.Loading'!A:R,3,FALSE)</f>
        <v>SWIC</v>
      </c>
      <c r="P82" s="61" t="str">
        <f>VLOOKUP(A82,'1.Loading'!A:R,4,FALSE)</f>
        <v>2611N</v>
      </c>
      <c r="Q82" s="61" t="str">
        <f>VLOOKUP(D82,'2.Bookinglist'!A:CT,12,FALSE)</f>
        <v>KHS1</v>
      </c>
      <c r="R82" s="60" t="str">
        <f>IF(LEFT(K82,2)="22","20'","40'")</f>
        <v>40'</v>
      </c>
      <c r="S82" s="185" t="n"/>
      <c r="T82" s="61" t="str">
        <f>VLOOKUP(A82,'1.Loading'!A:R,2,FALSE)</f>
        <v>2026-10-16</v>
      </c>
      <c r="U82" s="63">
        <f>T82-S82</f>
        <v>46311</v>
      </c>
      <c r="V82" s="186" t="n"/>
      <c r="W82" s="61" t="str">
        <f>VLOOKUP(A82,'3.GateMove'!A:D,4,FALSE)</f>
        <v>2026-10-13</v>
      </c>
      <c r="X82" s="63">
        <f>((T82-W82)+1)</f>
        <v>4</v>
      </c>
      <c r="Y82" s="64">
        <f>IF(AND(OR(C82="BKK01",C82="BKK04"),L82="CFS/CY"),0,IF(M82="DG",1,IF(LEFT(C82,3)="LCH",7,IF(C82="BKK02",5,3))))</f>
        <v>3</v>
      </c>
      <c r="Z82" s="63">
        <f>IF(IF(AND(AC82="TML",AB82&gt;0),((T82-W82)+1)-AB82,((T82-W82)+1)-Y82)&gt;0,IF(AND(AC82="TML",AB82&gt;0),((T82-W82)+1)-AB82,((T82-W82)+1)-Y82),0)</f>
        <v>1</v>
      </c>
      <c r="AA82" s="187">
        <f>IF(AND(B82="G1",M82=""),IF(R82="20'",
VLOOKUP(Z82,Charge!$K$2:$M$5,2,TRUE)+(Z82-VLOOKUP(Z82,Charge!$K$2:$M$5,1,TRUE))*VLOOKUP(Z82,Charge!$K$2:$M$5,3,TRUE),
VLOOKUP(Z82,Charge!$N$2:$P$5,2,TRUE)+(Z82-VLOOKUP(Z82,Charge!$N$2:$P$5,1,TRUE))*VLOOKUP(Z82,Charge!$N$2:$P$5,3,TRUE)),
IF(AND(B82="G1",M82="DG"),IF(R82="20'",
VLOOKUP(Z82,Charge!$R$2:$T$5,2,TRUE)+(Z82-VLOOKUP(Z82,Charge!$R$2:$T$5,1,TRUE))*VLOOKUP(Z82,Charge!$R$2:$T$5,3,TRUE),
VLOOKUP(Z82,Charge!$U$2:$W$5,2,TRUE)+(Z82-VLOOKUP(Z82,Charge!$U$2:$W$5,1,TRUE))*VLOOKUP(Z82,Charge!$U$2:$W$5,3,TRUE)),
IF(AND(B82="G3",M82=""),IF(R82="20'",
VLOOKUP(Z82,Charge!$K$18:$M$21,2,TRUE)+(Z82-VLOOKUP(Z82,Charge!$K$18:$M$21,1,TRUE))*VLOOKUP(Z82,Charge!$K$18:$M$21,3,TRUE),
VLOOKUP(Z82,Charge!$N$18:$P$21,2,TRUE)+(Z82-VLOOKUP(Z82,Charge!$N$18:$P$21,1,TRUE))*VLOOKUP(Z82,Charge!$N$18:$P$21,3,TRUE)),
IF(AND(B82="G3",M82="DG"),IF(R82="20'",
VLOOKUP(Z82,Charge!$R$18:$T$21,2,TRUE)+(Z82-VLOOKUP(Z82,Charge!$R$18:$T$21,1,TRUE))*VLOOKUP(Z82,Charge!$R$18:$T$21,3,TRUE),
VLOOKUP(Z82,Charge!$U$18:$W$21,2,TRUE)+(Z82-VLOOKUP(Z82,Charge!$U$18:$W$21,1,TRUE))*VLOOKUP(Z82,Charge!$U$18:$W$21,3,TRUE)),
IF(AND(B82="G2",M82=""),IF(R82="20'",
VLOOKUP(Z82,Charge!$K$9:$M$12,2,TRUE)+(Z82-VLOOKUP(Z82,Charge!$K$9:$M$12,1,TRUE))*VLOOKUP(Z82,Charge!$K$9:$M$12,3,TRUE),
VLOOKUP(Z82,Charge!$N$9:$P$12,2,TRUE)+(Z82-VLOOKUP(Z82,Charge!$N$9:$P$12,1,TRUE))*VLOOKUP(Z82,Charge!$N$9:$P$12,3,TRUE)),
IF(AND(B82="G2",M82="DG"),IF(R82="20'",
VLOOKUP(Z82,Charge!$R$9:$T$12,2,TRUE)+(Z82-VLOOKUP(Z82,Charge!$R$9:$T$12,1,TRUE))*VLOOKUP(Z82,Charge!$R$9:$T$12,3,TRUE),
VLOOKUP(Z82,Charge!$U$9:$W$12,2,TRUE)+(Z82-VLOOKUP(Z82,Charge!$U$9:$W$12,1,TRUE))*VLOOKUP(Z82,Charge!$U$9:$W$12,3,TRUE)),IF(AND(B82="G4",M82=""),IF(R82="20'",Z82*Charge!$M$25,Z82*Charge!$P$25),IF(AND(B82="G4",M82="DG"),IF(R82="20'",Z82*Charge!$T$25,Z82*Charge!$W$25),0))))))))</f>
        <v>320</v>
      </c>
      <c r="AB82" s="184" t="n"/>
      <c r="AC82" s="184" t="n"/>
      <c r="AD82" s="60">
        <f>IF(M82="DG",3,IF(N82="RF",3,5))+IF(AND(LEFT(C82,3)="BKK",N82="RF",Q82="KTS"),1,0)+IF(Q82="KHS",1,0)</f>
        <v>5</v>
      </c>
      <c r="AE82" s="63">
        <f>(T82-V82)+1</f>
        <v>46312</v>
      </c>
      <c r="AF82" s="63">
        <f>IF(AB82&gt;IF((V82-W82)&gt;0,V82-W82,0),0,IF(AB82&lt;IF((V82-W82)&gt;0,V82-W82,0),IF((V82-W82)&gt;0,V82-W82,0)-AB82,IF((V82-W82)&gt;0,V82-W82,0)))</f>
        <v>0</v>
      </c>
      <c r="AG82" s="187">
        <f>IF(AND(M82=""),IF(R82="20'",
VLOOKUP(AF82,Charge!$K$31:$M$34,2,TRUE)+(AF82-VLOOKUP(AF82,Charge!$K$31:$M$34,1,TRUE))*VLOOKUP(AF82,Charge!$K$31:$M$34,3,TRUE),
VLOOKUP(AF82,Charge!$N$31:$P$34,2,TRUE)+(AF82-VLOOKUP(AF82,Charge!$N$31:$P$34,1,TRUE))*VLOOKUP(AF82,Charge!$N$31:$P$34,3,TRUE)),
IF(AND(M82="DG"),IF(R82="20'",
VLOOKUP(AF82,Charge!$R$31:$T$34,2,TRUE)+(AF82-VLOOKUP(AF82,Charge!$R$31:$T$34,1,TRUE))*VLOOKUP(AF82,Charge!$R$31:$T$34,3,TRUE),
VLOOKUP(AF82,Charge!$U$31:$W$34,2,TRUE)+(AF82-VLOOKUP(AF82,Charge!$U$31:$W$34,1,TRUE))*VLOOKUP(AF82,Charge!$U$31:$W$34,3,TRUE)),0))</f>
        <v>0</v>
      </c>
      <c r="AH82" s="65" t="n"/>
      <c r="AI82" s="65">
        <f>AA82-AH82</f>
        <v>320</v>
      </c>
      <c r="AJ82" s="188" t="n"/>
      <c r="AK82" s="62" t="str">
        <f>VLOOKUP(D82,'2.Bookinglist'!A:CT,40,FALSE)</f>
        <v>Dharaporn</v>
      </c>
      <c r="AL82" s="60" t="str">
        <f>VLOOKUP(D82,'2.Bookinglist'!A:CW,101,FALSE)</f>
        <v>2026-10-15</v>
      </c>
      <c r="AM82" s="60" t="str">
        <f>VLOOKUP(D82,'2.Bookinglist'!A:BK,63,FALSE)</f>
        <v>BKK27</v>
      </c>
      <c r="AN82" s="62" t="str">
        <f>VLOOKUP(D82,'2.Bookinglist'!A:AZ,52,FALSE)</f>
        <v>Pickup : 2026-10-10, Return : 2026-10-11 
CLS TIME DD.13/10/2026 @ 23.59
</v>
      </c>
      <c r="AO82" s="62">
        <f>VLOOKUP(D82,'2.Bookinglist'!A:CY,103,FALSE)</f>
        <v>0</v>
      </c>
    </row>
    <row r="83" ht="12.95" customHeight="1">
      <c r="A83" s="96" t="inlineStr">
        <is>
          <t>SKHU6625262</t>
        </is>
      </c>
      <c r="B83" s="184" t="str">
        <f>IF(C83=Charge!$M$1,Charge!$J$1,IF(C83=Charge!$M$23,Charge!$J$23,IF(C83=Charge!$M$17,Charge!$J$17,IF(C83=Charge!$N$17,Charge!$J$17,Charge!$J$7))))</f>
        <v>G3</v>
      </c>
      <c r="C83" s="61" t="str">
        <f>VLOOKUP(A83,'1.Loading'!A:R,14,FALSE)</f>
        <v>BKK01</v>
      </c>
      <c r="D83" s="61" t="str">
        <f>VLOOKUP(A83,'1.Loading'!A:R,17,FALSE)</f>
        <v>HASLS22260901611</v>
      </c>
      <c r="E83" s="62" t="str">
        <f>VLOOKUP(D83,'2.Bookinglist'!A:CT,27,FALSE)</f>
        <v>CNT STAR CO., LTD.</v>
      </c>
      <c r="F83" s="62" t="str">
        <f>VLOOKUP(D83,'2.Bookinglist'!A:CT,28,FALSE)</f>
        <v>SAWATPAIBOON AGRICULTURE CO., LTD</v>
      </c>
      <c r="G83" s="60">
        <f>VLOOKUP(D83,'2.Bookinglist'!A:E,5,FALSE)</f>
        <v>0</v>
      </c>
      <c r="H83" s="61" t="str">
        <f>VLOOKUP(D83,'2.Bookinglist'!A:CT,15,FALSE)</f>
        <v>THBKK</v>
      </c>
      <c r="I83" s="61" t="str">
        <f>VLOOKUP(D83,'2.Bookinglist'!A:CT,19,FALSE)</f>
        <v>KRKAN</v>
      </c>
      <c r="J83" s="61">
        <f>VLOOKUP(D83,'2.Bookinglist'!A:CT,26,FALSE)</f>
        <v>0</v>
      </c>
      <c r="K83" s="61" t="str">
        <f>VLOOKUP(A83,'1.Loading'!A:R,5,FALSE)</f>
        <v>45GP</v>
      </c>
      <c r="L83" s="60" t="str">
        <f>VLOOKUP(D83,'2.Bookinglist'!A:CT,85,FALSE)</f>
        <v>CY/CY</v>
      </c>
      <c r="M83" s="60" t="str">
        <f>IF(VLOOKUP(D83,'2.Bookinglist'!A:CT,43,FALSE)=0,"","DG")</f>
        <v/>
      </c>
      <c r="N83" s="60" t="str">
        <f>IF(RIGHT(K83,2)="RE","RF","")</f>
        <v/>
      </c>
      <c r="O83" s="61" t="str">
        <f>VLOOKUP(A83,'1.Loading'!A:R,3,FALSE)</f>
        <v>SWIC</v>
      </c>
      <c r="P83" s="61" t="str">
        <f>VLOOKUP(A83,'1.Loading'!A:R,4,FALSE)</f>
        <v>2611N</v>
      </c>
      <c r="Q83" s="61" t="str">
        <f>VLOOKUP(D83,'2.Bookinglist'!A:CT,12,FALSE)</f>
        <v>KHS1</v>
      </c>
      <c r="R83" s="60" t="str">
        <f>IF(LEFT(K83,2)="22","20'","40'")</f>
        <v>40'</v>
      </c>
      <c r="S83" s="185" t="n"/>
      <c r="T83" s="61" t="str">
        <f>VLOOKUP(A83,'1.Loading'!A:R,2,FALSE)</f>
        <v>2026-10-16</v>
      </c>
      <c r="U83" s="63">
        <f>T83-S83</f>
        <v>46311</v>
      </c>
      <c r="V83" s="186" t="n"/>
      <c r="W83" s="61" t="str">
        <f>VLOOKUP(A83,'3.GateMove'!A:D,4,FALSE)</f>
        <v>2026-10-11</v>
      </c>
      <c r="X83" s="63">
        <f>((T83-W83)+1)</f>
        <v>6</v>
      </c>
      <c r="Y83" s="64">
        <f>IF(AND(OR(C83="BKK01",C83="BKK04"),L83="CFS/CY"),0,IF(M83="DG",1,IF(LEFT(C83,3)="LCH",7,IF(C83="BKK02",5,3))))</f>
        <v>3</v>
      </c>
      <c r="Z83" s="63">
        <f>IF(IF(AND(AC83="TML",AB83&gt;0),((T83-W83)+1)-AB83,((T83-W83)+1)-Y83)&gt;0,IF(AND(AC83="TML",AB83&gt;0),((T83-W83)+1)-AB83,((T83-W83)+1)-Y83),0)</f>
        <v>3</v>
      </c>
      <c r="AA83" s="187">
        <f>IF(AND(B83="G1",M83=""),IF(R83="20'",
VLOOKUP(Z83,Charge!$K$2:$M$5,2,TRUE)+(Z83-VLOOKUP(Z83,Charge!$K$2:$M$5,1,TRUE))*VLOOKUP(Z83,Charge!$K$2:$M$5,3,TRUE),
VLOOKUP(Z83,Charge!$N$2:$P$5,2,TRUE)+(Z83-VLOOKUP(Z83,Charge!$N$2:$P$5,1,TRUE))*VLOOKUP(Z83,Charge!$N$2:$P$5,3,TRUE)),
IF(AND(B83="G1",M83="DG"),IF(R83="20'",
VLOOKUP(Z83,Charge!$R$2:$T$5,2,TRUE)+(Z83-VLOOKUP(Z83,Charge!$R$2:$T$5,1,TRUE))*VLOOKUP(Z83,Charge!$R$2:$T$5,3,TRUE),
VLOOKUP(Z83,Charge!$U$2:$W$5,2,TRUE)+(Z83-VLOOKUP(Z83,Charge!$U$2:$W$5,1,TRUE))*VLOOKUP(Z83,Charge!$U$2:$W$5,3,TRUE)),
IF(AND(B83="G3",M83=""),IF(R83="20'",
VLOOKUP(Z83,Charge!$K$18:$M$21,2,TRUE)+(Z83-VLOOKUP(Z83,Charge!$K$18:$M$21,1,TRUE))*VLOOKUP(Z83,Charge!$K$18:$M$21,3,TRUE),
VLOOKUP(Z83,Charge!$N$18:$P$21,2,TRUE)+(Z83-VLOOKUP(Z83,Charge!$N$18:$P$21,1,TRUE))*VLOOKUP(Z83,Charge!$N$18:$P$21,3,TRUE)),
IF(AND(B83="G3",M83="DG"),IF(R83="20'",
VLOOKUP(Z83,Charge!$R$18:$T$21,2,TRUE)+(Z83-VLOOKUP(Z83,Charge!$R$18:$T$21,1,TRUE))*VLOOKUP(Z83,Charge!$R$18:$T$21,3,TRUE),
VLOOKUP(Z83,Charge!$U$18:$W$21,2,TRUE)+(Z83-VLOOKUP(Z83,Charge!$U$18:$W$21,1,TRUE))*VLOOKUP(Z83,Charge!$U$18:$W$21,3,TRUE)),
IF(AND(B83="G2",M83=""),IF(R83="20'",
VLOOKUP(Z83,Charge!$K$9:$M$12,2,TRUE)+(Z83-VLOOKUP(Z83,Charge!$K$9:$M$12,1,TRUE))*VLOOKUP(Z83,Charge!$K$9:$M$12,3,TRUE),
VLOOKUP(Z83,Charge!$N$9:$P$12,2,TRUE)+(Z83-VLOOKUP(Z83,Charge!$N$9:$P$12,1,TRUE))*VLOOKUP(Z83,Charge!$N$9:$P$12,3,TRUE)),
IF(AND(B83="G2",M83="DG"),IF(R83="20'",
VLOOKUP(Z83,Charge!$R$9:$T$12,2,TRUE)+(Z83-VLOOKUP(Z83,Charge!$R$9:$T$12,1,TRUE))*VLOOKUP(Z83,Charge!$R$9:$T$12,3,TRUE),
VLOOKUP(Z83,Charge!$U$9:$W$12,2,TRUE)+(Z83-VLOOKUP(Z83,Charge!$U$9:$W$12,1,TRUE))*VLOOKUP(Z83,Charge!$U$9:$W$12,3,TRUE)),IF(AND(B83="G4",M83=""),IF(R83="20'",Z83*Charge!$M$25,Z83*Charge!$P$25),IF(AND(B83="G4",M83="DG"),IF(R83="20'",Z83*Charge!$T$25,Z83*Charge!$W$25),0))))))))</f>
        <v>960</v>
      </c>
      <c r="AB83" s="184" t="n"/>
      <c r="AC83" s="184" t="n"/>
      <c r="AD83" s="60">
        <f>IF(M83="DG",3,IF(N83="RF",3,5))+IF(AND(LEFT(C83,3)="BKK",N83="RF",Q83="KTS"),1,0)+IF(Q83="KHS",1,0)</f>
        <v>5</v>
      </c>
      <c r="AE83" s="63">
        <f>(T83-V83)+1</f>
        <v>46312</v>
      </c>
      <c r="AF83" s="63">
        <f>IF(AB83&gt;IF((V83-W83)&gt;0,V83-W83,0),0,IF(AB83&lt;IF((V83-W83)&gt;0,V83-W83,0),IF((V83-W83)&gt;0,V83-W83,0)-AB83,IF((V83-W83)&gt;0,V83-W83,0)))</f>
        <v>0</v>
      </c>
      <c r="AG83" s="187">
        <f>IF(AND(M83=""),IF(R83="20'",
VLOOKUP(AF83,Charge!$K$31:$M$34,2,TRUE)+(AF83-VLOOKUP(AF83,Charge!$K$31:$M$34,1,TRUE))*VLOOKUP(AF83,Charge!$K$31:$M$34,3,TRUE),
VLOOKUP(AF83,Charge!$N$31:$P$34,2,TRUE)+(AF83-VLOOKUP(AF83,Charge!$N$31:$P$34,1,TRUE))*VLOOKUP(AF83,Charge!$N$31:$P$34,3,TRUE)),
IF(AND(M83="DG"),IF(R83="20'",
VLOOKUP(AF83,Charge!$R$31:$T$34,2,TRUE)+(AF83-VLOOKUP(AF83,Charge!$R$31:$T$34,1,TRUE))*VLOOKUP(AF83,Charge!$R$31:$T$34,3,TRUE),
VLOOKUP(AF83,Charge!$U$31:$W$34,2,TRUE)+(AF83-VLOOKUP(AF83,Charge!$U$31:$W$34,1,TRUE))*VLOOKUP(AF83,Charge!$U$31:$W$34,3,TRUE)),0))</f>
        <v>0</v>
      </c>
      <c r="AH83" s="65" t="n"/>
      <c r="AI83" s="65">
        <f>AA83-AH83</f>
        <v>960</v>
      </c>
      <c r="AJ83" s="188" t="n"/>
      <c r="AK83" s="62" t="str">
        <f>VLOOKUP(D83,'2.Bookinglist'!A:CT,40,FALSE)</f>
        <v>Kanokporn</v>
      </c>
      <c r="AL83" s="60" t="str">
        <f>VLOOKUP(D83,'2.Bookinglist'!A:CW,101,FALSE)</f>
        <v>2026-10-15</v>
      </c>
      <c r="AM83" s="60" t="str">
        <f>VLOOKUP(D83,'2.Bookinglist'!A:BK,63,FALSE)</f>
        <v>BKK27</v>
      </c>
      <c r="AN83" s="62" t="str">
        <f>VLOOKUP(D83,'2.Bookinglist'!A:AZ,52,FALSE)</f>
        <v>CY-RTN : 10-11/10/2026</v>
      </c>
      <c r="AO83" s="62">
        <f>VLOOKUP(D83,'2.Bookinglist'!A:CY,103,FALSE)</f>
        <v>0</v>
      </c>
    </row>
    <row r="84" ht="12.95" customHeight="1">
      <c r="A84" s="96" t="inlineStr">
        <is>
          <t>SKHU8905560</t>
        </is>
      </c>
      <c r="B84" s="184" t="str">
        <f>IF(C84=Charge!$M$1,Charge!$J$1,IF(C84=Charge!$M$23,Charge!$J$23,IF(C84=Charge!$M$17,Charge!$J$17,IF(C84=Charge!$N$17,Charge!$J$17,Charge!$J$7))))</f>
        <v>G3</v>
      </c>
      <c r="C84" s="61" t="str">
        <f>VLOOKUP(A84,'1.Loading'!A:R,14,FALSE)</f>
        <v>BKK01</v>
      </c>
      <c r="D84" s="61" t="str">
        <f>VLOOKUP(A84,'1.Loading'!A:R,17,FALSE)</f>
        <v>HASLS22260902223</v>
      </c>
      <c r="E84" s="62" t="str">
        <f>VLOOKUP(D84,'2.Bookinglist'!A:CT,27,FALSE)</f>
        <v>CAPRICORN LOGISTICS CO., LTD.</v>
      </c>
      <c r="F84" s="62" t="str">
        <f>VLOOKUP(D84,'2.Bookinglist'!A:CT,28,FALSE)</f>
        <v>SWAN INDUSTRIES (THAILAND) LTD.</v>
      </c>
      <c r="G84" s="60">
        <f>VLOOKUP(D84,'2.Bookinglist'!A:E,5,FALSE)</f>
        <v>0</v>
      </c>
      <c r="H84" s="61" t="str">
        <f>VLOOKUP(D84,'2.Bookinglist'!A:CT,15,FALSE)</f>
        <v>THBKK</v>
      </c>
      <c r="I84" s="61" t="str">
        <f>VLOOKUP(D84,'2.Bookinglist'!A:CT,19,FALSE)</f>
        <v>VNSGN</v>
      </c>
      <c r="J84" s="61">
        <f>VLOOKUP(D84,'2.Bookinglist'!A:CT,26,FALSE)</f>
        <v>0</v>
      </c>
      <c r="K84" s="61" t="str">
        <f>VLOOKUP(A84,'1.Loading'!A:R,5,FALSE)</f>
        <v>45GP</v>
      </c>
      <c r="L84" s="60" t="str">
        <f>VLOOKUP(D84,'2.Bookinglist'!A:CT,85,FALSE)</f>
        <v>CY/CY</v>
      </c>
      <c r="M84" s="60" t="str">
        <f>IF(VLOOKUP(D84,'2.Bookinglist'!A:CT,43,FALSE)=0,"","DG")</f>
        <v/>
      </c>
      <c r="N84" s="60" t="str">
        <f>IF(RIGHT(K84,2)="RE","RF","")</f>
        <v/>
      </c>
      <c r="O84" s="61" t="str">
        <f>VLOOKUP(A84,'1.Loading'!A:R,3,FALSE)</f>
        <v>SWIC</v>
      </c>
      <c r="P84" s="61" t="str">
        <f>VLOOKUP(A84,'1.Loading'!A:R,4,FALSE)</f>
        <v>2611N</v>
      </c>
      <c r="Q84" s="61" t="str">
        <f>VLOOKUP(D84,'2.Bookinglist'!A:CT,12,FALSE)</f>
        <v>KHS1</v>
      </c>
      <c r="R84" s="60" t="str">
        <f>IF(LEFT(K84,2)="22","20'","40'")</f>
        <v>40'</v>
      </c>
      <c r="S84" s="185" t="n"/>
      <c r="T84" s="61" t="str">
        <f>VLOOKUP(A84,'1.Loading'!A:R,2,FALSE)</f>
        <v>2026-10-16</v>
      </c>
      <c r="U84" s="63">
        <f>T84-S84</f>
        <v>46311</v>
      </c>
      <c r="V84" s="186" t="n"/>
      <c r="W84" s="61" t="str">
        <f>VLOOKUP(A84,'3.GateMove'!A:D,4,FALSE)</f>
        <v>2026-10-13</v>
      </c>
      <c r="X84" s="63">
        <f>((T84-W84)+1)</f>
        <v>4</v>
      </c>
      <c r="Y84" s="64">
        <f>IF(AND(OR(C84="BKK01",C84="BKK04"),L84="CFS/CY"),0,IF(M84="DG",1,IF(LEFT(C84,3)="LCH",7,IF(C84="BKK02",5,3))))</f>
        <v>3</v>
      </c>
      <c r="Z84" s="63">
        <f>IF(IF(AND(AC84="TML",AB84&gt;0),((T84-W84)+1)-AB84,((T84-W84)+1)-Y84)&gt;0,IF(AND(AC84="TML",AB84&gt;0),((T84-W84)+1)-AB84,((T84-W84)+1)-Y84),0)</f>
        <v>1</v>
      </c>
      <c r="AA84" s="187">
        <f>IF(AND(B84="G1",M84=""),IF(R84="20'",
VLOOKUP(Z84,Charge!$K$2:$M$5,2,TRUE)+(Z84-VLOOKUP(Z84,Charge!$K$2:$M$5,1,TRUE))*VLOOKUP(Z84,Charge!$K$2:$M$5,3,TRUE),
VLOOKUP(Z84,Charge!$N$2:$P$5,2,TRUE)+(Z84-VLOOKUP(Z84,Charge!$N$2:$P$5,1,TRUE))*VLOOKUP(Z84,Charge!$N$2:$P$5,3,TRUE)),
IF(AND(B84="G1",M84="DG"),IF(R84="20'",
VLOOKUP(Z84,Charge!$R$2:$T$5,2,TRUE)+(Z84-VLOOKUP(Z84,Charge!$R$2:$T$5,1,TRUE))*VLOOKUP(Z84,Charge!$R$2:$T$5,3,TRUE),
VLOOKUP(Z84,Charge!$U$2:$W$5,2,TRUE)+(Z84-VLOOKUP(Z84,Charge!$U$2:$W$5,1,TRUE))*VLOOKUP(Z84,Charge!$U$2:$W$5,3,TRUE)),
IF(AND(B84="G3",M84=""),IF(R84="20'",
VLOOKUP(Z84,Charge!$K$18:$M$21,2,TRUE)+(Z84-VLOOKUP(Z84,Charge!$K$18:$M$21,1,TRUE))*VLOOKUP(Z84,Charge!$K$18:$M$21,3,TRUE),
VLOOKUP(Z84,Charge!$N$18:$P$21,2,TRUE)+(Z84-VLOOKUP(Z84,Charge!$N$18:$P$21,1,TRUE))*VLOOKUP(Z84,Charge!$N$18:$P$21,3,TRUE)),
IF(AND(B84="G3",M84="DG"),IF(R84="20'",
VLOOKUP(Z84,Charge!$R$18:$T$21,2,TRUE)+(Z84-VLOOKUP(Z84,Charge!$R$18:$T$21,1,TRUE))*VLOOKUP(Z84,Charge!$R$18:$T$21,3,TRUE),
VLOOKUP(Z84,Charge!$U$18:$W$21,2,TRUE)+(Z84-VLOOKUP(Z84,Charge!$U$18:$W$21,1,TRUE))*VLOOKUP(Z84,Charge!$U$18:$W$21,3,TRUE)),
IF(AND(B84="G2",M84=""),IF(R84="20'",
VLOOKUP(Z84,Charge!$K$9:$M$12,2,TRUE)+(Z84-VLOOKUP(Z84,Charge!$K$9:$M$12,1,TRUE))*VLOOKUP(Z84,Charge!$K$9:$M$12,3,TRUE),
VLOOKUP(Z84,Charge!$N$9:$P$12,2,TRUE)+(Z84-VLOOKUP(Z84,Charge!$N$9:$P$12,1,TRUE))*VLOOKUP(Z84,Charge!$N$9:$P$12,3,TRUE)),
IF(AND(B84="G2",M84="DG"),IF(R84="20'",
VLOOKUP(Z84,Charge!$R$9:$T$12,2,TRUE)+(Z84-VLOOKUP(Z84,Charge!$R$9:$T$12,1,TRUE))*VLOOKUP(Z84,Charge!$R$9:$T$12,3,TRUE),
VLOOKUP(Z84,Charge!$U$9:$W$12,2,TRUE)+(Z84-VLOOKUP(Z84,Charge!$U$9:$W$12,1,TRUE))*VLOOKUP(Z84,Charge!$U$9:$W$12,3,TRUE)),IF(AND(B84="G4",M84=""),IF(R84="20'",Z84*Charge!$M$25,Z84*Charge!$P$25),IF(AND(B84="G4",M84="DG"),IF(R84="20'",Z84*Charge!$T$25,Z84*Charge!$W$25),0))))))))</f>
        <v>320</v>
      </c>
      <c r="AB84" s="184" t="n"/>
      <c r="AC84" s="184" t="n"/>
      <c r="AD84" s="60">
        <f>IF(M84="DG",3,IF(N84="RF",3,5))+IF(AND(LEFT(C84,3)="BKK",N84="RF",Q84="KTS"),1,0)+IF(Q84="KHS",1,0)</f>
        <v>5</v>
      </c>
      <c r="AE84" s="63">
        <f>(T84-V84)+1</f>
        <v>46312</v>
      </c>
      <c r="AF84" s="63">
        <f>IF(AB84&gt;IF((V84-W84)&gt;0,V84-W84,0),0,IF(AB84&lt;IF((V84-W84)&gt;0,V84-W84,0),IF((V84-W84)&gt;0,V84-W84,0)-AB84,IF((V84-W84)&gt;0,V84-W84,0)))</f>
        <v>0</v>
      </c>
      <c r="AG84" s="187">
        <f>IF(AND(M84=""),IF(R84="20'",
VLOOKUP(AF84,Charge!$K$31:$M$34,2,TRUE)+(AF84-VLOOKUP(AF84,Charge!$K$31:$M$34,1,TRUE))*VLOOKUP(AF84,Charge!$K$31:$M$34,3,TRUE),
VLOOKUP(AF84,Charge!$N$31:$P$34,2,TRUE)+(AF84-VLOOKUP(AF84,Charge!$N$31:$P$34,1,TRUE))*VLOOKUP(AF84,Charge!$N$31:$P$34,3,TRUE)),
IF(AND(M84="DG"),IF(R84="20'",
VLOOKUP(AF84,Charge!$R$31:$T$34,2,TRUE)+(AF84-VLOOKUP(AF84,Charge!$R$31:$T$34,1,TRUE))*VLOOKUP(AF84,Charge!$R$31:$T$34,3,TRUE),
VLOOKUP(AF84,Charge!$U$31:$W$34,2,TRUE)+(AF84-VLOOKUP(AF84,Charge!$U$31:$W$34,1,TRUE))*VLOOKUP(AF84,Charge!$U$31:$W$34,3,TRUE)),0))</f>
        <v>0</v>
      </c>
      <c r="AH84" s="65" t="n"/>
      <c r="AI84" s="65">
        <f>AA84-AH84</f>
        <v>320</v>
      </c>
      <c r="AJ84" s="188" t="n"/>
      <c r="AK84" s="62" t="str">
        <f>VLOOKUP(D84,'2.Bookinglist'!A:CT,40,FALSE)</f>
        <v>Nguyen Xuan Toan</v>
      </c>
      <c r="AL84" s="60" t="str">
        <f>VLOOKUP(D84,'2.Bookinglist'!A:CW,101,FALSE)</f>
        <v>2026-10-15</v>
      </c>
      <c r="AM84" s="60" t="str">
        <f>VLOOKUP(D84,'2.Bookinglist'!A:BK,63,FALSE)</f>
        <v>BKK27</v>
      </c>
      <c r="AN84" s="62" t="str">
        <f>VLOOKUP(D84,'2.Bookinglist'!A:AZ,52,FALSE)</f>
        <v>Pickup : 2026-10-12, Return : 2026-10-12 (1ST RETURN 11/10/26)</v>
      </c>
      <c r="AO84" s="62">
        <f>VLOOKUP(D84,'2.Bookinglist'!A:CY,103,FALSE)</f>
        <v>0</v>
      </c>
    </row>
    <row r="85" ht="12.95" customHeight="1">
      <c r="A85" s="96" t="inlineStr">
        <is>
          <t>SKHU8918275</t>
        </is>
      </c>
      <c r="B85" s="184" t="str">
        <f>IF(C85=Charge!$M$1,Charge!$J$1,IF(C85=Charge!$M$23,Charge!$J$23,IF(C85=Charge!$M$17,Charge!$J$17,IF(C85=Charge!$N$17,Charge!$J$17,Charge!$J$7))))</f>
        <v>G3</v>
      </c>
      <c r="C85" s="61" t="str">
        <f>VLOOKUP(A85,'1.Loading'!A:R,14,FALSE)</f>
        <v>BKK01</v>
      </c>
      <c r="D85" s="61" t="str">
        <f>VLOOKUP(A85,'1.Loading'!A:R,17,FALSE)</f>
        <v>HASLS22260902182</v>
      </c>
      <c r="E85" s="62" t="str">
        <f>VLOOKUP(D85,'2.Bookinglist'!A:CT,27,FALSE)</f>
        <v>BIRLA CARBON (THAILAND) PUBLIC COMPANY LIMITED</v>
      </c>
      <c r="F85" s="62" t="str">
        <f>VLOOKUP(D85,'2.Bookinglist'!A:CT,28,FALSE)</f>
        <v>BIRLA CARBON (THAILAND) PUBLIC COMPANY LIMITED</v>
      </c>
      <c r="G85" s="60">
        <f>VLOOKUP(D85,'2.Bookinglist'!A:E,5,FALSE)</f>
        <v>0</v>
      </c>
      <c r="H85" s="61" t="str">
        <f>VLOOKUP(D85,'2.Bookinglist'!A:CT,15,FALSE)</f>
        <v>THBKK</v>
      </c>
      <c r="I85" s="61" t="str">
        <f>VLOOKUP(D85,'2.Bookinglist'!A:CT,19,FALSE)</f>
        <v>VNSGN</v>
      </c>
      <c r="J85" s="61">
        <f>VLOOKUP(D85,'2.Bookinglist'!A:CT,26,FALSE)</f>
        <v>0</v>
      </c>
      <c r="K85" s="61" t="str">
        <f>VLOOKUP(A85,'1.Loading'!A:R,5,FALSE)</f>
        <v>45GP</v>
      </c>
      <c r="L85" s="60" t="str">
        <f>VLOOKUP(D85,'2.Bookinglist'!A:CT,85,FALSE)</f>
        <v>CY/CY</v>
      </c>
      <c r="M85" s="60" t="str">
        <f>IF(VLOOKUP(D85,'2.Bookinglist'!A:CT,43,FALSE)=0,"","DG")</f>
        <v/>
      </c>
      <c r="N85" s="60" t="str">
        <f>IF(RIGHT(K85,2)="RE","RF","")</f>
        <v/>
      </c>
      <c r="O85" s="61" t="str">
        <f>VLOOKUP(A85,'1.Loading'!A:R,3,FALSE)</f>
        <v>SWIC</v>
      </c>
      <c r="P85" s="61" t="str">
        <f>VLOOKUP(A85,'1.Loading'!A:R,4,FALSE)</f>
        <v>2611N</v>
      </c>
      <c r="Q85" s="61" t="str">
        <f>VLOOKUP(D85,'2.Bookinglist'!A:CT,12,FALSE)</f>
        <v>KHS1</v>
      </c>
      <c r="R85" s="60" t="str">
        <f>IF(LEFT(K85,2)="22","20'","40'")</f>
        <v>40'</v>
      </c>
      <c r="S85" s="185" t="n"/>
      <c r="T85" s="61" t="str">
        <f>VLOOKUP(A85,'1.Loading'!A:R,2,FALSE)</f>
        <v>2026-10-16</v>
      </c>
      <c r="U85" s="63">
        <f>T85-S85</f>
        <v>46311</v>
      </c>
      <c r="V85" s="186" t="n"/>
      <c r="W85" s="61" t="str">
        <f>VLOOKUP(A85,'3.GateMove'!A:D,4,FALSE)</f>
        <v>2026-10-12</v>
      </c>
      <c r="X85" s="63">
        <f>((T85-W85)+1)</f>
        <v>5</v>
      </c>
      <c r="Y85" s="64">
        <f>IF(AND(OR(C85="BKK01",C85="BKK04"),L85="CFS/CY"),0,IF(M85="DG",1,IF(LEFT(C85,3)="LCH",7,IF(C85="BKK02",5,3))))</f>
        <v>3</v>
      </c>
      <c r="Z85" s="63">
        <f>IF(IF(AND(AC85="TML",AB85&gt;0),((T85-W85)+1)-AB85,((T85-W85)+1)-Y85)&gt;0,IF(AND(AC85="TML",AB85&gt;0),((T85-W85)+1)-AB85,((T85-W85)+1)-Y85),0)</f>
        <v>2</v>
      </c>
      <c r="AA85" s="187">
        <f>IF(AND(B85="G1",M85=""),IF(R85="20'",
VLOOKUP(Z85,Charge!$K$2:$M$5,2,TRUE)+(Z85-VLOOKUP(Z85,Charge!$K$2:$M$5,1,TRUE))*VLOOKUP(Z85,Charge!$K$2:$M$5,3,TRUE),
VLOOKUP(Z85,Charge!$N$2:$P$5,2,TRUE)+(Z85-VLOOKUP(Z85,Charge!$N$2:$P$5,1,TRUE))*VLOOKUP(Z85,Charge!$N$2:$P$5,3,TRUE)),
IF(AND(B85="G1",M85="DG"),IF(R85="20'",
VLOOKUP(Z85,Charge!$R$2:$T$5,2,TRUE)+(Z85-VLOOKUP(Z85,Charge!$R$2:$T$5,1,TRUE))*VLOOKUP(Z85,Charge!$R$2:$T$5,3,TRUE),
VLOOKUP(Z85,Charge!$U$2:$W$5,2,TRUE)+(Z85-VLOOKUP(Z85,Charge!$U$2:$W$5,1,TRUE))*VLOOKUP(Z85,Charge!$U$2:$W$5,3,TRUE)),
IF(AND(B85="G3",M85=""),IF(R85="20'",
VLOOKUP(Z85,Charge!$K$18:$M$21,2,TRUE)+(Z85-VLOOKUP(Z85,Charge!$K$18:$M$21,1,TRUE))*VLOOKUP(Z85,Charge!$K$18:$M$21,3,TRUE),
VLOOKUP(Z85,Charge!$N$18:$P$21,2,TRUE)+(Z85-VLOOKUP(Z85,Charge!$N$18:$P$21,1,TRUE))*VLOOKUP(Z85,Charge!$N$18:$P$21,3,TRUE)),
IF(AND(B85="G3",M85="DG"),IF(R85="20'",
VLOOKUP(Z85,Charge!$R$18:$T$21,2,TRUE)+(Z85-VLOOKUP(Z85,Charge!$R$18:$T$21,1,TRUE))*VLOOKUP(Z85,Charge!$R$18:$T$21,3,TRUE),
VLOOKUP(Z85,Charge!$U$18:$W$21,2,TRUE)+(Z85-VLOOKUP(Z85,Charge!$U$18:$W$21,1,TRUE))*VLOOKUP(Z85,Charge!$U$18:$W$21,3,TRUE)),
IF(AND(B85="G2",M85=""),IF(R85="20'",
VLOOKUP(Z85,Charge!$K$9:$M$12,2,TRUE)+(Z85-VLOOKUP(Z85,Charge!$K$9:$M$12,1,TRUE))*VLOOKUP(Z85,Charge!$K$9:$M$12,3,TRUE),
VLOOKUP(Z85,Charge!$N$9:$P$12,2,TRUE)+(Z85-VLOOKUP(Z85,Charge!$N$9:$P$12,1,TRUE))*VLOOKUP(Z85,Charge!$N$9:$P$12,3,TRUE)),
IF(AND(B85="G2",M85="DG"),IF(R85="20'",
VLOOKUP(Z85,Charge!$R$9:$T$12,2,TRUE)+(Z85-VLOOKUP(Z85,Charge!$R$9:$T$12,1,TRUE))*VLOOKUP(Z85,Charge!$R$9:$T$12,3,TRUE),
VLOOKUP(Z85,Charge!$U$9:$W$12,2,TRUE)+(Z85-VLOOKUP(Z85,Charge!$U$9:$W$12,1,TRUE))*VLOOKUP(Z85,Charge!$U$9:$W$12,3,TRUE)),IF(AND(B85="G4",M85=""),IF(R85="20'",Z85*Charge!$M$25,Z85*Charge!$P$25),IF(AND(B85="G4",M85="DG"),IF(R85="20'",Z85*Charge!$T$25,Z85*Charge!$W$25),0))))))))</f>
        <v>640</v>
      </c>
      <c r="AB85" s="184" t="n"/>
      <c r="AC85" s="184" t="n"/>
      <c r="AD85" s="60">
        <f>IF(M85="DG",3,IF(N85="RF",3,5))+IF(AND(LEFT(C85,3)="BKK",N85="RF",Q85="KTS"),1,0)+IF(Q85="KHS",1,0)</f>
        <v>5</v>
      </c>
      <c r="AE85" s="63">
        <f>(T85-V85)+1</f>
        <v>46312</v>
      </c>
      <c r="AF85" s="63">
        <f>IF(AB85&gt;IF((V85-W85)&gt;0,V85-W85,0),0,IF(AB85&lt;IF((V85-W85)&gt;0,V85-W85,0),IF((V85-W85)&gt;0,V85-W85,0)-AB85,IF((V85-W85)&gt;0,V85-W85,0)))</f>
        <v>0</v>
      </c>
      <c r="AG85" s="187">
        <f>IF(AND(M85=""),IF(R85="20'",
VLOOKUP(AF85,Charge!$K$31:$M$34,2,TRUE)+(AF85-VLOOKUP(AF85,Charge!$K$31:$M$34,1,TRUE))*VLOOKUP(AF85,Charge!$K$31:$M$34,3,TRUE),
VLOOKUP(AF85,Charge!$N$31:$P$34,2,TRUE)+(AF85-VLOOKUP(AF85,Charge!$N$31:$P$34,1,TRUE))*VLOOKUP(AF85,Charge!$N$31:$P$34,3,TRUE)),
IF(AND(M85="DG"),IF(R85="20'",
VLOOKUP(AF85,Charge!$R$31:$T$34,2,TRUE)+(AF85-VLOOKUP(AF85,Charge!$R$31:$T$34,1,TRUE))*VLOOKUP(AF85,Charge!$R$31:$T$34,3,TRUE),
VLOOKUP(AF85,Charge!$U$31:$W$34,2,TRUE)+(AF85-VLOOKUP(AF85,Charge!$U$31:$W$34,1,TRUE))*VLOOKUP(AF85,Charge!$U$31:$W$34,3,TRUE)),0))</f>
        <v>0</v>
      </c>
      <c r="AH85" s="65" t="n"/>
      <c r="AI85" s="65">
        <f>AA85-AH85</f>
        <v>640</v>
      </c>
      <c r="AJ85" s="188" t="n"/>
      <c r="AK85" s="62" t="str">
        <f>VLOOKUP(D85,'2.Bookinglist'!A:CT,40,FALSE)</f>
        <v>Dharaporn</v>
      </c>
      <c r="AL85" s="60" t="str">
        <f>VLOOKUP(D85,'2.Bookinglist'!A:CW,101,FALSE)</f>
        <v>2026-10-15</v>
      </c>
      <c r="AM85" s="60" t="str">
        <f>VLOOKUP(D85,'2.Bookinglist'!A:BK,63,FALSE)</f>
        <v>BKK27</v>
      </c>
      <c r="AN85" s="62" t="str">
        <f>VLOOKUP(D85,'2.Bookinglist'!A:AZ,52,FALSE)</f>
        <v>Pickup : 2026-10-10, Return : 2026-10-11
CLS TIME DD.13/10/2026 @ 23.59</v>
      </c>
      <c r="AO85" s="62">
        <f>VLOOKUP(D85,'2.Bookinglist'!A:CY,103,FALSE)</f>
        <v>0</v>
      </c>
    </row>
    <row r="86" ht="12.95" customHeight="1">
      <c r="A86" s="96" t="inlineStr">
        <is>
          <t>SKHU9311408</t>
        </is>
      </c>
      <c r="B86" s="184" t="str">
        <f>IF(C86=Charge!$M$1,Charge!$J$1,IF(C86=Charge!$M$23,Charge!$J$23,IF(C86=Charge!$M$17,Charge!$J$17,IF(C86=Charge!$N$17,Charge!$J$17,Charge!$J$7))))</f>
        <v>G3</v>
      </c>
      <c r="C86" s="61" t="str">
        <f>VLOOKUP(A86,'1.Loading'!A:R,14,FALSE)</f>
        <v>BKK01</v>
      </c>
      <c r="D86" s="61" t="str">
        <f>VLOOKUP(A86,'1.Loading'!A:R,17,FALSE)</f>
        <v>HASLS22260901365</v>
      </c>
      <c r="E86" s="62" t="str">
        <f>VLOOKUP(D86,'2.Bookinglist'!A:CT,27,FALSE)</f>
        <v>LOTUS FREIGHT AND SERVICES CORP.,LTD.</v>
      </c>
      <c r="F86" s="62" t="str">
        <f>VLOOKUP(D86,'2.Bookinglist'!A:CT,28,FALSE)</f>
        <v>EXCEL ENTECH CO.,LTD.</v>
      </c>
      <c r="G86" s="60">
        <f>VLOOKUP(D86,'2.Bookinglist'!A:E,5,FALSE)</f>
        <v>0</v>
      </c>
      <c r="H86" s="61" t="str">
        <f>VLOOKUP(D86,'2.Bookinglist'!A:CT,15,FALSE)</f>
        <v>THBKK</v>
      </c>
      <c r="I86" s="61" t="str">
        <f>VLOOKUP(D86,'2.Bookinglist'!A:CT,19,FALSE)</f>
        <v>VNSGN</v>
      </c>
      <c r="J86" s="61">
        <f>VLOOKUP(D86,'2.Bookinglist'!A:CT,26,FALSE)</f>
        <v>0</v>
      </c>
      <c r="K86" s="61" t="str">
        <f>VLOOKUP(A86,'1.Loading'!A:R,5,FALSE)</f>
        <v>45GP</v>
      </c>
      <c r="L86" s="60" t="str">
        <f>VLOOKUP(D86,'2.Bookinglist'!A:CT,85,FALSE)</f>
        <v>CY/CY</v>
      </c>
      <c r="M86" s="60" t="str">
        <f>IF(VLOOKUP(D86,'2.Bookinglist'!A:CT,43,FALSE)=0,"","DG")</f>
        <v/>
      </c>
      <c r="N86" s="60" t="str">
        <f>IF(RIGHT(K86,2)="RE","RF","")</f>
        <v/>
      </c>
      <c r="O86" s="61" t="str">
        <f>VLOOKUP(A86,'1.Loading'!A:R,3,FALSE)</f>
        <v>SWIC</v>
      </c>
      <c r="P86" s="61" t="str">
        <f>VLOOKUP(A86,'1.Loading'!A:R,4,FALSE)</f>
        <v>2611N</v>
      </c>
      <c r="Q86" s="61" t="str">
        <f>VLOOKUP(D86,'2.Bookinglist'!A:CT,12,FALSE)</f>
        <v>KHS1</v>
      </c>
      <c r="R86" s="60" t="str">
        <f>IF(LEFT(K86,2)="22","20'","40'")</f>
        <v>40'</v>
      </c>
      <c r="S86" s="185" t="n"/>
      <c r="T86" s="61" t="str">
        <f>VLOOKUP(A86,'1.Loading'!A:R,2,FALSE)</f>
        <v>2026-10-16</v>
      </c>
      <c r="U86" s="63">
        <f>T86-S86</f>
        <v>46311</v>
      </c>
      <c r="V86" s="186" t="n"/>
      <c r="W86" s="61" t="str">
        <f>VLOOKUP(A86,'3.GateMove'!A:D,4,FALSE)</f>
        <v>2026-10-11</v>
      </c>
      <c r="X86" s="63">
        <f>((T86-W86)+1)</f>
        <v>6</v>
      </c>
      <c r="Y86" s="64">
        <f>IF(AND(OR(C86="BKK01",C86="BKK04"),L86="CFS/CY"),0,IF(M86="DG",1,IF(LEFT(C86,3)="LCH",7,IF(C86="BKK02",5,3))))</f>
        <v>3</v>
      </c>
      <c r="Z86" s="63">
        <f>IF(IF(AND(AC86="TML",AB86&gt;0),((T86-W86)+1)-AB86,((T86-W86)+1)-Y86)&gt;0,IF(AND(AC86="TML",AB86&gt;0),((T86-W86)+1)-AB86,((T86-W86)+1)-Y86),0)</f>
        <v>3</v>
      </c>
      <c r="AA86" s="187">
        <f>IF(AND(B86="G1",M86=""),IF(R86="20'",
VLOOKUP(Z86,Charge!$K$2:$M$5,2,TRUE)+(Z86-VLOOKUP(Z86,Charge!$K$2:$M$5,1,TRUE))*VLOOKUP(Z86,Charge!$K$2:$M$5,3,TRUE),
VLOOKUP(Z86,Charge!$N$2:$P$5,2,TRUE)+(Z86-VLOOKUP(Z86,Charge!$N$2:$P$5,1,TRUE))*VLOOKUP(Z86,Charge!$N$2:$P$5,3,TRUE)),
IF(AND(B86="G1",M86="DG"),IF(R86="20'",
VLOOKUP(Z86,Charge!$R$2:$T$5,2,TRUE)+(Z86-VLOOKUP(Z86,Charge!$R$2:$T$5,1,TRUE))*VLOOKUP(Z86,Charge!$R$2:$T$5,3,TRUE),
VLOOKUP(Z86,Charge!$U$2:$W$5,2,TRUE)+(Z86-VLOOKUP(Z86,Charge!$U$2:$W$5,1,TRUE))*VLOOKUP(Z86,Charge!$U$2:$W$5,3,TRUE)),
IF(AND(B86="G3",M86=""),IF(R86="20'",
VLOOKUP(Z86,Charge!$K$18:$M$21,2,TRUE)+(Z86-VLOOKUP(Z86,Charge!$K$18:$M$21,1,TRUE))*VLOOKUP(Z86,Charge!$K$18:$M$21,3,TRUE),
VLOOKUP(Z86,Charge!$N$18:$P$21,2,TRUE)+(Z86-VLOOKUP(Z86,Charge!$N$18:$P$21,1,TRUE))*VLOOKUP(Z86,Charge!$N$18:$P$21,3,TRUE)),
IF(AND(B86="G3",M86="DG"),IF(R86="20'",
VLOOKUP(Z86,Charge!$R$18:$T$21,2,TRUE)+(Z86-VLOOKUP(Z86,Charge!$R$18:$T$21,1,TRUE))*VLOOKUP(Z86,Charge!$R$18:$T$21,3,TRUE),
VLOOKUP(Z86,Charge!$U$18:$W$21,2,TRUE)+(Z86-VLOOKUP(Z86,Charge!$U$18:$W$21,1,TRUE))*VLOOKUP(Z86,Charge!$U$18:$W$21,3,TRUE)),
IF(AND(B86="G2",M86=""),IF(R86="20'",
VLOOKUP(Z86,Charge!$K$9:$M$12,2,TRUE)+(Z86-VLOOKUP(Z86,Charge!$K$9:$M$12,1,TRUE))*VLOOKUP(Z86,Charge!$K$9:$M$12,3,TRUE),
VLOOKUP(Z86,Charge!$N$9:$P$12,2,TRUE)+(Z86-VLOOKUP(Z86,Charge!$N$9:$P$12,1,TRUE))*VLOOKUP(Z86,Charge!$N$9:$P$12,3,TRUE)),
IF(AND(B86="G2",M86="DG"),IF(R86="20'",
VLOOKUP(Z86,Charge!$R$9:$T$12,2,TRUE)+(Z86-VLOOKUP(Z86,Charge!$R$9:$T$12,1,TRUE))*VLOOKUP(Z86,Charge!$R$9:$T$12,3,TRUE),
VLOOKUP(Z86,Charge!$U$9:$W$12,2,TRUE)+(Z86-VLOOKUP(Z86,Charge!$U$9:$W$12,1,TRUE))*VLOOKUP(Z86,Charge!$U$9:$W$12,3,TRUE)),IF(AND(B86="G4",M86=""),IF(R86="20'",Z86*Charge!$M$25,Z86*Charge!$P$25),IF(AND(B86="G4",M86="DG"),IF(R86="20'",Z86*Charge!$T$25,Z86*Charge!$W$25),0))))))))</f>
        <v>960</v>
      </c>
      <c r="AB86" s="184" t="n"/>
      <c r="AC86" s="184" t="n"/>
      <c r="AD86" s="60">
        <f>IF(M86="DG",3,IF(N86="RF",3,5))+IF(AND(LEFT(C86,3)="BKK",N86="RF",Q86="KTS"),1,0)+IF(Q86="KHS",1,0)</f>
        <v>5</v>
      </c>
      <c r="AE86" s="63">
        <f>(T86-V86)+1</f>
        <v>46312</v>
      </c>
      <c r="AF86" s="63">
        <f>IF(AB86&gt;IF((V86-W86)&gt;0,V86-W86,0),0,IF(AB86&lt;IF((V86-W86)&gt;0,V86-W86,0),IF((V86-W86)&gt;0,V86-W86,0)-AB86,IF((V86-W86)&gt;0,V86-W86,0)))</f>
        <v>0</v>
      </c>
      <c r="AG86" s="187">
        <f>IF(AND(M86=""),IF(R86="20'",
VLOOKUP(AF86,Charge!$K$31:$M$34,2,TRUE)+(AF86-VLOOKUP(AF86,Charge!$K$31:$M$34,1,TRUE))*VLOOKUP(AF86,Charge!$K$31:$M$34,3,TRUE),
VLOOKUP(AF86,Charge!$N$31:$P$34,2,TRUE)+(AF86-VLOOKUP(AF86,Charge!$N$31:$P$34,1,TRUE))*VLOOKUP(AF86,Charge!$N$31:$P$34,3,TRUE)),
IF(AND(M86="DG"),IF(R86="20'",
VLOOKUP(AF86,Charge!$R$31:$T$34,2,TRUE)+(AF86-VLOOKUP(AF86,Charge!$R$31:$T$34,1,TRUE))*VLOOKUP(AF86,Charge!$R$31:$T$34,3,TRUE),
VLOOKUP(AF86,Charge!$U$31:$W$34,2,TRUE)+(AF86-VLOOKUP(AF86,Charge!$U$31:$W$34,1,TRUE))*VLOOKUP(AF86,Charge!$U$31:$W$34,3,TRUE)),0))</f>
        <v>0</v>
      </c>
      <c r="AH86" s="65" t="n"/>
      <c r="AI86" s="65">
        <f>AA86-AH86</f>
        <v>960</v>
      </c>
      <c r="AJ86" s="188" t="n"/>
      <c r="AK86" s="62" t="str">
        <f>VLOOKUP(D86,'2.Bookinglist'!A:CT,40,FALSE)</f>
        <v>Sukunpoj Damrongying</v>
      </c>
      <c r="AL86" s="60" t="str">
        <f>VLOOKUP(D86,'2.Bookinglist'!A:CW,101,FALSE)</f>
        <v>2026-10-15</v>
      </c>
      <c r="AM86" s="60" t="str">
        <f>VLOOKUP(D86,'2.Bookinglist'!A:BK,63,FALSE)</f>
        <v>BKK27</v>
      </c>
      <c r="AN86" s="62" t="str">
        <f>VLOOKUP(D86,'2.Bookinglist'!A:AZ,52,FALSE)</f>
        <v>Pickup : 2026-10-09, Return : 2026-10-13</v>
      </c>
      <c r="AO86" s="62">
        <f>VLOOKUP(D86,'2.Bookinglist'!A:CY,103,FALSE)</f>
        <v>0</v>
      </c>
    </row>
    <row r="87" ht="12.95" customHeight="1">
      <c r="A87" s="96" t="inlineStr">
        <is>
          <t>SKHU9316821</t>
        </is>
      </c>
      <c r="B87" s="184" t="str">
        <f>IF(C87=Charge!$M$1,Charge!$J$1,IF(C87=Charge!$M$23,Charge!$J$23,IF(C87=Charge!$M$17,Charge!$J$17,IF(C87=Charge!$N$17,Charge!$J$17,Charge!$J$7))))</f>
        <v>G3</v>
      </c>
      <c r="C87" s="61" t="str">
        <f>VLOOKUP(A87,'1.Loading'!A:R,14,FALSE)</f>
        <v>BKK01</v>
      </c>
      <c r="D87" s="61" t="str">
        <f>VLOOKUP(A87,'1.Loading'!A:R,17,FALSE)</f>
        <v>HASLS22260902222</v>
      </c>
      <c r="E87" s="62" t="str">
        <f>VLOOKUP(D87,'2.Bookinglist'!A:CT,27,FALSE)</f>
        <v>CAPRICORN LOGISTICS CO., LTD.</v>
      </c>
      <c r="F87" s="62" t="str">
        <f>VLOOKUP(D87,'2.Bookinglist'!A:CT,28,FALSE)</f>
        <v>SWAN INDUSTRIES (THAILAND) LTD.</v>
      </c>
      <c r="G87" s="60">
        <f>VLOOKUP(D87,'2.Bookinglist'!A:E,5,FALSE)</f>
        <v>0</v>
      </c>
      <c r="H87" s="61" t="str">
        <f>VLOOKUP(D87,'2.Bookinglist'!A:CT,15,FALSE)</f>
        <v>THBKK</v>
      </c>
      <c r="I87" s="61" t="str">
        <f>VLOOKUP(D87,'2.Bookinglist'!A:CT,19,FALSE)</f>
        <v>VNSGN</v>
      </c>
      <c r="J87" s="61">
        <f>VLOOKUP(D87,'2.Bookinglist'!A:CT,26,FALSE)</f>
        <v>0</v>
      </c>
      <c r="K87" s="61" t="str">
        <f>VLOOKUP(A87,'1.Loading'!A:R,5,FALSE)</f>
        <v>45GP</v>
      </c>
      <c r="L87" s="60" t="str">
        <f>VLOOKUP(D87,'2.Bookinglist'!A:CT,85,FALSE)</f>
        <v>CY/CY</v>
      </c>
      <c r="M87" s="60" t="str">
        <f>IF(VLOOKUP(D87,'2.Bookinglist'!A:CT,43,FALSE)=0,"","DG")</f>
        <v/>
      </c>
      <c r="N87" s="60" t="str">
        <f>IF(RIGHT(K87,2)="RE","RF","")</f>
        <v/>
      </c>
      <c r="O87" s="61" t="str">
        <f>VLOOKUP(A87,'1.Loading'!A:R,3,FALSE)</f>
        <v>SWIC</v>
      </c>
      <c r="P87" s="61" t="str">
        <f>VLOOKUP(A87,'1.Loading'!A:R,4,FALSE)</f>
        <v>2611N</v>
      </c>
      <c r="Q87" s="61" t="str">
        <f>VLOOKUP(D87,'2.Bookinglist'!A:CT,12,FALSE)</f>
        <v>KHS1</v>
      </c>
      <c r="R87" s="60" t="str">
        <f>IF(LEFT(K87,2)="22","20'","40'")</f>
        <v>40'</v>
      </c>
      <c r="S87" s="185" t="n"/>
      <c r="T87" s="61" t="str">
        <f>VLOOKUP(A87,'1.Loading'!A:R,2,FALSE)</f>
        <v>2026-10-16</v>
      </c>
      <c r="U87" s="63">
        <f>T87-S87</f>
        <v>46311</v>
      </c>
      <c r="V87" s="186" t="n"/>
      <c r="W87" s="61" t="str">
        <f>VLOOKUP(A87,'3.GateMove'!A:D,4,FALSE)</f>
        <v>2026-10-13</v>
      </c>
      <c r="X87" s="63">
        <f>((T87-W87)+1)</f>
        <v>4</v>
      </c>
      <c r="Y87" s="64">
        <f>IF(AND(OR(C87="BKK01",C87="BKK04"),L87="CFS/CY"),0,IF(M87="DG",1,IF(LEFT(C87,3)="LCH",7,IF(C87="BKK02",5,3))))</f>
        <v>3</v>
      </c>
      <c r="Z87" s="63">
        <f>IF(IF(AND(AC87="TML",AB87&gt;0),((T87-W87)+1)-AB87,((T87-W87)+1)-Y87)&gt;0,IF(AND(AC87="TML",AB87&gt;0),((T87-W87)+1)-AB87,((T87-W87)+1)-Y87),0)</f>
        <v>1</v>
      </c>
      <c r="AA87" s="187">
        <f>IF(AND(B87="G1",M87=""),IF(R87="20'",
VLOOKUP(Z87,Charge!$K$2:$M$5,2,TRUE)+(Z87-VLOOKUP(Z87,Charge!$K$2:$M$5,1,TRUE))*VLOOKUP(Z87,Charge!$K$2:$M$5,3,TRUE),
VLOOKUP(Z87,Charge!$N$2:$P$5,2,TRUE)+(Z87-VLOOKUP(Z87,Charge!$N$2:$P$5,1,TRUE))*VLOOKUP(Z87,Charge!$N$2:$P$5,3,TRUE)),
IF(AND(B87="G1",M87="DG"),IF(R87="20'",
VLOOKUP(Z87,Charge!$R$2:$T$5,2,TRUE)+(Z87-VLOOKUP(Z87,Charge!$R$2:$T$5,1,TRUE))*VLOOKUP(Z87,Charge!$R$2:$T$5,3,TRUE),
VLOOKUP(Z87,Charge!$U$2:$W$5,2,TRUE)+(Z87-VLOOKUP(Z87,Charge!$U$2:$W$5,1,TRUE))*VLOOKUP(Z87,Charge!$U$2:$W$5,3,TRUE)),
IF(AND(B87="G3",M87=""),IF(R87="20'",
VLOOKUP(Z87,Charge!$K$18:$M$21,2,TRUE)+(Z87-VLOOKUP(Z87,Charge!$K$18:$M$21,1,TRUE))*VLOOKUP(Z87,Charge!$K$18:$M$21,3,TRUE),
VLOOKUP(Z87,Charge!$N$18:$P$21,2,TRUE)+(Z87-VLOOKUP(Z87,Charge!$N$18:$P$21,1,TRUE))*VLOOKUP(Z87,Charge!$N$18:$P$21,3,TRUE)),
IF(AND(B87="G3",M87="DG"),IF(R87="20'",
VLOOKUP(Z87,Charge!$R$18:$T$21,2,TRUE)+(Z87-VLOOKUP(Z87,Charge!$R$18:$T$21,1,TRUE))*VLOOKUP(Z87,Charge!$R$18:$T$21,3,TRUE),
VLOOKUP(Z87,Charge!$U$18:$W$21,2,TRUE)+(Z87-VLOOKUP(Z87,Charge!$U$18:$W$21,1,TRUE))*VLOOKUP(Z87,Charge!$U$18:$W$21,3,TRUE)),
IF(AND(B87="G2",M87=""),IF(R87="20'",
VLOOKUP(Z87,Charge!$K$9:$M$12,2,TRUE)+(Z87-VLOOKUP(Z87,Charge!$K$9:$M$12,1,TRUE))*VLOOKUP(Z87,Charge!$K$9:$M$12,3,TRUE),
VLOOKUP(Z87,Charge!$N$9:$P$12,2,TRUE)+(Z87-VLOOKUP(Z87,Charge!$N$9:$P$12,1,TRUE))*VLOOKUP(Z87,Charge!$N$9:$P$12,3,TRUE)),
IF(AND(B87="G2",M87="DG"),IF(R87="20'",
VLOOKUP(Z87,Charge!$R$9:$T$12,2,TRUE)+(Z87-VLOOKUP(Z87,Charge!$R$9:$T$12,1,TRUE))*VLOOKUP(Z87,Charge!$R$9:$T$12,3,TRUE),
VLOOKUP(Z87,Charge!$U$9:$W$12,2,TRUE)+(Z87-VLOOKUP(Z87,Charge!$U$9:$W$12,1,TRUE))*VLOOKUP(Z87,Charge!$U$9:$W$12,3,TRUE)),IF(AND(B87="G4",M87=""),IF(R87="20'",Z87*Charge!$M$25,Z87*Charge!$P$25),IF(AND(B87="G4",M87="DG"),IF(R87="20'",Z87*Charge!$T$25,Z87*Charge!$W$25),0))))))))</f>
        <v>320</v>
      </c>
      <c r="AB87" s="184" t="n"/>
      <c r="AC87" s="184" t="n"/>
      <c r="AD87" s="60">
        <f>IF(M87="DG",3,IF(N87="RF",3,5))+IF(AND(LEFT(C87,3)="BKK",N87="RF",Q87="KTS"),1,0)+IF(Q87="KHS",1,0)</f>
        <v>5</v>
      </c>
      <c r="AE87" s="63">
        <f>(T87-V87)+1</f>
        <v>46312</v>
      </c>
      <c r="AF87" s="63">
        <f>IF(AB87&gt;IF((V87-W87)&gt;0,V87-W87,0),0,IF(AB87&lt;IF((V87-W87)&gt;0,V87-W87,0),IF((V87-W87)&gt;0,V87-W87,0)-AB87,IF((V87-W87)&gt;0,V87-W87,0)))</f>
        <v>0</v>
      </c>
      <c r="AG87" s="187">
        <f>IF(AND(M87=""),IF(R87="20'",
VLOOKUP(AF87,Charge!$K$31:$M$34,2,TRUE)+(AF87-VLOOKUP(AF87,Charge!$K$31:$M$34,1,TRUE))*VLOOKUP(AF87,Charge!$K$31:$M$34,3,TRUE),
VLOOKUP(AF87,Charge!$N$31:$P$34,2,TRUE)+(AF87-VLOOKUP(AF87,Charge!$N$31:$P$34,1,TRUE))*VLOOKUP(AF87,Charge!$N$31:$P$34,3,TRUE)),
IF(AND(M87="DG"),IF(R87="20'",
VLOOKUP(AF87,Charge!$R$31:$T$34,2,TRUE)+(AF87-VLOOKUP(AF87,Charge!$R$31:$T$34,1,TRUE))*VLOOKUP(AF87,Charge!$R$31:$T$34,3,TRUE),
VLOOKUP(AF87,Charge!$U$31:$W$34,2,TRUE)+(AF87-VLOOKUP(AF87,Charge!$U$31:$W$34,1,TRUE))*VLOOKUP(AF87,Charge!$U$31:$W$34,3,TRUE)),0))</f>
        <v>0</v>
      </c>
      <c r="AH87" s="65" t="n"/>
      <c r="AI87" s="65">
        <f>AA87-AH87</f>
        <v>320</v>
      </c>
      <c r="AJ87" s="188" t="n"/>
      <c r="AK87" s="62" t="str">
        <f>VLOOKUP(D87,'2.Bookinglist'!A:CT,40,FALSE)</f>
        <v>Nguyen Xuan Toan</v>
      </c>
      <c r="AL87" s="60" t="str">
        <f>VLOOKUP(D87,'2.Bookinglist'!A:CW,101,FALSE)</f>
        <v>2026-10-15</v>
      </c>
      <c r="AM87" s="60" t="str">
        <f>VLOOKUP(D87,'2.Bookinglist'!A:BK,63,FALSE)</f>
        <v>BKK27</v>
      </c>
      <c r="AN87" s="62" t="str">
        <f>VLOOKUP(D87,'2.Bookinglist'!A:AZ,52,FALSE)</f>
        <v>Pickup : 2026-10-12, Return : 2026-10-12 (1ST RETURN DD.11/10/26)</v>
      </c>
      <c r="AO87" s="62">
        <f>VLOOKUP(D87,'2.Bookinglist'!A:CY,103,FALSE)</f>
        <v>0</v>
      </c>
    </row>
    <row r="88" ht="12.95" customHeight="1">
      <c r="A88" s="96" t="inlineStr">
        <is>
          <t>SKHU9501711</t>
        </is>
      </c>
      <c r="B88" s="184" t="str">
        <f>IF(C88=Charge!$M$1,Charge!$J$1,IF(C88=Charge!$M$23,Charge!$J$23,IF(C88=Charge!$M$17,Charge!$J$17,IF(C88=Charge!$N$17,Charge!$J$17,Charge!$J$7))))</f>
        <v>G3</v>
      </c>
      <c r="C88" s="61" t="str">
        <f>VLOOKUP(A88,'1.Loading'!A:R,14,FALSE)</f>
        <v>BKK01</v>
      </c>
      <c r="D88" s="61" t="str">
        <f>VLOOKUP(A88,'1.Loading'!A:R,17,FALSE)</f>
        <v>HASLS22260901365</v>
      </c>
      <c r="E88" s="62" t="str">
        <f>VLOOKUP(D88,'2.Bookinglist'!A:CT,27,FALSE)</f>
        <v>LOTUS FREIGHT AND SERVICES CORP.,LTD.</v>
      </c>
      <c r="F88" s="62" t="str">
        <f>VLOOKUP(D88,'2.Bookinglist'!A:CT,28,FALSE)</f>
        <v>EXCEL ENTECH CO.,LTD.</v>
      </c>
      <c r="G88" s="60">
        <f>VLOOKUP(D88,'2.Bookinglist'!A:E,5,FALSE)</f>
        <v>0</v>
      </c>
      <c r="H88" s="61" t="str">
        <f>VLOOKUP(D88,'2.Bookinglist'!A:CT,15,FALSE)</f>
        <v>THBKK</v>
      </c>
      <c r="I88" s="61" t="str">
        <f>VLOOKUP(D88,'2.Bookinglist'!A:CT,19,FALSE)</f>
        <v>VNSGN</v>
      </c>
      <c r="J88" s="61">
        <f>VLOOKUP(D88,'2.Bookinglist'!A:CT,26,FALSE)</f>
        <v>0</v>
      </c>
      <c r="K88" s="61" t="str">
        <f>VLOOKUP(A88,'1.Loading'!A:R,5,FALSE)</f>
        <v>45GP</v>
      </c>
      <c r="L88" s="60" t="str">
        <f>VLOOKUP(D88,'2.Bookinglist'!A:CT,85,FALSE)</f>
        <v>CY/CY</v>
      </c>
      <c r="M88" s="60" t="str">
        <f>IF(VLOOKUP(D88,'2.Bookinglist'!A:CT,43,FALSE)=0,"","DG")</f>
        <v/>
      </c>
      <c r="N88" s="60" t="str">
        <f>IF(RIGHT(K88,2)="RE","RF","")</f>
        <v/>
      </c>
      <c r="O88" s="61" t="str">
        <f>VLOOKUP(A88,'1.Loading'!A:R,3,FALSE)</f>
        <v>SWIC</v>
      </c>
      <c r="P88" s="61" t="str">
        <f>VLOOKUP(A88,'1.Loading'!A:R,4,FALSE)</f>
        <v>2611N</v>
      </c>
      <c r="Q88" s="61" t="str">
        <f>VLOOKUP(D88,'2.Bookinglist'!A:CT,12,FALSE)</f>
        <v>KHS1</v>
      </c>
      <c r="R88" s="60" t="str">
        <f>IF(LEFT(K88,2)="22","20'","40'")</f>
        <v>40'</v>
      </c>
      <c r="S88" s="185" t="n"/>
      <c r="T88" s="61" t="str">
        <f>VLOOKUP(A88,'1.Loading'!A:R,2,FALSE)</f>
        <v>2026-10-16</v>
      </c>
      <c r="U88" s="63">
        <f>T88-S88</f>
        <v>46311</v>
      </c>
      <c r="V88" s="186" t="n"/>
      <c r="W88" s="61" t="str">
        <f>VLOOKUP(A88,'3.GateMove'!A:D,4,FALSE)</f>
        <v>2026-10-10</v>
      </c>
      <c r="X88" s="63">
        <f>((T88-W88)+1)</f>
        <v>7</v>
      </c>
      <c r="Y88" s="64">
        <f>IF(AND(OR(C88="BKK01",C88="BKK04"),L88="CFS/CY"),0,IF(M88="DG",1,IF(LEFT(C88,3)="LCH",7,IF(C88="BKK02",5,3))))</f>
        <v>3</v>
      </c>
      <c r="Z88" s="63">
        <f>IF(IF(AND(AC88="TML",AB88&gt;0),((T88-W88)+1)-AB88,((T88-W88)+1)-Y88)&gt;0,IF(AND(AC88="TML",AB88&gt;0),((T88-W88)+1)-AB88,((T88-W88)+1)-Y88),0)</f>
        <v>4</v>
      </c>
      <c r="AA88" s="187">
        <f>IF(AND(B88="G1",M88=""),IF(R88="20'",
VLOOKUP(Z88,Charge!$K$2:$M$5,2,TRUE)+(Z88-VLOOKUP(Z88,Charge!$K$2:$M$5,1,TRUE))*VLOOKUP(Z88,Charge!$K$2:$M$5,3,TRUE),
VLOOKUP(Z88,Charge!$N$2:$P$5,2,TRUE)+(Z88-VLOOKUP(Z88,Charge!$N$2:$P$5,1,TRUE))*VLOOKUP(Z88,Charge!$N$2:$P$5,3,TRUE)),
IF(AND(B88="G1",M88="DG"),IF(R88="20'",
VLOOKUP(Z88,Charge!$R$2:$T$5,2,TRUE)+(Z88-VLOOKUP(Z88,Charge!$R$2:$T$5,1,TRUE))*VLOOKUP(Z88,Charge!$R$2:$T$5,3,TRUE),
VLOOKUP(Z88,Charge!$U$2:$W$5,2,TRUE)+(Z88-VLOOKUP(Z88,Charge!$U$2:$W$5,1,TRUE))*VLOOKUP(Z88,Charge!$U$2:$W$5,3,TRUE)),
IF(AND(B88="G3",M88=""),IF(R88="20'",
VLOOKUP(Z88,Charge!$K$18:$M$21,2,TRUE)+(Z88-VLOOKUP(Z88,Charge!$K$18:$M$21,1,TRUE))*VLOOKUP(Z88,Charge!$K$18:$M$21,3,TRUE),
VLOOKUP(Z88,Charge!$N$18:$P$21,2,TRUE)+(Z88-VLOOKUP(Z88,Charge!$N$18:$P$21,1,TRUE))*VLOOKUP(Z88,Charge!$N$18:$P$21,3,TRUE)),
IF(AND(B88="G3",M88="DG"),IF(R88="20'",
VLOOKUP(Z88,Charge!$R$18:$T$21,2,TRUE)+(Z88-VLOOKUP(Z88,Charge!$R$18:$T$21,1,TRUE))*VLOOKUP(Z88,Charge!$R$18:$T$21,3,TRUE),
VLOOKUP(Z88,Charge!$U$18:$W$21,2,TRUE)+(Z88-VLOOKUP(Z88,Charge!$U$18:$W$21,1,TRUE))*VLOOKUP(Z88,Charge!$U$18:$W$21,3,TRUE)),
IF(AND(B88="G2",M88=""),IF(R88="20'",
VLOOKUP(Z88,Charge!$K$9:$M$12,2,TRUE)+(Z88-VLOOKUP(Z88,Charge!$K$9:$M$12,1,TRUE))*VLOOKUP(Z88,Charge!$K$9:$M$12,3,TRUE),
VLOOKUP(Z88,Charge!$N$9:$P$12,2,TRUE)+(Z88-VLOOKUP(Z88,Charge!$N$9:$P$12,1,TRUE))*VLOOKUP(Z88,Charge!$N$9:$P$12,3,TRUE)),
IF(AND(B88="G2",M88="DG"),IF(R88="20'",
VLOOKUP(Z88,Charge!$R$9:$T$12,2,TRUE)+(Z88-VLOOKUP(Z88,Charge!$R$9:$T$12,1,TRUE))*VLOOKUP(Z88,Charge!$R$9:$T$12,3,TRUE),
VLOOKUP(Z88,Charge!$U$9:$W$12,2,TRUE)+(Z88-VLOOKUP(Z88,Charge!$U$9:$W$12,1,TRUE))*VLOOKUP(Z88,Charge!$U$9:$W$12,3,TRUE)),IF(AND(B88="G4",M88=""),IF(R88="20'",Z88*Charge!$M$25,Z88*Charge!$P$25),IF(AND(B88="G4",M88="DG"),IF(R88="20'",Z88*Charge!$T$25,Z88*Charge!$W$25),0))))))))</f>
        <v>1280</v>
      </c>
      <c r="AB88" s="184" t="n"/>
      <c r="AC88" s="184" t="n"/>
      <c r="AD88" s="60">
        <f>IF(M88="DG",3,IF(N88="RF",3,5))+IF(AND(LEFT(C88,3)="BKK",N88="RF",Q88="KTS"),1,0)+IF(Q88="KHS",1,0)</f>
        <v>5</v>
      </c>
      <c r="AE88" s="63">
        <f>(T88-V88)+1</f>
        <v>46312</v>
      </c>
      <c r="AF88" s="63">
        <f>IF(AB88&gt;IF((V88-W88)&gt;0,V88-W88,0),0,IF(AB88&lt;IF((V88-W88)&gt;0,V88-W88,0),IF((V88-W88)&gt;0,V88-W88,0)-AB88,IF((V88-W88)&gt;0,V88-W88,0)))</f>
        <v>0</v>
      </c>
      <c r="AG88" s="187">
        <f>IF(AND(M88=""),IF(R88="20'",
VLOOKUP(AF88,Charge!$K$31:$M$34,2,TRUE)+(AF88-VLOOKUP(AF88,Charge!$K$31:$M$34,1,TRUE))*VLOOKUP(AF88,Charge!$K$31:$M$34,3,TRUE),
VLOOKUP(AF88,Charge!$N$31:$P$34,2,TRUE)+(AF88-VLOOKUP(AF88,Charge!$N$31:$P$34,1,TRUE))*VLOOKUP(AF88,Charge!$N$31:$P$34,3,TRUE)),
IF(AND(M88="DG"),IF(R88="20'",
VLOOKUP(AF88,Charge!$R$31:$T$34,2,TRUE)+(AF88-VLOOKUP(AF88,Charge!$R$31:$T$34,1,TRUE))*VLOOKUP(AF88,Charge!$R$31:$T$34,3,TRUE),
VLOOKUP(AF88,Charge!$U$31:$W$34,2,TRUE)+(AF88-VLOOKUP(AF88,Charge!$U$31:$W$34,1,TRUE))*VLOOKUP(AF88,Charge!$U$31:$W$34,3,TRUE)),0))</f>
        <v>0</v>
      </c>
      <c r="AH88" s="65" t="n"/>
      <c r="AI88" s="65">
        <f>AA88-AH88</f>
        <v>1280</v>
      </c>
      <c r="AJ88" s="188" t="n"/>
      <c r="AK88" s="62" t="str">
        <f>VLOOKUP(D88,'2.Bookinglist'!A:CT,40,FALSE)</f>
        <v>Sukunpoj Damrongying</v>
      </c>
      <c r="AL88" s="60" t="str">
        <f>VLOOKUP(D88,'2.Bookinglist'!A:CW,101,FALSE)</f>
        <v>2026-10-15</v>
      </c>
      <c r="AM88" s="60" t="str">
        <f>VLOOKUP(D88,'2.Bookinglist'!A:BK,63,FALSE)</f>
        <v>BKK27</v>
      </c>
      <c r="AN88" s="62" t="str">
        <f>VLOOKUP(D88,'2.Bookinglist'!A:AZ,52,FALSE)</f>
        <v>Pickup : 2026-10-09, Return : 2026-10-13</v>
      </c>
      <c r="AO88" s="62">
        <f>VLOOKUP(D88,'2.Bookinglist'!A:CY,103,FALSE)</f>
        <v>0</v>
      </c>
    </row>
    <row r="89" ht="12.95" customHeight="1">
      <c r="A89" s="96" t="inlineStr">
        <is>
          <t>SKHU9509008</t>
        </is>
      </c>
      <c r="B89" s="184" t="str">
        <f>IF(C89=Charge!$M$1,Charge!$J$1,IF(C89=Charge!$M$23,Charge!$J$23,IF(C89=Charge!$M$17,Charge!$J$17,IF(C89=Charge!$N$17,Charge!$J$17,Charge!$J$7))))</f>
        <v>G3</v>
      </c>
      <c r="C89" s="61" t="str">
        <f>VLOOKUP(A89,'1.Loading'!A:R,14,FALSE)</f>
        <v>BKK01</v>
      </c>
      <c r="D89" s="61" t="str">
        <f>VLOOKUP(A89,'1.Loading'!A:R,17,FALSE)</f>
        <v>HASLS22260901365</v>
      </c>
      <c r="E89" s="62" t="str">
        <f>VLOOKUP(D89,'2.Bookinglist'!A:CT,27,FALSE)</f>
        <v>LOTUS FREIGHT AND SERVICES CORP.,LTD.</v>
      </c>
      <c r="F89" s="62" t="str">
        <f>VLOOKUP(D89,'2.Bookinglist'!A:CT,28,FALSE)</f>
        <v>EXCEL ENTECH CO.,LTD.</v>
      </c>
      <c r="G89" s="60">
        <f>VLOOKUP(D89,'2.Bookinglist'!A:E,5,FALSE)</f>
        <v>0</v>
      </c>
      <c r="H89" s="61" t="str">
        <f>VLOOKUP(D89,'2.Bookinglist'!A:CT,15,FALSE)</f>
        <v>THBKK</v>
      </c>
      <c r="I89" s="61" t="str">
        <f>VLOOKUP(D89,'2.Bookinglist'!A:CT,19,FALSE)</f>
        <v>VNSGN</v>
      </c>
      <c r="J89" s="61">
        <f>VLOOKUP(D89,'2.Bookinglist'!A:CT,26,FALSE)</f>
        <v>0</v>
      </c>
      <c r="K89" s="61" t="str">
        <f>VLOOKUP(A89,'1.Loading'!A:R,5,FALSE)</f>
        <v>45GP</v>
      </c>
      <c r="L89" s="60" t="str">
        <f>VLOOKUP(D89,'2.Bookinglist'!A:CT,85,FALSE)</f>
        <v>CY/CY</v>
      </c>
      <c r="M89" s="60" t="str">
        <f>IF(VLOOKUP(D89,'2.Bookinglist'!A:CT,43,FALSE)=0,"","DG")</f>
        <v/>
      </c>
      <c r="N89" s="60" t="str">
        <f>IF(RIGHT(K89,2)="RE","RF","")</f>
        <v/>
      </c>
      <c r="O89" s="61" t="str">
        <f>VLOOKUP(A89,'1.Loading'!A:R,3,FALSE)</f>
        <v>SWIC</v>
      </c>
      <c r="P89" s="61" t="str">
        <f>VLOOKUP(A89,'1.Loading'!A:R,4,FALSE)</f>
        <v>2611N</v>
      </c>
      <c r="Q89" s="61" t="str">
        <f>VLOOKUP(D89,'2.Bookinglist'!A:CT,12,FALSE)</f>
        <v>KHS1</v>
      </c>
      <c r="R89" s="60" t="str">
        <f>IF(LEFT(K89,2)="22","20'","40'")</f>
        <v>40'</v>
      </c>
      <c r="S89" s="185" t="n"/>
      <c r="T89" s="61" t="str">
        <f>VLOOKUP(A89,'1.Loading'!A:R,2,FALSE)</f>
        <v>2026-10-16</v>
      </c>
      <c r="U89" s="63">
        <f>T89-S89</f>
        <v>46311</v>
      </c>
      <c r="V89" s="186" t="n"/>
      <c r="W89" s="61" t="str">
        <f>VLOOKUP(A89,'3.GateMove'!A:D,4,FALSE)</f>
        <v>2026-10-11</v>
      </c>
      <c r="X89" s="63">
        <f>((T89-W89)+1)</f>
        <v>6</v>
      </c>
      <c r="Y89" s="64">
        <f>IF(AND(OR(C89="BKK01",C89="BKK04"),L89="CFS/CY"),0,IF(M89="DG",1,IF(LEFT(C89,3)="LCH",7,IF(C89="BKK02",5,3))))</f>
        <v>3</v>
      </c>
      <c r="Z89" s="63">
        <f>IF(IF(AND(AC89="TML",AB89&gt;0),((T89-W89)+1)-AB89,((T89-W89)+1)-Y89)&gt;0,IF(AND(AC89="TML",AB89&gt;0),((T89-W89)+1)-AB89,((T89-W89)+1)-Y89),0)</f>
        <v>3</v>
      </c>
      <c r="AA89" s="187">
        <f>IF(AND(B89="G1",M89=""),IF(R89="20'",
VLOOKUP(Z89,Charge!$K$2:$M$5,2,TRUE)+(Z89-VLOOKUP(Z89,Charge!$K$2:$M$5,1,TRUE))*VLOOKUP(Z89,Charge!$K$2:$M$5,3,TRUE),
VLOOKUP(Z89,Charge!$N$2:$P$5,2,TRUE)+(Z89-VLOOKUP(Z89,Charge!$N$2:$P$5,1,TRUE))*VLOOKUP(Z89,Charge!$N$2:$P$5,3,TRUE)),
IF(AND(B89="G1",M89="DG"),IF(R89="20'",
VLOOKUP(Z89,Charge!$R$2:$T$5,2,TRUE)+(Z89-VLOOKUP(Z89,Charge!$R$2:$T$5,1,TRUE))*VLOOKUP(Z89,Charge!$R$2:$T$5,3,TRUE),
VLOOKUP(Z89,Charge!$U$2:$W$5,2,TRUE)+(Z89-VLOOKUP(Z89,Charge!$U$2:$W$5,1,TRUE))*VLOOKUP(Z89,Charge!$U$2:$W$5,3,TRUE)),
IF(AND(B89="G3",M89=""),IF(R89="20'",
VLOOKUP(Z89,Charge!$K$18:$M$21,2,TRUE)+(Z89-VLOOKUP(Z89,Charge!$K$18:$M$21,1,TRUE))*VLOOKUP(Z89,Charge!$K$18:$M$21,3,TRUE),
VLOOKUP(Z89,Charge!$N$18:$P$21,2,TRUE)+(Z89-VLOOKUP(Z89,Charge!$N$18:$P$21,1,TRUE))*VLOOKUP(Z89,Charge!$N$18:$P$21,3,TRUE)),
IF(AND(B89="G3",M89="DG"),IF(R89="20'",
VLOOKUP(Z89,Charge!$R$18:$T$21,2,TRUE)+(Z89-VLOOKUP(Z89,Charge!$R$18:$T$21,1,TRUE))*VLOOKUP(Z89,Charge!$R$18:$T$21,3,TRUE),
VLOOKUP(Z89,Charge!$U$18:$W$21,2,TRUE)+(Z89-VLOOKUP(Z89,Charge!$U$18:$W$21,1,TRUE))*VLOOKUP(Z89,Charge!$U$18:$W$21,3,TRUE)),
IF(AND(B89="G2",M89=""),IF(R89="20'",
VLOOKUP(Z89,Charge!$K$9:$M$12,2,TRUE)+(Z89-VLOOKUP(Z89,Charge!$K$9:$M$12,1,TRUE))*VLOOKUP(Z89,Charge!$K$9:$M$12,3,TRUE),
VLOOKUP(Z89,Charge!$N$9:$P$12,2,TRUE)+(Z89-VLOOKUP(Z89,Charge!$N$9:$P$12,1,TRUE))*VLOOKUP(Z89,Charge!$N$9:$P$12,3,TRUE)),
IF(AND(B89="G2",M89="DG"),IF(R89="20'",
VLOOKUP(Z89,Charge!$R$9:$T$12,2,TRUE)+(Z89-VLOOKUP(Z89,Charge!$R$9:$T$12,1,TRUE))*VLOOKUP(Z89,Charge!$R$9:$T$12,3,TRUE),
VLOOKUP(Z89,Charge!$U$9:$W$12,2,TRUE)+(Z89-VLOOKUP(Z89,Charge!$U$9:$W$12,1,TRUE))*VLOOKUP(Z89,Charge!$U$9:$W$12,3,TRUE)),IF(AND(B89="G4",M89=""),IF(R89="20'",Z89*Charge!$M$25,Z89*Charge!$P$25),IF(AND(B89="G4",M89="DG"),IF(R89="20'",Z89*Charge!$T$25,Z89*Charge!$W$25),0))))))))</f>
        <v>960</v>
      </c>
      <c r="AB89" s="184" t="n"/>
      <c r="AC89" s="184" t="n"/>
      <c r="AD89" s="60">
        <f>IF(M89="DG",3,IF(N89="RF",3,5))+IF(AND(LEFT(C89,3)="BKK",N89="RF",Q89="KTS"),1,0)+IF(Q89="KHS",1,0)</f>
        <v>5</v>
      </c>
      <c r="AE89" s="63">
        <f>(T89-V89)+1</f>
        <v>46312</v>
      </c>
      <c r="AF89" s="63">
        <f>IF(AB89&gt;IF((V89-W89)&gt;0,V89-W89,0),0,IF(AB89&lt;IF((V89-W89)&gt;0,V89-W89,0),IF((V89-W89)&gt;0,V89-W89,0)-AB89,IF((V89-W89)&gt;0,V89-W89,0)))</f>
        <v>0</v>
      </c>
      <c r="AG89" s="187">
        <f>IF(AND(M89=""),IF(R89="20'",
VLOOKUP(AF89,Charge!$K$31:$M$34,2,TRUE)+(AF89-VLOOKUP(AF89,Charge!$K$31:$M$34,1,TRUE))*VLOOKUP(AF89,Charge!$K$31:$M$34,3,TRUE),
VLOOKUP(AF89,Charge!$N$31:$P$34,2,TRUE)+(AF89-VLOOKUP(AF89,Charge!$N$31:$P$34,1,TRUE))*VLOOKUP(AF89,Charge!$N$31:$P$34,3,TRUE)),
IF(AND(M89="DG"),IF(R89="20'",
VLOOKUP(AF89,Charge!$R$31:$T$34,2,TRUE)+(AF89-VLOOKUP(AF89,Charge!$R$31:$T$34,1,TRUE))*VLOOKUP(AF89,Charge!$R$31:$T$34,3,TRUE),
VLOOKUP(AF89,Charge!$U$31:$W$34,2,TRUE)+(AF89-VLOOKUP(AF89,Charge!$U$31:$W$34,1,TRUE))*VLOOKUP(AF89,Charge!$U$31:$W$34,3,TRUE)),0))</f>
        <v>0</v>
      </c>
      <c r="AH89" s="65" t="n"/>
      <c r="AI89" s="65">
        <f>AA89-AH89</f>
        <v>960</v>
      </c>
      <c r="AJ89" s="188" t="n"/>
      <c r="AK89" s="62" t="str">
        <f>VLOOKUP(D89,'2.Bookinglist'!A:CT,40,FALSE)</f>
        <v>Sukunpoj Damrongying</v>
      </c>
      <c r="AL89" s="60" t="str">
        <f>VLOOKUP(D89,'2.Bookinglist'!A:CW,101,FALSE)</f>
        <v>2026-10-15</v>
      </c>
      <c r="AM89" s="60" t="str">
        <f>VLOOKUP(D89,'2.Bookinglist'!A:BK,63,FALSE)</f>
        <v>BKK27</v>
      </c>
      <c r="AN89" s="62" t="str">
        <f>VLOOKUP(D89,'2.Bookinglist'!A:AZ,52,FALSE)</f>
        <v>Pickup : 2026-10-09, Return : 2026-10-13</v>
      </c>
      <c r="AO89" s="62">
        <f>VLOOKUP(D89,'2.Bookinglist'!A:CY,103,FALSE)</f>
        <v>0</v>
      </c>
    </row>
    <row r="90" ht="12.95" customHeight="1">
      <c r="A90" s="96" t="inlineStr">
        <is>
          <t>SKHU9554809</t>
        </is>
      </c>
      <c r="B90" s="184" t="str">
        <f>IF(C90=Charge!$M$1,Charge!$J$1,IF(C90=Charge!$M$23,Charge!$J$23,IF(C90=Charge!$M$17,Charge!$J$17,IF(C90=Charge!$N$17,Charge!$J$17,Charge!$J$7))))</f>
        <v>G3</v>
      </c>
      <c r="C90" s="61" t="str">
        <f>VLOOKUP(A90,'1.Loading'!A:R,14,FALSE)</f>
        <v>BKK01</v>
      </c>
      <c r="D90" s="61" t="str">
        <f>VLOOKUP(A90,'1.Loading'!A:R,17,FALSE)</f>
        <v>HASLS22260902182</v>
      </c>
      <c r="E90" s="62" t="str">
        <f>VLOOKUP(D90,'2.Bookinglist'!A:CT,27,FALSE)</f>
        <v>BIRLA CARBON (THAILAND) PUBLIC COMPANY LIMITED</v>
      </c>
      <c r="F90" s="62" t="str">
        <f>VLOOKUP(D90,'2.Bookinglist'!A:CT,28,FALSE)</f>
        <v>BIRLA CARBON (THAILAND) PUBLIC COMPANY LIMITED</v>
      </c>
      <c r="G90" s="60">
        <f>VLOOKUP(D90,'2.Bookinglist'!A:E,5,FALSE)</f>
        <v>0</v>
      </c>
      <c r="H90" s="61" t="str">
        <f>VLOOKUP(D90,'2.Bookinglist'!A:CT,15,FALSE)</f>
        <v>THBKK</v>
      </c>
      <c r="I90" s="61" t="str">
        <f>VLOOKUP(D90,'2.Bookinglist'!A:CT,19,FALSE)</f>
        <v>VNSGN</v>
      </c>
      <c r="J90" s="61">
        <f>VLOOKUP(D90,'2.Bookinglist'!A:CT,26,FALSE)</f>
        <v>0</v>
      </c>
      <c r="K90" s="61" t="str">
        <f>VLOOKUP(A90,'1.Loading'!A:R,5,FALSE)</f>
        <v>45GP</v>
      </c>
      <c r="L90" s="60" t="str">
        <f>VLOOKUP(D90,'2.Bookinglist'!A:CT,85,FALSE)</f>
        <v>CY/CY</v>
      </c>
      <c r="M90" s="60" t="str">
        <f>IF(VLOOKUP(D90,'2.Bookinglist'!A:CT,43,FALSE)=0,"","DG")</f>
        <v/>
      </c>
      <c r="N90" s="60" t="str">
        <f>IF(RIGHT(K90,2)="RE","RF","")</f>
        <v/>
      </c>
      <c r="O90" s="61" t="str">
        <f>VLOOKUP(A90,'1.Loading'!A:R,3,FALSE)</f>
        <v>SWIC</v>
      </c>
      <c r="P90" s="61" t="str">
        <f>VLOOKUP(A90,'1.Loading'!A:R,4,FALSE)</f>
        <v>2611N</v>
      </c>
      <c r="Q90" s="61" t="str">
        <f>VLOOKUP(D90,'2.Bookinglist'!A:CT,12,FALSE)</f>
        <v>KHS1</v>
      </c>
      <c r="R90" s="60" t="str">
        <f>IF(LEFT(K90,2)="22","20'","40'")</f>
        <v>40'</v>
      </c>
      <c r="S90" s="185" t="n"/>
      <c r="T90" s="61" t="str">
        <f>VLOOKUP(A90,'1.Loading'!A:R,2,FALSE)</f>
        <v>2026-10-16</v>
      </c>
      <c r="U90" s="63">
        <f>T90-S90</f>
        <v>46311</v>
      </c>
      <c r="V90" s="186" t="n"/>
      <c r="W90" s="61" t="str">
        <f>VLOOKUP(A90,'3.GateMove'!A:D,4,FALSE)</f>
        <v>2026-10-12</v>
      </c>
      <c r="X90" s="63">
        <f>((T90-W90)+1)</f>
        <v>5</v>
      </c>
      <c r="Y90" s="64">
        <f>IF(AND(OR(C90="BKK01",C90="BKK04"),L90="CFS/CY"),0,IF(M90="DG",1,IF(LEFT(C90,3)="LCH",7,IF(C90="BKK02",5,3))))</f>
        <v>3</v>
      </c>
      <c r="Z90" s="63">
        <f>IF(IF(AND(AC90="TML",AB90&gt;0),((T90-W90)+1)-AB90,((T90-W90)+1)-Y90)&gt;0,IF(AND(AC90="TML",AB90&gt;0),((T90-W90)+1)-AB90,((T90-W90)+1)-Y90),0)</f>
        <v>2</v>
      </c>
      <c r="AA90" s="187">
        <f>IF(AND(B90="G1",M90=""),IF(R90="20'",
VLOOKUP(Z90,Charge!$K$2:$M$5,2,TRUE)+(Z90-VLOOKUP(Z90,Charge!$K$2:$M$5,1,TRUE))*VLOOKUP(Z90,Charge!$K$2:$M$5,3,TRUE),
VLOOKUP(Z90,Charge!$N$2:$P$5,2,TRUE)+(Z90-VLOOKUP(Z90,Charge!$N$2:$P$5,1,TRUE))*VLOOKUP(Z90,Charge!$N$2:$P$5,3,TRUE)),
IF(AND(B90="G1",M90="DG"),IF(R90="20'",
VLOOKUP(Z90,Charge!$R$2:$T$5,2,TRUE)+(Z90-VLOOKUP(Z90,Charge!$R$2:$T$5,1,TRUE))*VLOOKUP(Z90,Charge!$R$2:$T$5,3,TRUE),
VLOOKUP(Z90,Charge!$U$2:$W$5,2,TRUE)+(Z90-VLOOKUP(Z90,Charge!$U$2:$W$5,1,TRUE))*VLOOKUP(Z90,Charge!$U$2:$W$5,3,TRUE)),
IF(AND(B90="G3",M90=""),IF(R90="20'",
VLOOKUP(Z90,Charge!$K$18:$M$21,2,TRUE)+(Z90-VLOOKUP(Z90,Charge!$K$18:$M$21,1,TRUE))*VLOOKUP(Z90,Charge!$K$18:$M$21,3,TRUE),
VLOOKUP(Z90,Charge!$N$18:$P$21,2,TRUE)+(Z90-VLOOKUP(Z90,Charge!$N$18:$P$21,1,TRUE))*VLOOKUP(Z90,Charge!$N$18:$P$21,3,TRUE)),
IF(AND(B90="G3",M90="DG"),IF(R90="20'",
VLOOKUP(Z90,Charge!$R$18:$T$21,2,TRUE)+(Z90-VLOOKUP(Z90,Charge!$R$18:$T$21,1,TRUE))*VLOOKUP(Z90,Charge!$R$18:$T$21,3,TRUE),
VLOOKUP(Z90,Charge!$U$18:$W$21,2,TRUE)+(Z90-VLOOKUP(Z90,Charge!$U$18:$W$21,1,TRUE))*VLOOKUP(Z90,Charge!$U$18:$W$21,3,TRUE)),
IF(AND(B90="G2",M90=""),IF(R90="20'",
VLOOKUP(Z90,Charge!$K$9:$M$12,2,TRUE)+(Z90-VLOOKUP(Z90,Charge!$K$9:$M$12,1,TRUE))*VLOOKUP(Z90,Charge!$K$9:$M$12,3,TRUE),
VLOOKUP(Z90,Charge!$N$9:$P$12,2,TRUE)+(Z90-VLOOKUP(Z90,Charge!$N$9:$P$12,1,TRUE))*VLOOKUP(Z90,Charge!$N$9:$P$12,3,TRUE)),
IF(AND(B90="G2",M90="DG"),IF(R90="20'",
VLOOKUP(Z90,Charge!$R$9:$T$12,2,TRUE)+(Z90-VLOOKUP(Z90,Charge!$R$9:$T$12,1,TRUE))*VLOOKUP(Z90,Charge!$R$9:$T$12,3,TRUE),
VLOOKUP(Z90,Charge!$U$9:$W$12,2,TRUE)+(Z90-VLOOKUP(Z90,Charge!$U$9:$W$12,1,TRUE))*VLOOKUP(Z90,Charge!$U$9:$W$12,3,TRUE)),IF(AND(B90="G4",M90=""),IF(R90="20'",Z90*Charge!$M$25,Z90*Charge!$P$25),IF(AND(B90="G4",M90="DG"),IF(R90="20'",Z90*Charge!$T$25,Z90*Charge!$W$25),0))))))))</f>
        <v>640</v>
      </c>
      <c r="AB90" s="184" t="n"/>
      <c r="AC90" s="184" t="n"/>
      <c r="AD90" s="60">
        <f>IF(M90="DG",3,IF(N90="RF",3,5))+IF(AND(LEFT(C90,3)="BKK",N90="RF",Q90="KTS"),1,0)+IF(Q90="KHS",1,0)</f>
        <v>5</v>
      </c>
      <c r="AE90" s="63">
        <f>(T90-V90)+1</f>
        <v>46312</v>
      </c>
      <c r="AF90" s="63">
        <f>IF(AB90&gt;IF((V90-W90)&gt;0,V90-W90,0),0,IF(AB90&lt;IF((V90-W90)&gt;0,V90-W90,0),IF((V90-W90)&gt;0,V90-W90,0)-AB90,IF((V90-W90)&gt;0,V90-W90,0)))</f>
        <v>0</v>
      </c>
      <c r="AG90" s="187">
        <f>IF(AND(M90=""),IF(R90="20'",
VLOOKUP(AF90,Charge!$K$31:$M$34,2,TRUE)+(AF90-VLOOKUP(AF90,Charge!$K$31:$M$34,1,TRUE))*VLOOKUP(AF90,Charge!$K$31:$M$34,3,TRUE),
VLOOKUP(AF90,Charge!$N$31:$P$34,2,TRUE)+(AF90-VLOOKUP(AF90,Charge!$N$31:$P$34,1,TRUE))*VLOOKUP(AF90,Charge!$N$31:$P$34,3,TRUE)),
IF(AND(M90="DG"),IF(R90="20'",
VLOOKUP(AF90,Charge!$R$31:$T$34,2,TRUE)+(AF90-VLOOKUP(AF90,Charge!$R$31:$T$34,1,TRUE))*VLOOKUP(AF90,Charge!$R$31:$T$34,3,TRUE),
VLOOKUP(AF90,Charge!$U$31:$W$34,2,TRUE)+(AF90-VLOOKUP(AF90,Charge!$U$31:$W$34,1,TRUE))*VLOOKUP(AF90,Charge!$U$31:$W$34,3,TRUE)),0))</f>
        <v>0</v>
      </c>
      <c r="AH90" s="65" t="n"/>
      <c r="AI90" s="65">
        <f>AA90-AH90</f>
        <v>640</v>
      </c>
      <c r="AJ90" s="188" t="n"/>
      <c r="AK90" s="62" t="str">
        <f>VLOOKUP(D90,'2.Bookinglist'!A:CT,40,FALSE)</f>
        <v>Dharaporn</v>
      </c>
      <c r="AL90" s="60" t="str">
        <f>VLOOKUP(D90,'2.Bookinglist'!A:CW,101,FALSE)</f>
        <v>2026-10-15</v>
      </c>
      <c r="AM90" s="60" t="str">
        <f>VLOOKUP(D90,'2.Bookinglist'!A:BK,63,FALSE)</f>
        <v>BKK27</v>
      </c>
      <c r="AN90" s="62" t="str">
        <f>VLOOKUP(D90,'2.Bookinglist'!A:AZ,52,FALSE)</f>
        <v>Pickup : 2026-10-10, Return : 2026-10-11
CLS TIME DD.13/10/2026 @ 23.59</v>
      </c>
      <c r="AO90" s="62">
        <f>VLOOKUP(D90,'2.Bookinglist'!A:CY,103,FALSE)</f>
        <v>0</v>
      </c>
    </row>
    <row r="91" ht="12.95" customHeight="1">
      <c r="A91" s="96" t="inlineStr">
        <is>
          <t>SKHU9623216</t>
        </is>
      </c>
      <c r="B91" s="184" t="str">
        <f>IF(C91=Charge!$M$1,Charge!$J$1,IF(C91=Charge!$M$23,Charge!$J$23,IF(C91=Charge!$M$17,Charge!$J$17,IF(C91=Charge!$N$17,Charge!$J$17,Charge!$J$7))))</f>
        <v>G3</v>
      </c>
      <c r="C91" s="61" t="str">
        <f>VLOOKUP(A91,'1.Loading'!A:R,14,FALSE)</f>
        <v>BKK01</v>
      </c>
      <c r="D91" s="61" t="str">
        <f>VLOOKUP(A91,'1.Loading'!A:R,17,FALSE)</f>
        <v>HASLS22260902182</v>
      </c>
      <c r="E91" s="62" t="str">
        <f>VLOOKUP(D91,'2.Bookinglist'!A:CT,27,FALSE)</f>
        <v>BIRLA CARBON (THAILAND) PUBLIC COMPANY LIMITED</v>
      </c>
      <c r="F91" s="62" t="str">
        <f>VLOOKUP(D91,'2.Bookinglist'!A:CT,28,FALSE)</f>
        <v>BIRLA CARBON (THAILAND) PUBLIC COMPANY LIMITED</v>
      </c>
      <c r="G91" s="60">
        <f>VLOOKUP(D91,'2.Bookinglist'!A:E,5,FALSE)</f>
        <v>0</v>
      </c>
      <c r="H91" s="61" t="str">
        <f>VLOOKUP(D91,'2.Bookinglist'!A:CT,15,FALSE)</f>
        <v>THBKK</v>
      </c>
      <c r="I91" s="61" t="str">
        <f>VLOOKUP(D91,'2.Bookinglist'!A:CT,19,FALSE)</f>
        <v>VNSGN</v>
      </c>
      <c r="J91" s="61">
        <f>VLOOKUP(D91,'2.Bookinglist'!A:CT,26,FALSE)</f>
        <v>0</v>
      </c>
      <c r="K91" s="61" t="str">
        <f>VLOOKUP(A91,'1.Loading'!A:R,5,FALSE)</f>
        <v>45GP</v>
      </c>
      <c r="L91" s="60" t="str">
        <f>VLOOKUP(D91,'2.Bookinglist'!A:CT,85,FALSE)</f>
        <v>CY/CY</v>
      </c>
      <c r="M91" s="60" t="str">
        <f>IF(VLOOKUP(D91,'2.Bookinglist'!A:CT,43,FALSE)=0,"","DG")</f>
        <v/>
      </c>
      <c r="N91" s="60" t="str">
        <f>IF(RIGHT(K91,2)="RE","RF","")</f>
        <v/>
      </c>
      <c r="O91" s="61" t="str">
        <f>VLOOKUP(A91,'1.Loading'!A:R,3,FALSE)</f>
        <v>SWIC</v>
      </c>
      <c r="P91" s="61" t="str">
        <f>VLOOKUP(A91,'1.Loading'!A:R,4,FALSE)</f>
        <v>2611N</v>
      </c>
      <c r="Q91" s="61" t="str">
        <f>VLOOKUP(D91,'2.Bookinglist'!A:CT,12,FALSE)</f>
        <v>KHS1</v>
      </c>
      <c r="R91" s="60" t="str">
        <f>IF(LEFT(K91,2)="22","20'","40'")</f>
        <v>40'</v>
      </c>
      <c r="S91" s="185" t="n"/>
      <c r="T91" s="61" t="str">
        <f>VLOOKUP(A91,'1.Loading'!A:R,2,FALSE)</f>
        <v>2026-10-16</v>
      </c>
      <c r="U91" s="63">
        <f>T91-S91</f>
        <v>46311</v>
      </c>
      <c r="V91" s="186" t="n"/>
      <c r="W91" s="61" t="str">
        <f>VLOOKUP(A91,'3.GateMove'!A:D,4,FALSE)</f>
        <v>2026-10-13</v>
      </c>
      <c r="X91" s="63">
        <f>((T91-W91)+1)</f>
        <v>4</v>
      </c>
      <c r="Y91" s="64">
        <f>IF(AND(OR(C91="BKK01",C91="BKK04"),L91="CFS/CY"),0,IF(M91="DG",1,IF(LEFT(C91,3)="LCH",7,IF(C91="BKK02",5,3))))</f>
        <v>3</v>
      </c>
      <c r="Z91" s="63">
        <f>IF(IF(AND(AC91="TML",AB91&gt;0),((T91-W91)+1)-AB91,((T91-W91)+1)-Y91)&gt;0,IF(AND(AC91="TML",AB91&gt;0),((T91-W91)+1)-AB91,((T91-W91)+1)-Y91),0)</f>
        <v>1</v>
      </c>
      <c r="AA91" s="187">
        <f>IF(AND(B91="G1",M91=""),IF(R91="20'",
VLOOKUP(Z91,Charge!$K$2:$M$5,2,TRUE)+(Z91-VLOOKUP(Z91,Charge!$K$2:$M$5,1,TRUE))*VLOOKUP(Z91,Charge!$K$2:$M$5,3,TRUE),
VLOOKUP(Z91,Charge!$N$2:$P$5,2,TRUE)+(Z91-VLOOKUP(Z91,Charge!$N$2:$P$5,1,TRUE))*VLOOKUP(Z91,Charge!$N$2:$P$5,3,TRUE)),
IF(AND(B91="G1",M91="DG"),IF(R91="20'",
VLOOKUP(Z91,Charge!$R$2:$T$5,2,TRUE)+(Z91-VLOOKUP(Z91,Charge!$R$2:$T$5,1,TRUE))*VLOOKUP(Z91,Charge!$R$2:$T$5,3,TRUE),
VLOOKUP(Z91,Charge!$U$2:$W$5,2,TRUE)+(Z91-VLOOKUP(Z91,Charge!$U$2:$W$5,1,TRUE))*VLOOKUP(Z91,Charge!$U$2:$W$5,3,TRUE)),
IF(AND(B91="G3",M91=""),IF(R91="20'",
VLOOKUP(Z91,Charge!$K$18:$M$21,2,TRUE)+(Z91-VLOOKUP(Z91,Charge!$K$18:$M$21,1,TRUE))*VLOOKUP(Z91,Charge!$K$18:$M$21,3,TRUE),
VLOOKUP(Z91,Charge!$N$18:$P$21,2,TRUE)+(Z91-VLOOKUP(Z91,Charge!$N$18:$P$21,1,TRUE))*VLOOKUP(Z91,Charge!$N$18:$P$21,3,TRUE)),
IF(AND(B91="G3",M91="DG"),IF(R91="20'",
VLOOKUP(Z91,Charge!$R$18:$T$21,2,TRUE)+(Z91-VLOOKUP(Z91,Charge!$R$18:$T$21,1,TRUE))*VLOOKUP(Z91,Charge!$R$18:$T$21,3,TRUE),
VLOOKUP(Z91,Charge!$U$18:$W$21,2,TRUE)+(Z91-VLOOKUP(Z91,Charge!$U$18:$W$21,1,TRUE))*VLOOKUP(Z91,Charge!$U$18:$W$21,3,TRUE)),
IF(AND(B91="G2",M91=""),IF(R91="20'",
VLOOKUP(Z91,Charge!$K$9:$M$12,2,TRUE)+(Z91-VLOOKUP(Z91,Charge!$K$9:$M$12,1,TRUE))*VLOOKUP(Z91,Charge!$K$9:$M$12,3,TRUE),
VLOOKUP(Z91,Charge!$N$9:$P$12,2,TRUE)+(Z91-VLOOKUP(Z91,Charge!$N$9:$P$12,1,TRUE))*VLOOKUP(Z91,Charge!$N$9:$P$12,3,TRUE)),
IF(AND(B91="G2",M91="DG"),IF(R91="20'",
VLOOKUP(Z91,Charge!$R$9:$T$12,2,TRUE)+(Z91-VLOOKUP(Z91,Charge!$R$9:$T$12,1,TRUE))*VLOOKUP(Z91,Charge!$R$9:$T$12,3,TRUE),
VLOOKUP(Z91,Charge!$U$9:$W$12,2,TRUE)+(Z91-VLOOKUP(Z91,Charge!$U$9:$W$12,1,TRUE))*VLOOKUP(Z91,Charge!$U$9:$W$12,3,TRUE)),IF(AND(B91="G4",M91=""),IF(R91="20'",Z91*Charge!$M$25,Z91*Charge!$P$25),IF(AND(B91="G4",M91="DG"),IF(R91="20'",Z91*Charge!$T$25,Z91*Charge!$W$25),0))))))))</f>
        <v>320</v>
      </c>
      <c r="AB91" s="184" t="n"/>
      <c r="AC91" s="184" t="n"/>
      <c r="AD91" s="60">
        <f>IF(M91="DG",3,IF(N91="RF",3,5))+IF(AND(LEFT(C91,3)="BKK",N91="RF",Q91="KTS"),1,0)+IF(Q91="KHS",1,0)</f>
        <v>5</v>
      </c>
      <c r="AE91" s="63">
        <f>(T91-V91)+1</f>
        <v>46312</v>
      </c>
      <c r="AF91" s="63">
        <f>IF(AB91&gt;IF((V91-W91)&gt;0,V91-W91,0),0,IF(AB91&lt;IF((V91-W91)&gt;0,V91-W91,0),IF((V91-W91)&gt;0,V91-W91,0)-AB91,IF((V91-W91)&gt;0,V91-W91,0)))</f>
        <v>0</v>
      </c>
      <c r="AG91" s="187">
        <f>IF(AND(M91=""),IF(R91="20'",
VLOOKUP(AF91,Charge!$K$31:$M$34,2,TRUE)+(AF91-VLOOKUP(AF91,Charge!$K$31:$M$34,1,TRUE))*VLOOKUP(AF91,Charge!$K$31:$M$34,3,TRUE),
VLOOKUP(AF91,Charge!$N$31:$P$34,2,TRUE)+(AF91-VLOOKUP(AF91,Charge!$N$31:$P$34,1,TRUE))*VLOOKUP(AF91,Charge!$N$31:$P$34,3,TRUE)),
IF(AND(M91="DG"),IF(R91="20'",
VLOOKUP(AF91,Charge!$R$31:$T$34,2,TRUE)+(AF91-VLOOKUP(AF91,Charge!$R$31:$T$34,1,TRUE))*VLOOKUP(AF91,Charge!$R$31:$T$34,3,TRUE),
VLOOKUP(AF91,Charge!$U$31:$W$34,2,TRUE)+(AF91-VLOOKUP(AF91,Charge!$U$31:$W$34,1,TRUE))*VLOOKUP(AF91,Charge!$U$31:$W$34,3,TRUE)),0))</f>
        <v>0</v>
      </c>
      <c r="AH91" s="65" t="n"/>
      <c r="AI91" s="65">
        <f>AA91-AH91</f>
        <v>320</v>
      </c>
      <c r="AJ91" s="188" t="n"/>
      <c r="AK91" s="62" t="str">
        <f>VLOOKUP(D91,'2.Bookinglist'!A:CT,40,FALSE)</f>
        <v>Dharaporn</v>
      </c>
      <c r="AL91" s="60" t="str">
        <f>VLOOKUP(D91,'2.Bookinglist'!A:CW,101,FALSE)</f>
        <v>2026-10-15</v>
      </c>
      <c r="AM91" s="60" t="str">
        <f>VLOOKUP(D91,'2.Bookinglist'!A:BK,63,FALSE)</f>
        <v>BKK27</v>
      </c>
      <c r="AN91" s="62" t="str">
        <f>VLOOKUP(D91,'2.Bookinglist'!A:AZ,52,FALSE)</f>
        <v>Pickup : 2026-10-10, Return : 2026-10-11
CLS TIME DD.13/10/2026 @ 23.59</v>
      </c>
      <c r="AO91" s="62">
        <f>VLOOKUP(D91,'2.Bookinglist'!A:CY,103,FALSE)</f>
        <v>0</v>
      </c>
    </row>
    <row r="92" ht="12.95" customHeight="1">
      <c r="A92" s="96" t="inlineStr">
        <is>
          <t>SKHU9635238</t>
        </is>
      </c>
      <c r="B92" s="184" t="str">
        <f>IF(C92=Charge!$M$1,Charge!$J$1,IF(C92=Charge!$M$23,Charge!$J$23,IF(C92=Charge!$M$17,Charge!$J$17,IF(C92=Charge!$N$17,Charge!$J$17,Charge!$J$7))))</f>
        <v>G3</v>
      </c>
      <c r="C92" s="61" t="str">
        <f>VLOOKUP(A92,'1.Loading'!A:R,14,FALSE)</f>
        <v>BKK01</v>
      </c>
      <c r="D92" s="61" t="str">
        <f>VLOOKUP(A92,'1.Loading'!A:R,17,FALSE)</f>
        <v>HASLS22260902223</v>
      </c>
      <c r="E92" s="62" t="str">
        <f>VLOOKUP(D92,'2.Bookinglist'!A:CT,27,FALSE)</f>
        <v>CAPRICORN LOGISTICS CO., LTD.</v>
      </c>
      <c r="F92" s="62" t="str">
        <f>VLOOKUP(D92,'2.Bookinglist'!A:CT,28,FALSE)</f>
        <v>SWAN INDUSTRIES (THAILAND) LTD.</v>
      </c>
      <c r="G92" s="60">
        <f>VLOOKUP(D92,'2.Bookinglist'!A:E,5,FALSE)</f>
        <v>0</v>
      </c>
      <c r="H92" s="61" t="str">
        <f>VLOOKUP(D92,'2.Bookinglist'!A:CT,15,FALSE)</f>
        <v>THBKK</v>
      </c>
      <c r="I92" s="61" t="str">
        <f>VLOOKUP(D92,'2.Bookinglist'!A:CT,19,FALSE)</f>
        <v>VNSGN</v>
      </c>
      <c r="J92" s="61">
        <f>VLOOKUP(D92,'2.Bookinglist'!A:CT,26,FALSE)</f>
        <v>0</v>
      </c>
      <c r="K92" s="61" t="str">
        <f>VLOOKUP(A92,'1.Loading'!A:R,5,FALSE)</f>
        <v>45GP</v>
      </c>
      <c r="L92" s="60" t="str">
        <f>VLOOKUP(D92,'2.Bookinglist'!A:CT,85,FALSE)</f>
        <v>CY/CY</v>
      </c>
      <c r="M92" s="60" t="str">
        <f>IF(VLOOKUP(D92,'2.Bookinglist'!A:CT,43,FALSE)=0,"","DG")</f>
        <v/>
      </c>
      <c r="N92" s="60" t="str">
        <f>IF(RIGHT(K92,2)="RE","RF","")</f>
        <v/>
      </c>
      <c r="O92" s="61" t="str">
        <f>VLOOKUP(A92,'1.Loading'!A:R,3,FALSE)</f>
        <v>SWIC</v>
      </c>
      <c r="P92" s="61" t="str">
        <f>VLOOKUP(A92,'1.Loading'!A:R,4,FALSE)</f>
        <v>2611N</v>
      </c>
      <c r="Q92" s="61" t="str">
        <f>VLOOKUP(D92,'2.Bookinglist'!A:CT,12,FALSE)</f>
        <v>KHS1</v>
      </c>
      <c r="R92" s="60" t="str">
        <f>IF(LEFT(K92,2)="22","20'","40'")</f>
        <v>40'</v>
      </c>
      <c r="S92" s="185" t="n"/>
      <c r="T92" s="61" t="str">
        <f>VLOOKUP(A92,'1.Loading'!A:R,2,FALSE)</f>
        <v>2026-10-16</v>
      </c>
      <c r="U92" s="63">
        <f>T92-S92</f>
        <v>46311</v>
      </c>
      <c r="V92" s="186" t="n"/>
      <c r="W92" s="61" t="str">
        <f>VLOOKUP(A92,'3.GateMove'!A:D,4,FALSE)</f>
        <v>2026-10-13</v>
      </c>
      <c r="X92" s="63">
        <f>((T92-W92)+1)</f>
        <v>4</v>
      </c>
      <c r="Y92" s="64">
        <f>IF(AND(OR(C92="BKK01",C92="BKK04"),L92="CFS/CY"),0,IF(M92="DG",1,IF(LEFT(C92,3)="LCH",7,IF(C92="BKK02",5,3))))</f>
        <v>3</v>
      </c>
      <c r="Z92" s="63">
        <f>IF(IF(AND(AC92="TML",AB92&gt;0),((T92-W92)+1)-AB92,((T92-W92)+1)-Y92)&gt;0,IF(AND(AC92="TML",AB92&gt;0),((T92-W92)+1)-AB92,((T92-W92)+1)-Y92),0)</f>
        <v>1</v>
      </c>
      <c r="AA92" s="187">
        <f>IF(AND(B92="G1",M92=""),IF(R92="20'",
VLOOKUP(Z92,Charge!$K$2:$M$5,2,TRUE)+(Z92-VLOOKUP(Z92,Charge!$K$2:$M$5,1,TRUE))*VLOOKUP(Z92,Charge!$K$2:$M$5,3,TRUE),
VLOOKUP(Z92,Charge!$N$2:$P$5,2,TRUE)+(Z92-VLOOKUP(Z92,Charge!$N$2:$P$5,1,TRUE))*VLOOKUP(Z92,Charge!$N$2:$P$5,3,TRUE)),
IF(AND(B92="G1",M92="DG"),IF(R92="20'",
VLOOKUP(Z92,Charge!$R$2:$T$5,2,TRUE)+(Z92-VLOOKUP(Z92,Charge!$R$2:$T$5,1,TRUE))*VLOOKUP(Z92,Charge!$R$2:$T$5,3,TRUE),
VLOOKUP(Z92,Charge!$U$2:$W$5,2,TRUE)+(Z92-VLOOKUP(Z92,Charge!$U$2:$W$5,1,TRUE))*VLOOKUP(Z92,Charge!$U$2:$W$5,3,TRUE)),
IF(AND(B92="G3",M92=""),IF(R92="20'",
VLOOKUP(Z92,Charge!$K$18:$M$21,2,TRUE)+(Z92-VLOOKUP(Z92,Charge!$K$18:$M$21,1,TRUE))*VLOOKUP(Z92,Charge!$K$18:$M$21,3,TRUE),
VLOOKUP(Z92,Charge!$N$18:$P$21,2,TRUE)+(Z92-VLOOKUP(Z92,Charge!$N$18:$P$21,1,TRUE))*VLOOKUP(Z92,Charge!$N$18:$P$21,3,TRUE)),
IF(AND(B92="G3",M92="DG"),IF(R92="20'",
VLOOKUP(Z92,Charge!$R$18:$T$21,2,TRUE)+(Z92-VLOOKUP(Z92,Charge!$R$18:$T$21,1,TRUE))*VLOOKUP(Z92,Charge!$R$18:$T$21,3,TRUE),
VLOOKUP(Z92,Charge!$U$18:$W$21,2,TRUE)+(Z92-VLOOKUP(Z92,Charge!$U$18:$W$21,1,TRUE))*VLOOKUP(Z92,Charge!$U$18:$W$21,3,TRUE)),
IF(AND(B92="G2",M92=""),IF(R92="20'",
VLOOKUP(Z92,Charge!$K$9:$M$12,2,TRUE)+(Z92-VLOOKUP(Z92,Charge!$K$9:$M$12,1,TRUE))*VLOOKUP(Z92,Charge!$K$9:$M$12,3,TRUE),
VLOOKUP(Z92,Charge!$N$9:$P$12,2,TRUE)+(Z92-VLOOKUP(Z92,Charge!$N$9:$P$12,1,TRUE))*VLOOKUP(Z92,Charge!$N$9:$P$12,3,TRUE)),
IF(AND(B92="G2",M92="DG"),IF(R92="20'",
VLOOKUP(Z92,Charge!$R$9:$T$12,2,TRUE)+(Z92-VLOOKUP(Z92,Charge!$R$9:$T$12,1,TRUE))*VLOOKUP(Z92,Charge!$R$9:$T$12,3,TRUE),
VLOOKUP(Z92,Charge!$U$9:$W$12,2,TRUE)+(Z92-VLOOKUP(Z92,Charge!$U$9:$W$12,1,TRUE))*VLOOKUP(Z92,Charge!$U$9:$W$12,3,TRUE)),IF(AND(B92="G4",M92=""),IF(R92="20'",Z92*Charge!$M$25,Z92*Charge!$P$25),IF(AND(B92="G4",M92="DG"),IF(R92="20'",Z92*Charge!$T$25,Z92*Charge!$W$25),0))))))))</f>
        <v>320</v>
      </c>
      <c r="AB92" s="184" t="n"/>
      <c r="AC92" s="184" t="n"/>
      <c r="AD92" s="60">
        <f>IF(M92="DG",3,IF(N92="RF",3,5))+IF(AND(LEFT(C92,3)="BKK",N92="RF",Q92="KTS"),1,0)+IF(Q92="KHS",1,0)</f>
        <v>5</v>
      </c>
      <c r="AE92" s="63">
        <f>(T92-V92)+1</f>
        <v>46312</v>
      </c>
      <c r="AF92" s="63">
        <f>IF(AB92&gt;IF((V92-W92)&gt;0,V92-W92,0),0,IF(AB92&lt;IF((V92-W92)&gt;0,V92-W92,0),IF((V92-W92)&gt;0,V92-W92,0)-AB92,IF((V92-W92)&gt;0,V92-W92,0)))</f>
        <v>0</v>
      </c>
      <c r="AG92" s="187">
        <f>IF(AND(M92=""),IF(R92="20'",
VLOOKUP(AF92,Charge!$K$31:$M$34,2,TRUE)+(AF92-VLOOKUP(AF92,Charge!$K$31:$M$34,1,TRUE))*VLOOKUP(AF92,Charge!$K$31:$M$34,3,TRUE),
VLOOKUP(AF92,Charge!$N$31:$P$34,2,TRUE)+(AF92-VLOOKUP(AF92,Charge!$N$31:$P$34,1,TRUE))*VLOOKUP(AF92,Charge!$N$31:$P$34,3,TRUE)),
IF(AND(M92="DG"),IF(R92="20'",
VLOOKUP(AF92,Charge!$R$31:$T$34,2,TRUE)+(AF92-VLOOKUP(AF92,Charge!$R$31:$T$34,1,TRUE))*VLOOKUP(AF92,Charge!$R$31:$T$34,3,TRUE),
VLOOKUP(AF92,Charge!$U$31:$W$34,2,TRUE)+(AF92-VLOOKUP(AF92,Charge!$U$31:$W$34,1,TRUE))*VLOOKUP(AF92,Charge!$U$31:$W$34,3,TRUE)),0))</f>
        <v>0</v>
      </c>
      <c r="AH92" s="65" t="n"/>
      <c r="AI92" s="65">
        <f>AA92-AH92</f>
        <v>320</v>
      </c>
      <c r="AJ92" s="188" t="n"/>
      <c r="AK92" s="62" t="str">
        <f>VLOOKUP(D92,'2.Bookinglist'!A:CT,40,FALSE)</f>
        <v>Nguyen Xuan Toan</v>
      </c>
      <c r="AL92" s="60" t="str">
        <f>VLOOKUP(D92,'2.Bookinglist'!A:CW,101,FALSE)</f>
        <v>2026-10-15</v>
      </c>
      <c r="AM92" s="60" t="str">
        <f>VLOOKUP(D92,'2.Bookinglist'!A:BK,63,FALSE)</f>
        <v>BKK27</v>
      </c>
      <c r="AN92" s="62" t="str">
        <f>VLOOKUP(D92,'2.Bookinglist'!A:AZ,52,FALSE)</f>
        <v>Pickup : 2026-10-12, Return : 2026-10-12 (1ST RETURN 11/10/26)</v>
      </c>
      <c r="AO92" s="62">
        <f>VLOOKUP(D92,'2.Bookinglist'!A:CY,103,FALSE)</f>
        <v>0</v>
      </c>
    </row>
    <row r="93" ht="12.95" customHeight="1">
      <c r="A93" s="96" t="inlineStr">
        <is>
          <t>SKHU9813026</t>
        </is>
      </c>
      <c r="B93" s="184" t="str">
        <f>IF(C93=Charge!$M$1,Charge!$J$1,IF(C93=Charge!$M$23,Charge!$J$23,IF(C93=Charge!$M$17,Charge!$J$17,IF(C93=Charge!$N$17,Charge!$J$17,Charge!$J$7))))</f>
        <v>G3</v>
      </c>
      <c r="C93" s="61" t="str">
        <f>VLOOKUP(A93,'1.Loading'!A:R,14,FALSE)</f>
        <v>BKK01</v>
      </c>
      <c r="D93" s="61" t="str">
        <f>VLOOKUP(A93,'1.Loading'!A:R,17,FALSE)</f>
        <v>HASLS22260901365</v>
      </c>
      <c r="E93" s="62" t="str">
        <f>VLOOKUP(D93,'2.Bookinglist'!A:CT,27,FALSE)</f>
        <v>LOTUS FREIGHT AND SERVICES CORP.,LTD.</v>
      </c>
      <c r="F93" s="62" t="str">
        <f>VLOOKUP(D93,'2.Bookinglist'!A:CT,28,FALSE)</f>
        <v>EXCEL ENTECH CO.,LTD.</v>
      </c>
      <c r="G93" s="60">
        <f>VLOOKUP(D93,'2.Bookinglist'!A:E,5,FALSE)</f>
        <v>0</v>
      </c>
      <c r="H93" s="61" t="str">
        <f>VLOOKUP(D93,'2.Bookinglist'!A:CT,15,FALSE)</f>
        <v>THBKK</v>
      </c>
      <c r="I93" s="61" t="str">
        <f>VLOOKUP(D93,'2.Bookinglist'!A:CT,19,FALSE)</f>
        <v>VNSGN</v>
      </c>
      <c r="J93" s="61">
        <f>VLOOKUP(D93,'2.Bookinglist'!A:CT,26,FALSE)</f>
        <v>0</v>
      </c>
      <c r="K93" s="61" t="str">
        <f>VLOOKUP(A93,'1.Loading'!A:R,5,FALSE)</f>
        <v>45GP</v>
      </c>
      <c r="L93" s="60" t="str">
        <f>VLOOKUP(D93,'2.Bookinglist'!A:CT,85,FALSE)</f>
        <v>CY/CY</v>
      </c>
      <c r="M93" s="60" t="str">
        <f>IF(VLOOKUP(D93,'2.Bookinglist'!A:CT,43,FALSE)=0,"","DG")</f>
        <v/>
      </c>
      <c r="N93" s="60" t="str">
        <f>IF(RIGHT(K93,2)="RE","RF","")</f>
        <v/>
      </c>
      <c r="O93" s="61" t="str">
        <f>VLOOKUP(A93,'1.Loading'!A:R,3,FALSE)</f>
        <v>SWIC</v>
      </c>
      <c r="P93" s="61" t="str">
        <f>VLOOKUP(A93,'1.Loading'!A:R,4,FALSE)</f>
        <v>2611N</v>
      </c>
      <c r="Q93" s="61" t="str">
        <f>VLOOKUP(D93,'2.Bookinglist'!A:CT,12,FALSE)</f>
        <v>KHS1</v>
      </c>
      <c r="R93" s="60" t="str">
        <f>IF(LEFT(K93,2)="22","20'","40'")</f>
        <v>40'</v>
      </c>
      <c r="S93" s="185" t="n"/>
      <c r="T93" s="61" t="str">
        <f>VLOOKUP(A93,'1.Loading'!A:R,2,FALSE)</f>
        <v>2026-10-16</v>
      </c>
      <c r="U93" s="63">
        <f>T93-S93</f>
        <v>46311</v>
      </c>
      <c r="V93" s="186" t="n"/>
      <c r="W93" s="61" t="str">
        <f>VLOOKUP(A93,'3.GateMove'!A:D,4,FALSE)</f>
        <v>2026-10-11</v>
      </c>
      <c r="X93" s="63">
        <f>((T93-W93)+1)</f>
        <v>6</v>
      </c>
      <c r="Y93" s="64">
        <f>IF(AND(OR(C93="BKK01",C93="BKK04"),L93="CFS/CY"),0,IF(M93="DG",1,IF(LEFT(C93,3)="LCH",7,IF(C93="BKK02",5,3))))</f>
        <v>3</v>
      </c>
      <c r="Z93" s="63">
        <f>IF(IF(AND(AC93="TML",AB93&gt;0),((T93-W93)+1)-AB93,((T93-W93)+1)-Y93)&gt;0,IF(AND(AC93="TML",AB93&gt;0),((T93-W93)+1)-AB93,((T93-W93)+1)-Y93),0)</f>
        <v>3</v>
      </c>
      <c r="AA93" s="187">
        <f>IF(AND(B93="G1",M93=""),IF(R93="20'",
VLOOKUP(Z93,Charge!$K$2:$M$5,2,TRUE)+(Z93-VLOOKUP(Z93,Charge!$K$2:$M$5,1,TRUE))*VLOOKUP(Z93,Charge!$K$2:$M$5,3,TRUE),
VLOOKUP(Z93,Charge!$N$2:$P$5,2,TRUE)+(Z93-VLOOKUP(Z93,Charge!$N$2:$P$5,1,TRUE))*VLOOKUP(Z93,Charge!$N$2:$P$5,3,TRUE)),
IF(AND(B93="G1",M93="DG"),IF(R93="20'",
VLOOKUP(Z93,Charge!$R$2:$T$5,2,TRUE)+(Z93-VLOOKUP(Z93,Charge!$R$2:$T$5,1,TRUE))*VLOOKUP(Z93,Charge!$R$2:$T$5,3,TRUE),
VLOOKUP(Z93,Charge!$U$2:$W$5,2,TRUE)+(Z93-VLOOKUP(Z93,Charge!$U$2:$W$5,1,TRUE))*VLOOKUP(Z93,Charge!$U$2:$W$5,3,TRUE)),
IF(AND(B93="G3",M93=""),IF(R93="20'",
VLOOKUP(Z93,Charge!$K$18:$M$21,2,TRUE)+(Z93-VLOOKUP(Z93,Charge!$K$18:$M$21,1,TRUE))*VLOOKUP(Z93,Charge!$K$18:$M$21,3,TRUE),
VLOOKUP(Z93,Charge!$N$18:$P$21,2,TRUE)+(Z93-VLOOKUP(Z93,Charge!$N$18:$P$21,1,TRUE))*VLOOKUP(Z93,Charge!$N$18:$P$21,3,TRUE)),
IF(AND(B93="G3",M93="DG"),IF(R93="20'",
VLOOKUP(Z93,Charge!$R$18:$T$21,2,TRUE)+(Z93-VLOOKUP(Z93,Charge!$R$18:$T$21,1,TRUE))*VLOOKUP(Z93,Charge!$R$18:$T$21,3,TRUE),
VLOOKUP(Z93,Charge!$U$18:$W$21,2,TRUE)+(Z93-VLOOKUP(Z93,Charge!$U$18:$W$21,1,TRUE))*VLOOKUP(Z93,Charge!$U$18:$W$21,3,TRUE)),
IF(AND(B93="G2",M93=""),IF(R93="20'",
VLOOKUP(Z93,Charge!$K$9:$M$12,2,TRUE)+(Z93-VLOOKUP(Z93,Charge!$K$9:$M$12,1,TRUE))*VLOOKUP(Z93,Charge!$K$9:$M$12,3,TRUE),
VLOOKUP(Z93,Charge!$N$9:$P$12,2,TRUE)+(Z93-VLOOKUP(Z93,Charge!$N$9:$P$12,1,TRUE))*VLOOKUP(Z93,Charge!$N$9:$P$12,3,TRUE)),
IF(AND(B93="G2",M93="DG"),IF(R93="20'",
VLOOKUP(Z93,Charge!$R$9:$T$12,2,TRUE)+(Z93-VLOOKUP(Z93,Charge!$R$9:$T$12,1,TRUE))*VLOOKUP(Z93,Charge!$R$9:$T$12,3,TRUE),
VLOOKUP(Z93,Charge!$U$9:$W$12,2,TRUE)+(Z93-VLOOKUP(Z93,Charge!$U$9:$W$12,1,TRUE))*VLOOKUP(Z93,Charge!$U$9:$W$12,3,TRUE)),IF(AND(B93="G4",M93=""),IF(R93="20'",Z93*Charge!$M$25,Z93*Charge!$P$25),IF(AND(B93="G4",M93="DG"),IF(R93="20'",Z93*Charge!$T$25,Z93*Charge!$W$25),0))))))))</f>
        <v>960</v>
      </c>
      <c r="AB93" s="184" t="n"/>
      <c r="AC93" s="184" t="n"/>
      <c r="AD93" s="60">
        <f>IF(M93="DG",3,IF(N93="RF",3,5))+IF(AND(LEFT(C93,3)="BKK",N93="RF",Q93="KTS"),1,0)+IF(Q93="KHS",1,0)</f>
        <v>5</v>
      </c>
      <c r="AE93" s="63">
        <f>(T93-V93)+1</f>
        <v>46312</v>
      </c>
      <c r="AF93" s="63">
        <f>IF(AB93&gt;IF((V93-W93)&gt;0,V93-W93,0),0,IF(AB93&lt;IF((V93-W93)&gt;0,V93-W93,0),IF((V93-W93)&gt;0,V93-W93,0)-AB93,IF((V93-W93)&gt;0,V93-W93,0)))</f>
        <v>0</v>
      </c>
      <c r="AG93" s="187">
        <f>IF(AND(M93=""),IF(R93="20'",
VLOOKUP(AF93,Charge!$K$31:$M$34,2,TRUE)+(AF93-VLOOKUP(AF93,Charge!$K$31:$M$34,1,TRUE))*VLOOKUP(AF93,Charge!$K$31:$M$34,3,TRUE),
VLOOKUP(AF93,Charge!$N$31:$P$34,2,TRUE)+(AF93-VLOOKUP(AF93,Charge!$N$31:$P$34,1,TRUE))*VLOOKUP(AF93,Charge!$N$31:$P$34,3,TRUE)),
IF(AND(M93="DG"),IF(R93="20'",
VLOOKUP(AF93,Charge!$R$31:$T$34,2,TRUE)+(AF93-VLOOKUP(AF93,Charge!$R$31:$T$34,1,TRUE))*VLOOKUP(AF93,Charge!$R$31:$T$34,3,TRUE),
VLOOKUP(AF93,Charge!$U$31:$W$34,2,TRUE)+(AF93-VLOOKUP(AF93,Charge!$U$31:$W$34,1,TRUE))*VLOOKUP(AF93,Charge!$U$31:$W$34,3,TRUE)),0))</f>
        <v>0</v>
      </c>
      <c r="AH93" s="65" t="n"/>
      <c r="AI93" s="65">
        <f>AA93-AH93</f>
        <v>960</v>
      </c>
      <c r="AJ93" s="188" t="n"/>
      <c r="AK93" s="62" t="str">
        <f>VLOOKUP(D93,'2.Bookinglist'!A:CT,40,FALSE)</f>
        <v>Sukunpoj Damrongying</v>
      </c>
      <c r="AL93" s="60" t="str">
        <f>VLOOKUP(D93,'2.Bookinglist'!A:CW,101,FALSE)</f>
        <v>2026-10-15</v>
      </c>
      <c r="AM93" s="60" t="str">
        <f>VLOOKUP(D93,'2.Bookinglist'!A:BK,63,FALSE)</f>
        <v>BKK27</v>
      </c>
      <c r="AN93" s="62" t="str">
        <f>VLOOKUP(D93,'2.Bookinglist'!A:AZ,52,FALSE)</f>
        <v>Pickup : 2026-10-09, Return : 2026-10-13</v>
      </c>
      <c r="AO93" s="62">
        <f>VLOOKUP(D93,'2.Bookinglist'!A:CY,103,FALSE)</f>
        <v>0</v>
      </c>
    </row>
    <row r="94" ht="12.95" customHeight="1">
      <c r="A94" s="96" t="inlineStr">
        <is>
          <t>SKHU9824653</t>
        </is>
      </c>
      <c r="B94" s="184" t="str">
        <f>IF(C94=Charge!$M$1,Charge!$J$1,IF(C94=Charge!$M$23,Charge!$J$23,IF(C94=Charge!$M$17,Charge!$J$17,IF(C94=Charge!$N$17,Charge!$J$17,Charge!$J$7))))</f>
        <v>G3</v>
      </c>
      <c r="C94" s="61" t="str">
        <f>VLOOKUP(A94,'1.Loading'!A:R,14,FALSE)</f>
        <v>BKK01</v>
      </c>
      <c r="D94" s="61" t="str">
        <f>VLOOKUP(A94,'1.Loading'!A:R,17,FALSE)</f>
        <v>HASLS22260902222</v>
      </c>
      <c r="E94" s="62" t="str">
        <f>VLOOKUP(D94,'2.Bookinglist'!A:CT,27,FALSE)</f>
        <v>CAPRICORN LOGISTICS CO., LTD.</v>
      </c>
      <c r="F94" s="62" t="str">
        <f>VLOOKUP(D94,'2.Bookinglist'!A:CT,28,FALSE)</f>
        <v>SWAN INDUSTRIES (THAILAND) LTD.</v>
      </c>
      <c r="G94" s="60">
        <f>VLOOKUP(D94,'2.Bookinglist'!A:E,5,FALSE)</f>
        <v>0</v>
      </c>
      <c r="H94" s="61" t="str">
        <f>VLOOKUP(D94,'2.Bookinglist'!A:CT,15,FALSE)</f>
        <v>THBKK</v>
      </c>
      <c r="I94" s="61" t="str">
        <f>VLOOKUP(D94,'2.Bookinglist'!A:CT,19,FALSE)</f>
        <v>VNSGN</v>
      </c>
      <c r="J94" s="61">
        <f>VLOOKUP(D94,'2.Bookinglist'!A:CT,26,FALSE)</f>
        <v>0</v>
      </c>
      <c r="K94" s="61" t="str">
        <f>VLOOKUP(A94,'1.Loading'!A:R,5,FALSE)</f>
        <v>45GP</v>
      </c>
      <c r="L94" s="60" t="str">
        <f>VLOOKUP(D94,'2.Bookinglist'!A:CT,85,FALSE)</f>
        <v>CY/CY</v>
      </c>
      <c r="M94" s="60" t="str">
        <f>IF(VLOOKUP(D94,'2.Bookinglist'!A:CT,43,FALSE)=0,"","DG")</f>
        <v/>
      </c>
      <c r="N94" s="60" t="str">
        <f>IF(RIGHT(K94,2)="RE","RF","")</f>
        <v/>
      </c>
      <c r="O94" s="61" t="str">
        <f>VLOOKUP(A94,'1.Loading'!A:R,3,FALSE)</f>
        <v>SWIC</v>
      </c>
      <c r="P94" s="61" t="str">
        <f>VLOOKUP(A94,'1.Loading'!A:R,4,FALSE)</f>
        <v>2611N</v>
      </c>
      <c r="Q94" s="61" t="str">
        <f>VLOOKUP(D94,'2.Bookinglist'!A:CT,12,FALSE)</f>
        <v>KHS1</v>
      </c>
      <c r="R94" s="60" t="str">
        <f>IF(LEFT(K94,2)="22","20'","40'")</f>
        <v>40'</v>
      </c>
      <c r="S94" s="185" t="n"/>
      <c r="T94" s="61" t="str">
        <f>VLOOKUP(A94,'1.Loading'!A:R,2,FALSE)</f>
        <v>2026-10-16</v>
      </c>
      <c r="U94" s="63">
        <f>T94-S94</f>
        <v>46311</v>
      </c>
      <c r="V94" s="186" t="n"/>
      <c r="W94" s="61" t="str">
        <f>VLOOKUP(A94,'3.GateMove'!A:D,4,FALSE)</f>
        <v>2026-10-13</v>
      </c>
      <c r="X94" s="63">
        <f>((T94-W94)+1)</f>
        <v>4</v>
      </c>
      <c r="Y94" s="64">
        <f>IF(AND(OR(C94="BKK01",C94="BKK04"),L94="CFS/CY"),0,IF(M94="DG",1,IF(LEFT(C94,3)="LCH",7,IF(C94="BKK02",5,3))))</f>
        <v>3</v>
      </c>
      <c r="Z94" s="63">
        <f>IF(IF(AND(AC94="TML",AB94&gt;0),((T94-W94)+1)-AB94,((T94-W94)+1)-Y94)&gt;0,IF(AND(AC94="TML",AB94&gt;0),((T94-W94)+1)-AB94,((T94-W94)+1)-Y94),0)</f>
        <v>1</v>
      </c>
      <c r="AA94" s="187">
        <f>IF(AND(B94="G1",M94=""),IF(R94="20'",
VLOOKUP(Z94,Charge!$K$2:$M$5,2,TRUE)+(Z94-VLOOKUP(Z94,Charge!$K$2:$M$5,1,TRUE))*VLOOKUP(Z94,Charge!$K$2:$M$5,3,TRUE),
VLOOKUP(Z94,Charge!$N$2:$P$5,2,TRUE)+(Z94-VLOOKUP(Z94,Charge!$N$2:$P$5,1,TRUE))*VLOOKUP(Z94,Charge!$N$2:$P$5,3,TRUE)),
IF(AND(B94="G1",M94="DG"),IF(R94="20'",
VLOOKUP(Z94,Charge!$R$2:$T$5,2,TRUE)+(Z94-VLOOKUP(Z94,Charge!$R$2:$T$5,1,TRUE))*VLOOKUP(Z94,Charge!$R$2:$T$5,3,TRUE),
VLOOKUP(Z94,Charge!$U$2:$W$5,2,TRUE)+(Z94-VLOOKUP(Z94,Charge!$U$2:$W$5,1,TRUE))*VLOOKUP(Z94,Charge!$U$2:$W$5,3,TRUE)),
IF(AND(B94="G3",M94=""),IF(R94="20'",
VLOOKUP(Z94,Charge!$K$18:$M$21,2,TRUE)+(Z94-VLOOKUP(Z94,Charge!$K$18:$M$21,1,TRUE))*VLOOKUP(Z94,Charge!$K$18:$M$21,3,TRUE),
VLOOKUP(Z94,Charge!$N$18:$P$21,2,TRUE)+(Z94-VLOOKUP(Z94,Charge!$N$18:$P$21,1,TRUE))*VLOOKUP(Z94,Charge!$N$18:$P$21,3,TRUE)),
IF(AND(B94="G3",M94="DG"),IF(R94="20'",
VLOOKUP(Z94,Charge!$R$18:$T$21,2,TRUE)+(Z94-VLOOKUP(Z94,Charge!$R$18:$T$21,1,TRUE))*VLOOKUP(Z94,Charge!$R$18:$T$21,3,TRUE),
VLOOKUP(Z94,Charge!$U$18:$W$21,2,TRUE)+(Z94-VLOOKUP(Z94,Charge!$U$18:$W$21,1,TRUE))*VLOOKUP(Z94,Charge!$U$18:$W$21,3,TRUE)),
IF(AND(B94="G2",M94=""),IF(R94="20'",
VLOOKUP(Z94,Charge!$K$9:$M$12,2,TRUE)+(Z94-VLOOKUP(Z94,Charge!$K$9:$M$12,1,TRUE))*VLOOKUP(Z94,Charge!$K$9:$M$12,3,TRUE),
VLOOKUP(Z94,Charge!$N$9:$P$12,2,TRUE)+(Z94-VLOOKUP(Z94,Charge!$N$9:$P$12,1,TRUE))*VLOOKUP(Z94,Charge!$N$9:$P$12,3,TRUE)),
IF(AND(B94="G2",M94="DG"),IF(R94="20'",
VLOOKUP(Z94,Charge!$R$9:$T$12,2,TRUE)+(Z94-VLOOKUP(Z94,Charge!$R$9:$T$12,1,TRUE))*VLOOKUP(Z94,Charge!$R$9:$T$12,3,TRUE),
VLOOKUP(Z94,Charge!$U$9:$W$12,2,TRUE)+(Z94-VLOOKUP(Z94,Charge!$U$9:$W$12,1,TRUE))*VLOOKUP(Z94,Charge!$U$9:$W$12,3,TRUE)),IF(AND(B94="G4",M94=""),IF(R94="20'",Z94*Charge!$M$25,Z94*Charge!$P$25),IF(AND(B94="G4",M94="DG"),IF(R94="20'",Z94*Charge!$T$25,Z94*Charge!$W$25),0))))))))</f>
        <v>320</v>
      </c>
      <c r="AB94" s="184" t="n"/>
      <c r="AC94" s="184" t="n"/>
      <c r="AD94" s="60">
        <f>IF(M94="DG",3,IF(N94="RF",3,5))+IF(AND(LEFT(C94,3)="BKK",N94="RF",Q94="KTS"),1,0)+IF(Q94="KHS",1,0)</f>
        <v>5</v>
      </c>
      <c r="AE94" s="63">
        <f>(T94-V94)+1</f>
        <v>46312</v>
      </c>
      <c r="AF94" s="63">
        <f>IF(AB94&gt;IF((V94-W94)&gt;0,V94-W94,0),0,IF(AB94&lt;IF((V94-W94)&gt;0,V94-W94,0),IF((V94-W94)&gt;0,V94-W94,0)-AB94,IF((V94-W94)&gt;0,V94-W94,0)))</f>
        <v>0</v>
      </c>
      <c r="AG94" s="187">
        <f>IF(AND(M94=""),IF(R94="20'",
VLOOKUP(AF94,Charge!$K$31:$M$34,2,TRUE)+(AF94-VLOOKUP(AF94,Charge!$K$31:$M$34,1,TRUE))*VLOOKUP(AF94,Charge!$K$31:$M$34,3,TRUE),
VLOOKUP(AF94,Charge!$N$31:$P$34,2,TRUE)+(AF94-VLOOKUP(AF94,Charge!$N$31:$P$34,1,TRUE))*VLOOKUP(AF94,Charge!$N$31:$P$34,3,TRUE)),
IF(AND(M94="DG"),IF(R94="20'",
VLOOKUP(AF94,Charge!$R$31:$T$34,2,TRUE)+(AF94-VLOOKUP(AF94,Charge!$R$31:$T$34,1,TRUE))*VLOOKUP(AF94,Charge!$R$31:$T$34,3,TRUE),
VLOOKUP(AF94,Charge!$U$31:$W$34,2,TRUE)+(AF94-VLOOKUP(AF94,Charge!$U$31:$W$34,1,TRUE))*VLOOKUP(AF94,Charge!$U$31:$W$34,3,TRUE)),0))</f>
        <v>0</v>
      </c>
      <c r="AH94" s="65" t="n"/>
      <c r="AI94" s="65">
        <f>AA94-AH94</f>
        <v>320</v>
      </c>
      <c r="AJ94" s="188" t="n"/>
      <c r="AK94" s="62" t="str">
        <f>VLOOKUP(D94,'2.Bookinglist'!A:CT,40,FALSE)</f>
        <v>Nguyen Xuan Toan</v>
      </c>
      <c r="AL94" s="60" t="str">
        <f>VLOOKUP(D94,'2.Bookinglist'!A:CW,101,FALSE)</f>
        <v>2026-10-15</v>
      </c>
      <c r="AM94" s="60" t="str">
        <f>VLOOKUP(D94,'2.Bookinglist'!A:BK,63,FALSE)</f>
        <v>BKK27</v>
      </c>
      <c r="AN94" s="62" t="str">
        <f>VLOOKUP(D94,'2.Bookinglist'!A:AZ,52,FALSE)</f>
        <v>Pickup : 2026-10-12, Return : 2026-10-12 (1ST RETURN DD.11/10/26)</v>
      </c>
      <c r="AO94" s="62">
        <f>VLOOKUP(D94,'2.Bookinglist'!A:CY,103,FALSE)</f>
        <v>0</v>
      </c>
    </row>
    <row r="95" ht="12.95" customHeight="1">
      <c r="A95" s="96" t="inlineStr">
        <is>
          <t>SKHU9908883</t>
        </is>
      </c>
      <c r="B95" s="184" t="str">
        <f>IF(C95=Charge!$M$1,Charge!$J$1,IF(C95=Charge!$M$23,Charge!$J$23,IF(C95=Charge!$M$17,Charge!$J$17,IF(C95=Charge!$N$17,Charge!$J$17,Charge!$J$7))))</f>
        <v>G3</v>
      </c>
      <c r="C95" s="61" t="str">
        <f>VLOOKUP(A95,'1.Loading'!A:R,14,FALSE)</f>
        <v>BKK01</v>
      </c>
      <c r="D95" s="61" t="str">
        <f>VLOOKUP(A95,'1.Loading'!A:R,17,FALSE)</f>
        <v>HASLS22260901365</v>
      </c>
      <c r="E95" s="62" t="str">
        <f>VLOOKUP(D95,'2.Bookinglist'!A:CT,27,FALSE)</f>
        <v>LOTUS FREIGHT AND SERVICES CORP.,LTD.</v>
      </c>
      <c r="F95" s="62" t="str">
        <f>VLOOKUP(D95,'2.Bookinglist'!A:CT,28,FALSE)</f>
        <v>EXCEL ENTECH CO.,LTD.</v>
      </c>
      <c r="G95" s="60">
        <f>VLOOKUP(D95,'2.Bookinglist'!A:E,5,FALSE)</f>
        <v>0</v>
      </c>
      <c r="H95" s="61" t="str">
        <f>VLOOKUP(D95,'2.Bookinglist'!A:CT,15,FALSE)</f>
        <v>THBKK</v>
      </c>
      <c r="I95" s="61" t="str">
        <f>VLOOKUP(D95,'2.Bookinglist'!A:CT,19,FALSE)</f>
        <v>VNSGN</v>
      </c>
      <c r="J95" s="61">
        <f>VLOOKUP(D95,'2.Bookinglist'!A:CT,26,FALSE)</f>
        <v>0</v>
      </c>
      <c r="K95" s="61" t="str">
        <f>VLOOKUP(A95,'1.Loading'!A:R,5,FALSE)</f>
        <v>45GP</v>
      </c>
      <c r="L95" s="60" t="str">
        <f>VLOOKUP(D95,'2.Bookinglist'!A:CT,85,FALSE)</f>
        <v>CY/CY</v>
      </c>
      <c r="M95" s="60" t="str">
        <f>IF(VLOOKUP(D95,'2.Bookinglist'!A:CT,43,FALSE)=0,"","DG")</f>
        <v/>
      </c>
      <c r="N95" s="60" t="str">
        <f>IF(RIGHT(K95,2)="RE","RF","")</f>
        <v/>
      </c>
      <c r="O95" s="61" t="str">
        <f>VLOOKUP(A95,'1.Loading'!A:R,3,FALSE)</f>
        <v>SWIC</v>
      </c>
      <c r="P95" s="61" t="str">
        <f>VLOOKUP(A95,'1.Loading'!A:R,4,FALSE)</f>
        <v>2611N</v>
      </c>
      <c r="Q95" s="61" t="str">
        <f>VLOOKUP(D95,'2.Bookinglist'!A:CT,12,FALSE)</f>
        <v>KHS1</v>
      </c>
      <c r="R95" s="60" t="str">
        <f>IF(LEFT(K95,2)="22","20'","40'")</f>
        <v>40'</v>
      </c>
      <c r="S95" s="185" t="n"/>
      <c r="T95" s="61" t="str">
        <f>VLOOKUP(A95,'1.Loading'!A:R,2,FALSE)</f>
        <v>2026-10-16</v>
      </c>
      <c r="U95" s="63">
        <f>T95-S95</f>
        <v>46311</v>
      </c>
      <c r="V95" s="186" t="n"/>
      <c r="W95" s="61" t="str">
        <f>VLOOKUP(A95,'3.GateMove'!A:D,4,FALSE)</f>
        <v>2026-10-12</v>
      </c>
      <c r="X95" s="63">
        <f>((T95-W95)+1)</f>
        <v>5</v>
      </c>
      <c r="Y95" s="64">
        <f>IF(AND(OR(C95="BKK01",C95="BKK04"),L95="CFS/CY"),0,IF(M95="DG",1,IF(LEFT(C95,3)="LCH",7,IF(C95="BKK02",5,3))))</f>
        <v>3</v>
      </c>
      <c r="Z95" s="63">
        <f>IF(IF(AND(AC95="TML",AB95&gt;0),((T95-W95)+1)-AB95,((T95-W95)+1)-Y95)&gt;0,IF(AND(AC95="TML",AB95&gt;0),((T95-W95)+1)-AB95,((T95-W95)+1)-Y95),0)</f>
        <v>2</v>
      </c>
      <c r="AA95" s="187">
        <f>IF(AND(B95="G1",M95=""),IF(R95="20'",
VLOOKUP(Z95,Charge!$K$2:$M$5,2,TRUE)+(Z95-VLOOKUP(Z95,Charge!$K$2:$M$5,1,TRUE))*VLOOKUP(Z95,Charge!$K$2:$M$5,3,TRUE),
VLOOKUP(Z95,Charge!$N$2:$P$5,2,TRUE)+(Z95-VLOOKUP(Z95,Charge!$N$2:$P$5,1,TRUE))*VLOOKUP(Z95,Charge!$N$2:$P$5,3,TRUE)),
IF(AND(B95="G1",M95="DG"),IF(R95="20'",
VLOOKUP(Z95,Charge!$R$2:$T$5,2,TRUE)+(Z95-VLOOKUP(Z95,Charge!$R$2:$T$5,1,TRUE))*VLOOKUP(Z95,Charge!$R$2:$T$5,3,TRUE),
VLOOKUP(Z95,Charge!$U$2:$W$5,2,TRUE)+(Z95-VLOOKUP(Z95,Charge!$U$2:$W$5,1,TRUE))*VLOOKUP(Z95,Charge!$U$2:$W$5,3,TRUE)),
IF(AND(B95="G3",M95=""),IF(R95="20'",
VLOOKUP(Z95,Charge!$K$18:$M$21,2,TRUE)+(Z95-VLOOKUP(Z95,Charge!$K$18:$M$21,1,TRUE))*VLOOKUP(Z95,Charge!$K$18:$M$21,3,TRUE),
VLOOKUP(Z95,Charge!$N$18:$P$21,2,TRUE)+(Z95-VLOOKUP(Z95,Charge!$N$18:$P$21,1,TRUE))*VLOOKUP(Z95,Charge!$N$18:$P$21,3,TRUE)),
IF(AND(B95="G3",M95="DG"),IF(R95="20'",
VLOOKUP(Z95,Charge!$R$18:$T$21,2,TRUE)+(Z95-VLOOKUP(Z95,Charge!$R$18:$T$21,1,TRUE))*VLOOKUP(Z95,Charge!$R$18:$T$21,3,TRUE),
VLOOKUP(Z95,Charge!$U$18:$W$21,2,TRUE)+(Z95-VLOOKUP(Z95,Charge!$U$18:$W$21,1,TRUE))*VLOOKUP(Z95,Charge!$U$18:$W$21,3,TRUE)),
IF(AND(B95="G2",M95=""),IF(R95="20'",
VLOOKUP(Z95,Charge!$K$9:$M$12,2,TRUE)+(Z95-VLOOKUP(Z95,Charge!$K$9:$M$12,1,TRUE))*VLOOKUP(Z95,Charge!$K$9:$M$12,3,TRUE),
VLOOKUP(Z95,Charge!$N$9:$P$12,2,TRUE)+(Z95-VLOOKUP(Z95,Charge!$N$9:$P$12,1,TRUE))*VLOOKUP(Z95,Charge!$N$9:$P$12,3,TRUE)),
IF(AND(B95="G2",M95="DG"),IF(R95="20'",
VLOOKUP(Z95,Charge!$R$9:$T$12,2,TRUE)+(Z95-VLOOKUP(Z95,Charge!$R$9:$T$12,1,TRUE))*VLOOKUP(Z95,Charge!$R$9:$T$12,3,TRUE),
VLOOKUP(Z95,Charge!$U$9:$W$12,2,TRUE)+(Z95-VLOOKUP(Z95,Charge!$U$9:$W$12,1,TRUE))*VLOOKUP(Z95,Charge!$U$9:$W$12,3,TRUE)),IF(AND(B95="G4",M95=""),IF(R95="20'",Z95*Charge!$M$25,Z95*Charge!$P$25),IF(AND(B95="G4",M95="DG"),IF(R95="20'",Z95*Charge!$T$25,Z95*Charge!$W$25),0))))))))</f>
        <v>640</v>
      </c>
      <c r="AB95" s="184" t="n"/>
      <c r="AC95" s="184" t="n"/>
      <c r="AD95" s="60">
        <f>IF(M95="DG",3,IF(N95="RF",3,5))+IF(AND(LEFT(C95,3)="BKK",N95="RF",Q95="KTS"),1,0)+IF(Q95="KHS",1,0)</f>
        <v>5</v>
      </c>
      <c r="AE95" s="63">
        <f>(T95-V95)+1</f>
        <v>46312</v>
      </c>
      <c r="AF95" s="63">
        <f>IF(AB95&gt;IF((V95-W95)&gt;0,V95-W95,0),0,IF(AB95&lt;IF((V95-W95)&gt;0,V95-W95,0),IF((V95-W95)&gt;0,V95-W95,0)-AB95,IF((V95-W95)&gt;0,V95-W95,0)))</f>
        <v>0</v>
      </c>
      <c r="AG95" s="187">
        <f>IF(AND(M95=""),IF(R95="20'",
VLOOKUP(AF95,Charge!$K$31:$M$34,2,TRUE)+(AF95-VLOOKUP(AF95,Charge!$K$31:$M$34,1,TRUE))*VLOOKUP(AF95,Charge!$K$31:$M$34,3,TRUE),
VLOOKUP(AF95,Charge!$N$31:$P$34,2,TRUE)+(AF95-VLOOKUP(AF95,Charge!$N$31:$P$34,1,TRUE))*VLOOKUP(AF95,Charge!$N$31:$P$34,3,TRUE)),
IF(AND(M95="DG"),IF(R95="20'",
VLOOKUP(AF95,Charge!$R$31:$T$34,2,TRUE)+(AF95-VLOOKUP(AF95,Charge!$R$31:$T$34,1,TRUE))*VLOOKUP(AF95,Charge!$R$31:$T$34,3,TRUE),
VLOOKUP(AF95,Charge!$U$31:$W$34,2,TRUE)+(AF95-VLOOKUP(AF95,Charge!$U$31:$W$34,1,TRUE))*VLOOKUP(AF95,Charge!$U$31:$W$34,3,TRUE)),0))</f>
        <v>0</v>
      </c>
      <c r="AH95" s="65" t="n"/>
      <c r="AI95" s="65">
        <f>AA95-AH95</f>
        <v>640</v>
      </c>
      <c r="AJ95" s="188" t="n"/>
      <c r="AK95" s="62" t="str">
        <f>VLOOKUP(D95,'2.Bookinglist'!A:CT,40,FALSE)</f>
        <v>Sukunpoj Damrongying</v>
      </c>
      <c r="AL95" s="60" t="str">
        <f>VLOOKUP(D95,'2.Bookinglist'!A:CW,101,FALSE)</f>
        <v>2026-10-15</v>
      </c>
      <c r="AM95" s="60" t="str">
        <f>VLOOKUP(D95,'2.Bookinglist'!A:BK,63,FALSE)</f>
        <v>BKK27</v>
      </c>
      <c r="AN95" s="62" t="str">
        <f>VLOOKUP(D95,'2.Bookinglist'!A:AZ,52,FALSE)</f>
        <v>Pickup : 2026-10-09, Return : 2026-10-13</v>
      </c>
      <c r="AO95" s="62">
        <f>VLOOKUP(D95,'2.Bookinglist'!A:CY,103,FALSE)</f>
        <v>0</v>
      </c>
    </row>
    <row r="96" ht="12.95" customHeight="1">
      <c r="A96" s="96" t="inlineStr">
        <is>
          <t>SKHU9955503</t>
        </is>
      </c>
      <c r="B96" s="184" t="str">
        <f>IF(C96=Charge!$M$1,Charge!$J$1,IF(C96=Charge!$M$23,Charge!$J$23,IF(C96=Charge!$M$17,Charge!$J$17,IF(C96=Charge!$N$17,Charge!$J$17,Charge!$J$7))))</f>
        <v>G3</v>
      </c>
      <c r="C96" s="61" t="str">
        <f>VLOOKUP(A96,'1.Loading'!A:R,14,FALSE)</f>
        <v>BKK01</v>
      </c>
      <c r="D96" s="61" t="str">
        <f>VLOOKUP(A96,'1.Loading'!A:R,17,FALSE)</f>
        <v>HASLS22260902222</v>
      </c>
      <c r="E96" s="62" t="str">
        <f>VLOOKUP(D96,'2.Bookinglist'!A:CT,27,FALSE)</f>
        <v>CAPRICORN LOGISTICS CO., LTD.</v>
      </c>
      <c r="F96" s="62" t="str">
        <f>VLOOKUP(D96,'2.Bookinglist'!A:CT,28,FALSE)</f>
        <v>SWAN INDUSTRIES (THAILAND) LTD.</v>
      </c>
      <c r="G96" s="60">
        <f>VLOOKUP(D96,'2.Bookinglist'!A:E,5,FALSE)</f>
        <v>0</v>
      </c>
      <c r="H96" s="61" t="str">
        <f>VLOOKUP(D96,'2.Bookinglist'!A:CT,15,FALSE)</f>
        <v>THBKK</v>
      </c>
      <c r="I96" s="61" t="str">
        <f>VLOOKUP(D96,'2.Bookinglist'!A:CT,19,FALSE)</f>
        <v>VNSGN</v>
      </c>
      <c r="J96" s="61">
        <f>VLOOKUP(D96,'2.Bookinglist'!A:CT,26,FALSE)</f>
        <v>0</v>
      </c>
      <c r="K96" s="61" t="str">
        <f>VLOOKUP(A96,'1.Loading'!A:R,5,FALSE)</f>
        <v>45GP</v>
      </c>
      <c r="L96" s="60" t="str">
        <f>VLOOKUP(D96,'2.Bookinglist'!A:CT,85,FALSE)</f>
        <v>CY/CY</v>
      </c>
      <c r="M96" s="60" t="str">
        <f>IF(VLOOKUP(D96,'2.Bookinglist'!A:CT,43,FALSE)=0,"","DG")</f>
        <v/>
      </c>
      <c r="N96" s="60" t="str">
        <f>IF(RIGHT(K96,2)="RE","RF","")</f>
        <v/>
      </c>
      <c r="O96" s="61" t="str">
        <f>VLOOKUP(A96,'1.Loading'!A:R,3,FALSE)</f>
        <v>SWIC</v>
      </c>
      <c r="P96" s="61" t="str">
        <f>VLOOKUP(A96,'1.Loading'!A:R,4,FALSE)</f>
        <v>2611N</v>
      </c>
      <c r="Q96" s="61" t="str">
        <f>VLOOKUP(D96,'2.Bookinglist'!A:CT,12,FALSE)</f>
        <v>KHS1</v>
      </c>
      <c r="R96" s="60" t="str">
        <f>IF(LEFT(K96,2)="22","20'","40'")</f>
        <v>40'</v>
      </c>
      <c r="S96" s="185" t="n"/>
      <c r="T96" s="61" t="str">
        <f>VLOOKUP(A96,'1.Loading'!A:R,2,FALSE)</f>
        <v>2026-10-16</v>
      </c>
      <c r="U96" s="63">
        <f>T96-S96</f>
        <v>46311</v>
      </c>
      <c r="V96" s="186" t="n"/>
      <c r="W96" s="61" t="str">
        <f>VLOOKUP(A96,'3.GateMove'!A:D,4,FALSE)</f>
        <v>2026-10-13</v>
      </c>
      <c r="X96" s="63">
        <f>((T96-W96)+1)</f>
        <v>4</v>
      </c>
      <c r="Y96" s="64">
        <f>IF(AND(OR(C96="BKK01",C96="BKK04"),L96="CFS/CY"),0,IF(M96="DG",1,IF(LEFT(C96,3)="LCH",7,IF(C96="BKK02",5,3))))</f>
        <v>3</v>
      </c>
      <c r="Z96" s="63">
        <f>IF(IF(AND(AC96="TML",AB96&gt;0),((T96-W96)+1)-AB96,((T96-W96)+1)-Y96)&gt;0,IF(AND(AC96="TML",AB96&gt;0),((T96-W96)+1)-AB96,((T96-W96)+1)-Y96),0)</f>
        <v>1</v>
      </c>
      <c r="AA96" s="187">
        <f>IF(AND(B96="G1",M96=""),IF(R96="20'",
VLOOKUP(Z96,Charge!$K$2:$M$5,2,TRUE)+(Z96-VLOOKUP(Z96,Charge!$K$2:$M$5,1,TRUE))*VLOOKUP(Z96,Charge!$K$2:$M$5,3,TRUE),
VLOOKUP(Z96,Charge!$N$2:$P$5,2,TRUE)+(Z96-VLOOKUP(Z96,Charge!$N$2:$P$5,1,TRUE))*VLOOKUP(Z96,Charge!$N$2:$P$5,3,TRUE)),
IF(AND(B96="G1",M96="DG"),IF(R96="20'",
VLOOKUP(Z96,Charge!$R$2:$T$5,2,TRUE)+(Z96-VLOOKUP(Z96,Charge!$R$2:$T$5,1,TRUE))*VLOOKUP(Z96,Charge!$R$2:$T$5,3,TRUE),
VLOOKUP(Z96,Charge!$U$2:$W$5,2,TRUE)+(Z96-VLOOKUP(Z96,Charge!$U$2:$W$5,1,TRUE))*VLOOKUP(Z96,Charge!$U$2:$W$5,3,TRUE)),
IF(AND(B96="G3",M96=""),IF(R96="20'",
VLOOKUP(Z96,Charge!$K$18:$M$21,2,TRUE)+(Z96-VLOOKUP(Z96,Charge!$K$18:$M$21,1,TRUE))*VLOOKUP(Z96,Charge!$K$18:$M$21,3,TRUE),
VLOOKUP(Z96,Charge!$N$18:$P$21,2,TRUE)+(Z96-VLOOKUP(Z96,Charge!$N$18:$P$21,1,TRUE))*VLOOKUP(Z96,Charge!$N$18:$P$21,3,TRUE)),
IF(AND(B96="G3",M96="DG"),IF(R96="20'",
VLOOKUP(Z96,Charge!$R$18:$T$21,2,TRUE)+(Z96-VLOOKUP(Z96,Charge!$R$18:$T$21,1,TRUE))*VLOOKUP(Z96,Charge!$R$18:$T$21,3,TRUE),
VLOOKUP(Z96,Charge!$U$18:$W$21,2,TRUE)+(Z96-VLOOKUP(Z96,Charge!$U$18:$W$21,1,TRUE))*VLOOKUP(Z96,Charge!$U$18:$W$21,3,TRUE)),
IF(AND(B96="G2",M96=""),IF(R96="20'",
VLOOKUP(Z96,Charge!$K$9:$M$12,2,TRUE)+(Z96-VLOOKUP(Z96,Charge!$K$9:$M$12,1,TRUE))*VLOOKUP(Z96,Charge!$K$9:$M$12,3,TRUE),
VLOOKUP(Z96,Charge!$N$9:$P$12,2,TRUE)+(Z96-VLOOKUP(Z96,Charge!$N$9:$P$12,1,TRUE))*VLOOKUP(Z96,Charge!$N$9:$P$12,3,TRUE)),
IF(AND(B96="G2",M96="DG"),IF(R96="20'",
VLOOKUP(Z96,Charge!$R$9:$T$12,2,TRUE)+(Z96-VLOOKUP(Z96,Charge!$R$9:$T$12,1,TRUE))*VLOOKUP(Z96,Charge!$R$9:$T$12,3,TRUE),
VLOOKUP(Z96,Charge!$U$9:$W$12,2,TRUE)+(Z96-VLOOKUP(Z96,Charge!$U$9:$W$12,1,TRUE))*VLOOKUP(Z96,Charge!$U$9:$W$12,3,TRUE)),IF(AND(B96="G4",M96=""),IF(R96="20'",Z96*Charge!$M$25,Z96*Charge!$P$25),IF(AND(B96="G4",M96="DG"),IF(R96="20'",Z96*Charge!$T$25,Z96*Charge!$W$25),0))))))))</f>
        <v>320</v>
      </c>
      <c r="AB96" s="184" t="n"/>
      <c r="AC96" s="184" t="n"/>
      <c r="AD96" s="60">
        <f>IF(M96="DG",3,IF(N96="RF",3,5))+IF(AND(LEFT(C96,3)="BKK",N96="RF",Q96="KTS"),1,0)+IF(Q96="KHS",1,0)</f>
        <v>5</v>
      </c>
      <c r="AE96" s="63">
        <f>(T96-V96)+1</f>
        <v>46312</v>
      </c>
      <c r="AF96" s="63">
        <f>IF(AB96&gt;IF((V96-W96)&gt;0,V96-W96,0),0,IF(AB96&lt;IF((V96-W96)&gt;0,V96-W96,0),IF((V96-W96)&gt;0,V96-W96,0)-AB96,IF((V96-W96)&gt;0,V96-W96,0)))</f>
        <v>0</v>
      </c>
      <c r="AG96" s="187">
        <f>IF(AND(M96=""),IF(R96="20'",
VLOOKUP(AF96,Charge!$K$31:$M$34,2,TRUE)+(AF96-VLOOKUP(AF96,Charge!$K$31:$M$34,1,TRUE))*VLOOKUP(AF96,Charge!$K$31:$M$34,3,TRUE),
VLOOKUP(AF96,Charge!$N$31:$P$34,2,TRUE)+(AF96-VLOOKUP(AF96,Charge!$N$31:$P$34,1,TRUE))*VLOOKUP(AF96,Charge!$N$31:$P$34,3,TRUE)),
IF(AND(M96="DG"),IF(R96="20'",
VLOOKUP(AF96,Charge!$R$31:$T$34,2,TRUE)+(AF96-VLOOKUP(AF96,Charge!$R$31:$T$34,1,TRUE))*VLOOKUP(AF96,Charge!$R$31:$T$34,3,TRUE),
VLOOKUP(AF96,Charge!$U$31:$W$34,2,TRUE)+(AF96-VLOOKUP(AF96,Charge!$U$31:$W$34,1,TRUE))*VLOOKUP(AF96,Charge!$U$31:$W$34,3,TRUE)),0))</f>
        <v>0</v>
      </c>
      <c r="AH96" s="65" t="n"/>
      <c r="AI96" s="65">
        <f>AA96-AH96</f>
        <v>320</v>
      </c>
      <c r="AJ96" s="188" t="n"/>
      <c r="AK96" s="62" t="str">
        <f>VLOOKUP(D96,'2.Bookinglist'!A:CT,40,FALSE)</f>
        <v>Nguyen Xuan Toan</v>
      </c>
      <c r="AL96" s="60" t="str">
        <f>VLOOKUP(D96,'2.Bookinglist'!A:CW,101,FALSE)</f>
        <v>2026-10-15</v>
      </c>
      <c r="AM96" s="60" t="str">
        <f>VLOOKUP(D96,'2.Bookinglist'!A:BK,63,FALSE)</f>
        <v>BKK27</v>
      </c>
      <c r="AN96" s="62" t="str">
        <f>VLOOKUP(D96,'2.Bookinglist'!A:AZ,52,FALSE)</f>
        <v>Pickup : 2026-10-12, Return : 2026-10-12 (1ST RETURN DD.11/10/26)</v>
      </c>
      <c r="AO96" s="62">
        <f>VLOOKUP(D96,'2.Bookinglist'!A:CY,103,FALSE)</f>
        <v>0</v>
      </c>
    </row>
    <row r="97" ht="12.95" customHeight="1">
      <c r="A97" s="96" t="inlineStr">
        <is>
          <t>SKLU0515332</t>
        </is>
      </c>
      <c r="B97" s="184" t="str">
        <f>IF(C97=Charge!$M$1,Charge!$J$1,IF(C97=Charge!$M$23,Charge!$J$23,IF(C97=Charge!$M$17,Charge!$J$17,IF(C97=Charge!$N$17,Charge!$J$17,Charge!$J$7))))</f>
        <v>G3</v>
      </c>
      <c r="C97" s="61" t="str">
        <f>VLOOKUP(A97,'1.Loading'!A:R,14,FALSE)</f>
        <v>BKK01</v>
      </c>
      <c r="D97" s="61" t="str">
        <f>VLOOKUP(A97,'1.Loading'!A:R,17,FALSE)</f>
        <v>HASLS22260902658</v>
      </c>
      <c r="E97" s="62" t="str">
        <f>VLOOKUP(D97,'2.Bookinglist'!A:CT,27,FALSE)</f>
        <v>GOLDEN WORLD LOGISTICS CO., LTD.</v>
      </c>
      <c r="F97" s="62" t="str">
        <f>VLOOKUP(D97,'2.Bookinglist'!A:CT,28,FALSE)</f>
        <v>LAM SOON (THAILAND) PUBLIC COMPANY LIMITED</v>
      </c>
      <c r="G97" s="60">
        <f>VLOOKUP(D97,'2.Bookinglist'!A:E,5,FALSE)</f>
        <v>0</v>
      </c>
      <c r="H97" s="61" t="str">
        <f>VLOOKUP(D97,'2.Bookinglist'!A:CT,15,FALSE)</f>
        <v>THBKK</v>
      </c>
      <c r="I97" s="61" t="str">
        <f>VLOOKUP(D97,'2.Bookinglist'!A:CT,19,FALSE)</f>
        <v>VNSGN</v>
      </c>
      <c r="J97" s="61">
        <f>VLOOKUP(D97,'2.Bookinglist'!A:CT,26,FALSE)</f>
        <v>0</v>
      </c>
      <c r="K97" s="61" t="str">
        <f>VLOOKUP(A97,'1.Loading'!A:R,5,FALSE)</f>
        <v>22GP</v>
      </c>
      <c r="L97" s="60" t="str">
        <f>VLOOKUP(D97,'2.Bookinglist'!A:CT,85,FALSE)</f>
        <v>CY/CY</v>
      </c>
      <c r="M97" s="60" t="str">
        <f>IF(VLOOKUP(D97,'2.Bookinglist'!A:CT,43,FALSE)=0,"","DG")</f>
        <v/>
      </c>
      <c r="N97" s="60" t="str">
        <f>IF(RIGHT(K97,2)="RE","RF","")</f>
        <v/>
      </c>
      <c r="O97" s="61" t="str">
        <f>VLOOKUP(A97,'1.Loading'!A:R,3,FALSE)</f>
        <v>SWIC</v>
      </c>
      <c r="P97" s="61" t="str">
        <f>VLOOKUP(A97,'1.Loading'!A:R,4,FALSE)</f>
        <v>2611N</v>
      </c>
      <c r="Q97" s="61" t="str">
        <f>VLOOKUP(D97,'2.Bookinglist'!A:CT,12,FALSE)</f>
        <v>KHS1</v>
      </c>
      <c r="R97" s="60" t="str">
        <f>IF(LEFT(K97,2)="22","20'","40'")</f>
        <v>20'</v>
      </c>
      <c r="S97" s="185" t="n"/>
      <c r="T97" s="61" t="str">
        <f>VLOOKUP(A97,'1.Loading'!A:R,2,FALSE)</f>
        <v>2026-10-16</v>
      </c>
      <c r="U97" s="63">
        <f>T97-S97</f>
        <v>46311</v>
      </c>
      <c r="V97" s="186" t="n"/>
      <c r="W97" s="61" t="str">
        <f>VLOOKUP(A97,'3.GateMove'!A:D,4,FALSE)</f>
        <v>2026-10-12</v>
      </c>
      <c r="X97" s="63">
        <f>((T97-W97)+1)</f>
        <v>5</v>
      </c>
      <c r="Y97" s="64">
        <f>IF(AND(OR(C97="BKK01",C97="BKK04"),L97="CFS/CY"),0,IF(M97="DG",1,IF(LEFT(C97,3)="LCH",7,IF(C97="BKK02",5,3))))</f>
        <v>3</v>
      </c>
      <c r="Z97" s="63">
        <f>IF(IF(AND(AC97="TML",AB97&gt;0),((T97-W97)+1)-AB97,((T97-W97)+1)-Y97)&gt;0,IF(AND(AC97="TML",AB97&gt;0),((T97-W97)+1)-AB97,((T97-W97)+1)-Y97),0)</f>
        <v>2</v>
      </c>
      <c r="AA97" s="187">
        <f>IF(AND(B97="G1",M97=""),IF(R97="20'",
VLOOKUP(Z97,Charge!$K$2:$M$5,2,TRUE)+(Z97-VLOOKUP(Z97,Charge!$K$2:$M$5,1,TRUE))*VLOOKUP(Z97,Charge!$K$2:$M$5,3,TRUE),
VLOOKUP(Z97,Charge!$N$2:$P$5,2,TRUE)+(Z97-VLOOKUP(Z97,Charge!$N$2:$P$5,1,TRUE))*VLOOKUP(Z97,Charge!$N$2:$P$5,3,TRUE)),
IF(AND(B97="G1",M97="DG"),IF(R97="20'",
VLOOKUP(Z97,Charge!$R$2:$T$5,2,TRUE)+(Z97-VLOOKUP(Z97,Charge!$R$2:$T$5,1,TRUE))*VLOOKUP(Z97,Charge!$R$2:$T$5,3,TRUE),
VLOOKUP(Z97,Charge!$U$2:$W$5,2,TRUE)+(Z97-VLOOKUP(Z97,Charge!$U$2:$W$5,1,TRUE))*VLOOKUP(Z97,Charge!$U$2:$W$5,3,TRUE)),
IF(AND(B97="G3",M97=""),IF(R97="20'",
VLOOKUP(Z97,Charge!$K$18:$M$21,2,TRUE)+(Z97-VLOOKUP(Z97,Charge!$K$18:$M$21,1,TRUE))*VLOOKUP(Z97,Charge!$K$18:$M$21,3,TRUE),
VLOOKUP(Z97,Charge!$N$18:$P$21,2,TRUE)+(Z97-VLOOKUP(Z97,Charge!$N$18:$P$21,1,TRUE))*VLOOKUP(Z97,Charge!$N$18:$P$21,3,TRUE)),
IF(AND(B97="G3",M97="DG"),IF(R97="20'",
VLOOKUP(Z97,Charge!$R$18:$T$21,2,TRUE)+(Z97-VLOOKUP(Z97,Charge!$R$18:$T$21,1,TRUE))*VLOOKUP(Z97,Charge!$R$18:$T$21,3,TRUE),
VLOOKUP(Z97,Charge!$U$18:$W$21,2,TRUE)+(Z97-VLOOKUP(Z97,Charge!$U$18:$W$21,1,TRUE))*VLOOKUP(Z97,Charge!$U$18:$W$21,3,TRUE)),
IF(AND(B97="G2",M97=""),IF(R97="20'",
VLOOKUP(Z97,Charge!$K$9:$M$12,2,TRUE)+(Z97-VLOOKUP(Z97,Charge!$K$9:$M$12,1,TRUE))*VLOOKUP(Z97,Charge!$K$9:$M$12,3,TRUE),
VLOOKUP(Z97,Charge!$N$9:$P$12,2,TRUE)+(Z97-VLOOKUP(Z97,Charge!$N$9:$P$12,1,TRUE))*VLOOKUP(Z97,Charge!$N$9:$P$12,3,TRUE)),
IF(AND(B97="G2",M97="DG"),IF(R97="20'",
VLOOKUP(Z97,Charge!$R$9:$T$12,2,TRUE)+(Z97-VLOOKUP(Z97,Charge!$R$9:$T$12,1,TRUE))*VLOOKUP(Z97,Charge!$R$9:$T$12,3,TRUE),
VLOOKUP(Z97,Charge!$U$9:$W$12,2,TRUE)+(Z97-VLOOKUP(Z97,Charge!$U$9:$W$12,1,TRUE))*VLOOKUP(Z97,Charge!$U$9:$W$12,3,TRUE)),IF(AND(B97="G4",M97=""),IF(R97="20'",Z97*Charge!$M$25,Z97*Charge!$P$25),IF(AND(B97="G4",M97="DG"),IF(R97="20'",Z97*Charge!$T$25,Z97*Charge!$W$25),0))))))))</f>
        <v>320</v>
      </c>
      <c r="AB97" s="184" t="n"/>
      <c r="AC97" s="184" t="n"/>
      <c r="AD97" s="60">
        <f>IF(M97="DG",3,IF(N97="RF",3,5))+IF(AND(LEFT(C97,3)="BKK",N97="RF",Q97="KTS"),1,0)+IF(Q97="KHS",1,0)</f>
        <v>5</v>
      </c>
      <c r="AE97" s="63">
        <f>(T97-V97)+1</f>
        <v>46312</v>
      </c>
      <c r="AF97" s="63">
        <f>IF(AB97&gt;IF((V97-W97)&gt;0,V97-W97,0),0,IF(AB97&lt;IF((V97-W97)&gt;0,V97-W97,0),IF((V97-W97)&gt;0,V97-W97,0)-AB97,IF((V97-W97)&gt;0,V97-W97,0)))</f>
        <v>0</v>
      </c>
      <c r="AG97" s="187">
        <f>IF(AND(M97=""),IF(R97="20'",
VLOOKUP(AF97,Charge!$K$31:$M$34,2,TRUE)+(AF97-VLOOKUP(AF97,Charge!$K$31:$M$34,1,TRUE))*VLOOKUP(AF97,Charge!$K$31:$M$34,3,TRUE),
VLOOKUP(AF97,Charge!$N$31:$P$34,2,TRUE)+(AF97-VLOOKUP(AF97,Charge!$N$31:$P$34,1,TRUE))*VLOOKUP(AF97,Charge!$N$31:$P$34,3,TRUE)),
IF(AND(M97="DG"),IF(R97="20'",
VLOOKUP(AF97,Charge!$R$31:$T$34,2,TRUE)+(AF97-VLOOKUP(AF97,Charge!$R$31:$T$34,1,TRUE))*VLOOKUP(AF97,Charge!$R$31:$T$34,3,TRUE),
VLOOKUP(AF97,Charge!$U$31:$W$34,2,TRUE)+(AF97-VLOOKUP(AF97,Charge!$U$31:$W$34,1,TRUE))*VLOOKUP(AF97,Charge!$U$31:$W$34,3,TRUE)),0))</f>
        <v>0</v>
      </c>
      <c r="AH97" s="65" t="n"/>
      <c r="AI97" s="65">
        <f>AA97-AH97</f>
        <v>320</v>
      </c>
      <c r="AJ97" s="188" t="n"/>
      <c r="AK97" s="62" t="str">
        <f>VLOOKUP(D97,'2.Bookinglist'!A:CT,40,FALSE)</f>
        <v>Arunphat W. (Aiw)</v>
      </c>
      <c r="AL97" s="60" t="str">
        <f>VLOOKUP(D97,'2.Bookinglist'!A:CW,101,FALSE)</f>
        <v>2026-10-15</v>
      </c>
      <c r="AM97" s="60" t="str">
        <f>VLOOKUP(D97,'2.Bookinglist'!A:BK,63,FALSE)</f>
        <v>BKK27</v>
      </c>
      <c r="AN97" s="62" t="str">
        <f>VLOOKUP(D97,'2.Bookinglist'!A:AZ,52,FALSE)</f>
        <v>Pickup : 2026-10-08, Return : 2026-10-12 (1ST RTN DD: 11/10/26 WO/RENT)
</v>
      </c>
      <c r="AO97" s="62">
        <f>VLOOKUP(D97,'2.Bookinglist'!A:CY,103,FALSE)</f>
        <v>0</v>
      </c>
    </row>
    <row r="98" ht="12.95" customHeight="1">
      <c r="A98" s="96" t="inlineStr">
        <is>
          <t>SKLU0562294</t>
        </is>
      </c>
      <c r="B98" s="184" t="str">
        <f>IF(C98=Charge!$M$1,Charge!$J$1,IF(C98=Charge!$M$23,Charge!$J$23,IF(C98=Charge!$M$17,Charge!$J$17,IF(C98=Charge!$N$17,Charge!$J$17,Charge!$J$7))))</f>
        <v>G3</v>
      </c>
      <c r="C98" s="61" t="str">
        <f>VLOOKUP(A98,'1.Loading'!A:R,14,FALSE)</f>
        <v>BKK01</v>
      </c>
      <c r="D98" s="61" t="str">
        <f>VLOOKUP(A98,'1.Loading'!A:R,17,FALSE)</f>
        <v>HASLS22260902658</v>
      </c>
      <c r="E98" s="62" t="str">
        <f>VLOOKUP(D98,'2.Bookinglist'!A:CT,27,FALSE)</f>
        <v>GOLDEN WORLD LOGISTICS CO., LTD.</v>
      </c>
      <c r="F98" s="62" t="str">
        <f>VLOOKUP(D98,'2.Bookinglist'!A:CT,28,FALSE)</f>
        <v>LAM SOON (THAILAND) PUBLIC COMPANY LIMITED</v>
      </c>
      <c r="G98" s="60">
        <f>VLOOKUP(D98,'2.Bookinglist'!A:E,5,FALSE)</f>
        <v>0</v>
      </c>
      <c r="H98" s="61" t="str">
        <f>VLOOKUP(D98,'2.Bookinglist'!A:CT,15,FALSE)</f>
        <v>THBKK</v>
      </c>
      <c r="I98" s="61" t="str">
        <f>VLOOKUP(D98,'2.Bookinglist'!A:CT,19,FALSE)</f>
        <v>VNSGN</v>
      </c>
      <c r="J98" s="61">
        <f>VLOOKUP(D98,'2.Bookinglist'!A:CT,26,FALSE)</f>
        <v>0</v>
      </c>
      <c r="K98" s="61" t="str">
        <f>VLOOKUP(A98,'1.Loading'!A:R,5,FALSE)</f>
        <v>22GP</v>
      </c>
      <c r="L98" s="60" t="str">
        <f>VLOOKUP(D98,'2.Bookinglist'!A:CT,85,FALSE)</f>
        <v>CY/CY</v>
      </c>
      <c r="M98" s="60" t="str">
        <f>IF(VLOOKUP(D98,'2.Bookinglist'!A:CT,43,FALSE)=0,"","DG")</f>
        <v/>
      </c>
      <c r="N98" s="60" t="str">
        <f>IF(RIGHT(K98,2)="RE","RF","")</f>
        <v/>
      </c>
      <c r="O98" s="61" t="str">
        <f>VLOOKUP(A98,'1.Loading'!A:R,3,FALSE)</f>
        <v>SWIC</v>
      </c>
      <c r="P98" s="61" t="str">
        <f>VLOOKUP(A98,'1.Loading'!A:R,4,FALSE)</f>
        <v>2611N</v>
      </c>
      <c r="Q98" s="61" t="str">
        <f>VLOOKUP(D98,'2.Bookinglist'!A:CT,12,FALSE)</f>
        <v>KHS1</v>
      </c>
      <c r="R98" s="60" t="str">
        <f>IF(LEFT(K98,2)="22","20'","40'")</f>
        <v>20'</v>
      </c>
      <c r="S98" s="185" t="n"/>
      <c r="T98" s="61" t="str">
        <f>VLOOKUP(A98,'1.Loading'!A:R,2,FALSE)</f>
        <v>2026-10-16</v>
      </c>
      <c r="U98" s="63">
        <f>T98-S98</f>
        <v>46311</v>
      </c>
      <c r="V98" s="186" t="n"/>
      <c r="W98" s="61" t="str">
        <f>VLOOKUP(A98,'3.GateMove'!A:D,4,FALSE)</f>
        <v>2026-10-10</v>
      </c>
      <c r="X98" s="63">
        <f>((T98-W98)+1)</f>
        <v>7</v>
      </c>
      <c r="Y98" s="64">
        <f>IF(AND(OR(C98="BKK01",C98="BKK04"),L98="CFS/CY"),0,IF(M98="DG",1,IF(LEFT(C98,3)="LCH",7,IF(C98="BKK02",5,3))))</f>
        <v>3</v>
      </c>
      <c r="Z98" s="63">
        <f>IF(IF(AND(AC98="TML",AB98&gt;0),((T98-W98)+1)-AB98,((T98-W98)+1)-Y98)&gt;0,IF(AND(AC98="TML",AB98&gt;0),((T98-W98)+1)-AB98,((T98-W98)+1)-Y98),0)</f>
        <v>4</v>
      </c>
      <c r="AA98" s="187">
        <f>IF(AND(B98="G1",M98=""),IF(R98="20'",
VLOOKUP(Z98,Charge!$K$2:$M$5,2,TRUE)+(Z98-VLOOKUP(Z98,Charge!$K$2:$M$5,1,TRUE))*VLOOKUP(Z98,Charge!$K$2:$M$5,3,TRUE),
VLOOKUP(Z98,Charge!$N$2:$P$5,2,TRUE)+(Z98-VLOOKUP(Z98,Charge!$N$2:$P$5,1,TRUE))*VLOOKUP(Z98,Charge!$N$2:$P$5,3,TRUE)),
IF(AND(B98="G1",M98="DG"),IF(R98="20'",
VLOOKUP(Z98,Charge!$R$2:$T$5,2,TRUE)+(Z98-VLOOKUP(Z98,Charge!$R$2:$T$5,1,TRUE))*VLOOKUP(Z98,Charge!$R$2:$T$5,3,TRUE),
VLOOKUP(Z98,Charge!$U$2:$W$5,2,TRUE)+(Z98-VLOOKUP(Z98,Charge!$U$2:$W$5,1,TRUE))*VLOOKUP(Z98,Charge!$U$2:$W$5,3,TRUE)),
IF(AND(B98="G3",M98=""),IF(R98="20'",
VLOOKUP(Z98,Charge!$K$18:$M$21,2,TRUE)+(Z98-VLOOKUP(Z98,Charge!$K$18:$M$21,1,TRUE))*VLOOKUP(Z98,Charge!$K$18:$M$21,3,TRUE),
VLOOKUP(Z98,Charge!$N$18:$P$21,2,TRUE)+(Z98-VLOOKUP(Z98,Charge!$N$18:$P$21,1,TRUE))*VLOOKUP(Z98,Charge!$N$18:$P$21,3,TRUE)),
IF(AND(B98="G3",M98="DG"),IF(R98="20'",
VLOOKUP(Z98,Charge!$R$18:$T$21,2,TRUE)+(Z98-VLOOKUP(Z98,Charge!$R$18:$T$21,1,TRUE))*VLOOKUP(Z98,Charge!$R$18:$T$21,3,TRUE),
VLOOKUP(Z98,Charge!$U$18:$W$21,2,TRUE)+(Z98-VLOOKUP(Z98,Charge!$U$18:$W$21,1,TRUE))*VLOOKUP(Z98,Charge!$U$18:$W$21,3,TRUE)),
IF(AND(B98="G2",M98=""),IF(R98="20'",
VLOOKUP(Z98,Charge!$K$9:$M$12,2,TRUE)+(Z98-VLOOKUP(Z98,Charge!$K$9:$M$12,1,TRUE))*VLOOKUP(Z98,Charge!$K$9:$M$12,3,TRUE),
VLOOKUP(Z98,Charge!$N$9:$P$12,2,TRUE)+(Z98-VLOOKUP(Z98,Charge!$N$9:$P$12,1,TRUE))*VLOOKUP(Z98,Charge!$N$9:$P$12,3,TRUE)),
IF(AND(B98="G2",M98="DG"),IF(R98="20'",
VLOOKUP(Z98,Charge!$R$9:$T$12,2,TRUE)+(Z98-VLOOKUP(Z98,Charge!$R$9:$T$12,1,TRUE))*VLOOKUP(Z98,Charge!$R$9:$T$12,3,TRUE),
VLOOKUP(Z98,Charge!$U$9:$W$12,2,TRUE)+(Z98-VLOOKUP(Z98,Charge!$U$9:$W$12,1,TRUE))*VLOOKUP(Z98,Charge!$U$9:$W$12,3,TRUE)),IF(AND(B98="G4",M98=""),IF(R98="20'",Z98*Charge!$M$25,Z98*Charge!$P$25),IF(AND(B98="G4",M98="DG"),IF(R98="20'",Z98*Charge!$T$25,Z98*Charge!$W$25),0))))))))</f>
        <v>640</v>
      </c>
      <c r="AB98" s="184" t="n"/>
      <c r="AC98" s="184" t="n"/>
      <c r="AD98" s="60">
        <f>IF(M98="DG",3,IF(N98="RF",3,5))+IF(AND(LEFT(C98,3)="BKK",N98="RF",Q98="KTS"),1,0)+IF(Q98="KHS",1,0)</f>
        <v>5</v>
      </c>
      <c r="AE98" s="63">
        <f>(T98-V98)+1</f>
        <v>46312</v>
      </c>
      <c r="AF98" s="63">
        <f>IF(AB98&gt;IF((V98-W98)&gt;0,V98-W98,0),0,IF(AB98&lt;IF((V98-W98)&gt;0,V98-W98,0),IF((V98-W98)&gt;0,V98-W98,0)-AB98,IF((V98-W98)&gt;0,V98-W98,0)))</f>
        <v>0</v>
      </c>
      <c r="AG98" s="187">
        <f>IF(AND(M98=""),IF(R98="20'",
VLOOKUP(AF98,Charge!$K$31:$M$34,2,TRUE)+(AF98-VLOOKUP(AF98,Charge!$K$31:$M$34,1,TRUE))*VLOOKUP(AF98,Charge!$K$31:$M$34,3,TRUE),
VLOOKUP(AF98,Charge!$N$31:$P$34,2,TRUE)+(AF98-VLOOKUP(AF98,Charge!$N$31:$P$34,1,TRUE))*VLOOKUP(AF98,Charge!$N$31:$P$34,3,TRUE)),
IF(AND(M98="DG"),IF(R98="20'",
VLOOKUP(AF98,Charge!$R$31:$T$34,2,TRUE)+(AF98-VLOOKUP(AF98,Charge!$R$31:$T$34,1,TRUE))*VLOOKUP(AF98,Charge!$R$31:$T$34,3,TRUE),
VLOOKUP(AF98,Charge!$U$31:$W$34,2,TRUE)+(AF98-VLOOKUP(AF98,Charge!$U$31:$W$34,1,TRUE))*VLOOKUP(AF98,Charge!$U$31:$W$34,3,TRUE)),0))</f>
        <v>0</v>
      </c>
      <c r="AH98" s="65" t="n"/>
      <c r="AI98" s="65">
        <f>AA98-AH98</f>
        <v>640</v>
      </c>
      <c r="AJ98" s="188" t="n"/>
      <c r="AK98" s="62" t="str">
        <f>VLOOKUP(D98,'2.Bookinglist'!A:CT,40,FALSE)</f>
        <v>Arunphat W. (Aiw)</v>
      </c>
      <c r="AL98" s="60" t="str">
        <f>VLOOKUP(D98,'2.Bookinglist'!A:CW,101,FALSE)</f>
        <v>2026-10-15</v>
      </c>
      <c r="AM98" s="60" t="str">
        <f>VLOOKUP(D98,'2.Bookinglist'!A:BK,63,FALSE)</f>
        <v>BKK27</v>
      </c>
      <c r="AN98" s="62" t="str">
        <f>VLOOKUP(D98,'2.Bookinglist'!A:AZ,52,FALSE)</f>
        <v>Pickup : 2026-10-08, Return : 2026-10-12 (1ST RTN DD: 11/10/26 WO/RENT)
</v>
      </c>
      <c r="AO98" s="62">
        <f>VLOOKUP(D98,'2.Bookinglist'!A:CY,103,FALSE)</f>
        <v>0</v>
      </c>
    </row>
    <row r="99" ht="12.95" customHeight="1">
      <c r="A99" s="96" t="inlineStr">
        <is>
          <t>SKLU0562648</t>
        </is>
      </c>
      <c r="B99" s="184" t="str">
        <f>IF(C99=Charge!$M$1,Charge!$J$1,IF(C99=Charge!$M$23,Charge!$J$23,IF(C99=Charge!$M$17,Charge!$J$17,IF(C99=Charge!$N$17,Charge!$J$17,Charge!$J$7))))</f>
        <v>G3</v>
      </c>
      <c r="C99" s="61" t="str">
        <f>VLOOKUP(A99,'1.Loading'!A:R,14,FALSE)</f>
        <v>BKK01</v>
      </c>
      <c r="D99" s="61" t="str">
        <f>VLOOKUP(A99,'1.Loading'!A:R,17,FALSE)</f>
        <v>HASLS22260801865</v>
      </c>
      <c r="E99" s="62" t="str">
        <f>VLOOKUP(D99,'2.Bookinglist'!A:CT,27,FALSE)</f>
        <v>STARFISH CO., LTD.</v>
      </c>
      <c r="F99" s="62" t="str">
        <f>VLOOKUP(D99,'2.Bookinglist'!A:CT,28,FALSE)</f>
        <v>STARFISH CO., LTD.</v>
      </c>
      <c r="G99" s="60">
        <f>VLOOKUP(D99,'2.Bookinglist'!A:E,5,FALSE)</f>
        <v>0</v>
      </c>
      <c r="H99" s="61" t="str">
        <f>VLOOKUP(D99,'2.Bookinglist'!A:CT,15,FALSE)</f>
        <v>THBKK</v>
      </c>
      <c r="I99" s="61" t="str">
        <f>VLOOKUP(D99,'2.Bookinglist'!A:CT,19,FALSE)</f>
        <v>JPSEN</v>
      </c>
      <c r="J99" s="61" t="str">
        <f>VLOOKUP(D99,'2.Bookinglist'!A:CT,26,FALSE)</f>
        <v>KRPUS</v>
      </c>
      <c r="K99" s="61" t="str">
        <f>VLOOKUP(A99,'1.Loading'!A:R,5,FALSE)</f>
        <v>22GP</v>
      </c>
      <c r="L99" s="60" t="str">
        <f>VLOOKUP(D99,'2.Bookinglist'!A:CT,85,FALSE)</f>
        <v>CY/CY</v>
      </c>
      <c r="M99" s="60" t="str">
        <f>IF(VLOOKUP(D99,'2.Bookinglist'!A:CT,43,FALSE)=0,"","DG")</f>
        <v/>
      </c>
      <c r="N99" s="60" t="str">
        <f>IF(RIGHT(K99,2)="RE","RF","")</f>
        <v/>
      </c>
      <c r="O99" s="61" t="str">
        <f>VLOOKUP(A99,'1.Loading'!A:R,3,FALSE)</f>
        <v>SWIC</v>
      </c>
      <c r="P99" s="61" t="str">
        <f>VLOOKUP(A99,'1.Loading'!A:R,4,FALSE)</f>
        <v>2611N</v>
      </c>
      <c r="Q99" s="61" t="str">
        <f>VLOOKUP(D99,'2.Bookinglist'!A:CT,12,FALSE)</f>
        <v>KHS1</v>
      </c>
      <c r="R99" s="60" t="str">
        <f>IF(LEFT(K99,2)="22","20'","40'")</f>
        <v>20'</v>
      </c>
      <c r="S99" s="185" t="n"/>
      <c r="T99" s="61" t="str">
        <f>VLOOKUP(A99,'1.Loading'!A:R,2,FALSE)</f>
        <v>2026-10-16</v>
      </c>
      <c r="U99" s="63">
        <f>T99-S99</f>
        <v>46311</v>
      </c>
      <c r="V99" s="186" t="n"/>
      <c r="W99" s="61" t="str">
        <f>VLOOKUP(A99,'3.GateMove'!A:D,4,FALSE)</f>
        <v>2026-10-03</v>
      </c>
      <c r="X99" s="63">
        <f>((T99-W99)+1)</f>
        <v>14</v>
      </c>
      <c r="Y99" s="64">
        <f>IF(AND(OR(C99="BKK01",C99="BKK04"),L99="CFS/CY"),0,IF(M99="DG",1,IF(LEFT(C99,3)="LCH",7,IF(C99="BKK02",5,3))))</f>
        <v>3</v>
      </c>
      <c r="Z99" s="63">
        <f>IF(IF(AND(AC99="TML",AB99&gt;0),((T99-W99)+1)-AB99,((T99-W99)+1)-Y99)&gt;0,IF(AND(AC99="TML",AB99&gt;0),((T99-W99)+1)-AB99,((T99-W99)+1)-Y99),0)</f>
        <v>11</v>
      </c>
      <c r="AA99" s="187">
        <f>IF(AND(B99="G1",M99=""),IF(R99="20'",
VLOOKUP(Z99,Charge!$K$2:$M$5,2,TRUE)+(Z99-VLOOKUP(Z99,Charge!$K$2:$M$5,1,TRUE))*VLOOKUP(Z99,Charge!$K$2:$M$5,3,TRUE),
VLOOKUP(Z99,Charge!$N$2:$P$5,2,TRUE)+(Z99-VLOOKUP(Z99,Charge!$N$2:$P$5,1,TRUE))*VLOOKUP(Z99,Charge!$N$2:$P$5,3,TRUE)),
IF(AND(B99="G1",M99="DG"),IF(R99="20'",
VLOOKUP(Z99,Charge!$R$2:$T$5,2,TRUE)+(Z99-VLOOKUP(Z99,Charge!$R$2:$T$5,1,TRUE))*VLOOKUP(Z99,Charge!$R$2:$T$5,3,TRUE),
VLOOKUP(Z99,Charge!$U$2:$W$5,2,TRUE)+(Z99-VLOOKUP(Z99,Charge!$U$2:$W$5,1,TRUE))*VLOOKUP(Z99,Charge!$U$2:$W$5,3,TRUE)),
IF(AND(B99="G3",M99=""),IF(R99="20'",
VLOOKUP(Z99,Charge!$K$18:$M$21,2,TRUE)+(Z99-VLOOKUP(Z99,Charge!$K$18:$M$21,1,TRUE))*VLOOKUP(Z99,Charge!$K$18:$M$21,3,TRUE),
VLOOKUP(Z99,Charge!$N$18:$P$21,2,TRUE)+(Z99-VLOOKUP(Z99,Charge!$N$18:$P$21,1,TRUE))*VLOOKUP(Z99,Charge!$N$18:$P$21,3,TRUE)),
IF(AND(B99="G3",M99="DG"),IF(R99="20'",
VLOOKUP(Z99,Charge!$R$18:$T$21,2,TRUE)+(Z99-VLOOKUP(Z99,Charge!$R$18:$T$21,1,TRUE))*VLOOKUP(Z99,Charge!$R$18:$T$21,3,TRUE),
VLOOKUP(Z99,Charge!$U$18:$W$21,2,TRUE)+(Z99-VLOOKUP(Z99,Charge!$U$18:$W$21,1,TRUE))*VLOOKUP(Z99,Charge!$U$18:$W$21,3,TRUE)),
IF(AND(B99="G2",M99=""),IF(R99="20'",
VLOOKUP(Z99,Charge!$K$9:$M$12,2,TRUE)+(Z99-VLOOKUP(Z99,Charge!$K$9:$M$12,1,TRUE))*VLOOKUP(Z99,Charge!$K$9:$M$12,3,TRUE),
VLOOKUP(Z99,Charge!$N$9:$P$12,2,TRUE)+(Z99-VLOOKUP(Z99,Charge!$N$9:$P$12,1,TRUE))*VLOOKUP(Z99,Charge!$N$9:$P$12,3,TRUE)),
IF(AND(B99="G2",M99="DG"),IF(R99="20'",
VLOOKUP(Z99,Charge!$R$9:$T$12,2,TRUE)+(Z99-VLOOKUP(Z99,Charge!$R$9:$T$12,1,TRUE))*VLOOKUP(Z99,Charge!$R$9:$T$12,3,TRUE),
VLOOKUP(Z99,Charge!$U$9:$W$12,2,TRUE)+(Z99-VLOOKUP(Z99,Charge!$U$9:$W$12,1,TRUE))*VLOOKUP(Z99,Charge!$U$9:$W$12,3,TRUE)),IF(AND(B99="G4",M99=""),IF(R99="20'",Z99*Charge!$M$25,Z99*Charge!$P$25),IF(AND(B99="G4",M99="DG"),IF(R99="20'",Z99*Charge!$T$25,Z99*Charge!$W$25),0))))))))</f>
        <v>2220</v>
      </c>
      <c r="AB99" s="184" t="n"/>
      <c r="AC99" s="184" t="n"/>
      <c r="AD99" s="60">
        <f>IF(M99="DG",3,IF(N99="RF",3,5))+IF(AND(LEFT(C99,3)="BKK",N99="RF",Q99="KTS"),1,0)+IF(Q99="KHS",1,0)</f>
        <v>5</v>
      </c>
      <c r="AE99" s="63">
        <f>(T99-V99)+1</f>
        <v>46312</v>
      </c>
      <c r="AF99" s="63">
        <f>IF(AB99&gt;IF((V99-W99)&gt;0,V99-W99,0),0,IF(AB99&lt;IF((V99-W99)&gt;0,V99-W99,0),IF((V99-W99)&gt;0,V99-W99,0)-AB99,IF((V99-W99)&gt;0,V99-W99,0)))</f>
        <v>0</v>
      </c>
      <c r="AG99" s="187">
        <f>IF(AND(M99=""),IF(R99="20'",
VLOOKUP(AF99,Charge!$K$31:$M$34,2,TRUE)+(AF99-VLOOKUP(AF99,Charge!$K$31:$M$34,1,TRUE))*VLOOKUP(AF99,Charge!$K$31:$M$34,3,TRUE),
VLOOKUP(AF99,Charge!$N$31:$P$34,2,TRUE)+(AF99-VLOOKUP(AF99,Charge!$N$31:$P$34,1,TRUE))*VLOOKUP(AF99,Charge!$N$31:$P$34,3,TRUE)),
IF(AND(M99="DG"),IF(R99="20'",
VLOOKUP(AF99,Charge!$R$31:$T$34,2,TRUE)+(AF99-VLOOKUP(AF99,Charge!$R$31:$T$34,1,TRUE))*VLOOKUP(AF99,Charge!$R$31:$T$34,3,TRUE),
VLOOKUP(AF99,Charge!$U$31:$W$34,2,TRUE)+(AF99-VLOOKUP(AF99,Charge!$U$31:$W$34,1,TRUE))*VLOOKUP(AF99,Charge!$U$31:$W$34,3,TRUE)),0))</f>
        <v>0</v>
      </c>
      <c r="AH99" s="65" t="n"/>
      <c r="AI99" s="65">
        <f>AA99-AH99</f>
        <v>2220</v>
      </c>
      <c r="AJ99" s="188" t="n"/>
      <c r="AK99" s="62" t="str">
        <f>VLOOKUP(D99,'2.Bookinglist'!A:CT,40,FALSE)</f>
        <v>Dharaporn</v>
      </c>
      <c r="AL99" s="60" t="str">
        <f>VLOOKUP(D99,'2.Bookinglist'!A:CW,101,FALSE)</f>
        <v>2026-10-15</v>
      </c>
      <c r="AM99" s="60" t="str">
        <f>VLOOKUP(D99,'2.Bookinglist'!A:BK,63,FALSE)</f>
        <v>BKK27</v>
      </c>
      <c r="AN99" s="62" t="str">
        <f>VLOOKUP(D99,'2.Bookinglist'!A:AZ,52,FALSE)</f>
        <v>[FIX]Pickup : 2026-10-02, Return : 2026-10-03</v>
      </c>
      <c r="AO99" s="62" t="str">
        <f>VLOOKUP(D99,'2.Bookinglist'!A:CY,103,FALSE)</f>
        <v>ROLL OVER FROM PREVIOUS VSL SWSP 2609N BY ALLOCATON TEAM MS.TARN APPROVED COST IS UNDER HA DD.4/10</v>
      </c>
    </row>
    <row r="100" ht="12.95" customHeight="1">
      <c r="A100" s="96" t="inlineStr">
        <is>
          <t>SKLU0566113</t>
        </is>
      </c>
      <c r="B100" s="184" t="str">
        <f>IF(C100=Charge!$M$1,Charge!$J$1,IF(C100=Charge!$M$23,Charge!$J$23,IF(C100=Charge!$M$17,Charge!$J$17,IF(C100=Charge!$N$17,Charge!$J$17,Charge!$J$7))))</f>
        <v>G3</v>
      </c>
      <c r="C100" s="61" t="str">
        <f>VLOOKUP(A100,'1.Loading'!A:R,14,FALSE)</f>
        <v>BKK01</v>
      </c>
      <c r="D100" s="61" t="str">
        <f>VLOOKUP(A100,'1.Loading'!A:R,17,FALSE)</f>
        <v>HASLS22260901669</v>
      </c>
      <c r="E100" s="62" t="str">
        <f>VLOOKUP(D100,'2.Bookinglist'!A:CT,27,FALSE)</f>
        <v>SEA FLEXI LOGISTICS CO.,LTD.</v>
      </c>
      <c r="F100" s="62" t="str">
        <f>VLOOKUP(D100,'2.Bookinglist'!A:CT,28,FALSE)</f>
        <v>THANAKORN VEGETABLE OIL PRODUCTS CO., LTD.</v>
      </c>
      <c r="G100" s="60">
        <f>VLOOKUP(D100,'2.Bookinglist'!A:E,5,FALSE)</f>
        <v>0</v>
      </c>
      <c r="H100" s="61" t="str">
        <f>VLOOKUP(D100,'2.Bookinglist'!A:CT,15,FALSE)</f>
        <v>THBKK</v>
      </c>
      <c r="I100" s="61" t="str">
        <f>VLOOKUP(D100,'2.Bookinglist'!A:CT,19,FALSE)</f>
        <v>VNSGN</v>
      </c>
      <c r="J100" s="61">
        <f>VLOOKUP(D100,'2.Bookinglist'!A:CT,26,FALSE)</f>
        <v>0</v>
      </c>
      <c r="K100" s="61" t="str">
        <f>VLOOKUP(A100,'1.Loading'!A:R,5,FALSE)</f>
        <v>22GP</v>
      </c>
      <c r="L100" s="60" t="str">
        <f>VLOOKUP(D100,'2.Bookinglist'!A:CT,85,FALSE)</f>
        <v>CY/CY</v>
      </c>
      <c r="M100" s="60" t="str">
        <f>IF(VLOOKUP(D100,'2.Bookinglist'!A:CT,43,FALSE)=0,"","DG")</f>
        <v/>
      </c>
      <c r="N100" s="60" t="str">
        <f>IF(RIGHT(K100,2)="RE","RF","")</f>
        <v/>
      </c>
      <c r="O100" s="61" t="str">
        <f>VLOOKUP(A100,'1.Loading'!A:R,3,FALSE)</f>
        <v>SWIC</v>
      </c>
      <c r="P100" s="61" t="str">
        <f>VLOOKUP(A100,'1.Loading'!A:R,4,FALSE)</f>
        <v>2611N</v>
      </c>
      <c r="Q100" s="61" t="str">
        <f>VLOOKUP(D100,'2.Bookinglist'!A:CT,12,FALSE)</f>
        <v>KHS1</v>
      </c>
      <c r="R100" s="60" t="str">
        <f>IF(LEFT(K100,2)="22","20'","40'")</f>
        <v>20'</v>
      </c>
      <c r="S100" s="185" t="n"/>
      <c r="T100" s="61" t="str">
        <f>VLOOKUP(A100,'1.Loading'!A:R,2,FALSE)</f>
        <v>2026-10-16</v>
      </c>
      <c r="U100" s="63">
        <f>T100-S100</f>
        <v>46311</v>
      </c>
      <c r="V100" s="186" t="n"/>
      <c r="W100" s="61" t="str">
        <f>VLOOKUP(A100,'3.GateMove'!A:D,4,FALSE)</f>
        <v>2026-10-12</v>
      </c>
      <c r="X100" s="63">
        <f>((T100-W100)+1)</f>
        <v>5</v>
      </c>
      <c r="Y100" s="64">
        <f>IF(AND(OR(C100="BKK01",C100="BKK04"),L100="CFS/CY"),0,IF(M100="DG",1,IF(LEFT(C100,3)="LCH",7,IF(C100="BKK02",5,3))))</f>
        <v>3</v>
      </c>
      <c r="Z100" s="63">
        <f>IF(IF(AND(AC100="TML",AB100&gt;0),((T100-W100)+1)-AB100,((T100-W100)+1)-Y100)&gt;0,IF(AND(AC100="TML",AB100&gt;0),((T100-W100)+1)-AB100,((T100-W100)+1)-Y100),0)</f>
        <v>2</v>
      </c>
      <c r="AA100" s="187">
        <f>IF(AND(B100="G1",M100=""),IF(R100="20'",
VLOOKUP(Z100,Charge!$K$2:$M$5,2,TRUE)+(Z100-VLOOKUP(Z100,Charge!$K$2:$M$5,1,TRUE))*VLOOKUP(Z100,Charge!$K$2:$M$5,3,TRUE),
VLOOKUP(Z100,Charge!$N$2:$P$5,2,TRUE)+(Z100-VLOOKUP(Z100,Charge!$N$2:$P$5,1,TRUE))*VLOOKUP(Z100,Charge!$N$2:$P$5,3,TRUE)),
IF(AND(B100="G1",M100="DG"),IF(R100="20'",
VLOOKUP(Z100,Charge!$R$2:$T$5,2,TRUE)+(Z100-VLOOKUP(Z100,Charge!$R$2:$T$5,1,TRUE))*VLOOKUP(Z100,Charge!$R$2:$T$5,3,TRUE),
VLOOKUP(Z100,Charge!$U$2:$W$5,2,TRUE)+(Z100-VLOOKUP(Z100,Charge!$U$2:$W$5,1,TRUE))*VLOOKUP(Z100,Charge!$U$2:$W$5,3,TRUE)),
IF(AND(B100="G3",M100=""),IF(R100="20'",
VLOOKUP(Z100,Charge!$K$18:$M$21,2,TRUE)+(Z100-VLOOKUP(Z100,Charge!$K$18:$M$21,1,TRUE))*VLOOKUP(Z100,Charge!$K$18:$M$21,3,TRUE),
VLOOKUP(Z100,Charge!$N$18:$P$21,2,TRUE)+(Z100-VLOOKUP(Z100,Charge!$N$18:$P$21,1,TRUE))*VLOOKUP(Z100,Charge!$N$18:$P$21,3,TRUE)),
IF(AND(B100="G3",M100="DG"),IF(R100="20'",
VLOOKUP(Z100,Charge!$R$18:$T$21,2,TRUE)+(Z100-VLOOKUP(Z100,Charge!$R$18:$T$21,1,TRUE))*VLOOKUP(Z100,Charge!$R$18:$T$21,3,TRUE),
VLOOKUP(Z100,Charge!$U$18:$W$21,2,TRUE)+(Z100-VLOOKUP(Z100,Charge!$U$18:$W$21,1,TRUE))*VLOOKUP(Z100,Charge!$U$18:$W$21,3,TRUE)),
IF(AND(B100="G2",M100=""),IF(R100="20'",
VLOOKUP(Z100,Charge!$K$9:$M$12,2,TRUE)+(Z100-VLOOKUP(Z100,Charge!$K$9:$M$12,1,TRUE))*VLOOKUP(Z100,Charge!$K$9:$M$12,3,TRUE),
VLOOKUP(Z100,Charge!$N$9:$P$12,2,TRUE)+(Z100-VLOOKUP(Z100,Charge!$N$9:$P$12,1,TRUE))*VLOOKUP(Z100,Charge!$N$9:$P$12,3,TRUE)),
IF(AND(B100="G2",M100="DG"),IF(R100="20'",
VLOOKUP(Z100,Charge!$R$9:$T$12,2,TRUE)+(Z100-VLOOKUP(Z100,Charge!$R$9:$T$12,1,TRUE))*VLOOKUP(Z100,Charge!$R$9:$T$12,3,TRUE),
VLOOKUP(Z100,Charge!$U$9:$W$12,2,TRUE)+(Z100-VLOOKUP(Z100,Charge!$U$9:$W$12,1,TRUE))*VLOOKUP(Z100,Charge!$U$9:$W$12,3,TRUE)),IF(AND(B100="G4",M100=""),IF(R100="20'",Z100*Charge!$M$25,Z100*Charge!$P$25),IF(AND(B100="G4",M100="DG"),IF(R100="20'",Z100*Charge!$T$25,Z100*Charge!$W$25),0))))))))</f>
        <v>320</v>
      </c>
      <c r="AB100" s="184" t="n"/>
      <c r="AC100" s="184" t="n"/>
      <c r="AD100" s="60">
        <f>IF(M100="DG",3,IF(N100="RF",3,5))+IF(AND(LEFT(C100,3)="BKK",N100="RF",Q100="KTS"),1,0)+IF(Q100="KHS",1,0)</f>
        <v>5</v>
      </c>
      <c r="AE100" s="63">
        <f>(T100-V100)+1</f>
        <v>46312</v>
      </c>
      <c r="AF100" s="63">
        <f>IF(AB100&gt;IF((V100-W100)&gt;0,V100-W100,0),0,IF(AB100&lt;IF((V100-W100)&gt;0,V100-W100,0),IF((V100-W100)&gt;0,V100-W100,0)-AB100,IF((V100-W100)&gt;0,V100-W100,0)))</f>
        <v>0</v>
      </c>
      <c r="AG100" s="187">
        <f>IF(AND(M100=""),IF(R100="20'",
VLOOKUP(AF100,Charge!$K$31:$M$34,2,TRUE)+(AF100-VLOOKUP(AF100,Charge!$K$31:$M$34,1,TRUE))*VLOOKUP(AF100,Charge!$K$31:$M$34,3,TRUE),
VLOOKUP(AF100,Charge!$N$31:$P$34,2,TRUE)+(AF100-VLOOKUP(AF100,Charge!$N$31:$P$34,1,TRUE))*VLOOKUP(AF100,Charge!$N$31:$P$34,3,TRUE)),
IF(AND(M100="DG"),IF(R100="20'",
VLOOKUP(AF100,Charge!$R$31:$T$34,2,TRUE)+(AF100-VLOOKUP(AF100,Charge!$R$31:$T$34,1,TRUE))*VLOOKUP(AF100,Charge!$R$31:$T$34,3,TRUE),
VLOOKUP(AF100,Charge!$U$31:$W$34,2,TRUE)+(AF100-VLOOKUP(AF100,Charge!$U$31:$W$34,1,TRUE))*VLOOKUP(AF100,Charge!$U$31:$W$34,3,TRUE)),0))</f>
        <v>0</v>
      </c>
      <c r="AH100" s="65" t="n"/>
      <c r="AI100" s="65">
        <f>AA100-AH100</f>
        <v>320</v>
      </c>
      <c r="AJ100" s="188" t="n"/>
      <c r="AK100" s="62" t="str">
        <f>VLOOKUP(D100,'2.Bookinglist'!A:CT,40,FALSE)</f>
        <v>Nannaapust Sukporntaweewat</v>
      </c>
      <c r="AL100" s="60" t="str">
        <f>VLOOKUP(D100,'2.Bookinglist'!A:CW,101,FALSE)</f>
        <v>2026-10-15</v>
      </c>
      <c r="AM100" s="60" t="str">
        <f>VLOOKUP(D100,'2.Bookinglist'!A:BK,63,FALSE)</f>
        <v>BKK27</v>
      </c>
      <c r="AN100" s="62" t="str">
        <f>VLOOKUP(D100,'2.Bookinglist'!A:AZ,52,FALSE)</f>
        <v>**APPROVAL BY MR.M.J CHANG DD.30/09/2026* *FLEXIBAG ONDECK*
Survey : 2026-10-09 , Pickup : 2026-10-10, Return : 2026-10-12
EXTEND CLOSING DD.13/10/26 @12.00</v>
      </c>
      <c r="AO100" s="62">
        <f>VLOOKUP(D100,'2.Bookinglist'!A:CY,103,FALSE)</f>
        <v>0</v>
      </c>
    </row>
    <row r="101" ht="12.95" customHeight="1">
      <c r="A101" s="96" t="inlineStr">
        <is>
          <t>SKLU0746347</t>
        </is>
      </c>
      <c r="B101" s="184" t="str">
        <f>IF(C101=Charge!$M$1,Charge!$J$1,IF(C101=Charge!$M$23,Charge!$J$23,IF(C101=Charge!$M$17,Charge!$J$17,IF(C101=Charge!$N$17,Charge!$J$17,Charge!$J$7))))</f>
        <v>G3</v>
      </c>
      <c r="C101" s="61" t="str">
        <f>VLOOKUP(A101,'1.Loading'!A:R,14,FALSE)</f>
        <v>BKK01</v>
      </c>
      <c r="D101" s="61" t="str">
        <f>VLOOKUP(A101,'1.Loading'!A:R,17,FALSE)</f>
        <v>HASLS22260902761</v>
      </c>
      <c r="E101" s="62" t="str">
        <f>VLOOKUP(D101,'2.Bookinglist'!A:CT,27,FALSE)</f>
        <v>THAI AGRI FOODS PUBLIC COMPANY LIMITED</v>
      </c>
      <c r="F101" s="62" t="str">
        <f>VLOOKUP(D101,'2.Bookinglist'!A:CT,28,FALSE)</f>
        <v>THAI AGRI FOODS PUBLIC COMPANY LIMITED</v>
      </c>
      <c r="G101" s="60">
        <f>VLOOKUP(D101,'2.Bookinglist'!A:E,5,FALSE)</f>
        <v>0</v>
      </c>
      <c r="H101" s="61" t="str">
        <f>VLOOKUP(D101,'2.Bookinglist'!A:CT,15,FALSE)</f>
        <v>THBKK</v>
      </c>
      <c r="I101" s="61" t="str">
        <f>VLOOKUP(D101,'2.Bookinglist'!A:CT,19,FALSE)</f>
        <v>RUVVO</v>
      </c>
      <c r="J101" s="61" t="str">
        <f>VLOOKUP(D101,'2.Bookinglist'!A:CT,26,FALSE)</f>
        <v>KRPUS</v>
      </c>
      <c r="K101" s="61" t="str">
        <f>VLOOKUP(A101,'1.Loading'!A:R,5,FALSE)</f>
        <v>22GP</v>
      </c>
      <c r="L101" s="60" t="str">
        <f>VLOOKUP(D101,'2.Bookinglist'!A:CT,85,FALSE)</f>
        <v>CY/CY</v>
      </c>
      <c r="M101" s="60" t="str">
        <f>IF(VLOOKUP(D101,'2.Bookinglist'!A:CT,43,FALSE)=0,"","DG")</f>
        <v/>
      </c>
      <c r="N101" s="60" t="str">
        <f>IF(RIGHT(K101,2)="RE","RF","")</f>
        <v/>
      </c>
      <c r="O101" s="61" t="str">
        <f>VLOOKUP(A101,'1.Loading'!A:R,3,FALSE)</f>
        <v>SWIC</v>
      </c>
      <c r="P101" s="61" t="str">
        <f>VLOOKUP(A101,'1.Loading'!A:R,4,FALSE)</f>
        <v>2611N</v>
      </c>
      <c r="Q101" s="61" t="str">
        <f>VLOOKUP(D101,'2.Bookinglist'!A:CT,12,FALSE)</f>
        <v>KHS1</v>
      </c>
      <c r="R101" s="60" t="str">
        <f>IF(LEFT(K101,2)="22","20'","40'")</f>
        <v>20'</v>
      </c>
      <c r="S101" s="185" t="n"/>
      <c r="T101" s="61" t="str">
        <f>VLOOKUP(A101,'1.Loading'!A:R,2,FALSE)</f>
        <v>2026-10-16</v>
      </c>
      <c r="U101" s="63">
        <f>T101-S101</f>
        <v>46311</v>
      </c>
      <c r="V101" s="186" t="n"/>
      <c r="W101" s="61" t="str">
        <f>VLOOKUP(A101,'3.GateMove'!A:D,4,FALSE)</f>
        <v>2026-10-12</v>
      </c>
      <c r="X101" s="63">
        <f>((T101-W101)+1)</f>
        <v>5</v>
      </c>
      <c r="Y101" s="64">
        <f>IF(AND(OR(C101="BKK01",C101="BKK04"),L101="CFS/CY"),0,IF(M101="DG",1,IF(LEFT(C101,3)="LCH",7,IF(C101="BKK02",5,3))))</f>
        <v>3</v>
      </c>
      <c r="Z101" s="63">
        <f>IF(IF(AND(AC101="TML",AB101&gt;0),((T101-W101)+1)-AB101,((T101-W101)+1)-Y101)&gt;0,IF(AND(AC101="TML",AB101&gt;0),((T101-W101)+1)-AB101,((T101-W101)+1)-Y101),0)</f>
        <v>2</v>
      </c>
      <c r="AA101" s="187">
        <f>IF(AND(B101="G1",M101=""),IF(R101="20'",
VLOOKUP(Z101,Charge!$K$2:$M$5,2,TRUE)+(Z101-VLOOKUP(Z101,Charge!$K$2:$M$5,1,TRUE))*VLOOKUP(Z101,Charge!$K$2:$M$5,3,TRUE),
VLOOKUP(Z101,Charge!$N$2:$P$5,2,TRUE)+(Z101-VLOOKUP(Z101,Charge!$N$2:$P$5,1,TRUE))*VLOOKUP(Z101,Charge!$N$2:$P$5,3,TRUE)),
IF(AND(B101="G1",M101="DG"),IF(R101="20'",
VLOOKUP(Z101,Charge!$R$2:$T$5,2,TRUE)+(Z101-VLOOKUP(Z101,Charge!$R$2:$T$5,1,TRUE))*VLOOKUP(Z101,Charge!$R$2:$T$5,3,TRUE),
VLOOKUP(Z101,Charge!$U$2:$W$5,2,TRUE)+(Z101-VLOOKUP(Z101,Charge!$U$2:$W$5,1,TRUE))*VLOOKUP(Z101,Charge!$U$2:$W$5,3,TRUE)),
IF(AND(B101="G3",M101=""),IF(R101="20'",
VLOOKUP(Z101,Charge!$K$18:$M$21,2,TRUE)+(Z101-VLOOKUP(Z101,Charge!$K$18:$M$21,1,TRUE))*VLOOKUP(Z101,Charge!$K$18:$M$21,3,TRUE),
VLOOKUP(Z101,Charge!$N$18:$P$21,2,TRUE)+(Z101-VLOOKUP(Z101,Charge!$N$18:$P$21,1,TRUE))*VLOOKUP(Z101,Charge!$N$18:$P$21,3,TRUE)),
IF(AND(B101="G3",M101="DG"),IF(R101="20'",
VLOOKUP(Z101,Charge!$R$18:$T$21,2,TRUE)+(Z101-VLOOKUP(Z101,Charge!$R$18:$T$21,1,TRUE))*VLOOKUP(Z101,Charge!$R$18:$T$21,3,TRUE),
VLOOKUP(Z101,Charge!$U$18:$W$21,2,TRUE)+(Z101-VLOOKUP(Z101,Charge!$U$18:$W$21,1,TRUE))*VLOOKUP(Z101,Charge!$U$18:$W$21,3,TRUE)),
IF(AND(B101="G2",M101=""),IF(R101="20'",
VLOOKUP(Z101,Charge!$K$9:$M$12,2,TRUE)+(Z101-VLOOKUP(Z101,Charge!$K$9:$M$12,1,TRUE))*VLOOKUP(Z101,Charge!$K$9:$M$12,3,TRUE),
VLOOKUP(Z101,Charge!$N$9:$P$12,2,TRUE)+(Z101-VLOOKUP(Z101,Charge!$N$9:$P$12,1,TRUE))*VLOOKUP(Z101,Charge!$N$9:$P$12,3,TRUE)),
IF(AND(B101="G2",M101="DG"),IF(R101="20'",
VLOOKUP(Z101,Charge!$R$9:$T$12,2,TRUE)+(Z101-VLOOKUP(Z101,Charge!$R$9:$T$12,1,TRUE))*VLOOKUP(Z101,Charge!$R$9:$T$12,3,TRUE),
VLOOKUP(Z101,Charge!$U$9:$W$12,2,TRUE)+(Z101-VLOOKUP(Z101,Charge!$U$9:$W$12,1,TRUE))*VLOOKUP(Z101,Charge!$U$9:$W$12,3,TRUE)),IF(AND(B101="G4",M101=""),IF(R101="20'",Z101*Charge!$M$25,Z101*Charge!$P$25),IF(AND(B101="G4",M101="DG"),IF(R101="20'",Z101*Charge!$T$25,Z101*Charge!$W$25),0))))))))</f>
        <v>320</v>
      </c>
      <c r="AB101" s="184" t="n"/>
      <c r="AC101" s="184" t="n"/>
      <c r="AD101" s="60">
        <f>IF(M101="DG",3,IF(N101="RF",3,5))+IF(AND(LEFT(C101,3)="BKK",N101="RF",Q101="KTS"),1,0)+IF(Q101="KHS",1,0)</f>
        <v>5</v>
      </c>
      <c r="AE101" s="63">
        <f>(T101-V101)+1</f>
        <v>46312</v>
      </c>
      <c r="AF101" s="63">
        <f>IF(AB101&gt;IF((V101-W101)&gt;0,V101-W101,0),0,IF(AB101&lt;IF((V101-W101)&gt;0,V101-W101,0),IF((V101-W101)&gt;0,V101-W101,0)-AB101,IF((V101-W101)&gt;0,V101-W101,0)))</f>
        <v>0</v>
      </c>
      <c r="AG101" s="187">
        <f>IF(AND(M101=""),IF(R101="20'",
VLOOKUP(AF101,Charge!$K$31:$M$34,2,TRUE)+(AF101-VLOOKUP(AF101,Charge!$K$31:$M$34,1,TRUE))*VLOOKUP(AF101,Charge!$K$31:$M$34,3,TRUE),
VLOOKUP(AF101,Charge!$N$31:$P$34,2,TRUE)+(AF101-VLOOKUP(AF101,Charge!$N$31:$P$34,1,TRUE))*VLOOKUP(AF101,Charge!$N$31:$P$34,3,TRUE)),
IF(AND(M101="DG"),IF(R101="20'",
VLOOKUP(AF101,Charge!$R$31:$T$34,2,TRUE)+(AF101-VLOOKUP(AF101,Charge!$R$31:$T$34,1,TRUE))*VLOOKUP(AF101,Charge!$R$31:$T$34,3,TRUE),
VLOOKUP(AF101,Charge!$U$31:$W$34,2,TRUE)+(AF101-VLOOKUP(AF101,Charge!$U$31:$W$34,1,TRUE))*VLOOKUP(AF101,Charge!$U$31:$W$34,3,TRUE)),0))</f>
        <v>0</v>
      </c>
      <c r="AH101" s="65" t="n"/>
      <c r="AI101" s="65">
        <f>AA101-AH101</f>
        <v>320</v>
      </c>
      <c r="AJ101" s="188" t="n"/>
      <c r="AK101" s="62" t="str">
        <f>VLOOKUP(D101,'2.Bookinglist'!A:CT,40,FALSE)</f>
        <v>ANNA MARS</v>
      </c>
      <c r="AL101" s="60" t="str">
        <f>VLOOKUP(D101,'2.Bookinglist'!A:CW,101,FALSE)</f>
        <v>2026-10-15</v>
      </c>
      <c r="AM101" s="60" t="str">
        <f>VLOOKUP(D101,'2.Bookinglist'!A:BK,63,FALSE)</f>
        <v>BKK27</v>
      </c>
      <c r="AN101" s="62" t="str">
        <f>VLOOKUP(D101,'2.Bookinglist'!A:AZ,52,FALSE)</f>
        <v>[FIX][FIX]SWIC/2611N/10/24[FIX] Pickup : 2026-10-10, Return : 2026-10-12 *CLS TIME 12/10/26 @23.59</v>
      </c>
      <c r="AO101" s="62">
        <f>VLOOKUP(D101,'2.Bookinglist'!A:CY,103,FALSE)</f>
        <v>0</v>
      </c>
    </row>
    <row r="102" ht="12.95" customHeight="1">
      <c r="A102" s="96" t="inlineStr">
        <is>
          <t>SKLU1319118</t>
        </is>
      </c>
      <c r="B102" s="184" t="str">
        <f>IF(C102=Charge!$M$1,Charge!$J$1,IF(C102=Charge!$M$23,Charge!$J$23,IF(C102=Charge!$M$17,Charge!$J$17,IF(C102=Charge!$N$17,Charge!$J$17,Charge!$J$7))))</f>
        <v>G3</v>
      </c>
      <c r="C102" s="61" t="str">
        <f>VLOOKUP(A102,'1.Loading'!A:R,14,FALSE)</f>
        <v>BKK01</v>
      </c>
      <c r="D102" s="61" t="str">
        <f>VLOOKUP(A102,'1.Loading'!A:R,17,FALSE)</f>
        <v>HASLS22260801161</v>
      </c>
      <c r="E102" s="62" t="str">
        <f>VLOOKUP(D102,'2.Bookinglist'!A:CT,27,FALSE)</f>
        <v>MEGALOAD DEVELOPMENT LOGISTICS CO., LTD.</v>
      </c>
      <c r="F102" s="62" t="str">
        <f>VLOOKUP(D102,'2.Bookinglist'!A:CT,28,FALSE)</f>
        <v>FISHMEAL MARKETING DEVELOPMENT CO., LTD.</v>
      </c>
      <c r="G102" s="60">
        <f>VLOOKUP(D102,'2.Bookinglist'!A:E,5,FALSE)</f>
        <v>0</v>
      </c>
      <c r="H102" s="61" t="str">
        <f>VLOOKUP(D102,'2.Bookinglist'!A:CT,15,FALSE)</f>
        <v>THBKK</v>
      </c>
      <c r="I102" s="61" t="str">
        <f>VLOOKUP(D102,'2.Bookinglist'!A:CT,19,FALSE)</f>
        <v>JPKSM</v>
      </c>
      <c r="J102" s="61" t="str">
        <f>VLOOKUP(D102,'2.Bookinglist'!A:CT,26,FALSE)</f>
        <v>KRPUS</v>
      </c>
      <c r="K102" s="61" t="str">
        <f>VLOOKUP(A102,'1.Loading'!A:R,5,FALSE)</f>
        <v>22GP</v>
      </c>
      <c r="L102" s="60" t="str">
        <f>VLOOKUP(D102,'2.Bookinglist'!A:CT,85,FALSE)</f>
        <v>CY/CY</v>
      </c>
      <c r="M102" s="60" t="str">
        <f>IF(VLOOKUP(D102,'2.Bookinglist'!A:CT,43,FALSE)=0,"","DG")</f>
        <v>DG</v>
      </c>
      <c r="N102" s="60" t="str">
        <f>IF(RIGHT(K102,2)="RE","RF","")</f>
        <v/>
      </c>
      <c r="O102" s="61" t="str">
        <f>VLOOKUP(A102,'1.Loading'!A:R,3,FALSE)</f>
        <v>SWIC</v>
      </c>
      <c r="P102" s="61" t="str">
        <f>VLOOKUP(A102,'1.Loading'!A:R,4,FALSE)</f>
        <v>2611N</v>
      </c>
      <c r="Q102" s="61" t="str">
        <f>VLOOKUP(D102,'2.Bookinglist'!A:CT,12,FALSE)</f>
        <v>KHS1</v>
      </c>
      <c r="R102" s="60" t="str">
        <f>IF(LEFT(K102,2)="22","20'","40'")</f>
        <v>20'</v>
      </c>
      <c r="S102" s="185" t="n"/>
      <c r="T102" s="61" t="str">
        <f>VLOOKUP(A102,'1.Loading'!A:R,2,FALSE)</f>
        <v>2026-10-16</v>
      </c>
      <c r="U102" s="63">
        <f>T102-S102</f>
        <v>46311</v>
      </c>
      <c r="V102" s="186" t="n"/>
      <c r="W102" s="61" t="str">
        <f>VLOOKUP(A102,'3.GateMove'!A:D,4,FALSE)</f>
        <v>2026-10-12</v>
      </c>
      <c r="X102" s="63">
        <f>((T102-W102)+1)</f>
        <v>5</v>
      </c>
      <c r="Y102" s="64">
        <f>IF(AND(OR(C102="BKK01",C102="BKK04"),L102="CFS/CY"),0,IF(M102="DG",1,IF(LEFT(C102,3)="LCH",7,IF(C102="BKK02",5,3))))</f>
        <v>1</v>
      </c>
      <c r="Z102" s="63">
        <f>IF(IF(AND(AC102="TML",AB102&gt;0),((T102-W102)+1)-AB102,((T102-W102)+1)-Y102)&gt;0,IF(AND(AC102="TML",AB102&gt;0),((T102-W102)+1)-AB102,((T102-W102)+1)-Y102),0)</f>
        <v>4</v>
      </c>
      <c r="AA102" s="187">
        <f>IF(AND(B102="G1",M102=""),IF(R102="20'",
VLOOKUP(Z102,Charge!$K$2:$M$5,2,TRUE)+(Z102-VLOOKUP(Z102,Charge!$K$2:$M$5,1,TRUE))*VLOOKUP(Z102,Charge!$K$2:$M$5,3,TRUE),
VLOOKUP(Z102,Charge!$N$2:$P$5,2,TRUE)+(Z102-VLOOKUP(Z102,Charge!$N$2:$P$5,1,TRUE))*VLOOKUP(Z102,Charge!$N$2:$P$5,3,TRUE)),
IF(AND(B102="G1",M102="DG"),IF(R102="20'",
VLOOKUP(Z102,Charge!$R$2:$T$5,2,TRUE)+(Z102-VLOOKUP(Z102,Charge!$R$2:$T$5,1,TRUE))*VLOOKUP(Z102,Charge!$R$2:$T$5,3,TRUE),
VLOOKUP(Z102,Charge!$U$2:$W$5,2,TRUE)+(Z102-VLOOKUP(Z102,Charge!$U$2:$W$5,1,TRUE))*VLOOKUP(Z102,Charge!$U$2:$W$5,3,TRUE)),
IF(AND(B102="G3",M102=""),IF(R102="20'",
VLOOKUP(Z102,Charge!$K$18:$M$21,2,TRUE)+(Z102-VLOOKUP(Z102,Charge!$K$18:$M$21,1,TRUE))*VLOOKUP(Z102,Charge!$K$18:$M$21,3,TRUE),
VLOOKUP(Z102,Charge!$N$18:$P$21,2,TRUE)+(Z102-VLOOKUP(Z102,Charge!$N$18:$P$21,1,TRUE))*VLOOKUP(Z102,Charge!$N$18:$P$21,3,TRUE)),
IF(AND(B102="G3",M102="DG"),IF(R102="20'",
VLOOKUP(Z102,Charge!$R$18:$T$21,2,TRUE)+(Z102-VLOOKUP(Z102,Charge!$R$18:$T$21,1,TRUE))*VLOOKUP(Z102,Charge!$R$18:$T$21,3,TRUE),
VLOOKUP(Z102,Charge!$U$18:$W$21,2,TRUE)+(Z102-VLOOKUP(Z102,Charge!$U$18:$W$21,1,TRUE))*VLOOKUP(Z102,Charge!$U$18:$W$21,3,TRUE)),
IF(AND(B102="G2",M102=""),IF(R102="20'",
VLOOKUP(Z102,Charge!$K$9:$M$12,2,TRUE)+(Z102-VLOOKUP(Z102,Charge!$K$9:$M$12,1,TRUE))*VLOOKUP(Z102,Charge!$K$9:$M$12,3,TRUE),
VLOOKUP(Z102,Charge!$N$9:$P$12,2,TRUE)+(Z102-VLOOKUP(Z102,Charge!$N$9:$P$12,1,TRUE))*VLOOKUP(Z102,Charge!$N$9:$P$12,3,TRUE)),
IF(AND(B102="G2",M102="DG"),IF(R102="20'",
VLOOKUP(Z102,Charge!$R$9:$T$12,2,TRUE)+(Z102-VLOOKUP(Z102,Charge!$R$9:$T$12,1,TRUE))*VLOOKUP(Z102,Charge!$R$9:$T$12,3,TRUE),
VLOOKUP(Z102,Charge!$U$9:$W$12,2,TRUE)+(Z102-VLOOKUP(Z102,Charge!$U$9:$W$12,1,TRUE))*VLOOKUP(Z102,Charge!$U$9:$W$12,3,TRUE)),IF(AND(B102="G4",M102=""),IF(R102="20'",Z102*Charge!$M$25,Z102*Charge!$P$25),IF(AND(B102="G4",M102="DG"),IF(R102="20'",Z102*Charge!$T$25,Z102*Charge!$W$25),0))))))))</f>
        <v>1920</v>
      </c>
      <c r="AB102" s="184" t="n"/>
      <c r="AC102" s="184" t="n"/>
      <c r="AD102" s="60">
        <f>IF(M102="DG",3,IF(N102="RF",3,5))+IF(AND(LEFT(C102,3)="BKK",N102="RF",Q102="KTS"),1,0)+IF(Q102="KHS",1,0)</f>
        <v>3</v>
      </c>
      <c r="AE102" s="63">
        <f>(T102-V102)+1</f>
        <v>46312</v>
      </c>
      <c r="AF102" s="63">
        <f>IF(AB102&gt;IF((V102-W102)&gt;0,V102-W102,0),0,IF(AB102&lt;IF((V102-W102)&gt;0,V102-W102,0),IF((V102-W102)&gt;0,V102-W102,0)-AB102,IF((V102-W102)&gt;0,V102-W102,0)))</f>
        <v>0</v>
      </c>
      <c r="AG102" s="187">
        <f>IF(AND(M102=""),IF(R102="20'",
VLOOKUP(AF102,Charge!$K$31:$M$34,2,TRUE)+(AF102-VLOOKUP(AF102,Charge!$K$31:$M$34,1,TRUE))*VLOOKUP(AF102,Charge!$K$31:$M$34,3,TRUE),
VLOOKUP(AF102,Charge!$N$31:$P$34,2,TRUE)+(AF102-VLOOKUP(AF102,Charge!$N$31:$P$34,1,TRUE))*VLOOKUP(AF102,Charge!$N$31:$P$34,3,TRUE)),
IF(AND(M102="DG"),IF(R102="20'",
VLOOKUP(AF102,Charge!$R$31:$T$34,2,TRUE)+(AF102-VLOOKUP(AF102,Charge!$R$31:$T$34,1,TRUE))*VLOOKUP(AF102,Charge!$R$31:$T$34,3,TRUE),
VLOOKUP(AF102,Charge!$U$31:$W$34,2,TRUE)+(AF102-VLOOKUP(AF102,Charge!$U$31:$W$34,1,TRUE))*VLOOKUP(AF102,Charge!$U$31:$W$34,3,TRUE)),0))</f>
        <v>0</v>
      </c>
      <c r="AH102" s="65" t="n"/>
      <c r="AI102" s="65">
        <f>AA102-AH102</f>
        <v>1920</v>
      </c>
      <c r="AJ102" s="188" t="n"/>
      <c r="AK102" s="62" t="str">
        <f>VLOOKUP(D102,'2.Bookinglist'!A:CT,40,FALSE)</f>
        <v>Tarn(Supaporn)</v>
      </c>
      <c r="AL102" s="60" t="str">
        <f>VLOOKUP(D102,'2.Bookinglist'!A:CW,101,FALSE)</f>
        <v>2026-10-12</v>
      </c>
      <c r="AM102" s="60" t="str">
        <f>VLOOKUP(D102,'2.Bookinglist'!A:BK,63,FALSE)</f>
        <v>BKK27</v>
      </c>
      <c r="AN102" s="62" t="str">
        <f>VLOOKUP(D102,'2.Bookinglist'!A:AZ,52,FALSE)</f>
        <v>[FIX][FIX]** APPROVAL DG BY MR.M.J CHANG DD.30/09/2026 ** DG22GPx13 (CLS 9 / UN 2216)  
Pickup : 2026-10-10, Return : 2026-09-10 
EXTEND  CLS TIME 13/23.59 FIRST DATE CAN RETURN CNTR DD.13/10</v>
      </c>
      <c r="AO102" s="62">
        <f>VLOOKUP(D102,'2.Bookinglist'!A:CY,103,FALSE)</f>
        <v>0</v>
      </c>
    </row>
    <row r="103" ht="12.95" customHeight="1">
      <c r="A103" s="96" t="inlineStr">
        <is>
          <t>SKLU1426184</t>
        </is>
      </c>
      <c r="B103" s="184" t="str">
        <f>IF(C103=Charge!$M$1,Charge!$J$1,IF(C103=Charge!$M$23,Charge!$J$23,IF(C103=Charge!$M$17,Charge!$J$17,IF(C103=Charge!$N$17,Charge!$J$17,Charge!$J$7))))</f>
        <v>G3</v>
      </c>
      <c r="C103" s="61" t="str">
        <f>VLOOKUP(A103,'1.Loading'!A:R,14,FALSE)</f>
        <v>BKK01</v>
      </c>
      <c r="D103" s="61" t="str">
        <f>VLOOKUP(A103,'1.Loading'!A:R,17,FALSE)</f>
        <v>HASLS22260801161</v>
      </c>
      <c r="E103" s="62" t="str">
        <f>VLOOKUP(D103,'2.Bookinglist'!A:CT,27,FALSE)</f>
        <v>MEGALOAD DEVELOPMENT LOGISTICS CO., LTD.</v>
      </c>
      <c r="F103" s="62" t="str">
        <f>VLOOKUP(D103,'2.Bookinglist'!A:CT,28,FALSE)</f>
        <v>FISHMEAL MARKETING DEVELOPMENT CO., LTD.</v>
      </c>
      <c r="G103" s="60">
        <f>VLOOKUP(D103,'2.Bookinglist'!A:E,5,FALSE)</f>
        <v>0</v>
      </c>
      <c r="H103" s="61" t="str">
        <f>VLOOKUP(D103,'2.Bookinglist'!A:CT,15,FALSE)</f>
        <v>THBKK</v>
      </c>
      <c r="I103" s="61" t="str">
        <f>VLOOKUP(D103,'2.Bookinglist'!A:CT,19,FALSE)</f>
        <v>JPKSM</v>
      </c>
      <c r="J103" s="61" t="str">
        <f>VLOOKUP(D103,'2.Bookinglist'!A:CT,26,FALSE)</f>
        <v>KRPUS</v>
      </c>
      <c r="K103" s="61" t="str">
        <f>VLOOKUP(A103,'1.Loading'!A:R,5,FALSE)</f>
        <v>22GP</v>
      </c>
      <c r="L103" s="60" t="str">
        <f>VLOOKUP(D103,'2.Bookinglist'!A:CT,85,FALSE)</f>
        <v>CY/CY</v>
      </c>
      <c r="M103" s="60" t="str">
        <f>IF(VLOOKUP(D103,'2.Bookinglist'!A:CT,43,FALSE)=0,"","DG")</f>
        <v>DG</v>
      </c>
      <c r="N103" s="60" t="str">
        <f>IF(RIGHT(K103,2)="RE","RF","")</f>
        <v/>
      </c>
      <c r="O103" s="61" t="str">
        <f>VLOOKUP(A103,'1.Loading'!A:R,3,FALSE)</f>
        <v>SWIC</v>
      </c>
      <c r="P103" s="61" t="str">
        <f>VLOOKUP(A103,'1.Loading'!A:R,4,FALSE)</f>
        <v>2611N</v>
      </c>
      <c r="Q103" s="61" t="str">
        <f>VLOOKUP(D103,'2.Bookinglist'!A:CT,12,FALSE)</f>
        <v>KHS1</v>
      </c>
      <c r="R103" s="60" t="str">
        <f>IF(LEFT(K103,2)="22","20'","40'")</f>
        <v>20'</v>
      </c>
      <c r="S103" s="185" t="n"/>
      <c r="T103" s="61" t="str">
        <f>VLOOKUP(A103,'1.Loading'!A:R,2,FALSE)</f>
        <v>2026-10-16</v>
      </c>
      <c r="U103" s="63">
        <f>T103-S103</f>
        <v>46311</v>
      </c>
      <c r="V103" s="186" t="n"/>
      <c r="W103" s="61" t="str">
        <f>VLOOKUP(A103,'3.GateMove'!A:D,4,FALSE)</f>
        <v>2026-10-13</v>
      </c>
      <c r="X103" s="63">
        <f>((T103-W103)+1)</f>
        <v>4</v>
      </c>
      <c r="Y103" s="64">
        <f>IF(AND(OR(C103="BKK01",C103="BKK04"),L103="CFS/CY"),0,IF(M103="DG",1,IF(LEFT(C103,3)="LCH",7,IF(C103="BKK02",5,3))))</f>
        <v>1</v>
      </c>
      <c r="Z103" s="63">
        <f>IF(IF(AND(AC103="TML",AB103&gt;0),((T103-W103)+1)-AB103,((T103-W103)+1)-Y103)&gt;0,IF(AND(AC103="TML",AB103&gt;0),((T103-W103)+1)-AB103,((T103-W103)+1)-Y103),0)</f>
        <v>3</v>
      </c>
      <c r="AA103" s="187">
        <f>IF(AND(B103="G1",M103=""),IF(R103="20'",
VLOOKUP(Z103,Charge!$K$2:$M$5,2,TRUE)+(Z103-VLOOKUP(Z103,Charge!$K$2:$M$5,1,TRUE))*VLOOKUP(Z103,Charge!$K$2:$M$5,3,TRUE),
VLOOKUP(Z103,Charge!$N$2:$P$5,2,TRUE)+(Z103-VLOOKUP(Z103,Charge!$N$2:$P$5,1,TRUE))*VLOOKUP(Z103,Charge!$N$2:$P$5,3,TRUE)),
IF(AND(B103="G1",M103="DG"),IF(R103="20'",
VLOOKUP(Z103,Charge!$R$2:$T$5,2,TRUE)+(Z103-VLOOKUP(Z103,Charge!$R$2:$T$5,1,TRUE))*VLOOKUP(Z103,Charge!$R$2:$T$5,3,TRUE),
VLOOKUP(Z103,Charge!$U$2:$W$5,2,TRUE)+(Z103-VLOOKUP(Z103,Charge!$U$2:$W$5,1,TRUE))*VLOOKUP(Z103,Charge!$U$2:$W$5,3,TRUE)),
IF(AND(B103="G3",M103=""),IF(R103="20'",
VLOOKUP(Z103,Charge!$K$18:$M$21,2,TRUE)+(Z103-VLOOKUP(Z103,Charge!$K$18:$M$21,1,TRUE))*VLOOKUP(Z103,Charge!$K$18:$M$21,3,TRUE),
VLOOKUP(Z103,Charge!$N$18:$P$21,2,TRUE)+(Z103-VLOOKUP(Z103,Charge!$N$18:$P$21,1,TRUE))*VLOOKUP(Z103,Charge!$N$18:$P$21,3,TRUE)),
IF(AND(B103="G3",M103="DG"),IF(R103="20'",
VLOOKUP(Z103,Charge!$R$18:$T$21,2,TRUE)+(Z103-VLOOKUP(Z103,Charge!$R$18:$T$21,1,TRUE))*VLOOKUP(Z103,Charge!$R$18:$T$21,3,TRUE),
VLOOKUP(Z103,Charge!$U$18:$W$21,2,TRUE)+(Z103-VLOOKUP(Z103,Charge!$U$18:$W$21,1,TRUE))*VLOOKUP(Z103,Charge!$U$18:$W$21,3,TRUE)),
IF(AND(B103="G2",M103=""),IF(R103="20'",
VLOOKUP(Z103,Charge!$K$9:$M$12,2,TRUE)+(Z103-VLOOKUP(Z103,Charge!$K$9:$M$12,1,TRUE))*VLOOKUP(Z103,Charge!$K$9:$M$12,3,TRUE),
VLOOKUP(Z103,Charge!$N$9:$P$12,2,TRUE)+(Z103-VLOOKUP(Z103,Charge!$N$9:$P$12,1,TRUE))*VLOOKUP(Z103,Charge!$N$9:$P$12,3,TRUE)),
IF(AND(B103="G2",M103="DG"),IF(R103="20'",
VLOOKUP(Z103,Charge!$R$9:$T$12,2,TRUE)+(Z103-VLOOKUP(Z103,Charge!$R$9:$T$12,1,TRUE))*VLOOKUP(Z103,Charge!$R$9:$T$12,3,TRUE),
VLOOKUP(Z103,Charge!$U$9:$W$12,2,TRUE)+(Z103-VLOOKUP(Z103,Charge!$U$9:$W$12,1,TRUE))*VLOOKUP(Z103,Charge!$U$9:$W$12,3,TRUE)),IF(AND(B103="G4",M103=""),IF(R103="20'",Z103*Charge!$M$25,Z103*Charge!$P$25),IF(AND(B103="G4",M103="DG"),IF(R103="20'",Z103*Charge!$T$25,Z103*Charge!$W$25),0))))))))</f>
        <v>1440</v>
      </c>
      <c r="AB103" s="184" t="n"/>
      <c r="AC103" s="184" t="n"/>
      <c r="AD103" s="60">
        <f>IF(M103="DG",3,IF(N103="RF",3,5))+IF(AND(LEFT(C103,3)="BKK",N103="RF",Q103="KTS"),1,0)+IF(Q103="KHS",1,0)</f>
        <v>3</v>
      </c>
      <c r="AE103" s="63">
        <f>(T103-V103)+1</f>
        <v>46312</v>
      </c>
      <c r="AF103" s="63">
        <f>IF(AB103&gt;IF((V103-W103)&gt;0,V103-W103,0),0,IF(AB103&lt;IF((V103-W103)&gt;0,V103-W103,0),IF((V103-W103)&gt;0,V103-W103,0)-AB103,IF((V103-W103)&gt;0,V103-W103,0)))</f>
        <v>0</v>
      </c>
      <c r="AG103" s="187">
        <f>IF(AND(M103=""),IF(R103="20'",
VLOOKUP(AF103,Charge!$K$31:$M$34,2,TRUE)+(AF103-VLOOKUP(AF103,Charge!$K$31:$M$34,1,TRUE))*VLOOKUP(AF103,Charge!$K$31:$M$34,3,TRUE),
VLOOKUP(AF103,Charge!$N$31:$P$34,2,TRUE)+(AF103-VLOOKUP(AF103,Charge!$N$31:$P$34,1,TRUE))*VLOOKUP(AF103,Charge!$N$31:$P$34,3,TRUE)),
IF(AND(M103="DG"),IF(R103="20'",
VLOOKUP(AF103,Charge!$R$31:$T$34,2,TRUE)+(AF103-VLOOKUP(AF103,Charge!$R$31:$T$34,1,TRUE))*VLOOKUP(AF103,Charge!$R$31:$T$34,3,TRUE),
VLOOKUP(AF103,Charge!$U$31:$W$34,2,TRUE)+(AF103-VLOOKUP(AF103,Charge!$U$31:$W$34,1,TRUE))*VLOOKUP(AF103,Charge!$U$31:$W$34,3,TRUE)),0))</f>
        <v>0</v>
      </c>
      <c r="AH103" s="65" t="n"/>
      <c r="AI103" s="65">
        <f>AA103-AH103</f>
        <v>1440</v>
      </c>
      <c r="AJ103" s="188" t="n"/>
      <c r="AK103" s="62" t="str">
        <f>VLOOKUP(D103,'2.Bookinglist'!A:CT,40,FALSE)</f>
        <v>Tarn(Supaporn)</v>
      </c>
      <c r="AL103" s="60" t="str">
        <f>VLOOKUP(D103,'2.Bookinglist'!A:CW,101,FALSE)</f>
        <v>2026-10-12</v>
      </c>
      <c r="AM103" s="60" t="str">
        <f>VLOOKUP(D103,'2.Bookinglist'!A:BK,63,FALSE)</f>
        <v>BKK27</v>
      </c>
      <c r="AN103" s="62" t="str">
        <f>VLOOKUP(D103,'2.Bookinglist'!A:AZ,52,FALSE)</f>
        <v>[FIX][FIX]** APPROVAL DG BY MR.M.J CHANG DD.30/09/2026 ** DG22GPx13 (CLS 9 / UN 2216)  
Pickup : 2026-10-10, Return : 2026-09-10 
EXTEND  CLS TIME 13/23.59 FIRST DATE CAN RETURN CNTR DD.13/10</v>
      </c>
      <c r="AO103" s="62">
        <f>VLOOKUP(D103,'2.Bookinglist'!A:CY,103,FALSE)</f>
        <v>0</v>
      </c>
    </row>
    <row r="104" ht="12.95" customHeight="1">
      <c r="A104" s="96" t="inlineStr">
        <is>
          <t>SKLU1443290</t>
        </is>
      </c>
      <c r="B104" s="184" t="str">
        <f>IF(C104=Charge!$M$1,Charge!$J$1,IF(C104=Charge!$M$23,Charge!$J$23,IF(C104=Charge!$M$17,Charge!$J$17,IF(C104=Charge!$N$17,Charge!$J$17,Charge!$J$7))))</f>
        <v>G3</v>
      </c>
      <c r="C104" s="61" t="str">
        <f>VLOOKUP(A104,'1.Loading'!A:R,14,FALSE)</f>
        <v>BKK01</v>
      </c>
      <c r="D104" s="61" t="str">
        <f>VLOOKUP(A104,'1.Loading'!A:R,17,FALSE)</f>
        <v>HASLS22260901595</v>
      </c>
      <c r="E104" s="62" t="str">
        <f>VLOOKUP(D104,'2.Bookinglist'!A:CT,27,FALSE)</f>
        <v>C.P. INTERTRADE CO., LTD.</v>
      </c>
      <c r="F104" s="62" t="str">
        <f>VLOOKUP(D104,'2.Bookinglist'!A:CT,28,FALSE)</f>
        <v>CHAROEN POKPHAND PRODUCE CO., LTD.</v>
      </c>
      <c r="G104" s="60">
        <f>VLOOKUP(D104,'2.Bookinglist'!A:E,5,FALSE)</f>
        <v>0</v>
      </c>
      <c r="H104" s="61" t="str">
        <f>VLOOKUP(D104,'2.Bookinglist'!A:CT,15,FALSE)</f>
        <v>THBKK</v>
      </c>
      <c r="I104" s="61" t="str">
        <f>VLOOKUP(D104,'2.Bookinglist'!A:CT,19,FALSE)</f>
        <v>VNSGN</v>
      </c>
      <c r="J104" s="61">
        <f>VLOOKUP(D104,'2.Bookinglist'!A:CT,26,FALSE)</f>
        <v>0</v>
      </c>
      <c r="K104" s="61" t="str">
        <f>VLOOKUP(A104,'1.Loading'!A:R,5,FALSE)</f>
        <v>22GP</v>
      </c>
      <c r="L104" s="60" t="str">
        <f>VLOOKUP(D104,'2.Bookinglist'!A:CT,85,FALSE)</f>
        <v>CY/CY</v>
      </c>
      <c r="M104" s="60" t="str">
        <f>IF(VLOOKUP(D104,'2.Bookinglist'!A:CT,43,FALSE)=0,"","DG")</f>
        <v/>
      </c>
      <c r="N104" s="60" t="str">
        <f>IF(RIGHT(K104,2)="RE","RF","")</f>
        <v/>
      </c>
      <c r="O104" s="61" t="str">
        <f>VLOOKUP(A104,'1.Loading'!A:R,3,FALSE)</f>
        <v>SWIC</v>
      </c>
      <c r="P104" s="61" t="str">
        <f>VLOOKUP(A104,'1.Loading'!A:R,4,FALSE)</f>
        <v>2611N</v>
      </c>
      <c r="Q104" s="61" t="str">
        <f>VLOOKUP(D104,'2.Bookinglist'!A:CT,12,FALSE)</f>
        <v>KHS1</v>
      </c>
      <c r="R104" s="60" t="str">
        <f>IF(LEFT(K104,2)="22","20'","40'")</f>
        <v>20'</v>
      </c>
      <c r="S104" s="185" t="n"/>
      <c r="T104" s="61" t="str">
        <f>VLOOKUP(A104,'1.Loading'!A:R,2,FALSE)</f>
        <v>2026-10-16</v>
      </c>
      <c r="U104" s="63">
        <f>T104-S104</f>
        <v>46311</v>
      </c>
      <c r="V104" s="186" t="n"/>
      <c r="W104" s="61" t="str">
        <f>VLOOKUP(A104,'3.GateMove'!A:D,4,FALSE)</f>
        <v>2026-10-12</v>
      </c>
      <c r="X104" s="63">
        <f>((T104-W104)+1)</f>
        <v>5</v>
      </c>
      <c r="Y104" s="64">
        <f>IF(AND(OR(C104="BKK01",C104="BKK04"),L104="CFS/CY"),0,IF(M104="DG",1,IF(LEFT(C104,3)="LCH",7,IF(C104="BKK02",5,3))))</f>
        <v>3</v>
      </c>
      <c r="Z104" s="63">
        <f>IF(IF(AND(AC104="TML",AB104&gt;0),((T104-W104)+1)-AB104,((T104-W104)+1)-Y104)&gt;0,IF(AND(AC104="TML",AB104&gt;0),((T104-W104)+1)-AB104,((T104-W104)+1)-Y104),0)</f>
        <v>2</v>
      </c>
      <c r="AA104" s="187">
        <f>IF(AND(B104="G1",M104=""),IF(R104="20'",
VLOOKUP(Z104,Charge!$K$2:$M$5,2,TRUE)+(Z104-VLOOKUP(Z104,Charge!$K$2:$M$5,1,TRUE))*VLOOKUP(Z104,Charge!$K$2:$M$5,3,TRUE),
VLOOKUP(Z104,Charge!$N$2:$P$5,2,TRUE)+(Z104-VLOOKUP(Z104,Charge!$N$2:$P$5,1,TRUE))*VLOOKUP(Z104,Charge!$N$2:$P$5,3,TRUE)),
IF(AND(B104="G1",M104="DG"),IF(R104="20'",
VLOOKUP(Z104,Charge!$R$2:$T$5,2,TRUE)+(Z104-VLOOKUP(Z104,Charge!$R$2:$T$5,1,TRUE))*VLOOKUP(Z104,Charge!$R$2:$T$5,3,TRUE),
VLOOKUP(Z104,Charge!$U$2:$W$5,2,TRUE)+(Z104-VLOOKUP(Z104,Charge!$U$2:$W$5,1,TRUE))*VLOOKUP(Z104,Charge!$U$2:$W$5,3,TRUE)),
IF(AND(B104="G3",M104=""),IF(R104="20'",
VLOOKUP(Z104,Charge!$K$18:$M$21,2,TRUE)+(Z104-VLOOKUP(Z104,Charge!$K$18:$M$21,1,TRUE))*VLOOKUP(Z104,Charge!$K$18:$M$21,3,TRUE),
VLOOKUP(Z104,Charge!$N$18:$P$21,2,TRUE)+(Z104-VLOOKUP(Z104,Charge!$N$18:$P$21,1,TRUE))*VLOOKUP(Z104,Charge!$N$18:$P$21,3,TRUE)),
IF(AND(B104="G3",M104="DG"),IF(R104="20'",
VLOOKUP(Z104,Charge!$R$18:$T$21,2,TRUE)+(Z104-VLOOKUP(Z104,Charge!$R$18:$T$21,1,TRUE))*VLOOKUP(Z104,Charge!$R$18:$T$21,3,TRUE),
VLOOKUP(Z104,Charge!$U$18:$W$21,2,TRUE)+(Z104-VLOOKUP(Z104,Charge!$U$18:$W$21,1,TRUE))*VLOOKUP(Z104,Charge!$U$18:$W$21,3,TRUE)),
IF(AND(B104="G2",M104=""),IF(R104="20'",
VLOOKUP(Z104,Charge!$K$9:$M$12,2,TRUE)+(Z104-VLOOKUP(Z104,Charge!$K$9:$M$12,1,TRUE))*VLOOKUP(Z104,Charge!$K$9:$M$12,3,TRUE),
VLOOKUP(Z104,Charge!$N$9:$P$12,2,TRUE)+(Z104-VLOOKUP(Z104,Charge!$N$9:$P$12,1,TRUE))*VLOOKUP(Z104,Charge!$N$9:$P$12,3,TRUE)),
IF(AND(B104="G2",M104="DG"),IF(R104="20'",
VLOOKUP(Z104,Charge!$R$9:$T$12,2,TRUE)+(Z104-VLOOKUP(Z104,Charge!$R$9:$T$12,1,TRUE))*VLOOKUP(Z104,Charge!$R$9:$T$12,3,TRUE),
VLOOKUP(Z104,Charge!$U$9:$W$12,2,TRUE)+(Z104-VLOOKUP(Z104,Charge!$U$9:$W$12,1,TRUE))*VLOOKUP(Z104,Charge!$U$9:$W$12,3,TRUE)),IF(AND(B104="G4",M104=""),IF(R104="20'",Z104*Charge!$M$25,Z104*Charge!$P$25),IF(AND(B104="G4",M104="DG"),IF(R104="20'",Z104*Charge!$T$25,Z104*Charge!$W$25),0))))))))</f>
        <v>320</v>
      </c>
      <c r="AB104" s="184" t="n"/>
      <c r="AC104" s="184" t="n"/>
      <c r="AD104" s="60">
        <f>IF(M104="DG",3,IF(N104="RF",3,5))+IF(AND(LEFT(C104,3)="BKK",N104="RF",Q104="KTS"),1,0)+IF(Q104="KHS",1,0)</f>
        <v>5</v>
      </c>
      <c r="AE104" s="63">
        <f>(T104-V104)+1</f>
        <v>46312</v>
      </c>
      <c r="AF104" s="63">
        <f>IF(AB104&gt;IF((V104-W104)&gt;0,V104-W104,0),0,IF(AB104&lt;IF((V104-W104)&gt;0,V104-W104,0),IF((V104-W104)&gt;0,V104-W104,0)-AB104,IF((V104-W104)&gt;0,V104-W104,0)))</f>
        <v>0</v>
      </c>
      <c r="AG104" s="187">
        <f>IF(AND(M104=""),IF(R104="20'",
VLOOKUP(AF104,Charge!$K$31:$M$34,2,TRUE)+(AF104-VLOOKUP(AF104,Charge!$K$31:$M$34,1,TRUE))*VLOOKUP(AF104,Charge!$K$31:$M$34,3,TRUE),
VLOOKUP(AF104,Charge!$N$31:$P$34,2,TRUE)+(AF104-VLOOKUP(AF104,Charge!$N$31:$P$34,1,TRUE))*VLOOKUP(AF104,Charge!$N$31:$P$34,3,TRUE)),
IF(AND(M104="DG"),IF(R104="20'",
VLOOKUP(AF104,Charge!$R$31:$T$34,2,TRUE)+(AF104-VLOOKUP(AF104,Charge!$R$31:$T$34,1,TRUE))*VLOOKUP(AF104,Charge!$R$31:$T$34,3,TRUE),
VLOOKUP(AF104,Charge!$U$31:$W$34,2,TRUE)+(AF104-VLOOKUP(AF104,Charge!$U$31:$W$34,1,TRUE))*VLOOKUP(AF104,Charge!$U$31:$W$34,3,TRUE)),0))</f>
        <v>0</v>
      </c>
      <c r="AH104" s="65" t="n"/>
      <c r="AI104" s="65">
        <f>AA104-AH104</f>
        <v>320</v>
      </c>
      <c r="AJ104" s="188" t="n"/>
      <c r="AK104" s="62" t="str">
        <f>VLOOKUP(D104,'2.Bookinglist'!A:CT,40,FALSE)</f>
        <v>Vilaiporn</v>
      </c>
      <c r="AL104" s="60" t="str">
        <f>VLOOKUP(D104,'2.Bookinglist'!A:CW,101,FALSE)</f>
        <v>2026-10-15</v>
      </c>
      <c r="AM104" s="60" t="str">
        <f>VLOOKUP(D104,'2.Bookinglist'!A:BK,63,FALSE)</f>
        <v>BKK25</v>
      </c>
      <c r="AN104" s="62" t="str">
        <f>VLOOKUP(D104,'2.Bookinglist'!A:AZ,52,FALSE)</f>
        <v>Pickup : 2026-10-10, Return : 2026-10-12 </v>
      </c>
      <c r="AO104" s="62">
        <f>VLOOKUP(D104,'2.Bookinglist'!A:CY,103,FALSE)</f>
        <v>0</v>
      </c>
    </row>
    <row r="105" ht="12.95" customHeight="1">
      <c r="A105" s="96" t="inlineStr">
        <is>
          <t>SKLU1509709</t>
        </is>
      </c>
      <c r="B105" s="184" t="str">
        <f>IF(C105=Charge!$M$1,Charge!$J$1,IF(C105=Charge!$M$23,Charge!$J$23,IF(C105=Charge!$M$17,Charge!$J$17,IF(C105=Charge!$N$17,Charge!$J$17,Charge!$J$7))))</f>
        <v>G3</v>
      </c>
      <c r="C105" s="61" t="str">
        <f>VLOOKUP(A105,'1.Loading'!A:R,14,FALSE)</f>
        <v>BKK01</v>
      </c>
      <c r="D105" s="61" t="str">
        <f>VLOOKUP(A105,'1.Loading'!A:R,17,FALSE)</f>
        <v>HASLS22260801161</v>
      </c>
      <c r="E105" s="62" t="str">
        <f>VLOOKUP(D105,'2.Bookinglist'!A:CT,27,FALSE)</f>
        <v>MEGALOAD DEVELOPMENT LOGISTICS CO., LTD.</v>
      </c>
      <c r="F105" s="62" t="str">
        <f>VLOOKUP(D105,'2.Bookinglist'!A:CT,28,FALSE)</f>
        <v>FISHMEAL MARKETING DEVELOPMENT CO., LTD.</v>
      </c>
      <c r="G105" s="60">
        <f>VLOOKUP(D105,'2.Bookinglist'!A:E,5,FALSE)</f>
        <v>0</v>
      </c>
      <c r="H105" s="61" t="str">
        <f>VLOOKUP(D105,'2.Bookinglist'!A:CT,15,FALSE)</f>
        <v>THBKK</v>
      </c>
      <c r="I105" s="61" t="str">
        <f>VLOOKUP(D105,'2.Bookinglist'!A:CT,19,FALSE)</f>
        <v>JPKSM</v>
      </c>
      <c r="J105" s="61" t="str">
        <f>VLOOKUP(D105,'2.Bookinglist'!A:CT,26,FALSE)</f>
        <v>KRPUS</v>
      </c>
      <c r="K105" s="61" t="str">
        <f>VLOOKUP(A105,'1.Loading'!A:R,5,FALSE)</f>
        <v>22GP</v>
      </c>
      <c r="L105" s="60" t="str">
        <f>VLOOKUP(D105,'2.Bookinglist'!A:CT,85,FALSE)</f>
        <v>CY/CY</v>
      </c>
      <c r="M105" s="60" t="str">
        <f>IF(VLOOKUP(D105,'2.Bookinglist'!A:CT,43,FALSE)=0,"","DG")</f>
        <v>DG</v>
      </c>
      <c r="N105" s="60" t="str">
        <f>IF(RIGHT(K105,2)="RE","RF","")</f>
        <v/>
      </c>
      <c r="O105" s="61" t="str">
        <f>VLOOKUP(A105,'1.Loading'!A:R,3,FALSE)</f>
        <v>SWIC</v>
      </c>
      <c r="P105" s="61" t="str">
        <f>VLOOKUP(A105,'1.Loading'!A:R,4,FALSE)</f>
        <v>2611N</v>
      </c>
      <c r="Q105" s="61" t="str">
        <f>VLOOKUP(D105,'2.Bookinglist'!A:CT,12,FALSE)</f>
        <v>KHS1</v>
      </c>
      <c r="R105" s="60" t="str">
        <f>IF(LEFT(K105,2)="22","20'","40'")</f>
        <v>20'</v>
      </c>
      <c r="S105" s="185" t="n"/>
      <c r="T105" s="61" t="str">
        <f>VLOOKUP(A105,'1.Loading'!A:R,2,FALSE)</f>
        <v>2026-10-16</v>
      </c>
      <c r="U105" s="63">
        <f>T105-S105</f>
        <v>46311</v>
      </c>
      <c r="V105" s="186" t="n"/>
      <c r="W105" s="61" t="str">
        <f>VLOOKUP(A105,'3.GateMove'!A:D,4,FALSE)</f>
        <v>2026-10-13</v>
      </c>
      <c r="X105" s="63">
        <f>((T105-W105)+1)</f>
        <v>4</v>
      </c>
      <c r="Y105" s="64">
        <f>IF(AND(OR(C105="BKK01",C105="BKK04"),L105="CFS/CY"),0,IF(M105="DG",1,IF(LEFT(C105,3)="LCH",7,IF(C105="BKK02",5,3))))</f>
        <v>1</v>
      </c>
      <c r="Z105" s="63">
        <f>IF(IF(AND(AC105="TML",AB105&gt;0),((T105-W105)+1)-AB105,((T105-W105)+1)-Y105)&gt;0,IF(AND(AC105="TML",AB105&gt;0),((T105-W105)+1)-AB105,((T105-W105)+1)-Y105),0)</f>
        <v>3</v>
      </c>
      <c r="AA105" s="187">
        <f>IF(AND(B105="G1",M105=""),IF(R105="20'",
VLOOKUP(Z105,Charge!$K$2:$M$5,2,TRUE)+(Z105-VLOOKUP(Z105,Charge!$K$2:$M$5,1,TRUE))*VLOOKUP(Z105,Charge!$K$2:$M$5,3,TRUE),
VLOOKUP(Z105,Charge!$N$2:$P$5,2,TRUE)+(Z105-VLOOKUP(Z105,Charge!$N$2:$P$5,1,TRUE))*VLOOKUP(Z105,Charge!$N$2:$P$5,3,TRUE)),
IF(AND(B105="G1",M105="DG"),IF(R105="20'",
VLOOKUP(Z105,Charge!$R$2:$T$5,2,TRUE)+(Z105-VLOOKUP(Z105,Charge!$R$2:$T$5,1,TRUE))*VLOOKUP(Z105,Charge!$R$2:$T$5,3,TRUE),
VLOOKUP(Z105,Charge!$U$2:$W$5,2,TRUE)+(Z105-VLOOKUP(Z105,Charge!$U$2:$W$5,1,TRUE))*VLOOKUP(Z105,Charge!$U$2:$W$5,3,TRUE)),
IF(AND(B105="G3",M105=""),IF(R105="20'",
VLOOKUP(Z105,Charge!$K$18:$M$21,2,TRUE)+(Z105-VLOOKUP(Z105,Charge!$K$18:$M$21,1,TRUE))*VLOOKUP(Z105,Charge!$K$18:$M$21,3,TRUE),
VLOOKUP(Z105,Charge!$N$18:$P$21,2,TRUE)+(Z105-VLOOKUP(Z105,Charge!$N$18:$P$21,1,TRUE))*VLOOKUP(Z105,Charge!$N$18:$P$21,3,TRUE)),
IF(AND(B105="G3",M105="DG"),IF(R105="20'",
VLOOKUP(Z105,Charge!$R$18:$T$21,2,TRUE)+(Z105-VLOOKUP(Z105,Charge!$R$18:$T$21,1,TRUE))*VLOOKUP(Z105,Charge!$R$18:$T$21,3,TRUE),
VLOOKUP(Z105,Charge!$U$18:$W$21,2,TRUE)+(Z105-VLOOKUP(Z105,Charge!$U$18:$W$21,1,TRUE))*VLOOKUP(Z105,Charge!$U$18:$W$21,3,TRUE)),
IF(AND(B105="G2",M105=""),IF(R105="20'",
VLOOKUP(Z105,Charge!$K$9:$M$12,2,TRUE)+(Z105-VLOOKUP(Z105,Charge!$K$9:$M$12,1,TRUE))*VLOOKUP(Z105,Charge!$K$9:$M$12,3,TRUE),
VLOOKUP(Z105,Charge!$N$9:$P$12,2,TRUE)+(Z105-VLOOKUP(Z105,Charge!$N$9:$P$12,1,TRUE))*VLOOKUP(Z105,Charge!$N$9:$P$12,3,TRUE)),
IF(AND(B105="G2",M105="DG"),IF(R105="20'",
VLOOKUP(Z105,Charge!$R$9:$T$12,2,TRUE)+(Z105-VLOOKUP(Z105,Charge!$R$9:$T$12,1,TRUE))*VLOOKUP(Z105,Charge!$R$9:$T$12,3,TRUE),
VLOOKUP(Z105,Charge!$U$9:$W$12,2,TRUE)+(Z105-VLOOKUP(Z105,Charge!$U$9:$W$12,1,TRUE))*VLOOKUP(Z105,Charge!$U$9:$W$12,3,TRUE)),IF(AND(B105="G4",M105=""),IF(R105="20'",Z105*Charge!$M$25,Z105*Charge!$P$25),IF(AND(B105="G4",M105="DG"),IF(R105="20'",Z105*Charge!$T$25,Z105*Charge!$W$25),0))))))))</f>
        <v>1440</v>
      </c>
      <c r="AB105" s="184" t="n"/>
      <c r="AC105" s="184" t="n"/>
      <c r="AD105" s="60">
        <f>IF(M105="DG",3,IF(N105="RF",3,5))+IF(AND(LEFT(C105,3)="BKK",N105="RF",Q105="KTS"),1,0)+IF(Q105="KHS",1,0)</f>
        <v>3</v>
      </c>
      <c r="AE105" s="63">
        <f>(T105-V105)+1</f>
        <v>46312</v>
      </c>
      <c r="AF105" s="63">
        <f>IF(AB105&gt;IF((V105-W105)&gt;0,V105-W105,0),0,IF(AB105&lt;IF((V105-W105)&gt;0,V105-W105,0),IF((V105-W105)&gt;0,V105-W105,0)-AB105,IF((V105-W105)&gt;0,V105-W105,0)))</f>
        <v>0</v>
      </c>
      <c r="AG105" s="187">
        <f>IF(AND(M105=""),IF(R105="20'",
VLOOKUP(AF105,Charge!$K$31:$M$34,2,TRUE)+(AF105-VLOOKUP(AF105,Charge!$K$31:$M$34,1,TRUE))*VLOOKUP(AF105,Charge!$K$31:$M$34,3,TRUE),
VLOOKUP(AF105,Charge!$N$31:$P$34,2,TRUE)+(AF105-VLOOKUP(AF105,Charge!$N$31:$P$34,1,TRUE))*VLOOKUP(AF105,Charge!$N$31:$P$34,3,TRUE)),
IF(AND(M105="DG"),IF(R105="20'",
VLOOKUP(AF105,Charge!$R$31:$T$34,2,TRUE)+(AF105-VLOOKUP(AF105,Charge!$R$31:$T$34,1,TRUE))*VLOOKUP(AF105,Charge!$R$31:$T$34,3,TRUE),
VLOOKUP(AF105,Charge!$U$31:$W$34,2,TRUE)+(AF105-VLOOKUP(AF105,Charge!$U$31:$W$34,1,TRUE))*VLOOKUP(AF105,Charge!$U$31:$W$34,3,TRUE)),0))</f>
        <v>0</v>
      </c>
      <c r="AH105" s="65" t="n"/>
      <c r="AI105" s="65">
        <f>AA105-AH105</f>
        <v>1440</v>
      </c>
      <c r="AJ105" s="188" t="n"/>
      <c r="AK105" s="62" t="str">
        <f>VLOOKUP(D105,'2.Bookinglist'!A:CT,40,FALSE)</f>
        <v>Tarn(Supaporn)</v>
      </c>
      <c r="AL105" s="60" t="str">
        <f>VLOOKUP(D105,'2.Bookinglist'!A:CW,101,FALSE)</f>
        <v>2026-10-12</v>
      </c>
      <c r="AM105" s="60" t="str">
        <f>VLOOKUP(D105,'2.Bookinglist'!A:BK,63,FALSE)</f>
        <v>BKK27</v>
      </c>
      <c r="AN105" s="62" t="str">
        <f>VLOOKUP(D105,'2.Bookinglist'!A:AZ,52,FALSE)</f>
        <v>[FIX][FIX]** APPROVAL DG BY MR.M.J CHANG DD.30/09/2026 ** DG22GPx13 (CLS 9 / UN 2216)  
Pickup : 2026-10-10, Return : 2026-09-10 
EXTEND  CLS TIME 13/23.59 FIRST DATE CAN RETURN CNTR DD.13/10</v>
      </c>
      <c r="AO105" s="62">
        <f>VLOOKUP(D105,'2.Bookinglist'!A:CY,103,FALSE)</f>
        <v>0</v>
      </c>
    </row>
    <row r="106" ht="12.95" customHeight="1">
      <c r="A106" s="96" t="inlineStr">
        <is>
          <t>SKLU1544865</t>
        </is>
      </c>
      <c r="B106" s="184" t="str">
        <f>IF(C106=Charge!$M$1,Charge!$J$1,IF(C106=Charge!$M$23,Charge!$J$23,IF(C106=Charge!$M$17,Charge!$J$17,IF(C106=Charge!$N$17,Charge!$J$17,Charge!$J$7))))</f>
        <v>G3</v>
      </c>
      <c r="C106" s="61" t="str">
        <f>VLOOKUP(A106,'1.Loading'!A:R,14,FALSE)</f>
        <v>BKK01</v>
      </c>
      <c r="D106" s="61" t="str">
        <f>VLOOKUP(A106,'1.Loading'!A:R,17,FALSE)</f>
        <v>HASLS22260901669</v>
      </c>
      <c r="E106" s="62" t="str">
        <f>VLOOKUP(D106,'2.Bookinglist'!A:CT,27,FALSE)</f>
        <v>SEA FLEXI LOGISTICS CO.,LTD.</v>
      </c>
      <c r="F106" s="62" t="str">
        <f>VLOOKUP(D106,'2.Bookinglist'!A:CT,28,FALSE)</f>
        <v>THANAKORN VEGETABLE OIL PRODUCTS CO., LTD.</v>
      </c>
      <c r="G106" s="60">
        <f>VLOOKUP(D106,'2.Bookinglist'!A:E,5,FALSE)</f>
        <v>0</v>
      </c>
      <c r="H106" s="61" t="str">
        <f>VLOOKUP(D106,'2.Bookinglist'!A:CT,15,FALSE)</f>
        <v>THBKK</v>
      </c>
      <c r="I106" s="61" t="str">
        <f>VLOOKUP(D106,'2.Bookinglist'!A:CT,19,FALSE)</f>
        <v>VNSGN</v>
      </c>
      <c r="J106" s="61">
        <f>VLOOKUP(D106,'2.Bookinglist'!A:CT,26,FALSE)</f>
        <v>0</v>
      </c>
      <c r="K106" s="61" t="str">
        <f>VLOOKUP(A106,'1.Loading'!A:R,5,FALSE)</f>
        <v>22GP</v>
      </c>
      <c r="L106" s="60" t="str">
        <f>VLOOKUP(D106,'2.Bookinglist'!A:CT,85,FALSE)</f>
        <v>CY/CY</v>
      </c>
      <c r="M106" s="60" t="str">
        <f>IF(VLOOKUP(D106,'2.Bookinglist'!A:CT,43,FALSE)=0,"","DG")</f>
        <v/>
      </c>
      <c r="N106" s="60" t="str">
        <f>IF(RIGHT(K106,2)="RE","RF","")</f>
        <v/>
      </c>
      <c r="O106" s="61" t="str">
        <f>VLOOKUP(A106,'1.Loading'!A:R,3,FALSE)</f>
        <v>SWIC</v>
      </c>
      <c r="P106" s="61" t="str">
        <f>VLOOKUP(A106,'1.Loading'!A:R,4,FALSE)</f>
        <v>2611N</v>
      </c>
      <c r="Q106" s="61" t="str">
        <f>VLOOKUP(D106,'2.Bookinglist'!A:CT,12,FALSE)</f>
        <v>KHS1</v>
      </c>
      <c r="R106" s="60" t="str">
        <f>IF(LEFT(K106,2)="22","20'","40'")</f>
        <v>20'</v>
      </c>
      <c r="S106" s="185" t="n"/>
      <c r="T106" s="61" t="str">
        <f>VLOOKUP(A106,'1.Loading'!A:R,2,FALSE)</f>
        <v>2026-10-16</v>
      </c>
      <c r="U106" s="63">
        <f>T106-S106</f>
        <v>46311</v>
      </c>
      <c r="V106" s="186" t="n"/>
      <c r="W106" s="61" t="str">
        <f>VLOOKUP(A106,'3.GateMove'!A:D,4,FALSE)</f>
        <v>2026-10-12</v>
      </c>
      <c r="X106" s="63">
        <f>((T106-W106)+1)</f>
        <v>5</v>
      </c>
      <c r="Y106" s="64">
        <f>IF(AND(OR(C106="BKK01",C106="BKK04"),L106="CFS/CY"),0,IF(M106="DG",1,IF(LEFT(C106,3)="LCH",7,IF(C106="BKK02",5,3))))</f>
        <v>3</v>
      </c>
      <c r="Z106" s="63">
        <f>IF(IF(AND(AC106="TML",AB106&gt;0),((T106-W106)+1)-AB106,((T106-W106)+1)-Y106)&gt;0,IF(AND(AC106="TML",AB106&gt;0),((T106-W106)+1)-AB106,((T106-W106)+1)-Y106),0)</f>
        <v>2</v>
      </c>
      <c r="AA106" s="187">
        <f>IF(AND(B106="G1",M106=""),IF(R106="20'",
VLOOKUP(Z106,Charge!$K$2:$M$5,2,TRUE)+(Z106-VLOOKUP(Z106,Charge!$K$2:$M$5,1,TRUE))*VLOOKUP(Z106,Charge!$K$2:$M$5,3,TRUE),
VLOOKUP(Z106,Charge!$N$2:$P$5,2,TRUE)+(Z106-VLOOKUP(Z106,Charge!$N$2:$P$5,1,TRUE))*VLOOKUP(Z106,Charge!$N$2:$P$5,3,TRUE)),
IF(AND(B106="G1",M106="DG"),IF(R106="20'",
VLOOKUP(Z106,Charge!$R$2:$T$5,2,TRUE)+(Z106-VLOOKUP(Z106,Charge!$R$2:$T$5,1,TRUE))*VLOOKUP(Z106,Charge!$R$2:$T$5,3,TRUE),
VLOOKUP(Z106,Charge!$U$2:$W$5,2,TRUE)+(Z106-VLOOKUP(Z106,Charge!$U$2:$W$5,1,TRUE))*VLOOKUP(Z106,Charge!$U$2:$W$5,3,TRUE)),
IF(AND(B106="G3",M106=""),IF(R106="20'",
VLOOKUP(Z106,Charge!$K$18:$M$21,2,TRUE)+(Z106-VLOOKUP(Z106,Charge!$K$18:$M$21,1,TRUE))*VLOOKUP(Z106,Charge!$K$18:$M$21,3,TRUE),
VLOOKUP(Z106,Charge!$N$18:$P$21,2,TRUE)+(Z106-VLOOKUP(Z106,Charge!$N$18:$P$21,1,TRUE))*VLOOKUP(Z106,Charge!$N$18:$P$21,3,TRUE)),
IF(AND(B106="G3",M106="DG"),IF(R106="20'",
VLOOKUP(Z106,Charge!$R$18:$T$21,2,TRUE)+(Z106-VLOOKUP(Z106,Charge!$R$18:$T$21,1,TRUE))*VLOOKUP(Z106,Charge!$R$18:$T$21,3,TRUE),
VLOOKUP(Z106,Charge!$U$18:$W$21,2,TRUE)+(Z106-VLOOKUP(Z106,Charge!$U$18:$W$21,1,TRUE))*VLOOKUP(Z106,Charge!$U$18:$W$21,3,TRUE)),
IF(AND(B106="G2",M106=""),IF(R106="20'",
VLOOKUP(Z106,Charge!$K$9:$M$12,2,TRUE)+(Z106-VLOOKUP(Z106,Charge!$K$9:$M$12,1,TRUE))*VLOOKUP(Z106,Charge!$K$9:$M$12,3,TRUE),
VLOOKUP(Z106,Charge!$N$9:$P$12,2,TRUE)+(Z106-VLOOKUP(Z106,Charge!$N$9:$P$12,1,TRUE))*VLOOKUP(Z106,Charge!$N$9:$P$12,3,TRUE)),
IF(AND(B106="G2",M106="DG"),IF(R106="20'",
VLOOKUP(Z106,Charge!$R$9:$T$12,2,TRUE)+(Z106-VLOOKUP(Z106,Charge!$R$9:$T$12,1,TRUE))*VLOOKUP(Z106,Charge!$R$9:$T$12,3,TRUE),
VLOOKUP(Z106,Charge!$U$9:$W$12,2,TRUE)+(Z106-VLOOKUP(Z106,Charge!$U$9:$W$12,1,TRUE))*VLOOKUP(Z106,Charge!$U$9:$W$12,3,TRUE)),IF(AND(B106="G4",M106=""),IF(R106="20'",Z106*Charge!$M$25,Z106*Charge!$P$25),IF(AND(B106="G4",M106="DG"),IF(R106="20'",Z106*Charge!$T$25,Z106*Charge!$W$25),0))))))))</f>
        <v>320</v>
      </c>
      <c r="AB106" s="184" t="n"/>
      <c r="AC106" s="184" t="n"/>
      <c r="AD106" s="60">
        <f>IF(M106="DG",3,IF(N106="RF",3,5))+IF(AND(LEFT(C106,3)="BKK",N106="RF",Q106="KTS"),1,0)+IF(Q106="KHS",1,0)</f>
        <v>5</v>
      </c>
      <c r="AE106" s="63">
        <f>(T106-V106)+1</f>
        <v>46312</v>
      </c>
      <c r="AF106" s="63">
        <f>IF(AB106&gt;IF((V106-W106)&gt;0,V106-W106,0),0,IF(AB106&lt;IF((V106-W106)&gt;0,V106-W106,0),IF((V106-W106)&gt;0,V106-W106,0)-AB106,IF((V106-W106)&gt;0,V106-W106,0)))</f>
        <v>0</v>
      </c>
      <c r="AG106" s="187">
        <f>IF(AND(M106=""),IF(R106="20'",
VLOOKUP(AF106,Charge!$K$31:$M$34,2,TRUE)+(AF106-VLOOKUP(AF106,Charge!$K$31:$M$34,1,TRUE))*VLOOKUP(AF106,Charge!$K$31:$M$34,3,TRUE),
VLOOKUP(AF106,Charge!$N$31:$P$34,2,TRUE)+(AF106-VLOOKUP(AF106,Charge!$N$31:$P$34,1,TRUE))*VLOOKUP(AF106,Charge!$N$31:$P$34,3,TRUE)),
IF(AND(M106="DG"),IF(R106="20'",
VLOOKUP(AF106,Charge!$R$31:$T$34,2,TRUE)+(AF106-VLOOKUP(AF106,Charge!$R$31:$T$34,1,TRUE))*VLOOKUP(AF106,Charge!$R$31:$T$34,3,TRUE),
VLOOKUP(AF106,Charge!$U$31:$W$34,2,TRUE)+(AF106-VLOOKUP(AF106,Charge!$U$31:$W$34,1,TRUE))*VLOOKUP(AF106,Charge!$U$31:$W$34,3,TRUE)),0))</f>
        <v>0</v>
      </c>
      <c r="AH106" s="65" t="n"/>
      <c r="AI106" s="65">
        <f>AA106-AH106</f>
        <v>320</v>
      </c>
      <c r="AJ106" s="188" t="n"/>
      <c r="AK106" s="62" t="str">
        <f>VLOOKUP(D106,'2.Bookinglist'!A:CT,40,FALSE)</f>
        <v>Nannaapust Sukporntaweewat</v>
      </c>
      <c r="AL106" s="60" t="str">
        <f>VLOOKUP(D106,'2.Bookinglist'!A:CW,101,FALSE)</f>
        <v>2026-10-15</v>
      </c>
      <c r="AM106" s="60" t="str">
        <f>VLOOKUP(D106,'2.Bookinglist'!A:BK,63,FALSE)</f>
        <v>BKK27</v>
      </c>
      <c r="AN106" s="62" t="str">
        <f>VLOOKUP(D106,'2.Bookinglist'!A:AZ,52,FALSE)</f>
        <v>**APPROVAL BY MR.M.J CHANG DD.30/09/2026* *FLEXIBAG ONDECK*
Survey : 2026-10-09 , Pickup : 2026-10-10, Return : 2026-10-12
EXTEND CLOSING DD.13/10/26 @12.00</v>
      </c>
      <c r="AO106" s="62">
        <f>VLOOKUP(D106,'2.Bookinglist'!A:CY,103,FALSE)</f>
        <v>0</v>
      </c>
    </row>
    <row r="107" ht="12.95" customHeight="1">
      <c r="A107" s="96" t="inlineStr">
        <is>
          <t>SKLU1600038</t>
        </is>
      </c>
      <c r="B107" s="184" t="str">
        <f>IF(C107=Charge!$M$1,Charge!$J$1,IF(C107=Charge!$M$23,Charge!$J$23,IF(C107=Charge!$M$17,Charge!$J$17,IF(C107=Charge!$N$17,Charge!$J$17,Charge!$J$7))))</f>
        <v>G3</v>
      </c>
      <c r="C107" s="61" t="str">
        <f>VLOOKUP(A107,'1.Loading'!A:R,14,FALSE)</f>
        <v>BKK01</v>
      </c>
      <c r="D107" s="61" t="str">
        <f>VLOOKUP(A107,'1.Loading'!A:R,17,FALSE)</f>
        <v>HASLS22260801161</v>
      </c>
      <c r="E107" s="62" t="str">
        <f>VLOOKUP(D107,'2.Bookinglist'!A:CT,27,FALSE)</f>
        <v>MEGALOAD DEVELOPMENT LOGISTICS CO., LTD.</v>
      </c>
      <c r="F107" s="62" t="str">
        <f>VLOOKUP(D107,'2.Bookinglist'!A:CT,28,FALSE)</f>
        <v>FISHMEAL MARKETING DEVELOPMENT CO., LTD.</v>
      </c>
      <c r="G107" s="60">
        <f>VLOOKUP(D107,'2.Bookinglist'!A:E,5,FALSE)</f>
        <v>0</v>
      </c>
      <c r="H107" s="61" t="str">
        <f>VLOOKUP(D107,'2.Bookinglist'!A:CT,15,FALSE)</f>
        <v>THBKK</v>
      </c>
      <c r="I107" s="61" t="str">
        <f>VLOOKUP(D107,'2.Bookinglist'!A:CT,19,FALSE)</f>
        <v>JPKSM</v>
      </c>
      <c r="J107" s="61" t="str">
        <f>VLOOKUP(D107,'2.Bookinglist'!A:CT,26,FALSE)</f>
        <v>KRPUS</v>
      </c>
      <c r="K107" s="61" t="str">
        <f>VLOOKUP(A107,'1.Loading'!A:R,5,FALSE)</f>
        <v>22GP</v>
      </c>
      <c r="L107" s="60" t="str">
        <f>VLOOKUP(D107,'2.Bookinglist'!A:CT,85,FALSE)</f>
        <v>CY/CY</v>
      </c>
      <c r="M107" s="60" t="str">
        <f>IF(VLOOKUP(D107,'2.Bookinglist'!A:CT,43,FALSE)=0,"","DG")</f>
        <v>DG</v>
      </c>
      <c r="N107" s="60" t="str">
        <f>IF(RIGHT(K107,2)="RE","RF","")</f>
        <v/>
      </c>
      <c r="O107" s="61" t="str">
        <f>VLOOKUP(A107,'1.Loading'!A:R,3,FALSE)</f>
        <v>SWIC</v>
      </c>
      <c r="P107" s="61" t="str">
        <f>VLOOKUP(A107,'1.Loading'!A:R,4,FALSE)</f>
        <v>2611N</v>
      </c>
      <c r="Q107" s="61" t="str">
        <f>VLOOKUP(D107,'2.Bookinglist'!A:CT,12,FALSE)</f>
        <v>KHS1</v>
      </c>
      <c r="R107" s="60" t="str">
        <f>IF(LEFT(K107,2)="22","20'","40'")</f>
        <v>20'</v>
      </c>
      <c r="S107" s="185" t="n"/>
      <c r="T107" s="61" t="str">
        <f>VLOOKUP(A107,'1.Loading'!A:R,2,FALSE)</f>
        <v>2026-10-16</v>
      </c>
      <c r="U107" s="63">
        <f>T107-S107</f>
        <v>46311</v>
      </c>
      <c r="V107" s="186" t="n"/>
      <c r="W107" s="61" t="str">
        <f>VLOOKUP(A107,'3.GateMove'!A:D,4,FALSE)</f>
        <v>2026-10-13</v>
      </c>
      <c r="X107" s="63">
        <f>((T107-W107)+1)</f>
        <v>4</v>
      </c>
      <c r="Y107" s="64">
        <f>IF(AND(OR(C107="BKK01",C107="BKK04"),L107="CFS/CY"),0,IF(M107="DG",1,IF(LEFT(C107,3)="LCH",7,IF(C107="BKK02",5,3))))</f>
        <v>1</v>
      </c>
      <c r="Z107" s="63">
        <f>IF(IF(AND(AC107="TML",AB107&gt;0),((T107-W107)+1)-AB107,((T107-W107)+1)-Y107)&gt;0,IF(AND(AC107="TML",AB107&gt;0),((T107-W107)+1)-AB107,((T107-W107)+1)-Y107),0)</f>
        <v>3</v>
      </c>
      <c r="AA107" s="187">
        <f>IF(AND(B107="G1",M107=""),IF(R107="20'",
VLOOKUP(Z107,Charge!$K$2:$M$5,2,TRUE)+(Z107-VLOOKUP(Z107,Charge!$K$2:$M$5,1,TRUE))*VLOOKUP(Z107,Charge!$K$2:$M$5,3,TRUE),
VLOOKUP(Z107,Charge!$N$2:$P$5,2,TRUE)+(Z107-VLOOKUP(Z107,Charge!$N$2:$P$5,1,TRUE))*VLOOKUP(Z107,Charge!$N$2:$P$5,3,TRUE)),
IF(AND(B107="G1",M107="DG"),IF(R107="20'",
VLOOKUP(Z107,Charge!$R$2:$T$5,2,TRUE)+(Z107-VLOOKUP(Z107,Charge!$R$2:$T$5,1,TRUE))*VLOOKUP(Z107,Charge!$R$2:$T$5,3,TRUE),
VLOOKUP(Z107,Charge!$U$2:$W$5,2,TRUE)+(Z107-VLOOKUP(Z107,Charge!$U$2:$W$5,1,TRUE))*VLOOKUP(Z107,Charge!$U$2:$W$5,3,TRUE)),
IF(AND(B107="G3",M107=""),IF(R107="20'",
VLOOKUP(Z107,Charge!$K$18:$M$21,2,TRUE)+(Z107-VLOOKUP(Z107,Charge!$K$18:$M$21,1,TRUE))*VLOOKUP(Z107,Charge!$K$18:$M$21,3,TRUE),
VLOOKUP(Z107,Charge!$N$18:$P$21,2,TRUE)+(Z107-VLOOKUP(Z107,Charge!$N$18:$P$21,1,TRUE))*VLOOKUP(Z107,Charge!$N$18:$P$21,3,TRUE)),
IF(AND(B107="G3",M107="DG"),IF(R107="20'",
VLOOKUP(Z107,Charge!$R$18:$T$21,2,TRUE)+(Z107-VLOOKUP(Z107,Charge!$R$18:$T$21,1,TRUE))*VLOOKUP(Z107,Charge!$R$18:$T$21,3,TRUE),
VLOOKUP(Z107,Charge!$U$18:$W$21,2,TRUE)+(Z107-VLOOKUP(Z107,Charge!$U$18:$W$21,1,TRUE))*VLOOKUP(Z107,Charge!$U$18:$W$21,3,TRUE)),
IF(AND(B107="G2",M107=""),IF(R107="20'",
VLOOKUP(Z107,Charge!$K$9:$M$12,2,TRUE)+(Z107-VLOOKUP(Z107,Charge!$K$9:$M$12,1,TRUE))*VLOOKUP(Z107,Charge!$K$9:$M$12,3,TRUE),
VLOOKUP(Z107,Charge!$N$9:$P$12,2,TRUE)+(Z107-VLOOKUP(Z107,Charge!$N$9:$P$12,1,TRUE))*VLOOKUP(Z107,Charge!$N$9:$P$12,3,TRUE)),
IF(AND(B107="G2",M107="DG"),IF(R107="20'",
VLOOKUP(Z107,Charge!$R$9:$T$12,2,TRUE)+(Z107-VLOOKUP(Z107,Charge!$R$9:$T$12,1,TRUE))*VLOOKUP(Z107,Charge!$R$9:$T$12,3,TRUE),
VLOOKUP(Z107,Charge!$U$9:$W$12,2,TRUE)+(Z107-VLOOKUP(Z107,Charge!$U$9:$W$12,1,TRUE))*VLOOKUP(Z107,Charge!$U$9:$W$12,3,TRUE)),IF(AND(B107="G4",M107=""),IF(R107="20'",Z107*Charge!$M$25,Z107*Charge!$P$25),IF(AND(B107="G4",M107="DG"),IF(R107="20'",Z107*Charge!$T$25,Z107*Charge!$W$25),0))))))))</f>
        <v>1440</v>
      </c>
      <c r="AB107" s="184" t="n"/>
      <c r="AC107" s="184" t="n"/>
      <c r="AD107" s="60">
        <f>IF(M107="DG",3,IF(N107="RF",3,5))+IF(AND(LEFT(C107,3)="BKK",N107="RF",Q107="KTS"),1,0)+IF(Q107="KHS",1,0)</f>
        <v>3</v>
      </c>
      <c r="AE107" s="63">
        <f>(T107-V107)+1</f>
        <v>46312</v>
      </c>
      <c r="AF107" s="63">
        <f>IF(AB107&gt;IF((V107-W107)&gt;0,V107-W107,0),0,IF(AB107&lt;IF((V107-W107)&gt;0,V107-W107,0),IF((V107-W107)&gt;0,V107-W107,0)-AB107,IF((V107-W107)&gt;0,V107-W107,0)))</f>
        <v>0</v>
      </c>
      <c r="AG107" s="187">
        <f>IF(AND(M107=""),IF(R107="20'",
VLOOKUP(AF107,Charge!$K$31:$M$34,2,TRUE)+(AF107-VLOOKUP(AF107,Charge!$K$31:$M$34,1,TRUE))*VLOOKUP(AF107,Charge!$K$31:$M$34,3,TRUE),
VLOOKUP(AF107,Charge!$N$31:$P$34,2,TRUE)+(AF107-VLOOKUP(AF107,Charge!$N$31:$P$34,1,TRUE))*VLOOKUP(AF107,Charge!$N$31:$P$34,3,TRUE)),
IF(AND(M107="DG"),IF(R107="20'",
VLOOKUP(AF107,Charge!$R$31:$T$34,2,TRUE)+(AF107-VLOOKUP(AF107,Charge!$R$31:$T$34,1,TRUE))*VLOOKUP(AF107,Charge!$R$31:$T$34,3,TRUE),
VLOOKUP(AF107,Charge!$U$31:$W$34,2,TRUE)+(AF107-VLOOKUP(AF107,Charge!$U$31:$W$34,1,TRUE))*VLOOKUP(AF107,Charge!$U$31:$W$34,3,TRUE)),0))</f>
        <v>0</v>
      </c>
      <c r="AH107" s="65" t="n"/>
      <c r="AI107" s="65">
        <f>AA107-AH107</f>
        <v>1440</v>
      </c>
      <c r="AJ107" s="188" t="n"/>
      <c r="AK107" s="62" t="str">
        <f>VLOOKUP(D107,'2.Bookinglist'!A:CT,40,FALSE)</f>
        <v>Tarn(Supaporn)</v>
      </c>
      <c r="AL107" s="60" t="str">
        <f>VLOOKUP(D107,'2.Bookinglist'!A:CW,101,FALSE)</f>
        <v>2026-10-12</v>
      </c>
      <c r="AM107" s="60" t="str">
        <f>VLOOKUP(D107,'2.Bookinglist'!A:BK,63,FALSE)</f>
        <v>BKK27</v>
      </c>
      <c r="AN107" s="62" t="str">
        <f>VLOOKUP(D107,'2.Bookinglist'!A:AZ,52,FALSE)</f>
        <v>[FIX][FIX]** APPROVAL DG BY MR.M.J CHANG DD.30/09/2026 ** DG22GPx13 (CLS 9 / UN 2216)  
Pickup : 2026-10-10, Return : 2026-09-10 
EXTEND  CLS TIME 13/23.59 FIRST DATE CAN RETURN CNTR DD.13/10</v>
      </c>
      <c r="AO107" s="62">
        <f>VLOOKUP(D107,'2.Bookinglist'!A:CY,103,FALSE)</f>
        <v>0</v>
      </c>
    </row>
    <row r="108" ht="12.95" customHeight="1">
      <c r="A108" s="96" t="inlineStr">
        <is>
          <t>SKLU1601498</t>
        </is>
      </c>
      <c r="B108" s="184" t="str">
        <f>IF(C108=Charge!$M$1,Charge!$J$1,IF(C108=Charge!$M$23,Charge!$J$23,IF(C108=Charge!$M$17,Charge!$J$17,IF(C108=Charge!$N$17,Charge!$J$17,Charge!$J$7))))</f>
        <v>G3</v>
      </c>
      <c r="C108" s="61" t="str">
        <f>VLOOKUP(A108,'1.Loading'!A:R,14,FALSE)</f>
        <v>BKK01</v>
      </c>
      <c r="D108" s="61" t="str">
        <f>VLOOKUP(A108,'1.Loading'!A:R,17,FALSE)</f>
        <v>HASLS22261000002</v>
      </c>
      <c r="E108" s="62" t="str">
        <f>VLOOKUP(D108,'2.Bookinglist'!A:CT,27,FALSE)</f>
        <v>THAI TORAY SYNTHETICS  CO., LTD.</v>
      </c>
      <c r="F108" s="62" t="str">
        <f>VLOOKUP(D108,'2.Bookinglist'!A:CT,28,FALSE)</f>
        <v>THAI TORAY SYNTHETICS  CO., LTD.</v>
      </c>
      <c r="G108" s="60">
        <f>VLOOKUP(D108,'2.Bookinglist'!A:E,5,FALSE)</f>
        <v>0</v>
      </c>
      <c r="H108" s="61" t="str">
        <f>VLOOKUP(D108,'2.Bookinglist'!A:CT,15,FALSE)</f>
        <v>THBKK</v>
      </c>
      <c r="I108" s="61" t="str">
        <f>VLOOKUP(D108,'2.Bookinglist'!A:CT,19,FALSE)</f>
        <v>JPKNZ</v>
      </c>
      <c r="J108" s="61" t="str">
        <f>VLOOKUP(D108,'2.Bookinglist'!A:CT,26,FALSE)</f>
        <v>KRPUS</v>
      </c>
      <c r="K108" s="61" t="str">
        <f>VLOOKUP(A108,'1.Loading'!A:R,5,FALSE)</f>
        <v>22GP</v>
      </c>
      <c r="L108" s="60" t="str">
        <f>VLOOKUP(D108,'2.Bookinglist'!A:CT,85,FALSE)</f>
        <v>CY/CY</v>
      </c>
      <c r="M108" s="60" t="str">
        <f>IF(VLOOKUP(D108,'2.Bookinglist'!A:CT,43,FALSE)=0,"","DG")</f>
        <v/>
      </c>
      <c r="N108" s="60" t="str">
        <f>IF(RIGHT(K108,2)="RE","RF","")</f>
        <v/>
      </c>
      <c r="O108" s="61" t="str">
        <f>VLOOKUP(A108,'1.Loading'!A:R,3,FALSE)</f>
        <v>SWIC</v>
      </c>
      <c r="P108" s="61" t="str">
        <f>VLOOKUP(A108,'1.Loading'!A:R,4,FALSE)</f>
        <v>2611N</v>
      </c>
      <c r="Q108" s="61" t="str">
        <f>VLOOKUP(D108,'2.Bookinglist'!A:CT,12,FALSE)</f>
        <v>KHS1</v>
      </c>
      <c r="R108" s="60" t="str">
        <f>IF(LEFT(K108,2)="22","20'","40'")</f>
        <v>20'</v>
      </c>
      <c r="S108" s="185" t="n"/>
      <c r="T108" s="61" t="str">
        <f>VLOOKUP(A108,'1.Loading'!A:R,2,FALSE)</f>
        <v>2026-10-16</v>
      </c>
      <c r="U108" s="63">
        <f>T108-S108</f>
        <v>46311</v>
      </c>
      <c r="V108" s="186" t="n"/>
      <c r="W108" s="61" t="str">
        <f>VLOOKUP(A108,'3.GateMove'!A:D,4,FALSE)</f>
        <v>2026-10-12</v>
      </c>
      <c r="X108" s="63">
        <f>((T108-W108)+1)</f>
        <v>5</v>
      </c>
      <c r="Y108" s="64">
        <f>IF(AND(OR(C108="BKK01",C108="BKK04"),L108="CFS/CY"),0,IF(M108="DG",1,IF(LEFT(C108,3)="LCH",7,IF(C108="BKK02",5,3))))</f>
        <v>3</v>
      </c>
      <c r="Z108" s="63">
        <f>IF(IF(AND(AC108="TML",AB108&gt;0),((T108-W108)+1)-AB108,((T108-W108)+1)-Y108)&gt;0,IF(AND(AC108="TML",AB108&gt;0),((T108-W108)+1)-AB108,((T108-W108)+1)-Y108),0)</f>
        <v>2</v>
      </c>
      <c r="AA108" s="187">
        <f>IF(AND(B108="G1",M108=""),IF(R108="20'",
VLOOKUP(Z108,Charge!$K$2:$M$5,2,TRUE)+(Z108-VLOOKUP(Z108,Charge!$K$2:$M$5,1,TRUE))*VLOOKUP(Z108,Charge!$K$2:$M$5,3,TRUE),
VLOOKUP(Z108,Charge!$N$2:$P$5,2,TRUE)+(Z108-VLOOKUP(Z108,Charge!$N$2:$P$5,1,TRUE))*VLOOKUP(Z108,Charge!$N$2:$P$5,3,TRUE)),
IF(AND(B108="G1",M108="DG"),IF(R108="20'",
VLOOKUP(Z108,Charge!$R$2:$T$5,2,TRUE)+(Z108-VLOOKUP(Z108,Charge!$R$2:$T$5,1,TRUE))*VLOOKUP(Z108,Charge!$R$2:$T$5,3,TRUE),
VLOOKUP(Z108,Charge!$U$2:$W$5,2,TRUE)+(Z108-VLOOKUP(Z108,Charge!$U$2:$W$5,1,TRUE))*VLOOKUP(Z108,Charge!$U$2:$W$5,3,TRUE)),
IF(AND(B108="G3",M108=""),IF(R108="20'",
VLOOKUP(Z108,Charge!$K$18:$M$21,2,TRUE)+(Z108-VLOOKUP(Z108,Charge!$K$18:$M$21,1,TRUE))*VLOOKUP(Z108,Charge!$K$18:$M$21,3,TRUE),
VLOOKUP(Z108,Charge!$N$18:$P$21,2,TRUE)+(Z108-VLOOKUP(Z108,Charge!$N$18:$P$21,1,TRUE))*VLOOKUP(Z108,Charge!$N$18:$P$21,3,TRUE)),
IF(AND(B108="G3",M108="DG"),IF(R108="20'",
VLOOKUP(Z108,Charge!$R$18:$T$21,2,TRUE)+(Z108-VLOOKUP(Z108,Charge!$R$18:$T$21,1,TRUE))*VLOOKUP(Z108,Charge!$R$18:$T$21,3,TRUE),
VLOOKUP(Z108,Charge!$U$18:$W$21,2,TRUE)+(Z108-VLOOKUP(Z108,Charge!$U$18:$W$21,1,TRUE))*VLOOKUP(Z108,Charge!$U$18:$W$21,3,TRUE)),
IF(AND(B108="G2",M108=""),IF(R108="20'",
VLOOKUP(Z108,Charge!$K$9:$M$12,2,TRUE)+(Z108-VLOOKUP(Z108,Charge!$K$9:$M$12,1,TRUE))*VLOOKUP(Z108,Charge!$K$9:$M$12,3,TRUE),
VLOOKUP(Z108,Charge!$N$9:$P$12,2,TRUE)+(Z108-VLOOKUP(Z108,Charge!$N$9:$P$12,1,TRUE))*VLOOKUP(Z108,Charge!$N$9:$P$12,3,TRUE)),
IF(AND(B108="G2",M108="DG"),IF(R108="20'",
VLOOKUP(Z108,Charge!$R$9:$T$12,2,TRUE)+(Z108-VLOOKUP(Z108,Charge!$R$9:$T$12,1,TRUE))*VLOOKUP(Z108,Charge!$R$9:$T$12,3,TRUE),
VLOOKUP(Z108,Charge!$U$9:$W$12,2,TRUE)+(Z108-VLOOKUP(Z108,Charge!$U$9:$W$12,1,TRUE))*VLOOKUP(Z108,Charge!$U$9:$W$12,3,TRUE)),IF(AND(B108="G4",M108=""),IF(R108="20'",Z108*Charge!$M$25,Z108*Charge!$P$25),IF(AND(B108="G4",M108="DG"),IF(R108="20'",Z108*Charge!$T$25,Z108*Charge!$W$25),0))))))))</f>
        <v>320</v>
      </c>
      <c r="AB108" s="184" t="n"/>
      <c r="AC108" s="184" t="n"/>
      <c r="AD108" s="60">
        <f>IF(M108="DG",3,IF(N108="RF",3,5))+IF(AND(LEFT(C108,3)="BKK",N108="RF",Q108="KTS"),1,0)+IF(Q108="KHS",1,0)</f>
        <v>5</v>
      </c>
      <c r="AE108" s="63">
        <f>(T108-V108)+1</f>
        <v>46312</v>
      </c>
      <c r="AF108" s="63">
        <f>IF(AB108&gt;IF((V108-W108)&gt;0,V108-W108,0),0,IF(AB108&lt;IF((V108-W108)&gt;0,V108-W108,0),IF((V108-W108)&gt;0,V108-W108,0)-AB108,IF((V108-W108)&gt;0,V108-W108,0)))</f>
        <v>0</v>
      </c>
      <c r="AG108" s="187">
        <f>IF(AND(M108=""),IF(R108="20'",
VLOOKUP(AF108,Charge!$K$31:$M$34,2,TRUE)+(AF108-VLOOKUP(AF108,Charge!$K$31:$M$34,1,TRUE))*VLOOKUP(AF108,Charge!$K$31:$M$34,3,TRUE),
VLOOKUP(AF108,Charge!$N$31:$P$34,2,TRUE)+(AF108-VLOOKUP(AF108,Charge!$N$31:$P$34,1,TRUE))*VLOOKUP(AF108,Charge!$N$31:$P$34,3,TRUE)),
IF(AND(M108="DG"),IF(R108="20'",
VLOOKUP(AF108,Charge!$R$31:$T$34,2,TRUE)+(AF108-VLOOKUP(AF108,Charge!$R$31:$T$34,1,TRUE))*VLOOKUP(AF108,Charge!$R$31:$T$34,3,TRUE),
VLOOKUP(AF108,Charge!$U$31:$W$34,2,TRUE)+(AF108-VLOOKUP(AF108,Charge!$U$31:$W$34,1,TRUE))*VLOOKUP(AF108,Charge!$U$31:$W$34,3,TRUE)),0))</f>
        <v>0</v>
      </c>
      <c r="AH108" s="65" t="n"/>
      <c r="AI108" s="65">
        <f>AA108-AH108</f>
        <v>320</v>
      </c>
      <c r="AJ108" s="188" t="n"/>
      <c r="AK108" s="62" t="str">
        <f>VLOOKUP(D108,'2.Bookinglist'!A:CT,40,FALSE)</f>
        <v>Tarn(Supaporn)</v>
      </c>
      <c r="AL108" s="60" t="str">
        <f>VLOOKUP(D108,'2.Bookinglist'!A:CW,101,FALSE)</f>
        <v>2026-10-15</v>
      </c>
      <c r="AM108" s="60" t="str">
        <f>VLOOKUP(D108,'2.Bookinglist'!A:BK,63,FALSE)</f>
        <v>BKK27</v>
      </c>
      <c r="AN108" s="62" t="str">
        <f>VLOOKUP(D108,'2.Bookinglist'!A:AZ,52,FALSE)</f>
        <v>CY-RTN : 10-12/10/2026 
</v>
      </c>
      <c r="AO108" s="62">
        <f>VLOOKUP(D108,'2.Bookinglist'!A:CY,103,FALSE)</f>
        <v>0</v>
      </c>
    </row>
    <row r="109" ht="12.95" customHeight="1">
      <c r="A109" s="96" t="inlineStr">
        <is>
          <t>SKLU1620219</t>
        </is>
      </c>
      <c r="B109" s="184" t="str">
        <f>IF(C109=Charge!$M$1,Charge!$J$1,IF(C109=Charge!$M$23,Charge!$J$23,IF(C109=Charge!$M$17,Charge!$J$17,IF(C109=Charge!$N$17,Charge!$J$17,Charge!$J$7))))</f>
        <v>G3</v>
      </c>
      <c r="C109" s="61" t="str">
        <f>VLOOKUP(A109,'1.Loading'!A:R,14,FALSE)</f>
        <v>BKK01</v>
      </c>
      <c r="D109" s="61" t="str">
        <f>VLOOKUP(A109,'1.Loading'!A:R,17,FALSE)</f>
        <v>HASLS22260901935</v>
      </c>
      <c r="E109" s="62" t="str">
        <f>VLOOKUP(D109,'2.Bookinglist'!A:CT,27,FALSE)</f>
        <v>THAI AGRI FOODS PUBLIC COMPANY LIMITED</v>
      </c>
      <c r="F109" s="62" t="str">
        <f>VLOOKUP(D109,'2.Bookinglist'!A:CT,28,FALSE)</f>
        <v>THAI AGRI FOODS PUBLIC COMPANY LIMITED</v>
      </c>
      <c r="G109" s="60">
        <f>VLOOKUP(D109,'2.Bookinglist'!A:E,5,FALSE)</f>
        <v>0</v>
      </c>
      <c r="H109" s="61" t="str">
        <f>VLOOKUP(D109,'2.Bookinglist'!A:CT,15,FALSE)</f>
        <v>THBKK</v>
      </c>
      <c r="I109" s="61" t="str">
        <f>VLOOKUP(D109,'2.Bookinglist'!A:CT,19,FALSE)</f>
        <v>RUVVO</v>
      </c>
      <c r="J109" s="61" t="str">
        <f>VLOOKUP(D109,'2.Bookinglist'!A:CT,26,FALSE)</f>
        <v>KRPUS</v>
      </c>
      <c r="K109" s="61" t="str">
        <f>VLOOKUP(A109,'1.Loading'!A:R,5,FALSE)</f>
        <v>22GP</v>
      </c>
      <c r="L109" s="60" t="str">
        <f>VLOOKUP(D109,'2.Bookinglist'!A:CT,85,FALSE)</f>
        <v>CY/CY</v>
      </c>
      <c r="M109" s="60" t="str">
        <f>IF(VLOOKUP(D109,'2.Bookinglist'!A:CT,43,FALSE)=0,"","DG")</f>
        <v/>
      </c>
      <c r="N109" s="60" t="str">
        <f>IF(RIGHT(K109,2)="RE","RF","")</f>
        <v/>
      </c>
      <c r="O109" s="61" t="str">
        <f>VLOOKUP(A109,'1.Loading'!A:R,3,FALSE)</f>
        <v>SWIC</v>
      </c>
      <c r="P109" s="61" t="str">
        <f>VLOOKUP(A109,'1.Loading'!A:R,4,FALSE)</f>
        <v>2611N</v>
      </c>
      <c r="Q109" s="61" t="str">
        <f>VLOOKUP(D109,'2.Bookinglist'!A:CT,12,FALSE)</f>
        <v>KHS1</v>
      </c>
      <c r="R109" s="60" t="str">
        <f>IF(LEFT(K109,2)="22","20'","40'")</f>
        <v>20'</v>
      </c>
      <c r="S109" s="185" t="n"/>
      <c r="T109" s="61" t="str">
        <f>VLOOKUP(A109,'1.Loading'!A:R,2,FALSE)</f>
        <v>2026-10-16</v>
      </c>
      <c r="U109" s="63">
        <f>T109-S109</f>
        <v>46311</v>
      </c>
      <c r="V109" s="186" t="n"/>
      <c r="W109" s="61" t="str">
        <f>VLOOKUP(A109,'3.GateMove'!A:D,4,FALSE)</f>
        <v>2026-10-12</v>
      </c>
      <c r="X109" s="63">
        <f>((T109-W109)+1)</f>
        <v>5</v>
      </c>
      <c r="Y109" s="64">
        <f>IF(AND(OR(C109="BKK01",C109="BKK04"),L109="CFS/CY"),0,IF(M109="DG",1,IF(LEFT(C109,3)="LCH",7,IF(C109="BKK02",5,3))))</f>
        <v>3</v>
      </c>
      <c r="Z109" s="63">
        <f>IF(IF(AND(AC109="TML",AB109&gt;0),((T109-W109)+1)-AB109,((T109-W109)+1)-Y109)&gt;0,IF(AND(AC109="TML",AB109&gt;0),((T109-W109)+1)-AB109,((T109-W109)+1)-Y109),0)</f>
        <v>2</v>
      </c>
      <c r="AA109" s="187">
        <f>IF(AND(B109="G1",M109=""),IF(R109="20'",
VLOOKUP(Z109,Charge!$K$2:$M$5,2,TRUE)+(Z109-VLOOKUP(Z109,Charge!$K$2:$M$5,1,TRUE))*VLOOKUP(Z109,Charge!$K$2:$M$5,3,TRUE),
VLOOKUP(Z109,Charge!$N$2:$P$5,2,TRUE)+(Z109-VLOOKUP(Z109,Charge!$N$2:$P$5,1,TRUE))*VLOOKUP(Z109,Charge!$N$2:$P$5,3,TRUE)),
IF(AND(B109="G1",M109="DG"),IF(R109="20'",
VLOOKUP(Z109,Charge!$R$2:$T$5,2,TRUE)+(Z109-VLOOKUP(Z109,Charge!$R$2:$T$5,1,TRUE))*VLOOKUP(Z109,Charge!$R$2:$T$5,3,TRUE),
VLOOKUP(Z109,Charge!$U$2:$W$5,2,TRUE)+(Z109-VLOOKUP(Z109,Charge!$U$2:$W$5,1,TRUE))*VLOOKUP(Z109,Charge!$U$2:$W$5,3,TRUE)),
IF(AND(B109="G3",M109=""),IF(R109="20'",
VLOOKUP(Z109,Charge!$K$18:$M$21,2,TRUE)+(Z109-VLOOKUP(Z109,Charge!$K$18:$M$21,1,TRUE))*VLOOKUP(Z109,Charge!$K$18:$M$21,3,TRUE),
VLOOKUP(Z109,Charge!$N$18:$P$21,2,TRUE)+(Z109-VLOOKUP(Z109,Charge!$N$18:$P$21,1,TRUE))*VLOOKUP(Z109,Charge!$N$18:$P$21,3,TRUE)),
IF(AND(B109="G3",M109="DG"),IF(R109="20'",
VLOOKUP(Z109,Charge!$R$18:$T$21,2,TRUE)+(Z109-VLOOKUP(Z109,Charge!$R$18:$T$21,1,TRUE))*VLOOKUP(Z109,Charge!$R$18:$T$21,3,TRUE),
VLOOKUP(Z109,Charge!$U$18:$W$21,2,TRUE)+(Z109-VLOOKUP(Z109,Charge!$U$18:$W$21,1,TRUE))*VLOOKUP(Z109,Charge!$U$18:$W$21,3,TRUE)),
IF(AND(B109="G2",M109=""),IF(R109="20'",
VLOOKUP(Z109,Charge!$K$9:$M$12,2,TRUE)+(Z109-VLOOKUP(Z109,Charge!$K$9:$M$12,1,TRUE))*VLOOKUP(Z109,Charge!$K$9:$M$12,3,TRUE),
VLOOKUP(Z109,Charge!$N$9:$P$12,2,TRUE)+(Z109-VLOOKUP(Z109,Charge!$N$9:$P$12,1,TRUE))*VLOOKUP(Z109,Charge!$N$9:$P$12,3,TRUE)),
IF(AND(B109="G2",M109="DG"),IF(R109="20'",
VLOOKUP(Z109,Charge!$R$9:$T$12,2,TRUE)+(Z109-VLOOKUP(Z109,Charge!$R$9:$T$12,1,TRUE))*VLOOKUP(Z109,Charge!$R$9:$T$12,3,TRUE),
VLOOKUP(Z109,Charge!$U$9:$W$12,2,TRUE)+(Z109-VLOOKUP(Z109,Charge!$U$9:$W$12,1,TRUE))*VLOOKUP(Z109,Charge!$U$9:$W$12,3,TRUE)),IF(AND(B109="G4",M109=""),IF(R109="20'",Z109*Charge!$M$25,Z109*Charge!$P$25),IF(AND(B109="G4",M109="DG"),IF(R109="20'",Z109*Charge!$T$25,Z109*Charge!$W$25),0))))))))</f>
        <v>320</v>
      </c>
      <c r="AB109" s="184" t="n"/>
      <c r="AC109" s="184" t="n"/>
      <c r="AD109" s="60">
        <f>IF(M109="DG",3,IF(N109="RF",3,5))+IF(AND(LEFT(C109,3)="BKK",N109="RF",Q109="KTS"),1,0)+IF(Q109="KHS",1,0)</f>
        <v>5</v>
      </c>
      <c r="AE109" s="63">
        <f>(T109-V109)+1</f>
        <v>46312</v>
      </c>
      <c r="AF109" s="63">
        <f>IF(AB109&gt;IF((V109-W109)&gt;0,V109-W109,0),0,IF(AB109&lt;IF((V109-W109)&gt;0,V109-W109,0),IF((V109-W109)&gt;0,V109-W109,0)-AB109,IF((V109-W109)&gt;0,V109-W109,0)))</f>
        <v>0</v>
      </c>
      <c r="AG109" s="187">
        <f>IF(AND(M109=""),IF(R109="20'",
VLOOKUP(AF109,Charge!$K$31:$M$34,2,TRUE)+(AF109-VLOOKUP(AF109,Charge!$K$31:$M$34,1,TRUE))*VLOOKUP(AF109,Charge!$K$31:$M$34,3,TRUE),
VLOOKUP(AF109,Charge!$N$31:$P$34,2,TRUE)+(AF109-VLOOKUP(AF109,Charge!$N$31:$P$34,1,TRUE))*VLOOKUP(AF109,Charge!$N$31:$P$34,3,TRUE)),
IF(AND(M109="DG"),IF(R109="20'",
VLOOKUP(AF109,Charge!$R$31:$T$34,2,TRUE)+(AF109-VLOOKUP(AF109,Charge!$R$31:$T$34,1,TRUE))*VLOOKUP(AF109,Charge!$R$31:$T$34,3,TRUE),
VLOOKUP(AF109,Charge!$U$31:$W$34,2,TRUE)+(AF109-VLOOKUP(AF109,Charge!$U$31:$W$34,1,TRUE))*VLOOKUP(AF109,Charge!$U$31:$W$34,3,TRUE)),0))</f>
        <v>0</v>
      </c>
      <c r="AH109" s="65" t="n"/>
      <c r="AI109" s="65">
        <f>AA109-AH109</f>
        <v>320</v>
      </c>
      <c r="AJ109" s="188" t="n"/>
      <c r="AK109" s="62" t="str">
        <f>VLOOKUP(D109,'2.Bookinglist'!A:CT,40,FALSE)</f>
        <v>ANNA MARS</v>
      </c>
      <c r="AL109" s="60" t="str">
        <f>VLOOKUP(D109,'2.Bookinglist'!A:CW,101,FALSE)</f>
        <v>2026-10-15</v>
      </c>
      <c r="AM109" s="60" t="str">
        <f>VLOOKUP(D109,'2.Bookinglist'!A:BK,63,FALSE)</f>
        <v>BKK27</v>
      </c>
      <c r="AN109" s="62" t="str">
        <f>VLOOKUP(D109,'2.Bookinglist'!A:AZ,52,FALSE)</f>
        <v>[FIX][FIX]SWIC/2611N/10/24[FIX] Pickup : 2026-10-09, Return : 2026-10-12</v>
      </c>
      <c r="AO109" s="62">
        <f>VLOOKUP(D109,'2.Bookinglist'!A:CY,103,FALSE)</f>
        <v>0</v>
      </c>
    </row>
    <row r="110" ht="12.95" customHeight="1">
      <c r="A110" s="96" t="inlineStr">
        <is>
          <t>SKLU1643050</t>
        </is>
      </c>
      <c r="B110" s="184" t="str">
        <f>IF(C110=Charge!$M$1,Charge!$J$1,IF(C110=Charge!$M$23,Charge!$J$23,IF(C110=Charge!$M$17,Charge!$J$17,IF(C110=Charge!$N$17,Charge!$J$17,Charge!$J$7))))</f>
        <v>G3</v>
      </c>
      <c r="C110" s="61" t="str">
        <f>VLOOKUP(A110,'1.Loading'!A:R,14,FALSE)</f>
        <v>BKK01</v>
      </c>
      <c r="D110" s="61" t="str">
        <f>VLOOKUP(A110,'1.Loading'!A:R,17,FALSE)</f>
        <v>HASLS22260901782</v>
      </c>
      <c r="E110" s="62" t="str">
        <f>VLOOKUP(D110,'2.Bookinglist'!A:CT,27,FALSE)</f>
        <v>BORNEO LOGISTICS CO., LTD.</v>
      </c>
      <c r="F110" s="62" t="str">
        <f>VLOOKUP(D110,'2.Bookinglist'!A:CT,28,FALSE)</f>
        <v>UNICORD PUBLIC COMPANY LIMITED</v>
      </c>
      <c r="G110" s="60">
        <f>VLOOKUP(D110,'2.Bookinglist'!A:E,5,FALSE)</f>
        <v>0</v>
      </c>
      <c r="H110" s="61" t="str">
        <f>VLOOKUP(D110,'2.Bookinglist'!A:CT,15,FALSE)</f>
        <v>THBKK</v>
      </c>
      <c r="I110" s="61" t="str">
        <f>VLOOKUP(D110,'2.Bookinglist'!A:CT,19,FALSE)</f>
        <v>JPHHE</v>
      </c>
      <c r="J110" s="61" t="str">
        <f>VLOOKUP(D110,'2.Bookinglist'!A:CT,26,FALSE)</f>
        <v>KRPUS</v>
      </c>
      <c r="K110" s="61" t="str">
        <f>VLOOKUP(A110,'1.Loading'!A:R,5,FALSE)</f>
        <v>22GP</v>
      </c>
      <c r="L110" s="60" t="str">
        <f>VLOOKUP(D110,'2.Bookinglist'!A:CT,85,FALSE)</f>
        <v>CY/CY</v>
      </c>
      <c r="M110" s="60" t="str">
        <f>IF(VLOOKUP(D110,'2.Bookinglist'!A:CT,43,FALSE)=0,"","DG")</f>
        <v/>
      </c>
      <c r="N110" s="60" t="str">
        <f>IF(RIGHT(K110,2)="RE","RF","")</f>
        <v/>
      </c>
      <c r="O110" s="61" t="str">
        <f>VLOOKUP(A110,'1.Loading'!A:R,3,FALSE)</f>
        <v>SWIC</v>
      </c>
      <c r="P110" s="61" t="str">
        <f>VLOOKUP(A110,'1.Loading'!A:R,4,FALSE)</f>
        <v>2611N</v>
      </c>
      <c r="Q110" s="61" t="str">
        <f>VLOOKUP(D110,'2.Bookinglist'!A:CT,12,FALSE)</f>
        <v>KHS1</v>
      </c>
      <c r="R110" s="60" t="str">
        <f>IF(LEFT(K110,2)="22","20'","40'")</f>
        <v>20'</v>
      </c>
      <c r="S110" s="185" t="n"/>
      <c r="T110" s="61" t="str">
        <f>VLOOKUP(A110,'1.Loading'!A:R,2,FALSE)</f>
        <v>2026-10-16</v>
      </c>
      <c r="U110" s="63">
        <f>T110-S110</f>
        <v>46311</v>
      </c>
      <c r="V110" s="186" t="n"/>
      <c r="W110" s="61" t="str">
        <f>VLOOKUP(A110,'3.GateMove'!A:D,4,FALSE)</f>
        <v>2026-10-11</v>
      </c>
      <c r="X110" s="63">
        <f>((T110-W110)+1)</f>
        <v>6</v>
      </c>
      <c r="Y110" s="64">
        <f>IF(AND(OR(C110="BKK01",C110="BKK04"),L110="CFS/CY"),0,IF(M110="DG",1,IF(LEFT(C110,3)="LCH",7,IF(C110="BKK02",5,3))))</f>
        <v>3</v>
      </c>
      <c r="Z110" s="63">
        <f>IF(IF(AND(AC110="TML",AB110&gt;0),((T110-W110)+1)-AB110,((T110-W110)+1)-Y110)&gt;0,IF(AND(AC110="TML",AB110&gt;0),((T110-W110)+1)-AB110,((T110-W110)+1)-Y110),0)</f>
        <v>3</v>
      </c>
      <c r="AA110" s="187">
        <f>IF(AND(B110="G1",M110=""),IF(R110="20'",
VLOOKUP(Z110,Charge!$K$2:$M$5,2,TRUE)+(Z110-VLOOKUP(Z110,Charge!$K$2:$M$5,1,TRUE))*VLOOKUP(Z110,Charge!$K$2:$M$5,3,TRUE),
VLOOKUP(Z110,Charge!$N$2:$P$5,2,TRUE)+(Z110-VLOOKUP(Z110,Charge!$N$2:$P$5,1,TRUE))*VLOOKUP(Z110,Charge!$N$2:$P$5,3,TRUE)),
IF(AND(B110="G1",M110="DG"),IF(R110="20'",
VLOOKUP(Z110,Charge!$R$2:$T$5,2,TRUE)+(Z110-VLOOKUP(Z110,Charge!$R$2:$T$5,1,TRUE))*VLOOKUP(Z110,Charge!$R$2:$T$5,3,TRUE),
VLOOKUP(Z110,Charge!$U$2:$W$5,2,TRUE)+(Z110-VLOOKUP(Z110,Charge!$U$2:$W$5,1,TRUE))*VLOOKUP(Z110,Charge!$U$2:$W$5,3,TRUE)),
IF(AND(B110="G3",M110=""),IF(R110="20'",
VLOOKUP(Z110,Charge!$K$18:$M$21,2,TRUE)+(Z110-VLOOKUP(Z110,Charge!$K$18:$M$21,1,TRUE))*VLOOKUP(Z110,Charge!$K$18:$M$21,3,TRUE),
VLOOKUP(Z110,Charge!$N$18:$P$21,2,TRUE)+(Z110-VLOOKUP(Z110,Charge!$N$18:$P$21,1,TRUE))*VLOOKUP(Z110,Charge!$N$18:$P$21,3,TRUE)),
IF(AND(B110="G3",M110="DG"),IF(R110="20'",
VLOOKUP(Z110,Charge!$R$18:$T$21,2,TRUE)+(Z110-VLOOKUP(Z110,Charge!$R$18:$T$21,1,TRUE))*VLOOKUP(Z110,Charge!$R$18:$T$21,3,TRUE),
VLOOKUP(Z110,Charge!$U$18:$W$21,2,TRUE)+(Z110-VLOOKUP(Z110,Charge!$U$18:$W$21,1,TRUE))*VLOOKUP(Z110,Charge!$U$18:$W$21,3,TRUE)),
IF(AND(B110="G2",M110=""),IF(R110="20'",
VLOOKUP(Z110,Charge!$K$9:$M$12,2,TRUE)+(Z110-VLOOKUP(Z110,Charge!$K$9:$M$12,1,TRUE))*VLOOKUP(Z110,Charge!$K$9:$M$12,3,TRUE),
VLOOKUP(Z110,Charge!$N$9:$P$12,2,TRUE)+(Z110-VLOOKUP(Z110,Charge!$N$9:$P$12,1,TRUE))*VLOOKUP(Z110,Charge!$N$9:$P$12,3,TRUE)),
IF(AND(B110="G2",M110="DG"),IF(R110="20'",
VLOOKUP(Z110,Charge!$R$9:$T$12,2,TRUE)+(Z110-VLOOKUP(Z110,Charge!$R$9:$T$12,1,TRUE))*VLOOKUP(Z110,Charge!$R$9:$T$12,3,TRUE),
VLOOKUP(Z110,Charge!$U$9:$W$12,2,TRUE)+(Z110-VLOOKUP(Z110,Charge!$U$9:$W$12,1,TRUE))*VLOOKUP(Z110,Charge!$U$9:$W$12,3,TRUE)),IF(AND(B110="G4",M110=""),IF(R110="20'",Z110*Charge!$M$25,Z110*Charge!$P$25),IF(AND(B110="G4",M110="DG"),IF(R110="20'",Z110*Charge!$T$25,Z110*Charge!$W$25),0))))))))</f>
        <v>480</v>
      </c>
      <c r="AB110" s="184" t="n"/>
      <c r="AC110" s="184" t="n"/>
      <c r="AD110" s="60">
        <f>IF(M110="DG",3,IF(N110="RF",3,5))+IF(AND(LEFT(C110,3)="BKK",N110="RF",Q110="KTS"),1,0)+IF(Q110="KHS",1,0)</f>
        <v>5</v>
      </c>
      <c r="AE110" s="63">
        <f>(T110-V110)+1</f>
        <v>46312</v>
      </c>
      <c r="AF110" s="63">
        <f>IF(AB110&gt;IF((V110-W110)&gt;0,V110-W110,0),0,IF(AB110&lt;IF((V110-W110)&gt;0,V110-W110,0),IF((V110-W110)&gt;0,V110-W110,0)-AB110,IF((V110-W110)&gt;0,V110-W110,0)))</f>
        <v>0</v>
      </c>
      <c r="AG110" s="187">
        <f>IF(AND(M110=""),IF(R110="20'",
VLOOKUP(AF110,Charge!$K$31:$M$34,2,TRUE)+(AF110-VLOOKUP(AF110,Charge!$K$31:$M$34,1,TRUE))*VLOOKUP(AF110,Charge!$K$31:$M$34,3,TRUE),
VLOOKUP(AF110,Charge!$N$31:$P$34,2,TRUE)+(AF110-VLOOKUP(AF110,Charge!$N$31:$P$34,1,TRUE))*VLOOKUP(AF110,Charge!$N$31:$P$34,3,TRUE)),
IF(AND(M110="DG"),IF(R110="20'",
VLOOKUP(AF110,Charge!$R$31:$T$34,2,TRUE)+(AF110-VLOOKUP(AF110,Charge!$R$31:$T$34,1,TRUE))*VLOOKUP(AF110,Charge!$R$31:$T$34,3,TRUE),
VLOOKUP(AF110,Charge!$U$31:$W$34,2,TRUE)+(AF110-VLOOKUP(AF110,Charge!$U$31:$W$34,1,TRUE))*VLOOKUP(AF110,Charge!$U$31:$W$34,3,TRUE)),0))</f>
        <v>0</v>
      </c>
      <c r="AH110" s="65" t="n"/>
      <c r="AI110" s="65">
        <f>AA110-AH110</f>
        <v>480</v>
      </c>
      <c r="AJ110" s="188" t="n"/>
      <c r="AK110" s="62" t="str">
        <f>VLOOKUP(D110,'2.Bookinglist'!A:CT,40,FALSE)</f>
        <v>Nustsireerach</v>
      </c>
      <c r="AL110" s="60" t="str">
        <f>VLOOKUP(D110,'2.Bookinglist'!A:CW,101,FALSE)</f>
        <v>2026-10-12</v>
      </c>
      <c r="AM110" s="60" t="str">
        <f>VLOOKUP(D110,'2.Bookinglist'!A:BK,63,FALSE)</f>
        <v>BKK27</v>
      </c>
      <c r="AN110" s="62" t="str">
        <f>VLOOKUP(D110,'2.Bookinglist'!A:AZ,52,FALSE)</f>
        <v>[FIX]Pickup : 2026-10-06, Return : 2026-10-08 [1ST RTN 08/10/2026 W/O RENT] </v>
      </c>
      <c r="AO110" s="62">
        <f>VLOOKUP(D110,'2.Bookinglist'!A:CY,103,FALSE)</f>
        <v>0</v>
      </c>
    </row>
    <row r="111" ht="12.95" customHeight="1">
      <c r="A111" s="96" t="inlineStr">
        <is>
          <t>SKLU1650379</t>
        </is>
      </c>
      <c r="B111" s="184" t="str">
        <f>IF(C111=Charge!$M$1,Charge!$J$1,IF(C111=Charge!$M$23,Charge!$J$23,IF(C111=Charge!$M$17,Charge!$J$17,IF(C111=Charge!$N$17,Charge!$J$17,Charge!$J$7))))</f>
        <v>G3</v>
      </c>
      <c r="C111" s="61" t="str">
        <f>VLOOKUP(A111,'1.Loading'!A:R,14,FALSE)</f>
        <v>BKK01</v>
      </c>
      <c r="D111" s="61" t="str">
        <f>VLOOKUP(A111,'1.Loading'!A:R,17,FALSE)</f>
        <v>HASLS22260902367</v>
      </c>
      <c r="E111" s="62" t="str">
        <f>VLOOKUP(D111,'2.Bookinglist'!A:CT,27,FALSE)</f>
        <v>PK INTERFREIGHT CO., LTD.</v>
      </c>
      <c r="F111" s="62" t="str">
        <f>VLOOKUP(D111,'2.Bookinglist'!A:CT,28,FALSE)</f>
        <v>HERITAGE SNACKS &amp; FOOD CO., LTD.</v>
      </c>
      <c r="G111" s="60">
        <f>VLOOKUP(D111,'2.Bookinglist'!A:E,5,FALSE)</f>
        <v>0</v>
      </c>
      <c r="H111" s="61" t="str">
        <f>VLOOKUP(D111,'2.Bookinglist'!A:CT,15,FALSE)</f>
        <v>THBKK</v>
      </c>
      <c r="I111" s="61" t="str">
        <f>VLOOKUP(D111,'2.Bookinglist'!A:CT,19,FALSE)</f>
        <v>VNSGN</v>
      </c>
      <c r="J111" s="61">
        <f>VLOOKUP(D111,'2.Bookinglist'!A:CT,26,FALSE)</f>
        <v>0</v>
      </c>
      <c r="K111" s="61" t="str">
        <f>VLOOKUP(A111,'1.Loading'!A:R,5,FALSE)</f>
        <v>22GP</v>
      </c>
      <c r="L111" s="60" t="str">
        <f>VLOOKUP(D111,'2.Bookinglist'!A:CT,85,FALSE)</f>
        <v>CY/CY</v>
      </c>
      <c r="M111" s="60" t="str">
        <f>IF(VLOOKUP(D111,'2.Bookinglist'!A:CT,43,FALSE)=0,"","DG")</f>
        <v/>
      </c>
      <c r="N111" s="60" t="str">
        <f>IF(RIGHT(K111,2)="RE","RF","")</f>
        <v/>
      </c>
      <c r="O111" s="61" t="str">
        <f>VLOOKUP(A111,'1.Loading'!A:R,3,FALSE)</f>
        <v>SWIC</v>
      </c>
      <c r="P111" s="61" t="str">
        <f>VLOOKUP(A111,'1.Loading'!A:R,4,FALSE)</f>
        <v>2611N</v>
      </c>
      <c r="Q111" s="61" t="str">
        <f>VLOOKUP(D111,'2.Bookinglist'!A:CT,12,FALSE)</f>
        <v>KHS1</v>
      </c>
      <c r="R111" s="60" t="str">
        <f>IF(LEFT(K111,2)="22","20'","40'")</f>
        <v>20'</v>
      </c>
      <c r="S111" s="185" t="n"/>
      <c r="T111" s="61" t="str">
        <f>VLOOKUP(A111,'1.Loading'!A:R,2,FALSE)</f>
        <v>2026-10-16</v>
      </c>
      <c r="U111" s="63">
        <f>T111-S111</f>
        <v>46311</v>
      </c>
      <c r="V111" s="186" t="n"/>
      <c r="W111" s="61" t="str">
        <f>VLOOKUP(A111,'3.GateMove'!A:D,4,FALSE)</f>
        <v>2026-10-12</v>
      </c>
      <c r="X111" s="63">
        <f>((T111-W111)+1)</f>
        <v>5</v>
      </c>
      <c r="Y111" s="64">
        <f>IF(AND(OR(C111="BKK01",C111="BKK04"),L111="CFS/CY"),0,IF(M111="DG",1,IF(LEFT(C111,3)="LCH",7,IF(C111="BKK02",5,3))))</f>
        <v>3</v>
      </c>
      <c r="Z111" s="63">
        <f>IF(IF(AND(AC111="TML",AB111&gt;0),((T111-W111)+1)-AB111,((T111-W111)+1)-Y111)&gt;0,IF(AND(AC111="TML",AB111&gt;0),((T111-W111)+1)-AB111,((T111-W111)+1)-Y111),0)</f>
        <v>2</v>
      </c>
      <c r="AA111" s="187">
        <f>IF(AND(B111="G1",M111=""),IF(R111="20'",
VLOOKUP(Z111,Charge!$K$2:$M$5,2,TRUE)+(Z111-VLOOKUP(Z111,Charge!$K$2:$M$5,1,TRUE))*VLOOKUP(Z111,Charge!$K$2:$M$5,3,TRUE),
VLOOKUP(Z111,Charge!$N$2:$P$5,2,TRUE)+(Z111-VLOOKUP(Z111,Charge!$N$2:$P$5,1,TRUE))*VLOOKUP(Z111,Charge!$N$2:$P$5,3,TRUE)),
IF(AND(B111="G1",M111="DG"),IF(R111="20'",
VLOOKUP(Z111,Charge!$R$2:$T$5,2,TRUE)+(Z111-VLOOKUP(Z111,Charge!$R$2:$T$5,1,TRUE))*VLOOKUP(Z111,Charge!$R$2:$T$5,3,TRUE),
VLOOKUP(Z111,Charge!$U$2:$W$5,2,TRUE)+(Z111-VLOOKUP(Z111,Charge!$U$2:$W$5,1,TRUE))*VLOOKUP(Z111,Charge!$U$2:$W$5,3,TRUE)),
IF(AND(B111="G3",M111=""),IF(R111="20'",
VLOOKUP(Z111,Charge!$K$18:$M$21,2,TRUE)+(Z111-VLOOKUP(Z111,Charge!$K$18:$M$21,1,TRUE))*VLOOKUP(Z111,Charge!$K$18:$M$21,3,TRUE),
VLOOKUP(Z111,Charge!$N$18:$P$21,2,TRUE)+(Z111-VLOOKUP(Z111,Charge!$N$18:$P$21,1,TRUE))*VLOOKUP(Z111,Charge!$N$18:$P$21,3,TRUE)),
IF(AND(B111="G3",M111="DG"),IF(R111="20'",
VLOOKUP(Z111,Charge!$R$18:$T$21,2,TRUE)+(Z111-VLOOKUP(Z111,Charge!$R$18:$T$21,1,TRUE))*VLOOKUP(Z111,Charge!$R$18:$T$21,3,TRUE),
VLOOKUP(Z111,Charge!$U$18:$W$21,2,TRUE)+(Z111-VLOOKUP(Z111,Charge!$U$18:$W$21,1,TRUE))*VLOOKUP(Z111,Charge!$U$18:$W$21,3,TRUE)),
IF(AND(B111="G2",M111=""),IF(R111="20'",
VLOOKUP(Z111,Charge!$K$9:$M$12,2,TRUE)+(Z111-VLOOKUP(Z111,Charge!$K$9:$M$12,1,TRUE))*VLOOKUP(Z111,Charge!$K$9:$M$12,3,TRUE),
VLOOKUP(Z111,Charge!$N$9:$P$12,2,TRUE)+(Z111-VLOOKUP(Z111,Charge!$N$9:$P$12,1,TRUE))*VLOOKUP(Z111,Charge!$N$9:$P$12,3,TRUE)),
IF(AND(B111="G2",M111="DG"),IF(R111="20'",
VLOOKUP(Z111,Charge!$R$9:$T$12,2,TRUE)+(Z111-VLOOKUP(Z111,Charge!$R$9:$T$12,1,TRUE))*VLOOKUP(Z111,Charge!$R$9:$T$12,3,TRUE),
VLOOKUP(Z111,Charge!$U$9:$W$12,2,TRUE)+(Z111-VLOOKUP(Z111,Charge!$U$9:$W$12,1,TRUE))*VLOOKUP(Z111,Charge!$U$9:$W$12,3,TRUE)),IF(AND(B111="G4",M111=""),IF(R111="20'",Z111*Charge!$M$25,Z111*Charge!$P$25),IF(AND(B111="G4",M111="DG"),IF(R111="20'",Z111*Charge!$T$25,Z111*Charge!$W$25),0))))))))</f>
        <v>320</v>
      </c>
      <c r="AB111" s="184" t="n"/>
      <c r="AC111" s="184" t="n"/>
      <c r="AD111" s="60">
        <f>IF(M111="DG",3,IF(N111="RF",3,5))+IF(AND(LEFT(C111,3)="BKK",N111="RF",Q111="KTS"),1,0)+IF(Q111="KHS",1,0)</f>
        <v>5</v>
      </c>
      <c r="AE111" s="63">
        <f>(T111-V111)+1</f>
        <v>46312</v>
      </c>
      <c r="AF111" s="63">
        <f>IF(AB111&gt;IF((V111-W111)&gt;0,V111-W111,0),0,IF(AB111&lt;IF((V111-W111)&gt;0,V111-W111,0),IF((V111-W111)&gt;0,V111-W111,0)-AB111,IF((V111-W111)&gt;0,V111-W111,0)))</f>
        <v>0</v>
      </c>
      <c r="AG111" s="187">
        <f>IF(AND(M111=""),IF(R111="20'",
VLOOKUP(AF111,Charge!$K$31:$M$34,2,TRUE)+(AF111-VLOOKUP(AF111,Charge!$K$31:$M$34,1,TRUE))*VLOOKUP(AF111,Charge!$K$31:$M$34,3,TRUE),
VLOOKUP(AF111,Charge!$N$31:$P$34,2,TRUE)+(AF111-VLOOKUP(AF111,Charge!$N$31:$P$34,1,TRUE))*VLOOKUP(AF111,Charge!$N$31:$P$34,3,TRUE)),
IF(AND(M111="DG"),IF(R111="20'",
VLOOKUP(AF111,Charge!$R$31:$T$34,2,TRUE)+(AF111-VLOOKUP(AF111,Charge!$R$31:$T$34,1,TRUE))*VLOOKUP(AF111,Charge!$R$31:$T$34,3,TRUE),
VLOOKUP(AF111,Charge!$U$31:$W$34,2,TRUE)+(AF111-VLOOKUP(AF111,Charge!$U$31:$W$34,1,TRUE))*VLOOKUP(AF111,Charge!$U$31:$W$34,3,TRUE)),0))</f>
        <v>0</v>
      </c>
      <c r="AH111" s="65" t="n"/>
      <c r="AI111" s="65">
        <f>AA111-AH111</f>
        <v>320</v>
      </c>
      <c r="AJ111" s="188" t="n"/>
      <c r="AK111" s="62" t="str">
        <f>VLOOKUP(D111,'2.Bookinglist'!A:CT,40,FALSE)</f>
        <v>Nguyen Van Nam</v>
      </c>
      <c r="AL111" s="60" t="str">
        <f>VLOOKUP(D111,'2.Bookinglist'!A:CW,101,FALSE)</f>
        <v>2026-10-15</v>
      </c>
      <c r="AM111" s="60" t="str">
        <f>VLOOKUP(D111,'2.Bookinglist'!A:BK,63,FALSE)</f>
        <v>BKK27</v>
      </c>
      <c r="AN111" s="62" t="str">
        <f>VLOOKUP(D111,'2.Bookinglist'!A:AZ,52,FALSE)</f>
        <v>Pickup : 2026-10-10, Return : 2026-10-12</v>
      </c>
      <c r="AO111" s="62">
        <f>VLOOKUP(D111,'2.Bookinglist'!A:CY,103,FALSE)</f>
        <v>0</v>
      </c>
    </row>
    <row r="112" ht="12.95" customHeight="1">
      <c r="A112" s="96" t="inlineStr">
        <is>
          <t>SKLU1650487</t>
        </is>
      </c>
      <c r="B112" s="184" t="str">
        <f>IF(C112=Charge!$M$1,Charge!$J$1,IF(C112=Charge!$M$23,Charge!$J$23,IF(C112=Charge!$M$17,Charge!$J$17,IF(C112=Charge!$N$17,Charge!$J$17,Charge!$J$7))))</f>
        <v>G3</v>
      </c>
      <c r="C112" s="61" t="str">
        <f>VLOOKUP(A112,'1.Loading'!A:R,14,FALSE)</f>
        <v>BKK01</v>
      </c>
      <c r="D112" s="61" t="str">
        <f>VLOOKUP(A112,'1.Loading'!A:R,17,FALSE)</f>
        <v>HASLS22260801865</v>
      </c>
      <c r="E112" s="62" t="str">
        <f>VLOOKUP(D112,'2.Bookinglist'!A:CT,27,FALSE)</f>
        <v>STARFISH CO., LTD.</v>
      </c>
      <c r="F112" s="62" t="str">
        <f>VLOOKUP(D112,'2.Bookinglist'!A:CT,28,FALSE)</f>
        <v>STARFISH CO., LTD.</v>
      </c>
      <c r="G112" s="60">
        <f>VLOOKUP(D112,'2.Bookinglist'!A:E,5,FALSE)</f>
        <v>0</v>
      </c>
      <c r="H112" s="61" t="str">
        <f>VLOOKUP(D112,'2.Bookinglist'!A:CT,15,FALSE)</f>
        <v>THBKK</v>
      </c>
      <c r="I112" s="61" t="str">
        <f>VLOOKUP(D112,'2.Bookinglist'!A:CT,19,FALSE)</f>
        <v>JPSEN</v>
      </c>
      <c r="J112" s="61" t="str">
        <f>VLOOKUP(D112,'2.Bookinglist'!A:CT,26,FALSE)</f>
        <v>KRPUS</v>
      </c>
      <c r="K112" s="61" t="str">
        <f>VLOOKUP(A112,'1.Loading'!A:R,5,FALSE)</f>
        <v>22GP</v>
      </c>
      <c r="L112" s="60" t="str">
        <f>VLOOKUP(D112,'2.Bookinglist'!A:CT,85,FALSE)</f>
        <v>CY/CY</v>
      </c>
      <c r="M112" s="60" t="str">
        <f>IF(VLOOKUP(D112,'2.Bookinglist'!A:CT,43,FALSE)=0,"","DG")</f>
        <v/>
      </c>
      <c r="N112" s="60" t="str">
        <f>IF(RIGHT(K112,2)="RE","RF","")</f>
        <v/>
      </c>
      <c r="O112" s="61" t="str">
        <f>VLOOKUP(A112,'1.Loading'!A:R,3,FALSE)</f>
        <v>SWIC</v>
      </c>
      <c r="P112" s="61" t="str">
        <f>VLOOKUP(A112,'1.Loading'!A:R,4,FALSE)</f>
        <v>2611N</v>
      </c>
      <c r="Q112" s="61" t="str">
        <f>VLOOKUP(D112,'2.Bookinglist'!A:CT,12,FALSE)</f>
        <v>KHS1</v>
      </c>
      <c r="R112" s="60" t="str">
        <f>IF(LEFT(K112,2)="22","20'","40'")</f>
        <v>20'</v>
      </c>
      <c r="S112" s="185" t="n"/>
      <c r="T112" s="61" t="str">
        <f>VLOOKUP(A112,'1.Loading'!A:R,2,FALSE)</f>
        <v>2026-10-16</v>
      </c>
      <c r="U112" s="63">
        <f>T112-S112</f>
        <v>46311</v>
      </c>
      <c r="V112" s="186" t="n"/>
      <c r="W112" s="61" t="str">
        <f>VLOOKUP(A112,'3.GateMove'!A:D,4,FALSE)</f>
        <v>2026-10-03</v>
      </c>
      <c r="X112" s="63">
        <f>((T112-W112)+1)</f>
        <v>14</v>
      </c>
      <c r="Y112" s="64">
        <f>IF(AND(OR(C112="BKK01",C112="BKK04"),L112="CFS/CY"),0,IF(M112="DG",1,IF(LEFT(C112,3)="LCH",7,IF(C112="BKK02",5,3))))</f>
        <v>3</v>
      </c>
      <c r="Z112" s="63">
        <f>IF(IF(AND(AC112="TML",AB112&gt;0),((T112-W112)+1)-AB112,((T112-W112)+1)-Y112)&gt;0,IF(AND(AC112="TML",AB112&gt;0),((T112-W112)+1)-AB112,((T112-W112)+1)-Y112),0)</f>
        <v>11</v>
      </c>
      <c r="AA112" s="187">
        <f>IF(AND(B112="G1",M112=""),IF(R112="20'",
VLOOKUP(Z112,Charge!$K$2:$M$5,2,TRUE)+(Z112-VLOOKUP(Z112,Charge!$K$2:$M$5,1,TRUE))*VLOOKUP(Z112,Charge!$K$2:$M$5,3,TRUE),
VLOOKUP(Z112,Charge!$N$2:$P$5,2,TRUE)+(Z112-VLOOKUP(Z112,Charge!$N$2:$P$5,1,TRUE))*VLOOKUP(Z112,Charge!$N$2:$P$5,3,TRUE)),
IF(AND(B112="G1",M112="DG"),IF(R112="20'",
VLOOKUP(Z112,Charge!$R$2:$T$5,2,TRUE)+(Z112-VLOOKUP(Z112,Charge!$R$2:$T$5,1,TRUE))*VLOOKUP(Z112,Charge!$R$2:$T$5,3,TRUE),
VLOOKUP(Z112,Charge!$U$2:$W$5,2,TRUE)+(Z112-VLOOKUP(Z112,Charge!$U$2:$W$5,1,TRUE))*VLOOKUP(Z112,Charge!$U$2:$W$5,3,TRUE)),
IF(AND(B112="G3",M112=""),IF(R112="20'",
VLOOKUP(Z112,Charge!$K$18:$M$21,2,TRUE)+(Z112-VLOOKUP(Z112,Charge!$K$18:$M$21,1,TRUE))*VLOOKUP(Z112,Charge!$K$18:$M$21,3,TRUE),
VLOOKUP(Z112,Charge!$N$18:$P$21,2,TRUE)+(Z112-VLOOKUP(Z112,Charge!$N$18:$P$21,1,TRUE))*VLOOKUP(Z112,Charge!$N$18:$P$21,3,TRUE)),
IF(AND(B112="G3",M112="DG"),IF(R112="20'",
VLOOKUP(Z112,Charge!$R$18:$T$21,2,TRUE)+(Z112-VLOOKUP(Z112,Charge!$R$18:$T$21,1,TRUE))*VLOOKUP(Z112,Charge!$R$18:$T$21,3,TRUE),
VLOOKUP(Z112,Charge!$U$18:$W$21,2,TRUE)+(Z112-VLOOKUP(Z112,Charge!$U$18:$W$21,1,TRUE))*VLOOKUP(Z112,Charge!$U$18:$W$21,3,TRUE)),
IF(AND(B112="G2",M112=""),IF(R112="20'",
VLOOKUP(Z112,Charge!$K$9:$M$12,2,TRUE)+(Z112-VLOOKUP(Z112,Charge!$K$9:$M$12,1,TRUE))*VLOOKUP(Z112,Charge!$K$9:$M$12,3,TRUE),
VLOOKUP(Z112,Charge!$N$9:$P$12,2,TRUE)+(Z112-VLOOKUP(Z112,Charge!$N$9:$P$12,1,TRUE))*VLOOKUP(Z112,Charge!$N$9:$P$12,3,TRUE)),
IF(AND(B112="G2",M112="DG"),IF(R112="20'",
VLOOKUP(Z112,Charge!$R$9:$T$12,2,TRUE)+(Z112-VLOOKUP(Z112,Charge!$R$9:$T$12,1,TRUE))*VLOOKUP(Z112,Charge!$R$9:$T$12,3,TRUE),
VLOOKUP(Z112,Charge!$U$9:$W$12,2,TRUE)+(Z112-VLOOKUP(Z112,Charge!$U$9:$W$12,1,TRUE))*VLOOKUP(Z112,Charge!$U$9:$W$12,3,TRUE)),IF(AND(B112="G4",M112=""),IF(R112="20'",Z112*Charge!$M$25,Z112*Charge!$P$25),IF(AND(B112="G4",M112="DG"),IF(R112="20'",Z112*Charge!$T$25,Z112*Charge!$W$25),0))))))))</f>
        <v>2220</v>
      </c>
      <c r="AB112" s="184" t="n"/>
      <c r="AC112" s="184" t="n"/>
      <c r="AD112" s="60">
        <f>IF(M112="DG",3,IF(N112="RF",3,5))+IF(AND(LEFT(C112,3)="BKK",N112="RF",Q112="KTS"),1,0)+IF(Q112="KHS",1,0)</f>
        <v>5</v>
      </c>
      <c r="AE112" s="63">
        <f>(T112-V112)+1</f>
        <v>46312</v>
      </c>
      <c r="AF112" s="63">
        <f>IF(AB112&gt;IF((V112-W112)&gt;0,V112-W112,0),0,IF(AB112&lt;IF((V112-W112)&gt;0,V112-W112,0),IF((V112-W112)&gt;0,V112-W112,0)-AB112,IF((V112-W112)&gt;0,V112-W112,0)))</f>
        <v>0</v>
      </c>
      <c r="AG112" s="187">
        <f>IF(AND(M112=""),IF(R112="20'",
VLOOKUP(AF112,Charge!$K$31:$M$34,2,TRUE)+(AF112-VLOOKUP(AF112,Charge!$K$31:$M$34,1,TRUE))*VLOOKUP(AF112,Charge!$K$31:$M$34,3,TRUE),
VLOOKUP(AF112,Charge!$N$31:$P$34,2,TRUE)+(AF112-VLOOKUP(AF112,Charge!$N$31:$P$34,1,TRUE))*VLOOKUP(AF112,Charge!$N$31:$P$34,3,TRUE)),
IF(AND(M112="DG"),IF(R112="20'",
VLOOKUP(AF112,Charge!$R$31:$T$34,2,TRUE)+(AF112-VLOOKUP(AF112,Charge!$R$31:$T$34,1,TRUE))*VLOOKUP(AF112,Charge!$R$31:$T$34,3,TRUE),
VLOOKUP(AF112,Charge!$U$31:$W$34,2,TRUE)+(AF112-VLOOKUP(AF112,Charge!$U$31:$W$34,1,TRUE))*VLOOKUP(AF112,Charge!$U$31:$W$34,3,TRUE)),0))</f>
        <v>0</v>
      </c>
      <c r="AH112" s="65" t="n"/>
      <c r="AI112" s="65">
        <f>AA112-AH112</f>
        <v>2220</v>
      </c>
      <c r="AJ112" s="188" t="n"/>
      <c r="AK112" s="62" t="str">
        <f>VLOOKUP(D112,'2.Bookinglist'!A:CT,40,FALSE)</f>
        <v>Dharaporn</v>
      </c>
      <c r="AL112" s="60" t="str">
        <f>VLOOKUP(D112,'2.Bookinglist'!A:CW,101,FALSE)</f>
        <v>2026-10-15</v>
      </c>
      <c r="AM112" s="60" t="str">
        <f>VLOOKUP(D112,'2.Bookinglist'!A:BK,63,FALSE)</f>
        <v>BKK27</v>
      </c>
      <c r="AN112" s="62" t="str">
        <f>VLOOKUP(D112,'2.Bookinglist'!A:AZ,52,FALSE)</f>
        <v>[FIX]Pickup : 2026-10-02, Return : 2026-10-03</v>
      </c>
      <c r="AO112" s="62" t="str">
        <f>VLOOKUP(D112,'2.Bookinglist'!A:CY,103,FALSE)</f>
        <v>ROLL OVER FROM PREVIOUS VSL SWSP 2609N BY ALLOCATON TEAM MS.TARN APPROVED COST IS UNDER HA DD.4/10</v>
      </c>
    </row>
    <row r="113" ht="12.95" customHeight="1">
      <c r="A113" s="96" t="inlineStr">
        <is>
          <t>SKLU1654179</t>
        </is>
      </c>
      <c r="B113" s="184" t="str">
        <f>IF(C113=Charge!$M$1,Charge!$J$1,IF(C113=Charge!$M$23,Charge!$J$23,IF(C113=Charge!$M$17,Charge!$J$17,IF(C113=Charge!$N$17,Charge!$J$17,Charge!$J$7))))</f>
        <v>G3</v>
      </c>
      <c r="C113" s="61" t="str">
        <f>VLOOKUP(A113,'1.Loading'!A:R,14,FALSE)</f>
        <v>BKK01</v>
      </c>
      <c r="D113" s="61" t="str">
        <f>VLOOKUP(A113,'1.Loading'!A:R,17,FALSE)</f>
        <v>HASLS22260901669</v>
      </c>
      <c r="E113" s="62" t="str">
        <f>VLOOKUP(D113,'2.Bookinglist'!A:CT,27,FALSE)</f>
        <v>SEA FLEXI LOGISTICS CO.,LTD.</v>
      </c>
      <c r="F113" s="62" t="str">
        <f>VLOOKUP(D113,'2.Bookinglist'!A:CT,28,FALSE)</f>
        <v>THANAKORN VEGETABLE OIL PRODUCTS CO., LTD.</v>
      </c>
      <c r="G113" s="60">
        <f>VLOOKUP(D113,'2.Bookinglist'!A:E,5,FALSE)</f>
        <v>0</v>
      </c>
      <c r="H113" s="61" t="str">
        <f>VLOOKUP(D113,'2.Bookinglist'!A:CT,15,FALSE)</f>
        <v>THBKK</v>
      </c>
      <c r="I113" s="61" t="str">
        <f>VLOOKUP(D113,'2.Bookinglist'!A:CT,19,FALSE)</f>
        <v>VNSGN</v>
      </c>
      <c r="J113" s="61">
        <f>VLOOKUP(D113,'2.Bookinglist'!A:CT,26,FALSE)</f>
        <v>0</v>
      </c>
      <c r="K113" s="61" t="str">
        <f>VLOOKUP(A113,'1.Loading'!A:R,5,FALSE)</f>
        <v>22GP</v>
      </c>
      <c r="L113" s="60" t="str">
        <f>VLOOKUP(D113,'2.Bookinglist'!A:CT,85,FALSE)</f>
        <v>CY/CY</v>
      </c>
      <c r="M113" s="60" t="str">
        <f>IF(VLOOKUP(D113,'2.Bookinglist'!A:CT,43,FALSE)=0,"","DG")</f>
        <v/>
      </c>
      <c r="N113" s="60" t="str">
        <f>IF(RIGHT(K113,2)="RE","RF","")</f>
        <v/>
      </c>
      <c r="O113" s="61" t="str">
        <f>VLOOKUP(A113,'1.Loading'!A:R,3,FALSE)</f>
        <v>SWIC</v>
      </c>
      <c r="P113" s="61" t="str">
        <f>VLOOKUP(A113,'1.Loading'!A:R,4,FALSE)</f>
        <v>2611N</v>
      </c>
      <c r="Q113" s="61" t="str">
        <f>VLOOKUP(D113,'2.Bookinglist'!A:CT,12,FALSE)</f>
        <v>KHS1</v>
      </c>
      <c r="R113" s="60" t="str">
        <f>IF(LEFT(K113,2)="22","20'","40'")</f>
        <v>20'</v>
      </c>
      <c r="S113" s="185" t="n"/>
      <c r="T113" s="61" t="str">
        <f>VLOOKUP(A113,'1.Loading'!A:R,2,FALSE)</f>
        <v>2026-10-16</v>
      </c>
      <c r="U113" s="63">
        <f>T113-S113</f>
        <v>46311</v>
      </c>
      <c r="V113" s="186" t="n"/>
      <c r="W113" s="61" t="str">
        <f>VLOOKUP(A113,'3.GateMove'!A:D,4,FALSE)</f>
        <v>2026-10-12</v>
      </c>
      <c r="X113" s="63">
        <f>((T113-W113)+1)</f>
        <v>5</v>
      </c>
      <c r="Y113" s="64">
        <f>IF(AND(OR(C113="BKK01",C113="BKK04"),L113="CFS/CY"),0,IF(M113="DG",1,IF(LEFT(C113,3)="LCH",7,IF(C113="BKK02",5,3))))</f>
        <v>3</v>
      </c>
      <c r="Z113" s="63">
        <f>IF(IF(AND(AC113="TML",AB113&gt;0),((T113-W113)+1)-AB113,((T113-W113)+1)-Y113)&gt;0,IF(AND(AC113="TML",AB113&gt;0),((T113-W113)+1)-AB113,((T113-W113)+1)-Y113),0)</f>
        <v>2</v>
      </c>
      <c r="AA113" s="187">
        <f>IF(AND(B113="G1",M113=""),IF(R113="20'",
VLOOKUP(Z113,Charge!$K$2:$M$5,2,TRUE)+(Z113-VLOOKUP(Z113,Charge!$K$2:$M$5,1,TRUE))*VLOOKUP(Z113,Charge!$K$2:$M$5,3,TRUE),
VLOOKUP(Z113,Charge!$N$2:$P$5,2,TRUE)+(Z113-VLOOKUP(Z113,Charge!$N$2:$P$5,1,TRUE))*VLOOKUP(Z113,Charge!$N$2:$P$5,3,TRUE)),
IF(AND(B113="G1",M113="DG"),IF(R113="20'",
VLOOKUP(Z113,Charge!$R$2:$T$5,2,TRUE)+(Z113-VLOOKUP(Z113,Charge!$R$2:$T$5,1,TRUE))*VLOOKUP(Z113,Charge!$R$2:$T$5,3,TRUE),
VLOOKUP(Z113,Charge!$U$2:$W$5,2,TRUE)+(Z113-VLOOKUP(Z113,Charge!$U$2:$W$5,1,TRUE))*VLOOKUP(Z113,Charge!$U$2:$W$5,3,TRUE)),
IF(AND(B113="G3",M113=""),IF(R113="20'",
VLOOKUP(Z113,Charge!$K$18:$M$21,2,TRUE)+(Z113-VLOOKUP(Z113,Charge!$K$18:$M$21,1,TRUE))*VLOOKUP(Z113,Charge!$K$18:$M$21,3,TRUE),
VLOOKUP(Z113,Charge!$N$18:$P$21,2,TRUE)+(Z113-VLOOKUP(Z113,Charge!$N$18:$P$21,1,TRUE))*VLOOKUP(Z113,Charge!$N$18:$P$21,3,TRUE)),
IF(AND(B113="G3",M113="DG"),IF(R113="20'",
VLOOKUP(Z113,Charge!$R$18:$T$21,2,TRUE)+(Z113-VLOOKUP(Z113,Charge!$R$18:$T$21,1,TRUE))*VLOOKUP(Z113,Charge!$R$18:$T$21,3,TRUE),
VLOOKUP(Z113,Charge!$U$18:$W$21,2,TRUE)+(Z113-VLOOKUP(Z113,Charge!$U$18:$W$21,1,TRUE))*VLOOKUP(Z113,Charge!$U$18:$W$21,3,TRUE)),
IF(AND(B113="G2",M113=""),IF(R113="20'",
VLOOKUP(Z113,Charge!$K$9:$M$12,2,TRUE)+(Z113-VLOOKUP(Z113,Charge!$K$9:$M$12,1,TRUE))*VLOOKUP(Z113,Charge!$K$9:$M$12,3,TRUE),
VLOOKUP(Z113,Charge!$N$9:$P$12,2,TRUE)+(Z113-VLOOKUP(Z113,Charge!$N$9:$P$12,1,TRUE))*VLOOKUP(Z113,Charge!$N$9:$P$12,3,TRUE)),
IF(AND(B113="G2",M113="DG"),IF(R113="20'",
VLOOKUP(Z113,Charge!$R$9:$T$12,2,TRUE)+(Z113-VLOOKUP(Z113,Charge!$R$9:$T$12,1,TRUE))*VLOOKUP(Z113,Charge!$R$9:$T$12,3,TRUE),
VLOOKUP(Z113,Charge!$U$9:$W$12,2,TRUE)+(Z113-VLOOKUP(Z113,Charge!$U$9:$W$12,1,TRUE))*VLOOKUP(Z113,Charge!$U$9:$W$12,3,TRUE)),IF(AND(B113="G4",M113=""),IF(R113="20'",Z113*Charge!$M$25,Z113*Charge!$P$25),IF(AND(B113="G4",M113="DG"),IF(R113="20'",Z113*Charge!$T$25,Z113*Charge!$W$25),0))))))))</f>
        <v>320</v>
      </c>
      <c r="AB113" s="184" t="n"/>
      <c r="AC113" s="184" t="n"/>
      <c r="AD113" s="60">
        <f>IF(M113="DG",3,IF(N113="RF",3,5))+IF(AND(LEFT(C113,3)="BKK",N113="RF",Q113="KTS"),1,0)+IF(Q113="KHS",1,0)</f>
        <v>5</v>
      </c>
      <c r="AE113" s="63">
        <f>(T113-V113)+1</f>
        <v>46312</v>
      </c>
      <c r="AF113" s="63">
        <f>IF(AB113&gt;IF((V113-W113)&gt;0,V113-W113,0),0,IF(AB113&lt;IF((V113-W113)&gt;0,V113-W113,0),IF((V113-W113)&gt;0,V113-W113,0)-AB113,IF((V113-W113)&gt;0,V113-W113,0)))</f>
        <v>0</v>
      </c>
      <c r="AG113" s="187">
        <f>IF(AND(M113=""),IF(R113="20'",
VLOOKUP(AF113,Charge!$K$31:$M$34,2,TRUE)+(AF113-VLOOKUP(AF113,Charge!$K$31:$M$34,1,TRUE))*VLOOKUP(AF113,Charge!$K$31:$M$34,3,TRUE),
VLOOKUP(AF113,Charge!$N$31:$P$34,2,TRUE)+(AF113-VLOOKUP(AF113,Charge!$N$31:$P$34,1,TRUE))*VLOOKUP(AF113,Charge!$N$31:$P$34,3,TRUE)),
IF(AND(M113="DG"),IF(R113="20'",
VLOOKUP(AF113,Charge!$R$31:$T$34,2,TRUE)+(AF113-VLOOKUP(AF113,Charge!$R$31:$T$34,1,TRUE))*VLOOKUP(AF113,Charge!$R$31:$T$34,3,TRUE),
VLOOKUP(AF113,Charge!$U$31:$W$34,2,TRUE)+(AF113-VLOOKUP(AF113,Charge!$U$31:$W$34,1,TRUE))*VLOOKUP(AF113,Charge!$U$31:$W$34,3,TRUE)),0))</f>
        <v>0</v>
      </c>
      <c r="AH113" s="65" t="n"/>
      <c r="AI113" s="65">
        <f>AA113-AH113</f>
        <v>320</v>
      </c>
      <c r="AJ113" s="188" t="n"/>
      <c r="AK113" s="62" t="str">
        <f>VLOOKUP(D113,'2.Bookinglist'!A:CT,40,FALSE)</f>
        <v>Nannaapust Sukporntaweewat</v>
      </c>
      <c r="AL113" s="60" t="str">
        <f>VLOOKUP(D113,'2.Bookinglist'!A:CW,101,FALSE)</f>
        <v>2026-10-15</v>
      </c>
      <c r="AM113" s="60" t="str">
        <f>VLOOKUP(D113,'2.Bookinglist'!A:BK,63,FALSE)</f>
        <v>BKK27</v>
      </c>
      <c r="AN113" s="62" t="str">
        <f>VLOOKUP(D113,'2.Bookinglist'!A:AZ,52,FALSE)</f>
        <v>**APPROVAL BY MR.M.J CHANG DD.30/09/2026* *FLEXIBAG ONDECK*
Survey : 2026-10-09 , Pickup : 2026-10-10, Return : 2026-10-12
EXTEND CLOSING DD.13/10/26 @12.00</v>
      </c>
      <c r="AO113" s="62">
        <f>VLOOKUP(D113,'2.Bookinglist'!A:CY,103,FALSE)</f>
        <v>0</v>
      </c>
    </row>
    <row r="114" ht="12.95" customHeight="1">
      <c r="A114" s="96" t="inlineStr">
        <is>
          <t>SKLU1654688</t>
        </is>
      </c>
      <c r="B114" s="184" t="str">
        <f>IF(C114=Charge!$M$1,Charge!$J$1,IF(C114=Charge!$M$23,Charge!$J$23,IF(C114=Charge!$M$17,Charge!$J$17,IF(C114=Charge!$N$17,Charge!$J$17,Charge!$J$7))))</f>
        <v>G3</v>
      </c>
      <c r="C114" s="61" t="str">
        <f>VLOOKUP(A114,'1.Loading'!A:R,14,FALSE)</f>
        <v>BKK01</v>
      </c>
      <c r="D114" s="61" t="str">
        <f>VLOOKUP(A114,'1.Loading'!A:R,17,FALSE)</f>
        <v>HASLS22260902094</v>
      </c>
      <c r="E114" s="62" t="str">
        <f>VLOOKUP(D114,'2.Bookinglist'!A:CT,27,FALSE)</f>
        <v>BIRLA CARBON (THAILAND) PUBLIC COMPANY LIMITED</v>
      </c>
      <c r="F114" s="62" t="str">
        <f>VLOOKUP(D114,'2.Bookinglist'!A:CT,28,FALSE)</f>
        <v>BIRLA CARBON (THAILAND) PUBLIC COMPANY LIMITED</v>
      </c>
      <c r="G114" s="60">
        <f>VLOOKUP(D114,'2.Bookinglist'!A:E,5,FALSE)</f>
        <v>0</v>
      </c>
      <c r="H114" s="61" t="str">
        <f>VLOOKUP(D114,'2.Bookinglist'!A:CT,15,FALSE)</f>
        <v>THBKK</v>
      </c>
      <c r="I114" s="61" t="str">
        <f>VLOOKUP(D114,'2.Bookinglist'!A:CT,19,FALSE)</f>
        <v>JPUKB</v>
      </c>
      <c r="J114" s="61" t="str">
        <f>VLOOKUP(D114,'2.Bookinglist'!A:CT,26,FALSE)</f>
        <v>KRPUS</v>
      </c>
      <c r="K114" s="61" t="str">
        <f>VLOOKUP(A114,'1.Loading'!A:R,5,FALSE)</f>
        <v>22GP</v>
      </c>
      <c r="L114" s="60" t="str">
        <f>VLOOKUP(D114,'2.Bookinglist'!A:CT,85,FALSE)</f>
        <v>CY/CY</v>
      </c>
      <c r="M114" s="60" t="str">
        <f>IF(VLOOKUP(D114,'2.Bookinglist'!A:CT,43,FALSE)=0,"","DG")</f>
        <v/>
      </c>
      <c r="N114" s="60" t="str">
        <f>IF(RIGHT(K114,2)="RE","RF","")</f>
        <v/>
      </c>
      <c r="O114" s="61" t="str">
        <f>VLOOKUP(A114,'1.Loading'!A:R,3,FALSE)</f>
        <v>SWIC</v>
      </c>
      <c r="P114" s="61" t="str">
        <f>VLOOKUP(A114,'1.Loading'!A:R,4,FALSE)</f>
        <v>2611N</v>
      </c>
      <c r="Q114" s="61" t="str">
        <f>VLOOKUP(D114,'2.Bookinglist'!A:CT,12,FALSE)</f>
        <v>KHS1</v>
      </c>
      <c r="R114" s="60" t="str">
        <f>IF(LEFT(K114,2)="22","20'","40'")</f>
        <v>20'</v>
      </c>
      <c r="S114" s="185" t="n"/>
      <c r="T114" s="61" t="str">
        <f>VLOOKUP(A114,'1.Loading'!A:R,2,FALSE)</f>
        <v>2026-10-16</v>
      </c>
      <c r="U114" s="63">
        <f>T114-S114</f>
        <v>46311</v>
      </c>
      <c r="V114" s="186" t="n"/>
      <c r="W114" s="61" t="str">
        <f>VLOOKUP(A114,'3.GateMove'!A:D,4,FALSE)</f>
        <v>2026-10-10</v>
      </c>
      <c r="X114" s="63">
        <f>((T114-W114)+1)</f>
        <v>7</v>
      </c>
      <c r="Y114" s="64">
        <f>IF(AND(OR(C114="BKK01",C114="BKK04"),L114="CFS/CY"),0,IF(M114="DG",1,IF(LEFT(C114,3)="LCH",7,IF(C114="BKK02",5,3))))</f>
        <v>3</v>
      </c>
      <c r="Z114" s="63">
        <f>IF(IF(AND(AC114="TML",AB114&gt;0),((T114-W114)+1)-AB114,((T114-W114)+1)-Y114)&gt;0,IF(AND(AC114="TML",AB114&gt;0),((T114-W114)+1)-AB114,((T114-W114)+1)-Y114),0)</f>
        <v>4</v>
      </c>
      <c r="AA114" s="187">
        <f>IF(AND(B114="G1",M114=""),IF(R114="20'",
VLOOKUP(Z114,Charge!$K$2:$M$5,2,TRUE)+(Z114-VLOOKUP(Z114,Charge!$K$2:$M$5,1,TRUE))*VLOOKUP(Z114,Charge!$K$2:$M$5,3,TRUE),
VLOOKUP(Z114,Charge!$N$2:$P$5,2,TRUE)+(Z114-VLOOKUP(Z114,Charge!$N$2:$P$5,1,TRUE))*VLOOKUP(Z114,Charge!$N$2:$P$5,3,TRUE)),
IF(AND(B114="G1",M114="DG"),IF(R114="20'",
VLOOKUP(Z114,Charge!$R$2:$T$5,2,TRUE)+(Z114-VLOOKUP(Z114,Charge!$R$2:$T$5,1,TRUE))*VLOOKUP(Z114,Charge!$R$2:$T$5,3,TRUE),
VLOOKUP(Z114,Charge!$U$2:$W$5,2,TRUE)+(Z114-VLOOKUP(Z114,Charge!$U$2:$W$5,1,TRUE))*VLOOKUP(Z114,Charge!$U$2:$W$5,3,TRUE)),
IF(AND(B114="G3",M114=""),IF(R114="20'",
VLOOKUP(Z114,Charge!$K$18:$M$21,2,TRUE)+(Z114-VLOOKUP(Z114,Charge!$K$18:$M$21,1,TRUE))*VLOOKUP(Z114,Charge!$K$18:$M$21,3,TRUE),
VLOOKUP(Z114,Charge!$N$18:$P$21,2,TRUE)+(Z114-VLOOKUP(Z114,Charge!$N$18:$P$21,1,TRUE))*VLOOKUP(Z114,Charge!$N$18:$P$21,3,TRUE)),
IF(AND(B114="G3",M114="DG"),IF(R114="20'",
VLOOKUP(Z114,Charge!$R$18:$T$21,2,TRUE)+(Z114-VLOOKUP(Z114,Charge!$R$18:$T$21,1,TRUE))*VLOOKUP(Z114,Charge!$R$18:$T$21,3,TRUE),
VLOOKUP(Z114,Charge!$U$18:$W$21,2,TRUE)+(Z114-VLOOKUP(Z114,Charge!$U$18:$W$21,1,TRUE))*VLOOKUP(Z114,Charge!$U$18:$W$21,3,TRUE)),
IF(AND(B114="G2",M114=""),IF(R114="20'",
VLOOKUP(Z114,Charge!$K$9:$M$12,2,TRUE)+(Z114-VLOOKUP(Z114,Charge!$K$9:$M$12,1,TRUE))*VLOOKUP(Z114,Charge!$K$9:$M$12,3,TRUE),
VLOOKUP(Z114,Charge!$N$9:$P$12,2,TRUE)+(Z114-VLOOKUP(Z114,Charge!$N$9:$P$12,1,TRUE))*VLOOKUP(Z114,Charge!$N$9:$P$12,3,TRUE)),
IF(AND(B114="G2",M114="DG"),IF(R114="20'",
VLOOKUP(Z114,Charge!$R$9:$T$12,2,TRUE)+(Z114-VLOOKUP(Z114,Charge!$R$9:$T$12,1,TRUE))*VLOOKUP(Z114,Charge!$R$9:$T$12,3,TRUE),
VLOOKUP(Z114,Charge!$U$9:$W$12,2,TRUE)+(Z114-VLOOKUP(Z114,Charge!$U$9:$W$12,1,TRUE))*VLOOKUP(Z114,Charge!$U$9:$W$12,3,TRUE)),IF(AND(B114="G4",M114=""),IF(R114="20'",Z114*Charge!$M$25,Z114*Charge!$P$25),IF(AND(B114="G4",M114="DG"),IF(R114="20'",Z114*Charge!$T$25,Z114*Charge!$W$25),0))))))))</f>
        <v>640</v>
      </c>
      <c r="AB114" s="184" t="n"/>
      <c r="AC114" s="184" t="n"/>
      <c r="AD114" s="60">
        <f>IF(M114="DG",3,IF(N114="RF",3,5))+IF(AND(LEFT(C114,3)="BKK",N114="RF",Q114="KTS"),1,0)+IF(Q114="KHS",1,0)</f>
        <v>5</v>
      </c>
      <c r="AE114" s="63">
        <f>(T114-V114)+1</f>
        <v>46312</v>
      </c>
      <c r="AF114" s="63">
        <f>IF(AB114&gt;IF((V114-W114)&gt;0,V114-W114,0),0,IF(AB114&lt;IF((V114-W114)&gt;0,V114-W114,0),IF((V114-W114)&gt;0,V114-W114,0)-AB114,IF((V114-W114)&gt;0,V114-W114,0)))</f>
        <v>0</v>
      </c>
      <c r="AG114" s="187">
        <f>IF(AND(M114=""),IF(R114="20'",
VLOOKUP(AF114,Charge!$K$31:$M$34,2,TRUE)+(AF114-VLOOKUP(AF114,Charge!$K$31:$M$34,1,TRUE))*VLOOKUP(AF114,Charge!$K$31:$M$34,3,TRUE),
VLOOKUP(AF114,Charge!$N$31:$P$34,2,TRUE)+(AF114-VLOOKUP(AF114,Charge!$N$31:$P$34,1,TRUE))*VLOOKUP(AF114,Charge!$N$31:$P$34,3,TRUE)),
IF(AND(M114="DG"),IF(R114="20'",
VLOOKUP(AF114,Charge!$R$31:$T$34,2,TRUE)+(AF114-VLOOKUP(AF114,Charge!$R$31:$T$34,1,TRUE))*VLOOKUP(AF114,Charge!$R$31:$T$34,3,TRUE),
VLOOKUP(AF114,Charge!$U$31:$W$34,2,TRUE)+(AF114-VLOOKUP(AF114,Charge!$U$31:$W$34,1,TRUE))*VLOOKUP(AF114,Charge!$U$31:$W$34,3,TRUE)),0))</f>
        <v>0</v>
      </c>
      <c r="AH114" s="65" t="n"/>
      <c r="AI114" s="65">
        <f>AA114-AH114</f>
        <v>640</v>
      </c>
      <c r="AJ114" s="188" t="n"/>
      <c r="AK114" s="62" t="str">
        <f>VLOOKUP(D114,'2.Bookinglist'!A:CT,40,FALSE)</f>
        <v>Dharaporn</v>
      </c>
      <c r="AL114" s="60" t="str">
        <f>VLOOKUP(D114,'2.Bookinglist'!A:CW,101,FALSE)</f>
        <v>2026-10-12</v>
      </c>
      <c r="AM114" s="60" t="str">
        <f>VLOOKUP(D114,'2.Bookinglist'!A:BK,63,FALSE)</f>
        <v>BKK27</v>
      </c>
      <c r="AN114" s="62" t="str">
        <f>VLOOKUP(D114,'2.Bookinglist'!A:AZ,52,FALSE)</f>
        <v>[FIX][FIX]Pickup : 2026-10-07, Return : 2026-10-08</v>
      </c>
      <c r="AO114" s="62">
        <f>VLOOKUP(D114,'2.Bookinglist'!A:CY,103,FALSE)</f>
        <v>0</v>
      </c>
    </row>
    <row r="115" ht="12.95" customHeight="1">
      <c r="A115" s="96" t="inlineStr">
        <is>
          <t>SKLU1658934</t>
        </is>
      </c>
      <c r="B115" s="184" t="str">
        <f>IF(C115=Charge!$M$1,Charge!$J$1,IF(C115=Charge!$M$23,Charge!$J$23,IF(C115=Charge!$M$17,Charge!$J$17,IF(C115=Charge!$N$17,Charge!$J$17,Charge!$J$7))))</f>
        <v>G3</v>
      </c>
      <c r="C115" s="61" t="str">
        <f>VLOOKUP(A115,'1.Loading'!A:R,14,FALSE)</f>
        <v>BKK01</v>
      </c>
      <c r="D115" s="61" t="str">
        <f>VLOOKUP(A115,'1.Loading'!A:R,17,FALSE)</f>
        <v>HASLS22260801161</v>
      </c>
      <c r="E115" s="62" t="str">
        <f>VLOOKUP(D115,'2.Bookinglist'!A:CT,27,FALSE)</f>
        <v>MEGALOAD DEVELOPMENT LOGISTICS CO., LTD.</v>
      </c>
      <c r="F115" s="62" t="str">
        <f>VLOOKUP(D115,'2.Bookinglist'!A:CT,28,FALSE)</f>
        <v>FISHMEAL MARKETING DEVELOPMENT CO., LTD.</v>
      </c>
      <c r="G115" s="60">
        <f>VLOOKUP(D115,'2.Bookinglist'!A:E,5,FALSE)</f>
        <v>0</v>
      </c>
      <c r="H115" s="61" t="str">
        <f>VLOOKUP(D115,'2.Bookinglist'!A:CT,15,FALSE)</f>
        <v>THBKK</v>
      </c>
      <c r="I115" s="61" t="str">
        <f>VLOOKUP(D115,'2.Bookinglist'!A:CT,19,FALSE)</f>
        <v>JPKSM</v>
      </c>
      <c r="J115" s="61" t="str">
        <f>VLOOKUP(D115,'2.Bookinglist'!A:CT,26,FALSE)</f>
        <v>KRPUS</v>
      </c>
      <c r="K115" s="61" t="str">
        <f>VLOOKUP(A115,'1.Loading'!A:R,5,FALSE)</f>
        <v>22GP</v>
      </c>
      <c r="L115" s="60" t="str">
        <f>VLOOKUP(D115,'2.Bookinglist'!A:CT,85,FALSE)</f>
        <v>CY/CY</v>
      </c>
      <c r="M115" s="60" t="str">
        <f>IF(VLOOKUP(D115,'2.Bookinglist'!A:CT,43,FALSE)=0,"","DG")</f>
        <v>DG</v>
      </c>
      <c r="N115" s="60" t="str">
        <f>IF(RIGHT(K115,2)="RE","RF","")</f>
        <v/>
      </c>
      <c r="O115" s="61" t="str">
        <f>VLOOKUP(A115,'1.Loading'!A:R,3,FALSE)</f>
        <v>SWIC</v>
      </c>
      <c r="P115" s="61" t="str">
        <f>VLOOKUP(A115,'1.Loading'!A:R,4,FALSE)</f>
        <v>2611N</v>
      </c>
      <c r="Q115" s="61" t="str">
        <f>VLOOKUP(D115,'2.Bookinglist'!A:CT,12,FALSE)</f>
        <v>KHS1</v>
      </c>
      <c r="R115" s="60" t="str">
        <f>IF(LEFT(K115,2)="22","20'","40'")</f>
        <v>20'</v>
      </c>
      <c r="S115" s="185" t="n"/>
      <c r="T115" s="61" t="str">
        <f>VLOOKUP(A115,'1.Loading'!A:R,2,FALSE)</f>
        <v>2026-10-16</v>
      </c>
      <c r="U115" s="63">
        <f>T115-S115</f>
        <v>46311</v>
      </c>
      <c r="V115" s="186" t="n"/>
      <c r="W115" s="61" t="str">
        <f>VLOOKUP(A115,'3.GateMove'!A:D,4,FALSE)</f>
        <v>2026-10-12</v>
      </c>
      <c r="X115" s="63">
        <f>((T115-W115)+1)</f>
        <v>5</v>
      </c>
      <c r="Y115" s="64">
        <f>IF(AND(OR(C115="BKK01",C115="BKK04"),L115="CFS/CY"),0,IF(M115="DG",1,IF(LEFT(C115,3)="LCH",7,IF(C115="BKK02",5,3))))</f>
        <v>1</v>
      </c>
      <c r="Z115" s="63">
        <f>IF(IF(AND(AC115="TML",AB115&gt;0),((T115-W115)+1)-AB115,((T115-W115)+1)-Y115)&gt;0,IF(AND(AC115="TML",AB115&gt;0),((T115-W115)+1)-AB115,((T115-W115)+1)-Y115),0)</f>
        <v>4</v>
      </c>
      <c r="AA115" s="187">
        <f>IF(AND(B115="G1",M115=""),IF(R115="20'",
VLOOKUP(Z115,Charge!$K$2:$M$5,2,TRUE)+(Z115-VLOOKUP(Z115,Charge!$K$2:$M$5,1,TRUE))*VLOOKUP(Z115,Charge!$K$2:$M$5,3,TRUE),
VLOOKUP(Z115,Charge!$N$2:$P$5,2,TRUE)+(Z115-VLOOKUP(Z115,Charge!$N$2:$P$5,1,TRUE))*VLOOKUP(Z115,Charge!$N$2:$P$5,3,TRUE)),
IF(AND(B115="G1",M115="DG"),IF(R115="20'",
VLOOKUP(Z115,Charge!$R$2:$T$5,2,TRUE)+(Z115-VLOOKUP(Z115,Charge!$R$2:$T$5,1,TRUE))*VLOOKUP(Z115,Charge!$R$2:$T$5,3,TRUE),
VLOOKUP(Z115,Charge!$U$2:$W$5,2,TRUE)+(Z115-VLOOKUP(Z115,Charge!$U$2:$W$5,1,TRUE))*VLOOKUP(Z115,Charge!$U$2:$W$5,3,TRUE)),
IF(AND(B115="G3",M115=""),IF(R115="20'",
VLOOKUP(Z115,Charge!$K$18:$M$21,2,TRUE)+(Z115-VLOOKUP(Z115,Charge!$K$18:$M$21,1,TRUE))*VLOOKUP(Z115,Charge!$K$18:$M$21,3,TRUE),
VLOOKUP(Z115,Charge!$N$18:$P$21,2,TRUE)+(Z115-VLOOKUP(Z115,Charge!$N$18:$P$21,1,TRUE))*VLOOKUP(Z115,Charge!$N$18:$P$21,3,TRUE)),
IF(AND(B115="G3",M115="DG"),IF(R115="20'",
VLOOKUP(Z115,Charge!$R$18:$T$21,2,TRUE)+(Z115-VLOOKUP(Z115,Charge!$R$18:$T$21,1,TRUE))*VLOOKUP(Z115,Charge!$R$18:$T$21,3,TRUE),
VLOOKUP(Z115,Charge!$U$18:$W$21,2,TRUE)+(Z115-VLOOKUP(Z115,Charge!$U$18:$W$21,1,TRUE))*VLOOKUP(Z115,Charge!$U$18:$W$21,3,TRUE)),
IF(AND(B115="G2",M115=""),IF(R115="20'",
VLOOKUP(Z115,Charge!$K$9:$M$12,2,TRUE)+(Z115-VLOOKUP(Z115,Charge!$K$9:$M$12,1,TRUE))*VLOOKUP(Z115,Charge!$K$9:$M$12,3,TRUE),
VLOOKUP(Z115,Charge!$N$9:$P$12,2,TRUE)+(Z115-VLOOKUP(Z115,Charge!$N$9:$P$12,1,TRUE))*VLOOKUP(Z115,Charge!$N$9:$P$12,3,TRUE)),
IF(AND(B115="G2",M115="DG"),IF(R115="20'",
VLOOKUP(Z115,Charge!$R$9:$T$12,2,TRUE)+(Z115-VLOOKUP(Z115,Charge!$R$9:$T$12,1,TRUE))*VLOOKUP(Z115,Charge!$R$9:$T$12,3,TRUE),
VLOOKUP(Z115,Charge!$U$9:$W$12,2,TRUE)+(Z115-VLOOKUP(Z115,Charge!$U$9:$W$12,1,TRUE))*VLOOKUP(Z115,Charge!$U$9:$W$12,3,TRUE)),IF(AND(B115="G4",M115=""),IF(R115="20'",Z115*Charge!$M$25,Z115*Charge!$P$25),IF(AND(B115="G4",M115="DG"),IF(R115="20'",Z115*Charge!$T$25,Z115*Charge!$W$25),0))))))))</f>
        <v>1920</v>
      </c>
      <c r="AB115" s="184" t="n"/>
      <c r="AC115" s="184" t="n"/>
      <c r="AD115" s="60">
        <f>IF(M115="DG",3,IF(N115="RF",3,5))+IF(AND(LEFT(C115,3)="BKK",N115="RF",Q115="KTS"),1,0)+IF(Q115="KHS",1,0)</f>
        <v>3</v>
      </c>
      <c r="AE115" s="63">
        <f>(T115-V115)+1</f>
        <v>46312</v>
      </c>
      <c r="AF115" s="63">
        <f>IF(AB115&gt;IF((V115-W115)&gt;0,V115-W115,0),0,IF(AB115&lt;IF((V115-W115)&gt;0,V115-W115,0),IF((V115-W115)&gt;0,V115-W115,0)-AB115,IF((V115-W115)&gt;0,V115-W115,0)))</f>
        <v>0</v>
      </c>
      <c r="AG115" s="187">
        <f>IF(AND(M115=""),IF(R115="20'",
VLOOKUP(AF115,Charge!$K$31:$M$34,2,TRUE)+(AF115-VLOOKUP(AF115,Charge!$K$31:$M$34,1,TRUE))*VLOOKUP(AF115,Charge!$K$31:$M$34,3,TRUE),
VLOOKUP(AF115,Charge!$N$31:$P$34,2,TRUE)+(AF115-VLOOKUP(AF115,Charge!$N$31:$P$34,1,TRUE))*VLOOKUP(AF115,Charge!$N$31:$P$34,3,TRUE)),
IF(AND(M115="DG"),IF(R115="20'",
VLOOKUP(AF115,Charge!$R$31:$T$34,2,TRUE)+(AF115-VLOOKUP(AF115,Charge!$R$31:$T$34,1,TRUE))*VLOOKUP(AF115,Charge!$R$31:$T$34,3,TRUE),
VLOOKUP(AF115,Charge!$U$31:$W$34,2,TRUE)+(AF115-VLOOKUP(AF115,Charge!$U$31:$W$34,1,TRUE))*VLOOKUP(AF115,Charge!$U$31:$W$34,3,TRUE)),0))</f>
        <v>0</v>
      </c>
      <c r="AH115" s="65" t="n"/>
      <c r="AI115" s="65">
        <f>AA115-AH115</f>
        <v>1920</v>
      </c>
      <c r="AJ115" s="188" t="n"/>
      <c r="AK115" s="62" t="str">
        <f>VLOOKUP(D115,'2.Bookinglist'!A:CT,40,FALSE)</f>
        <v>Tarn(Supaporn)</v>
      </c>
      <c r="AL115" s="60" t="str">
        <f>VLOOKUP(D115,'2.Bookinglist'!A:CW,101,FALSE)</f>
        <v>2026-10-12</v>
      </c>
      <c r="AM115" s="60" t="str">
        <f>VLOOKUP(D115,'2.Bookinglist'!A:BK,63,FALSE)</f>
        <v>BKK27</v>
      </c>
      <c r="AN115" s="62" t="str">
        <f>VLOOKUP(D115,'2.Bookinglist'!A:AZ,52,FALSE)</f>
        <v>[FIX][FIX]** APPROVAL DG BY MR.M.J CHANG DD.30/09/2026 ** DG22GPx13 (CLS 9 / UN 2216)  
Pickup : 2026-10-10, Return : 2026-09-10 
EXTEND  CLS TIME 13/23.59 FIRST DATE CAN RETURN CNTR DD.13/10</v>
      </c>
      <c r="AO115" s="62">
        <f>VLOOKUP(D115,'2.Bookinglist'!A:CY,103,FALSE)</f>
        <v>0</v>
      </c>
    </row>
    <row r="116" ht="12.95" customHeight="1">
      <c r="A116" s="96" t="inlineStr">
        <is>
          <t>SKLU1803122</t>
        </is>
      </c>
      <c r="B116" s="184" t="str">
        <f>IF(C116=Charge!$M$1,Charge!$J$1,IF(C116=Charge!$M$23,Charge!$J$23,IF(C116=Charge!$M$17,Charge!$J$17,IF(C116=Charge!$N$17,Charge!$J$17,Charge!$J$7))))</f>
        <v>G3</v>
      </c>
      <c r="C116" s="61" t="str">
        <f>VLOOKUP(A116,'1.Loading'!A:R,14,FALSE)</f>
        <v>BKK01</v>
      </c>
      <c r="D116" s="61" t="str">
        <f>VLOOKUP(A116,'1.Loading'!A:R,17,FALSE)</f>
        <v>HASLS22260902760</v>
      </c>
      <c r="E116" s="62" t="str">
        <f>VLOOKUP(D116,'2.Bookinglist'!A:CT,27,FALSE)</f>
        <v>THAI AGRI FOODS PUBLIC COMPANY LIMITED</v>
      </c>
      <c r="F116" s="62" t="str">
        <f>VLOOKUP(D116,'2.Bookinglist'!A:CT,28,FALSE)</f>
        <v>THAI AGRI FOODS PUBLIC COMPANY LIMITED</v>
      </c>
      <c r="G116" s="60">
        <f>VLOOKUP(D116,'2.Bookinglist'!A:E,5,FALSE)</f>
        <v>0</v>
      </c>
      <c r="H116" s="61" t="str">
        <f>VLOOKUP(D116,'2.Bookinglist'!A:CT,15,FALSE)</f>
        <v>THBKK</v>
      </c>
      <c r="I116" s="61" t="str">
        <f>VLOOKUP(D116,'2.Bookinglist'!A:CT,19,FALSE)</f>
        <v>RUVVO</v>
      </c>
      <c r="J116" s="61" t="str">
        <f>VLOOKUP(D116,'2.Bookinglist'!A:CT,26,FALSE)</f>
        <v>KRPUS</v>
      </c>
      <c r="K116" s="61" t="str">
        <f>VLOOKUP(A116,'1.Loading'!A:R,5,FALSE)</f>
        <v>22GP</v>
      </c>
      <c r="L116" s="60" t="str">
        <f>VLOOKUP(D116,'2.Bookinglist'!A:CT,85,FALSE)</f>
        <v>CY/CY</v>
      </c>
      <c r="M116" s="60" t="str">
        <f>IF(VLOOKUP(D116,'2.Bookinglist'!A:CT,43,FALSE)=0,"","DG")</f>
        <v/>
      </c>
      <c r="N116" s="60" t="str">
        <f>IF(RIGHT(K116,2)="RE","RF","")</f>
        <v/>
      </c>
      <c r="O116" s="61" t="str">
        <f>VLOOKUP(A116,'1.Loading'!A:R,3,FALSE)</f>
        <v>SWIC</v>
      </c>
      <c r="P116" s="61" t="str">
        <f>VLOOKUP(A116,'1.Loading'!A:R,4,FALSE)</f>
        <v>2611N</v>
      </c>
      <c r="Q116" s="61" t="str">
        <f>VLOOKUP(D116,'2.Bookinglist'!A:CT,12,FALSE)</f>
        <v>KHS1</v>
      </c>
      <c r="R116" s="60" t="str">
        <f>IF(LEFT(K116,2)="22","20'","40'")</f>
        <v>20'</v>
      </c>
      <c r="S116" s="185" t="n"/>
      <c r="T116" s="61" t="str">
        <f>VLOOKUP(A116,'1.Loading'!A:R,2,FALSE)</f>
        <v>2026-10-16</v>
      </c>
      <c r="U116" s="63">
        <f>T116-S116</f>
        <v>46311</v>
      </c>
      <c r="V116" s="186" t="n"/>
      <c r="W116" s="61" t="str">
        <f>VLOOKUP(A116,'3.GateMove'!A:D,4,FALSE)</f>
        <v>2026-10-12</v>
      </c>
      <c r="X116" s="63">
        <f>((T116-W116)+1)</f>
        <v>5</v>
      </c>
      <c r="Y116" s="64">
        <f>IF(AND(OR(C116="BKK01",C116="BKK04"),L116="CFS/CY"),0,IF(M116="DG",1,IF(LEFT(C116,3)="LCH",7,IF(C116="BKK02",5,3))))</f>
        <v>3</v>
      </c>
      <c r="Z116" s="63">
        <f>IF(IF(AND(AC116="TML",AB116&gt;0),((T116-W116)+1)-AB116,((T116-W116)+1)-Y116)&gt;0,IF(AND(AC116="TML",AB116&gt;0),((T116-W116)+1)-AB116,((T116-W116)+1)-Y116),0)</f>
        <v>2</v>
      </c>
      <c r="AA116" s="187">
        <f>IF(AND(B116="G1",M116=""),IF(R116="20'",
VLOOKUP(Z116,Charge!$K$2:$M$5,2,TRUE)+(Z116-VLOOKUP(Z116,Charge!$K$2:$M$5,1,TRUE))*VLOOKUP(Z116,Charge!$K$2:$M$5,3,TRUE),
VLOOKUP(Z116,Charge!$N$2:$P$5,2,TRUE)+(Z116-VLOOKUP(Z116,Charge!$N$2:$P$5,1,TRUE))*VLOOKUP(Z116,Charge!$N$2:$P$5,3,TRUE)),
IF(AND(B116="G1",M116="DG"),IF(R116="20'",
VLOOKUP(Z116,Charge!$R$2:$T$5,2,TRUE)+(Z116-VLOOKUP(Z116,Charge!$R$2:$T$5,1,TRUE))*VLOOKUP(Z116,Charge!$R$2:$T$5,3,TRUE),
VLOOKUP(Z116,Charge!$U$2:$W$5,2,TRUE)+(Z116-VLOOKUP(Z116,Charge!$U$2:$W$5,1,TRUE))*VLOOKUP(Z116,Charge!$U$2:$W$5,3,TRUE)),
IF(AND(B116="G3",M116=""),IF(R116="20'",
VLOOKUP(Z116,Charge!$K$18:$M$21,2,TRUE)+(Z116-VLOOKUP(Z116,Charge!$K$18:$M$21,1,TRUE))*VLOOKUP(Z116,Charge!$K$18:$M$21,3,TRUE),
VLOOKUP(Z116,Charge!$N$18:$P$21,2,TRUE)+(Z116-VLOOKUP(Z116,Charge!$N$18:$P$21,1,TRUE))*VLOOKUP(Z116,Charge!$N$18:$P$21,3,TRUE)),
IF(AND(B116="G3",M116="DG"),IF(R116="20'",
VLOOKUP(Z116,Charge!$R$18:$T$21,2,TRUE)+(Z116-VLOOKUP(Z116,Charge!$R$18:$T$21,1,TRUE))*VLOOKUP(Z116,Charge!$R$18:$T$21,3,TRUE),
VLOOKUP(Z116,Charge!$U$18:$W$21,2,TRUE)+(Z116-VLOOKUP(Z116,Charge!$U$18:$W$21,1,TRUE))*VLOOKUP(Z116,Charge!$U$18:$W$21,3,TRUE)),
IF(AND(B116="G2",M116=""),IF(R116="20'",
VLOOKUP(Z116,Charge!$K$9:$M$12,2,TRUE)+(Z116-VLOOKUP(Z116,Charge!$K$9:$M$12,1,TRUE))*VLOOKUP(Z116,Charge!$K$9:$M$12,3,TRUE),
VLOOKUP(Z116,Charge!$N$9:$P$12,2,TRUE)+(Z116-VLOOKUP(Z116,Charge!$N$9:$P$12,1,TRUE))*VLOOKUP(Z116,Charge!$N$9:$P$12,3,TRUE)),
IF(AND(B116="G2",M116="DG"),IF(R116="20'",
VLOOKUP(Z116,Charge!$R$9:$T$12,2,TRUE)+(Z116-VLOOKUP(Z116,Charge!$R$9:$T$12,1,TRUE))*VLOOKUP(Z116,Charge!$R$9:$T$12,3,TRUE),
VLOOKUP(Z116,Charge!$U$9:$W$12,2,TRUE)+(Z116-VLOOKUP(Z116,Charge!$U$9:$W$12,1,TRUE))*VLOOKUP(Z116,Charge!$U$9:$W$12,3,TRUE)),IF(AND(B116="G4",M116=""),IF(R116="20'",Z116*Charge!$M$25,Z116*Charge!$P$25),IF(AND(B116="G4",M116="DG"),IF(R116="20'",Z116*Charge!$T$25,Z116*Charge!$W$25),0))))))))</f>
        <v>320</v>
      </c>
      <c r="AB116" s="184" t="n"/>
      <c r="AC116" s="184" t="n"/>
      <c r="AD116" s="60">
        <f>IF(M116="DG",3,IF(N116="RF",3,5))+IF(AND(LEFT(C116,3)="BKK",N116="RF",Q116="KTS"),1,0)+IF(Q116="KHS",1,0)</f>
        <v>5</v>
      </c>
      <c r="AE116" s="63">
        <f>(T116-V116)+1</f>
        <v>46312</v>
      </c>
      <c r="AF116" s="63">
        <f>IF(AB116&gt;IF((V116-W116)&gt;0,V116-W116,0),0,IF(AB116&lt;IF((V116-W116)&gt;0,V116-W116,0),IF((V116-W116)&gt;0,V116-W116,0)-AB116,IF((V116-W116)&gt;0,V116-W116,0)))</f>
        <v>0</v>
      </c>
      <c r="AG116" s="187">
        <f>IF(AND(M116=""),IF(R116="20'",
VLOOKUP(AF116,Charge!$K$31:$M$34,2,TRUE)+(AF116-VLOOKUP(AF116,Charge!$K$31:$M$34,1,TRUE))*VLOOKUP(AF116,Charge!$K$31:$M$34,3,TRUE),
VLOOKUP(AF116,Charge!$N$31:$P$34,2,TRUE)+(AF116-VLOOKUP(AF116,Charge!$N$31:$P$34,1,TRUE))*VLOOKUP(AF116,Charge!$N$31:$P$34,3,TRUE)),
IF(AND(M116="DG"),IF(R116="20'",
VLOOKUP(AF116,Charge!$R$31:$T$34,2,TRUE)+(AF116-VLOOKUP(AF116,Charge!$R$31:$T$34,1,TRUE))*VLOOKUP(AF116,Charge!$R$31:$T$34,3,TRUE),
VLOOKUP(AF116,Charge!$U$31:$W$34,2,TRUE)+(AF116-VLOOKUP(AF116,Charge!$U$31:$W$34,1,TRUE))*VLOOKUP(AF116,Charge!$U$31:$W$34,3,TRUE)),0))</f>
        <v>0</v>
      </c>
      <c r="AH116" s="65" t="n"/>
      <c r="AI116" s="65">
        <f>AA116-AH116</f>
        <v>320</v>
      </c>
      <c r="AJ116" s="188" t="n"/>
      <c r="AK116" s="62" t="str">
        <f>VLOOKUP(D116,'2.Bookinglist'!A:CT,40,FALSE)</f>
        <v>ANNA MARS</v>
      </c>
      <c r="AL116" s="60" t="str">
        <f>VLOOKUP(D116,'2.Bookinglist'!A:CW,101,FALSE)</f>
        <v>2026-10-15</v>
      </c>
      <c r="AM116" s="60" t="str">
        <f>VLOOKUP(D116,'2.Bookinglist'!A:BK,63,FALSE)</f>
        <v>BKK27</v>
      </c>
      <c r="AN116" s="62" t="str">
        <f>VLOOKUP(D116,'2.Bookinglist'!A:AZ,52,FALSE)</f>
        <v>[FIX][FIX]SWIC/2611N/10/24[FIX] Pickup : 2026-10-10, Return : 2026-10-12 *CLS TIME 12/10/26 @23.59</v>
      </c>
      <c r="AO116" s="62">
        <f>VLOOKUP(D116,'2.Bookinglist'!A:CY,103,FALSE)</f>
        <v>0</v>
      </c>
    </row>
    <row r="117" ht="12.95" customHeight="1">
      <c r="A117" s="96" t="inlineStr">
        <is>
          <t>SKLU1808280</t>
        </is>
      </c>
      <c r="B117" s="184" t="str">
        <f>IF(C117=Charge!$M$1,Charge!$J$1,IF(C117=Charge!$M$23,Charge!$J$23,IF(C117=Charge!$M$17,Charge!$J$17,IF(C117=Charge!$N$17,Charge!$J$17,Charge!$J$7))))</f>
        <v>G3</v>
      </c>
      <c r="C117" s="61" t="str">
        <f>VLOOKUP(A117,'1.Loading'!A:R,14,FALSE)</f>
        <v>BKK01</v>
      </c>
      <c r="D117" s="61" t="str">
        <f>VLOOKUP(A117,'1.Loading'!A:R,17,FALSE)</f>
        <v>HASLS22260801364</v>
      </c>
      <c r="E117" s="62" t="str">
        <f>VLOOKUP(D117,'2.Bookinglist'!A:CT,27,FALSE)</f>
        <v>ACCORD PILOT LOGISTICS (THAILAND) CO., LTD.</v>
      </c>
      <c r="F117" s="62" t="str">
        <f>VLOOKUP(D117,'2.Bookinglist'!A:CT,28,FALSE)</f>
        <v>CROWN FOOD PACKAGING (THAILAND) PUBLIC COMPANY LIMITED</v>
      </c>
      <c r="G117" s="60">
        <f>VLOOKUP(D117,'2.Bookinglist'!A:E,5,FALSE)</f>
        <v>0</v>
      </c>
      <c r="H117" s="61" t="str">
        <f>VLOOKUP(D117,'2.Bookinglist'!A:CT,15,FALSE)</f>
        <v>THBKK</v>
      </c>
      <c r="I117" s="61" t="str">
        <f>VLOOKUP(D117,'2.Bookinglist'!A:CT,19,FALSE)</f>
        <v>VNSGN</v>
      </c>
      <c r="J117" s="61">
        <f>VLOOKUP(D117,'2.Bookinglist'!A:CT,26,FALSE)</f>
        <v>0</v>
      </c>
      <c r="K117" s="61" t="str">
        <f>VLOOKUP(A117,'1.Loading'!A:R,5,FALSE)</f>
        <v>22GP</v>
      </c>
      <c r="L117" s="60" t="str">
        <f>VLOOKUP(D117,'2.Bookinglist'!A:CT,85,FALSE)</f>
        <v>CY/CY</v>
      </c>
      <c r="M117" s="60" t="str">
        <f>IF(VLOOKUP(D117,'2.Bookinglist'!A:CT,43,FALSE)=0,"","DG")</f>
        <v/>
      </c>
      <c r="N117" s="60" t="str">
        <f>IF(RIGHT(K117,2)="RE","RF","")</f>
        <v/>
      </c>
      <c r="O117" s="61" t="str">
        <f>VLOOKUP(A117,'1.Loading'!A:R,3,FALSE)</f>
        <v>SWIC</v>
      </c>
      <c r="P117" s="61" t="str">
        <f>VLOOKUP(A117,'1.Loading'!A:R,4,FALSE)</f>
        <v>2611N</v>
      </c>
      <c r="Q117" s="61" t="str">
        <f>VLOOKUP(D117,'2.Bookinglist'!A:CT,12,FALSE)</f>
        <v>KHS1</v>
      </c>
      <c r="R117" s="60" t="str">
        <f>IF(LEFT(K117,2)="22","20'","40'")</f>
        <v>20'</v>
      </c>
      <c r="S117" s="185" t="n"/>
      <c r="T117" s="61" t="str">
        <f>VLOOKUP(A117,'1.Loading'!A:R,2,FALSE)</f>
        <v>2026-10-16</v>
      </c>
      <c r="U117" s="63">
        <f>T117-S117</f>
        <v>46311</v>
      </c>
      <c r="V117" s="186" t="n"/>
      <c r="W117" s="61" t="str">
        <f>VLOOKUP(A117,'3.GateMove'!A:D,4,FALSE)</f>
        <v>2026-10-12</v>
      </c>
      <c r="X117" s="63">
        <f>((T117-W117)+1)</f>
        <v>5</v>
      </c>
      <c r="Y117" s="64">
        <f>IF(AND(OR(C117="BKK01",C117="BKK04"),L117="CFS/CY"),0,IF(M117="DG",1,IF(LEFT(C117,3)="LCH",7,IF(C117="BKK02",5,3))))</f>
        <v>3</v>
      </c>
      <c r="Z117" s="63">
        <f>IF(IF(AND(AC117="TML",AB117&gt;0),((T117-W117)+1)-AB117,((T117-W117)+1)-Y117)&gt;0,IF(AND(AC117="TML",AB117&gt;0),((T117-W117)+1)-AB117,((T117-W117)+1)-Y117),0)</f>
        <v>2</v>
      </c>
      <c r="AA117" s="187">
        <f>IF(AND(B117="G1",M117=""),IF(R117="20'",
VLOOKUP(Z117,Charge!$K$2:$M$5,2,TRUE)+(Z117-VLOOKUP(Z117,Charge!$K$2:$M$5,1,TRUE))*VLOOKUP(Z117,Charge!$K$2:$M$5,3,TRUE),
VLOOKUP(Z117,Charge!$N$2:$P$5,2,TRUE)+(Z117-VLOOKUP(Z117,Charge!$N$2:$P$5,1,TRUE))*VLOOKUP(Z117,Charge!$N$2:$P$5,3,TRUE)),
IF(AND(B117="G1",M117="DG"),IF(R117="20'",
VLOOKUP(Z117,Charge!$R$2:$T$5,2,TRUE)+(Z117-VLOOKUP(Z117,Charge!$R$2:$T$5,1,TRUE))*VLOOKUP(Z117,Charge!$R$2:$T$5,3,TRUE),
VLOOKUP(Z117,Charge!$U$2:$W$5,2,TRUE)+(Z117-VLOOKUP(Z117,Charge!$U$2:$W$5,1,TRUE))*VLOOKUP(Z117,Charge!$U$2:$W$5,3,TRUE)),
IF(AND(B117="G3",M117=""),IF(R117="20'",
VLOOKUP(Z117,Charge!$K$18:$M$21,2,TRUE)+(Z117-VLOOKUP(Z117,Charge!$K$18:$M$21,1,TRUE))*VLOOKUP(Z117,Charge!$K$18:$M$21,3,TRUE),
VLOOKUP(Z117,Charge!$N$18:$P$21,2,TRUE)+(Z117-VLOOKUP(Z117,Charge!$N$18:$P$21,1,TRUE))*VLOOKUP(Z117,Charge!$N$18:$P$21,3,TRUE)),
IF(AND(B117="G3",M117="DG"),IF(R117="20'",
VLOOKUP(Z117,Charge!$R$18:$T$21,2,TRUE)+(Z117-VLOOKUP(Z117,Charge!$R$18:$T$21,1,TRUE))*VLOOKUP(Z117,Charge!$R$18:$T$21,3,TRUE),
VLOOKUP(Z117,Charge!$U$18:$W$21,2,TRUE)+(Z117-VLOOKUP(Z117,Charge!$U$18:$W$21,1,TRUE))*VLOOKUP(Z117,Charge!$U$18:$W$21,3,TRUE)),
IF(AND(B117="G2",M117=""),IF(R117="20'",
VLOOKUP(Z117,Charge!$K$9:$M$12,2,TRUE)+(Z117-VLOOKUP(Z117,Charge!$K$9:$M$12,1,TRUE))*VLOOKUP(Z117,Charge!$K$9:$M$12,3,TRUE),
VLOOKUP(Z117,Charge!$N$9:$P$12,2,TRUE)+(Z117-VLOOKUP(Z117,Charge!$N$9:$P$12,1,TRUE))*VLOOKUP(Z117,Charge!$N$9:$P$12,3,TRUE)),
IF(AND(B117="G2",M117="DG"),IF(R117="20'",
VLOOKUP(Z117,Charge!$R$9:$T$12,2,TRUE)+(Z117-VLOOKUP(Z117,Charge!$R$9:$T$12,1,TRUE))*VLOOKUP(Z117,Charge!$R$9:$T$12,3,TRUE),
VLOOKUP(Z117,Charge!$U$9:$W$12,2,TRUE)+(Z117-VLOOKUP(Z117,Charge!$U$9:$W$12,1,TRUE))*VLOOKUP(Z117,Charge!$U$9:$W$12,3,TRUE)),IF(AND(B117="G4",M117=""),IF(R117="20'",Z117*Charge!$M$25,Z117*Charge!$P$25),IF(AND(B117="G4",M117="DG"),IF(R117="20'",Z117*Charge!$T$25,Z117*Charge!$W$25),0))))))))</f>
        <v>320</v>
      </c>
      <c r="AB117" s="184" t="n"/>
      <c r="AC117" s="184" t="n"/>
      <c r="AD117" s="60">
        <f>IF(M117="DG",3,IF(N117="RF",3,5))+IF(AND(LEFT(C117,3)="BKK",N117="RF",Q117="KTS"),1,0)+IF(Q117="KHS",1,0)</f>
        <v>5</v>
      </c>
      <c r="AE117" s="63">
        <f>(T117-V117)+1</f>
        <v>46312</v>
      </c>
      <c r="AF117" s="63">
        <f>IF(AB117&gt;IF((V117-W117)&gt;0,V117-W117,0),0,IF(AB117&lt;IF((V117-W117)&gt;0,V117-W117,0),IF((V117-W117)&gt;0,V117-W117,0)-AB117,IF((V117-W117)&gt;0,V117-W117,0)))</f>
        <v>0</v>
      </c>
      <c r="AG117" s="187">
        <f>IF(AND(M117=""),IF(R117="20'",
VLOOKUP(AF117,Charge!$K$31:$M$34,2,TRUE)+(AF117-VLOOKUP(AF117,Charge!$K$31:$M$34,1,TRUE))*VLOOKUP(AF117,Charge!$K$31:$M$34,3,TRUE),
VLOOKUP(AF117,Charge!$N$31:$P$34,2,TRUE)+(AF117-VLOOKUP(AF117,Charge!$N$31:$P$34,1,TRUE))*VLOOKUP(AF117,Charge!$N$31:$P$34,3,TRUE)),
IF(AND(M117="DG"),IF(R117="20'",
VLOOKUP(AF117,Charge!$R$31:$T$34,2,TRUE)+(AF117-VLOOKUP(AF117,Charge!$R$31:$T$34,1,TRUE))*VLOOKUP(AF117,Charge!$R$31:$T$34,3,TRUE),
VLOOKUP(AF117,Charge!$U$31:$W$34,2,TRUE)+(AF117-VLOOKUP(AF117,Charge!$U$31:$W$34,1,TRUE))*VLOOKUP(AF117,Charge!$U$31:$W$34,3,TRUE)),0))</f>
        <v>0</v>
      </c>
      <c r="AH117" s="65" t="n"/>
      <c r="AI117" s="65">
        <f>AA117-AH117</f>
        <v>320</v>
      </c>
      <c r="AJ117" s="188" t="n"/>
      <c r="AK117" s="62" t="str">
        <f>VLOOKUP(D117,'2.Bookinglist'!A:CT,40,FALSE)</f>
        <v>Kanokporn</v>
      </c>
      <c r="AL117" s="60" t="str">
        <f>VLOOKUP(D117,'2.Bookinglist'!A:CW,101,FALSE)</f>
        <v>2026-10-15</v>
      </c>
      <c r="AM117" s="60" t="str">
        <f>VLOOKUP(D117,'2.Bookinglist'!A:BK,63,FALSE)</f>
        <v>BKK27</v>
      </c>
      <c r="AN117" s="62" t="str">
        <f>VLOOKUP(D117,'2.Bookinglist'!A:AZ,52,FALSE)</f>
        <v>Pickup : 2026-10-12, Return : 2026-10-12</v>
      </c>
      <c r="AO117" s="62">
        <f>VLOOKUP(D117,'2.Bookinglist'!A:CY,103,FALSE)</f>
        <v>0</v>
      </c>
    </row>
    <row r="118" ht="12.95" customHeight="1">
      <c r="A118" s="96" t="inlineStr">
        <is>
          <t>SKLU1809706</t>
        </is>
      </c>
      <c r="B118" s="184" t="str">
        <f>IF(C118=Charge!$M$1,Charge!$J$1,IF(C118=Charge!$M$23,Charge!$J$23,IF(C118=Charge!$M$17,Charge!$J$17,IF(C118=Charge!$N$17,Charge!$J$17,Charge!$J$7))))</f>
        <v>G3</v>
      </c>
      <c r="C118" s="61" t="str">
        <f>VLOOKUP(A118,'1.Loading'!A:R,14,FALSE)</f>
        <v>BKK01</v>
      </c>
      <c r="D118" s="61" t="str">
        <f>VLOOKUP(A118,'1.Loading'!A:R,17,FALSE)</f>
        <v>HASLS22260902525</v>
      </c>
      <c r="E118" s="62" t="str">
        <f>VLOOKUP(D118,'2.Bookinglist'!A:CT,27,FALSE)</f>
        <v>LPK GLOBAL TRADE CO.,LTD.</v>
      </c>
      <c r="F118" s="62" t="str">
        <f>VLOOKUP(D118,'2.Bookinglist'!A:CT,28,FALSE)</f>
        <v>NEW SOLUTION CO.,LTD</v>
      </c>
      <c r="G118" s="60">
        <f>VLOOKUP(D118,'2.Bookinglist'!A:E,5,FALSE)</f>
        <v>0</v>
      </c>
      <c r="H118" s="61" t="str">
        <f>VLOOKUP(D118,'2.Bookinglist'!A:CT,15,FALSE)</f>
        <v>THBKK</v>
      </c>
      <c r="I118" s="61" t="str">
        <f>VLOOKUP(D118,'2.Bookinglist'!A:CT,19,FALSE)</f>
        <v>JPOSA</v>
      </c>
      <c r="J118" s="61" t="str">
        <f>VLOOKUP(D118,'2.Bookinglist'!A:CT,26,FALSE)</f>
        <v>KRPUS</v>
      </c>
      <c r="K118" s="61" t="str">
        <f>VLOOKUP(A118,'1.Loading'!A:R,5,FALSE)</f>
        <v>22GP</v>
      </c>
      <c r="L118" s="60" t="str">
        <f>VLOOKUP(D118,'2.Bookinglist'!A:CT,85,FALSE)</f>
        <v>CY/CY</v>
      </c>
      <c r="M118" s="60" t="str">
        <f>IF(VLOOKUP(D118,'2.Bookinglist'!A:CT,43,FALSE)=0,"","DG")</f>
        <v/>
      </c>
      <c r="N118" s="60" t="str">
        <f>IF(RIGHT(K118,2)="RE","RF","")</f>
        <v/>
      </c>
      <c r="O118" s="61" t="str">
        <f>VLOOKUP(A118,'1.Loading'!A:R,3,FALSE)</f>
        <v>SWIC</v>
      </c>
      <c r="P118" s="61" t="str">
        <f>VLOOKUP(A118,'1.Loading'!A:R,4,FALSE)</f>
        <v>2611N</v>
      </c>
      <c r="Q118" s="61" t="str">
        <f>VLOOKUP(D118,'2.Bookinglist'!A:CT,12,FALSE)</f>
        <v>KHS1</v>
      </c>
      <c r="R118" s="60" t="str">
        <f>IF(LEFT(K118,2)="22","20'","40'")</f>
        <v>20'</v>
      </c>
      <c r="S118" s="185" t="n"/>
      <c r="T118" s="61" t="str">
        <f>VLOOKUP(A118,'1.Loading'!A:R,2,FALSE)</f>
        <v>2026-10-16</v>
      </c>
      <c r="U118" s="63">
        <f>T118-S118</f>
        <v>46311</v>
      </c>
      <c r="V118" s="186" t="n"/>
      <c r="W118" s="61" t="str">
        <f>VLOOKUP(A118,'3.GateMove'!A:D,4,FALSE)</f>
        <v>2026-10-10</v>
      </c>
      <c r="X118" s="63">
        <f>((T118-W118)+1)</f>
        <v>7</v>
      </c>
      <c r="Y118" s="64">
        <f>IF(AND(OR(C118="BKK01",C118="BKK04"),L118="CFS/CY"),0,IF(M118="DG",1,IF(LEFT(C118,3)="LCH",7,IF(C118="BKK02",5,3))))</f>
        <v>3</v>
      </c>
      <c r="Z118" s="63">
        <f>IF(IF(AND(AC118="TML",AB118&gt;0),((T118-W118)+1)-AB118,((T118-W118)+1)-Y118)&gt;0,IF(AND(AC118="TML",AB118&gt;0),((T118-W118)+1)-AB118,((T118-W118)+1)-Y118),0)</f>
        <v>4</v>
      </c>
      <c r="AA118" s="187">
        <f>IF(AND(B118="G1",M118=""),IF(R118="20'",
VLOOKUP(Z118,Charge!$K$2:$M$5,2,TRUE)+(Z118-VLOOKUP(Z118,Charge!$K$2:$M$5,1,TRUE))*VLOOKUP(Z118,Charge!$K$2:$M$5,3,TRUE),
VLOOKUP(Z118,Charge!$N$2:$P$5,2,TRUE)+(Z118-VLOOKUP(Z118,Charge!$N$2:$P$5,1,TRUE))*VLOOKUP(Z118,Charge!$N$2:$P$5,3,TRUE)),
IF(AND(B118="G1",M118="DG"),IF(R118="20'",
VLOOKUP(Z118,Charge!$R$2:$T$5,2,TRUE)+(Z118-VLOOKUP(Z118,Charge!$R$2:$T$5,1,TRUE))*VLOOKUP(Z118,Charge!$R$2:$T$5,3,TRUE),
VLOOKUP(Z118,Charge!$U$2:$W$5,2,TRUE)+(Z118-VLOOKUP(Z118,Charge!$U$2:$W$5,1,TRUE))*VLOOKUP(Z118,Charge!$U$2:$W$5,3,TRUE)),
IF(AND(B118="G3",M118=""),IF(R118="20'",
VLOOKUP(Z118,Charge!$K$18:$M$21,2,TRUE)+(Z118-VLOOKUP(Z118,Charge!$K$18:$M$21,1,TRUE))*VLOOKUP(Z118,Charge!$K$18:$M$21,3,TRUE),
VLOOKUP(Z118,Charge!$N$18:$P$21,2,TRUE)+(Z118-VLOOKUP(Z118,Charge!$N$18:$P$21,1,TRUE))*VLOOKUP(Z118,Charge!$N$18:$P$21,3,TRUE)),
IF(AND(B118="G3",M118="DG"),IF(R118="20'",
VLOOKUP(Z118,Charge!$R$18:$T$21,2,TRUE)+(Z118-VLOOKUP(Z118,Charge!$R$18:$T$21,1,TRUE))*VLOOKUP(Z118,Charge!$R$18:$T$21,3,TRUE),
VLOOKUP(Z118,Charge!$U$18:$W$21,2,TRUE)+(Z118-VLOOKUP(Z118,Charge!$U$18:$W$21,1,TRUE))*VLOOKUP(Z118,Charge!$U$18:$W$21,3,TRUE)),
IF(AND(B118="G2",M118=""),IF(R118="20'",
VLOOKUP(Z118,Charge!$K$9:$M$12,2,TRUE)+(Z118-VLOOKUP(Z118,Charge!$K$9:$M$12,1,TRUE))*VLOOKUP(Z118,Charge!$K$9:$M$12,3,TRUE),
VLOOKUP(Z118,Charge!$N$9:$P$12,2,TRUE)+(Z118-VLOOKUP(Z118,Charge!$N$9:$P$12,1,TRUE))*VLOOKUP(Z118,Charge!$N$9:$P$12,3,TRUE)),
IF(AND(B118="G2",M118="DG"),IF(R118="20'",
VLOOKUP(Z118,Charge!$R$9:$T$12,2,TRUE)+(Z118-VLOOKUP(Z118,Charge!$R$9:$T$12,1,TRUE))*VLOOKUP(Z118,Charge!$R$9:$T$12,3,TRUE),
VLOOKUP(Z118,Charge!$U$9:$W$12,2,TRUE)+(Z118-VLOOKUP(Z118,Charge!$U$9:$W$12,1,TRUE))*VLOOKUP(Z118,Charge!$U$9:$W$12,3,TRUE)),IF(AND(B118="G4",M118=""),IF(R118="20'",Z118*Charge!$M$25,Z118*Charge!$P$25),IF(AND(B118="G4",M118="DG"),IF(R118="20'",Z118*Charge!$T$25,Z118*Charge!$W$25),0))))))))</f>
        <v>640</v>
      </c>
      <c r="AB118" s="184" t="n"/>
      <c r="AC118" s="184" t="n"/>
      <c r="AD118" s="60">
        <f>IF(M118="DG",3,IF(N118="RF",3,5))+IF(AND(LEFT(C118,3)="BKK",N118="RF",Q118="KTS"),1,0)+IF(Q118="KHS",1,0)</f>
        <v>5</v>
      </c>
      <c r="AE118" s="63">
        <f>(T118-V118)+1</f>
        <v>46312</v>
      </c>
      <c r="AF118" s="63">
        <f>IF(AB118&gt;IF((V118-W118)&gt;0,V118-W118,0),0,IF(AB118&lt;IF((V118-W118)&gt;0,V118-W118,0),IF((V118-W118)&gt;0,V118-W118,0)-AB118,IF((V118-W118)&gt;0,V118-W118,0)))</f>
        <v>0</v>
      </c>
      <c r="AG118" s="187">
        <f>IF(AND(M118=""),IF(R118="20'",
VLOOKUP(AF118,Charge!$K$31:$M$34,2,TRUE)+(AF118-VLOOKUP(AF118,Charge!$K$31:$M$34,1,TRUE))*VLOOKUP(AF118,Charge!$K$31:$M$34,3,TRUE),
VLOOKUP(AF118,Charge!$N$31:$P$34,2,TRUE)+(AF118-VLOOKUP(AF118,Charge!$N$31:$P$34,1,TRUE))*VLOOKUP(AF118,Charge!$N$31:$P$34,3,TRUE)),
IF(AND(M118="DG"),IF(R118="20'",
VLOOKUP(AF118,Charge!$R$31:$T$34,2,TRUE)+(AF118-VLOOKUP(AF118,Charge!$R$31:$T$34,1,TRUE))*VLOOKUP(AF118,Charge!$R$31:$T$34,3,TRUE),
VLOOKUP(AF118,Charge!$U$31:$W$34,2,TRUE)+(AF118-VLOOKUP(AF118,Charge!$U$31:$W$34,1,TRUE))*VLOOKUP(AF118,Charge!$U$31:$W$34,3,TRUE)),0))</f>
        <v>0</v>
      </c>
      <c r="AH118" s="65" t="n"/>
      <c r="AI118" s="65">
        <f>AA118-AH118</f>
        <v>640</v>
      </c>
      <c r="AJ118" s="188" t="n"/>
      <c r="AK118" s="62" t="str">
        <f>VLOOKUP(D118,'2.Bookinglist'!A:CT,40,FALSE)</f>
        <v>Pattarapong Saengthong</v>
      </c>
      <c r="AL118" s="60" t="str">
        <f>VLOOKUP(D118,'2.Bookinglist'!A:CW,101,FALSE)</f>
        <v>2026-10-15</v>
      </c>
      <c r="AM118" s="60" t="str">
        <f>VLOOKUP(D118,'2.Bookinglist'!A:BK,63,FALSE)</f>
        <v>BKK27</v>
      </c>
      <c r="AN118" s="62" t="str">
        <f>VLOOKUP(D118,'2.Bookinglist'!A:AZ,52,FALSE)</f>
        <v>[FIX][FIX]Pickup : 2026-10-09, Return : 2026-10-10 (1ST RETURN 10/10/26)</v>
      </c>
      <c r="AO118" s="62">
        <f>VLOOKUP(D118,'2.Bookinglist'!A:CY,103,FALSE)</f>
        <v>0</v>
      </c>
    </row>
    <row r="119" ht="12.95" customHeight="1">
      <c r="A119" s="96" t="inlineStr">
        <is>
          <t>SKLU1823026</t>
        </is>
      </c>
      <c r="B119" s="184" t="str">
        <f>IF(C119=Charge!$M$1,Charge!$J$1,IF(C119=Charge!$M$23,Charge!$J$23,IF(C119=Charge!$M$17,Charge!$J$17,IF(C119=Charge!$N$17,Charge!$J$17,Charge!$J$7))))</f>
        <v>G3</v>
      </c>
      <c r="C119" s="61" t="str">
        <f>VLOOKUP(A119,'1.Loading'!A:R,14,FALSE)</f>
        <v>BKK01</v>
      </c>
      <c r="D119" s="61" t="str">
        <f>VLOOKUP(A119,'1.Loading'!A:R,17,FALSE)</f>
        <v>HASLS22260901974</v>
      </c>
      <c r="E119" s="62" t="str">
        <f>VLOOKUP(D119,'2.Bookinglist'!A:CT,27,FALSE)</f>
        <v>SCGJWD LOGISTICS PUBLIC COMPANY LIMITED</v>
      </c>
      <c r="F119" s="62" t="str">
        <f>VLOOKUP(D119,'2.Bookinglist'!A:CT,28,FALSE)</f>
        <v>SCG INTERNATIONAL CORPORATION CO., LTD.</v>
      </c>
      <c r="G119" s="60">
        <f>VLOOKUP(D119,'2.Bookinglist'!A:E,5,FALSE)</f>
        <v>0</v>
      </c>
      <c r="H119" s="61" t="str">
        <f>VLOOKUP(D119,'2.Bookinglist'!A:CT,15,FALSE)</f>
        <v>THBKK</v>
      </c>
      <c r="I119" s="61" t="str">
        <f>VLOOKUP(D119,'2.Bookinglist'!A:CT,19,FALSE)</f>
        <v>JPIYM</v>
      </c>
      <c r="J119" s="61" t="str">
        <f>VLOOKUP(D119,'2.Bookinglist'!A:CT,26,FALSE)</f>
        <v>KRPUS</v>
      </c>
      <c r="K119" s="61" t="str">
        <f>VLOOKUP(A119,'1.Loading'!A:R,5,FALSE)</f>
        <v>22GP</v>
      </c>
      <c r="L119" s="60" t="str">
        <f>VLOOKUP(D119,'2.Bookinglist'!A:CT,85,FALSE)</f>
        <v>CY/CY</v>
      </c>
      <c r="M119" s="60" t="str">
        <f>IF(VLOOKUP(D119,'2.Bookinglist'!A:CT,43,FALSE)=0,"","DG")</f>
        <v/>
      </c>
      <c r="N119" s="60" t="str">
        <f>IF(RIGHT(K119,2)="RE","RF","")</f>
        <v/>
      </c>
      <c r="O119" s="61" t="str">
        <f>VLOOKUP(A119,'1.Loading'!A:R,3,FALSE)</f>
        <v>SWIC</v>
      </c>
      <c r="P119" s="61" t="str">
        <f>VLOOKUP(A119,'1.Loading'!A:R,4,FALSE)</f>
        <v>2611N</v>
      </c>
      <c r="Q119" s="61" t="str">
        <f>VLOOKUP(D119,'2.Bookinglist'!A:CT,12,FALSE)</f>
        <v>KHS1</v>
      </c>
      <c r="R119" s="60" t="str">
        <f>IF(LEFT(K119,2)="22","20'","40'")</f>
        <v>20'</v>
      </c>
      <c r="S119" s="185" t="n"/>
      <c r="T119" s="61" t="str">
        <f>VLOOKUP(A119,'1.Loading'!A:R,2,FALSE)</f>
        <v>2026-10-16</v>
      </c>
      <c r="U119" s="63">
        <f>T119-S119</f>
        <v>46311</v>
      </c>
      <c r="V119" s="186" t="n"/>
      <c r="W119" s="61" t="str">
        <f>VLOOKUP(A119,'3.GateMove'!A:D,4,FALSE)</f>
        <v>2026-10-04</v>
      </c>
      <c r="X119" s="63">
        <f>((T119-W119)+1)</f>
        <v>13</v>
      </c>
      <c r="Y119" s="64">
        <f>IF(AND(OR(C119="BKK01",C119="BKK04"),L119="CFS/CY"),0,IF(M119="DG",1,IF(LEFT(C119,3)="LCH",7,IF(C119="BKK02",5,3))))</f>
        <v>3</v>
      </c>
      <c r="Z119" s="63">
        <f>IF(IF(AND(AC119="TML",AB119&gt;0),((T119-W119)+1)-AB119,((T119-W119)+1)-Y119)&gt;0,IF(AND(AC119="TML",AB119&gt;0),((T119-W119)+1)-AB119,((T119-W119)+1)-Y119),0)</f>
        <v>10</v>
      </c>
      <c r="AA119" s="187">
        <f>IF(AND(B119="G1",M119=""),IF(R119="20'",
VLOOKUP(Z119,Charge!$K$2:$M$5,2,TRUE)+(Z119-VLOOKUP(Z119,Charge!$K$2:$M$5,1,TRUE))*VLOOKUP(Z119,Charge!$K$2:$M$5,3,TRUE),
VLOOKUP(Z119,Charge!$N$2:$P$5,2,TRUE)+(Z119-VLOOKUP(Z119,Charge!$N$2:$P$5,1,TRUE))*VLOOKUP(Z119,Charge!$N$2:$P$5,3,TRUE)),
IF(AND(B119="G1",M119="DG"),IF(R119="20'",
VLOOKUP(Z119,Charge!$R$2:$T$5,2,TRUE)+(Z119-VLOOKUP(Z119,Charge!$R$2:$T$5,1,TRUE))*VLOOKUP(Z119,Charge!$R$2:$T$5,3,TRUE),
VLOOKUP(Z119,Charge!$U$2:$W$5,2,TRUE)+(Z119-VLOOKUP(Z119,Charge!$U$2:$W$5,1,TRUE))*VLOOKUP(Z119,Charge!$U$2:$W$5,3,TRUE)),
IF(AND(B119="G3",M119=""),IF(R119="20'",
VLOOKUP(Z119,Charge!$K$18:$M$21,2,TRUE)+(Z119-VLOOKUP(Z119,Charge!$K$18:$M$21,1,TRUE))*VLOOKUP(Z119,Charge!$K$18:$M$21,3,TRUE),
VLOOKUP(Z119,Charge!$N$18:$P$21,2,TRUE)+(Z119-VLOOKUP(Z119,Charge!$N$18:$P$21,1,TRUE))*VLOOKUP(Z119,Charge!$N$18:$P$21,3,TRUE)),
IF(AND(B119="G3",M119="DG"),IF(R119="20'",
VLOOKUP(Z119,Charge!$R$18:$T$21,2,TRUE)+(Z119-VLOOKUP(Z119,Charge!$R$18:$T$21,1,TRUE))*VLOOKUP(Z119,Charge!$R$18:$T$21,3,TRUE),
VLOOKUP(Z119,Charge!$U$18:$W$21,2,TRUE)+(Z119-VLOOKUP(Z119,Charge!$U$18:$W$21,1,TRUE))*VLOOKUP(Z119,Charge!$U$18:$W$21,3,TRUE)),
IF(AND(B119="G2",M119=""),IF(R119="20'",
VLOOKUP(Z119,Charge!$K$9:$M$12,2,TRUE)+(Z119-VLOOKUP(Z119,Charge!$K$9:$M$12,1,TRUE))*VLOOKUP(Z119,Charge!$K$9:$M$12,3,TRUE),
VLOOKUP(Z119,Charge!$N$9:$P$12,2,TRUE)+(Z119-VLOOKUP(Z119,Charge!$N$9:$P$12,1,TRUE))*VLOOKUP(Z119,Charge!$N$9:$P$12,3,TRUE)),
IF(AND(B119="G2",M119="DG"),IF(R119="20'",
VLOOKUP(Z119,Charge!$R$9:$T$12,2,TRUE)+(Z119-VLOOKUP(Z119,Charge!$R$9:$T$12,1,TRUE))*VLOOKUP(Z119,Charge!$R$9:$T$12,3,TRUE),
VLOOKUP(Z119,Charge!$U$9:$W$12,2,TRUE)+(Z119-VLOOKUP(Z119,Charge!$U$9:$W$12,1,TRUE))*VLOOKUP(Z119,Charge!$U$9:$W$12,3,TRUE)),IF(AND(B119="G4",M119=""),IF(R119="20'",Z119*Charge!$M$25,Z119*Charge!$P$25),IF(AND(B119="G4",M119="DG"),IF(R119="20'",Z119*Charge!$T$25,Z119*Charge!$W$25),0))))))))</f>
        <v>1945</v>
      </c>
      <c r="AB119" s="184" t="n"/>
      <c r="AC119" s="184" t="n"/>
      <c r="AD119" s="60">
        <f>IF(M119="DG",3,IF(N119="RF",3,5))+IF(AND(LEFT(C119,3)="BKK",N119="RF",Q119="KTS"),1,0)+IF(Q119="KHS",1,0)</f>
        <v>5</v>
      </c>
      <c r="AE119" s="63">
        <f>(T119-V119)+1</f>
        <v>46312</v>
      </c>
      <c r="AF119" s="63">
        <f>IF(AB119&gt;IF((V119-W119)&gt;0,V119-W119,0),0,IF(AB119&lt;IF((V119-W119)&gt;0,V119-W119,0),IF((V119-W119)&gt;0,V119-W119,0)-AB119,IF((V119-W119)&gt;0,V119-W119,0)))</f>
        <v>0</v>
      </c>
      <c r="AG119" s="187">
        <f>IF(AND(M119=""),IF(R119="20'",
VLOOKUP(AF119,Charge!$K$31:$M$34,2,TRUE)+(AF119-VLOOKUP(AF119,Charge!$K$31:$M$34,1,TRUE))*VLOOKUP(AF119,Charge!$K$31:$M$34,3,TRUE),
VLOOKUP(AF119,Charge!$N$31:$P$34,2,TRUE)+(AF119-VLOOKUP(AF119,Charge!$N$31:$P$34,1,TRUE))*VLOOKUP(AF119,Charge!$N$31:$P$34,3,TRUE)),
IF(AND(M119="DG"),IF(R119="20'",
VLOOKUP(AF119,Charge!$R$31:$T$34,2,TRUE)+(AF119-VLOOKUP(AF119,Charge!$R$31:$T$34,1,TRUE))*VLOOKUP(AF119,Charge!$R$31:$T$34,3,TRUE),
VLOOKUP(AF119,Charge!$U$31:$W$34,2,TRUE)+(AF119-VLOOKUP(AF119,Charge!$U$31:$W$34,1,TRUE))*VLOOKUP(AF119,Charge!$U$31:$W$34,3,TRUE)),0))</f>
        <v>0</v>
      </c>
      <c r="AH119" s="65" t="n"/>
      <c r="AI119" s="65">
        <f>AA119-AH119</f>
        <v>1945</v>
      </c>
      <c r="AJ119" s="188" t="n"/>
      <c r="AK119" s="62" t="str">
        <f>VLOOKUP(D119,'2.Bookinglist'!A:CT,40,FALSE)</f>
        <v>Kanokporn</v>
      </c>
      <c r="AL119" s="60" t="str">
        <f>VLOOKUP(D119,'2.Bookinglist'!A:CW,101,FALSE)</f>
        <v>2026-10-15</v>
      </c>
      <c r="AM119" s="60" t="str">
        <f>VLOOKUP(D119,'2.Bookinglist'!A:BK,63,FALSE)</f>
        <v>BKK27</v>
      </c>
      <c r="AN119" s="62" t="str">
        <f>VLOOKUP(D119,'2.Bookinglist'!A:AZ,52,FALSE)</f>
        <v>[FIX]CY 01/10/26 , RTN 03/10/26 (JB2609183605 )1ST RETURN 03/10/26</v>
      </c>
      <c r="AO119" s="62" t="str">
        <f>VLOOKUP(D119,'2.Bookinglist'!A:CY,103,FALSE)</f>
        <v>ROLL OVER FROM PREVIOUS VSL SWSP 2609N BY ALLOCATION TEAM MS.TARN APPROVED COST IS UNDER HA DD.4/10</v>
      </c>
    </row>
    <row r="120" ht="12.95" customHeight="1">
      <c r="A120" s="96" t="inlineStr">
        <is>
          <t>SKLU1823392</t>
        </is>
      </c>
      <c r="B120" s="184" t="str">
        <f>IF(C120=Charge!$M$1,Charge!$J$1,IF(C120=Charge!$M$23,Charge!$J$23,IF(C120=Charge!$M$17,Charge!$J$17,IF(C120=Charge!$N$17,Charge!$J$17,Charge!$J$7))))</f>
        <v>G3</v>
      </c>
      <c r="C120" s="61" t="str">
        <f>VLOOKUP(A120,'1.Loading'!A:R,14,FALSE)</f>
        <v>BKK01</v>
      </c>
      <c r="D120" s="61" t="str">
        <f>VLOOKUP(A120,'1.Loading'!A:R,17,FALSE)</f>
        <v>HASLS22260801161</v>
      </c>
      <c r="E120" s="62" t="str">
        <f>VLOOKUP(D120,'2.Bookinglist'!A:CT,27,FALSE)</f>
        <v>MEGALOAD DEVELOPMENT LOGISTICS CO., LTD.</v>
      </c>
      <c r="F120" s="62" t="str">
        <f>VLOOKUP(D120,'2.Bookinglist'!A:CT,28,FALSE)</f>
        <v>FISHMEAL MARKETING DEVELOPMENT CO., LTD.</v>
      </c>
      <c r="G120" s="60">
        <f>VLOOKUP(D120,'2.Bookinglist'!A:E,5,FALSE)</f>
        <v>0</v>
      </c>
      <c r="H120" s="61" t="str">
        <f>VLOOKUP(D120,'2.Bookinglist'!A:CT,15,FALSE)</f>
        <v>THBKK</v>
      </c>
      <c r="I120" s="61" t="str">
        <f>VLOOKUP(D120,'2.Bookinglist'!A:CT,19,FALSE)</f>
        <v>JPKSM</v>
      </c>
      <c r="J120" s="61" t="str">
        <f>VLOOKUP(D120,'2.Bookinglist'!A:CT,26,FALSE)</f>
        <v>KRPUS</v>
      </c>
      <c r="K120" s="61" t="str">
        <f>VLOOKUP(A120,'1.Loading'!A:R,5,FALSE)</f>
        <v>22GP</v>
      </c>
      <c r="L120" s="60" t="str">
        <f>VLOOKUP(D120,'2.Bookinglist'!A:CT,85,FALSE)</f>
        <v>CY/CY</v>
      </c>
      <c r="M120" s="60" t="str">
        <f>IF(VLOOKUP(D120,'2.Bookinglist'!A:CT,43,FALSE)=0,"","DG")</f>
        <v>DG</v>
      </c>
      <c r="N120" s="60" t="str">
        <f>IF(RIGHT(K120,2)="RE","RF","")</f>
        <v/>
      </c>
      <c r="O120" s="61" t="str">
        <f>VLOOKUP(A120,'1.Loading'!A:R,3,FALSE)</f>
        <v>SWIC</v>
      </c>
      <c r="P120" s="61" t="str">
        <f>VLOOKUP(A120,'1.Loading'!A:R,4,FALSE)</f>
        <v>2611N</v>
      </c>
      <c r="Q120" s="61" t="str">
        <f>VLOOKUP(D120,'2.Bookinglist'!A:CT,12,FALSE)</f>
        <v>KHS1</v>
      </c>
      <c r="R120" s="60" t="str">
        <f>IF(LEFT(K120,2)="22","20'","40'")</f>
        <v>20'</v>
      </c>
      <c r="S120" s="185" t="n"/>
      <c r="T120" s="61" t="str">
        <f>VLOOKUP(A120,'1.Loading'!A:R,2,FALSE)</f>
        <v>2026-10-16</v>
      </c>
      <c r="U120" s="63">
        <f>T120-S120</f>
        <v>46311</v>
      </c>
      <c r="V120" s="186" t="n"/>
      <c r="W120" s="61" t="str">
        <f>VLOOKUP(A120,'3.GateMove'!A:D,4,FALSE)</f>
        <v>2026-10-12</v>
      </c>
      <c r="X120" s="63">
        <f>((T120-W120)+1)</f>
        <v>5</v>
      </c>
      <c r="Y120" s="64">
        <f>IF(AND(OR(C120="BKK01",C120="BKK04"),L120="CFS/CY"),0,IF(M120="DG",1,IF(LEFT(C120,3)="LCH",7,IF(C120="BKK02",5,3))))</f>
        <v>1</v>
      </c>
      <c r="Z120" s="63">
        <f>IF(IF(AND(AC120="TML",AB120&gt;0),((T120-W120)+1)-AB120,((T120-W120)+1)-Y120)&gt;0,IF(AND(AC120="TML",AB120&gt;0),((T120-W120)+1)-AB120,((T120-W120)+1)-Y120),0)</f>
        <v>4</v>
      </c>
      <c r="AA120" s="187">
        <f>IF(AND(B120="G1",M120=""),IF(R120="20'",
VLOOKUP(Z120,Charge!$K$2:$M$5,2,TRUE)+(Z120-VLOOKUP(Z120,Charge!$K$2:$M$5,1,TRUE))*VLOOKUP(Z120,Charge!$K$2:$M$5,3,TRUE),
VLOOKUP(Z120,Charge!$N$2:$P$5,2,TRUE)+(Z120-VLOOKUP(Z120,Charge!$N$2:$P$5,1,TRUE))*VLOOKUP(Z120,Charge!$N$2:$P$5,3,TRUE)),
IF(AND(B120="G1",M120="DG"),IF(R120="20'",
VLOOKUP(Z120,Charge!$R$2:$T$5,2,TRUE)+(Z120-VLOOKUP(Z120,Charge!$R$2:$T$5,1,TRUE))*VLOOKUP(Z120,Charge!$R$2:$T$5,3,TRUE),
VLOOKUP(Z120,Charge!$U$2:$W$5,2,TRUE)+(Z120-VLOOKUP(Z120,Charge!$U$2:$W$5,1,TRUE))*VLOOKUP(Z120,Charge!$U$2:$W$5,3,TRUE)),
IF(AND(B120="G3",M120=""),IF(R120="20'",
VLOOKUP(Z120,Charge!$K$18:$M$21,2,TRUE)+(Z120-VLOOKUP(Z120,Charge!$K$18:$M$21,1,TRUE))*VLOOKUP(Z120,Charge!$K$18:$M$21,3,TRUE),
VLOOKUP(Z120,Charge!$N$18:$P$21,2,TRUE)+(Z120-VLOOKUP(Z120,Charge!$N$18:$P$21,1,TRUE))*VLOOKUP(Z120,Charge!$N$18:$P$21,3,TRUE)),
IF(AND(B120="G3",M120="DG"),IF(R120="20'",
VLOOKUP(Z120,Charge!$R$18:$T$21,2,TRUE)+(Z120-VLOOKUP(Z120,Charge!$R$18:$T$21,1,TRUE))*VLOOKUP(Z120,Charge!$R$18:$T$21,3,TRUE),
VLOOKUP(Z120,Charge!$U$18:$W$21,2,TRUE)+(Z120-VLOOKUP(Z120,Charge!$U$18:$W$21,1,TRUE))*VLOOKUP(Z120,Charge!$U$18:$W$21,3,TRUE)),
IF(AND(B120="G2",M120=""),IF(R120="20'",
VLOOKUP(Z120,Charge!$K$9:$M$12,2,TRUE)+(Z120-VLOOKUP(Z120,Charge!$K$9:$M$12,1,TRUE))*VLOOKUP(Z120,Charge!$K$9:$M$12,3,TRUE),
VLOOKUP(Z120,Charge!$N$9:$P$12,2,TRUE)+(Z120-VLOOKUP(Z120,Charge!$N$9:$P$12,1,TRUE))*VLOOKUP(Z120,Charge!$N$9:$P$12,3,TRUE)),
IF(AND(B120="G2",M120="DG"),IF(R120="20'",
VLOOKUP(Z120,Charge!$R$9:$T$12,2,TRUE)+(Z120-VLOOKUP(Z120,Charge!$R$9:$T$12,1,TRUE))*VLOOKUP(Z120,Charge!$R$9:$T$12,3,TRUE),
VLOOKUP(Z120,Charge!$U$9:$W$12,2,TRUE)+(Z120-VLOOKUP(Z120,Charge!$U$9:$W$12,1,TRUE))*VLOOKUP(Z120,Charge!$U$9:$W$12,3,TRUE)),IF(AND(B120="G4",M120=""),IF(R120="20'",Z120*Charge!$M$25,Z120*Charge!$P$25),IF(AND(B120="G4",M120="DG"),IF(R120="20'",Z120*Charge!$T$25,Z120*Charge!$W$25),0))))))))</f>
        <v>1920</v>
      </c>
      <c r="AB120" s="184" t="n"/>
      <c r="AC120" s="184" t="n"/>
      <c r="AD120" s="60">
        <f>IF(M120="DG",3,IF(N120="RF",3,5))+IF(AND(LEFT(C120,3)="BKK",N120="RF",Q120="KTS"),1,0)+IF(Q120="KHS",1,0)</f>
        <v>3</v>
      </c>
      <c r="AE120" s="63">
        <f>(T120-V120)+1</f>
        <v>46312</v>
      </c>
      <c r="AF120" s="63">
        <f>IF(AB120&gt;IF((V120-W120)&gt;0,V120-W120,0),0,IF(AB120&lt;IF((V120-W120)&gt;0,V120-W120,0),IF((V120-W120)&gt;0,V120-W120,0)-AB120,IF((V120-W120)&gt;0,V120-W120,0)))</f>
        <v>0</v>
      </c>
      <c r="AG120" s="187">
        <f>IF(AND(M120=""),IF(R120="20'",
VLOOKUP(AF120,Charge!$K$31:$M$34,2,TRUE)+(AF120-VLOOKUP(AF120,Charge!$K$31:$M$34,1,TRUE))*VLOOKUP(AF120,Charge!$K$31:$M$34,3,TRUE),
VLOOKUP(AF120,Charge!$N$31:$P$34,2,TRUE)+(AF120-VLOOKUP(AF120,Charge!$N$31:$P$34,1,TRUE))*VLOOKUP(AF120,Charge!$N$31:$P$34,3,TRUE)),
IF(AND(M120="DG"),IF(R120="20'",
VLOOKUP(AF120,Charge!$R$31:$T$34,2,TRUE)+(AF120-VLOOKUP(AF120,Charge!$R$31:$T$34,1,TRUE))*VLOOKUP(AF120,Charge!$R$31:$T$34,3,TRUE),
VLOOKUP(AF120,Charge!$U$31:$W$34,2,TRUE)+(AF120-VLOOKUP(AF120,Charge!$U$31:$W$34,1,TRUE))*VLOOKUP(AF120,Charge!$U$31:$W$34,3,TRUE)),0))</f>
        <v>0</v>
      </c>
      <c r="AH120" s="65" t="n"/>
      <c r="AI120" s="65">
        <f>AA120-AH120</f>
        <v>1920</v>
      </c>
      <c r="AJ120" s="188" t="n"/>
      <c r="AK120" s="62" t="str">
        <f>VLOOKUP(D120,'2.Bookinglist'!A:CT,40,FALSE)</f>
        <v>Tarn(Supaporn)</v>
      </c>
      <c r="AL120" s="60" t="str">
        <f>VLOOKUP(D120,'2.Bookinglist'!A:CW,101,FALSE)</f>
        <v>2026-10-12</v>
      </c>
      <c r="AM120" s="60" t="str">
        <f>VLOOKUP(D120,'2.Bookinglist'!A:BK,63,FALSE)</f>
        <v>BKK27</v>
      </c>
      <c r="AN120" s="62" t="str">
        <f>VLOOKUP(D120,'2.Bookinglist'!A:AZ,52,FALSE)</f>
        <v>[FIX][FIX]** APPROVAL DG BY MR.M.J CHANG DD.30/09/2026 ** DG22GPx13 (CLS 9 / UN 2216)  
Pickup : 2026-10-10, Return : 2026-09-10 
EXTEND  CLS TIME 13/23.59 FIRST DATE CAN RETURN CNTR DD.13/10</v>
      </c>
      <c r="AO120" s="62">
        <f>VLOOKUP(D120,'2.Bookinglist'!A:CY,103,FALSE)</f>
        <v>0</v>
      </c>
    </row>
    <row r="121" ht="12.95" customHeight="1">
      <c r="A121" s="96" t="inlineStr">
        <is>
          <t>SKLU1954936</t>
        </is>
      </c>
      <c r="B121" s="184" t="str">
        <f>IF(C121=Charge!$M$1,Charge!$J$1,IF(C121=Charge!$M$23,Charge!$J$23,IF(C121=Charge!$M$17,Charge!$J$17,IF(C121=Charge!$N$17,Charge!$J$17,Charge!$J$7))))</f>
        <v>G3</v>
      </c>
      <c r="C121" s="61" t="str">
        <f>VLOOKUP(A121,'1.Loading'!A:R,14,FALSE)</f>
        <v>BKK01</v>
      </c>
      <c r="D121" s="61" t="str">
        <f>VLOOKUP(A121,'1.Loading'!A:R,17,FALSE)</f>
        <v>HASLS22260801865</v>
      </c>
      <c r="E121" s="62" t="str">
        <f>VLOOKUP(D121,'2.Bookinglist'!A:CT,27,FALSE)</f>
        <v>STARFISH CO., LTD.</v>
      </c>
      <c r="F121" s="62" t="str">
        <f>VLOOKUP(D121,'2.Bookinglist'!A:CT,28,FALSE)</f>
        <v>STARFISH CO., LTD.</v>
      </c>
      <c r="G121" s="60">
        <f>VLOOKUP(D121,'2.Bookinglist'!A:E,5,FALSE)</f>
        <v>0</v>
      </c>
      <c r="H121" s="61" t="str">
        <f>VLOOKUP(D121,'2.Bookinglist'!A:CT,15,FALSE)</f>
        <v>THBKK</v>
      </c>
      <c r="I121" s="61" t="str">
        <f>VLOOKUP(D121,'2.Bookinglist'!A:CT,19,FALSE)</f>
        <v>JPSEN</v>
      </c>
      <c r="J121" s="61" t="str">
        <f>VLOOKUP(D121,'2.Bookinglist'!A:CT,26,FALSE)</f>
        <v>KRPUS</v>
      </c>
      <c r="K121" s="61" t="str">
        <f>VLOOKUP(A121,'1.Loading'!A:R,5,FALSE)</f>
        <v>22GP</v>
      </c>
      <c r="L121" s="60" t="str">
        <f>VLOOKUP(D121,'2.Bookinglist'!A:CT,85,FALSE)</f>
        <v>CY/CY</v>
      </c>
      <c r="M121" s="60" t="str">
        <f>IF(VLOOKUP(D121,'2.Bookinglist'!A:CT,43,FALSE)=0,"","DG")</f>
        <v/>
      </c>
      <c r="N121" s="60" t="str">
        <f>IF(RIGHT(K121,2)="RE","RF","")</f>
        <v/>
      </c>
      <c r="O121" s="61" t="str">
        <f>VLOOKUP(A121,'1.Loading'!A:R,3,FALSE)</f>
        <v>SWIC</v>
      </c>
      <c r="P121" s="61" t="str">
        <f>VLOOKUP(A121,'1.Loading'!A:R,4,FALSE)</f>
        <v>2611N</v>
      </c>
      <c r="Q121" s="61" t="str">
        <f>VLOOKUP(D121,'2.Bookinglist'!A:CT,12,FALSE)</f>
        <v>KHS1</v>
      </c>
      <c r="R121" s="60" t="str">
        <f>IF(LEFT(K121,2)="22","20'","40'")</f>
        <v>20'</v>
      </c>
      <c r="S121" s="185" t="n"/>
      <c r="T121" s="61" t="str">
        <f>VLOOKUP(A121,'1.Loading'!A:R,2,FALSE)</f>
        <v>2026-10-16</v>
      </c>
      <c r="U121" s="63">
        <f>T121-S121</f>
        <v>46311</v>
      </c>
      <c r="V121" s="186" t="n"/>
      <c r="W121" s="61" t="str">
        <f>VLOOKUP(A121,'3.GateMove'!A:D,4,FALSE)</f>
        <v>2026-10-03</v>
      </c>
      <c r="X121" s="63">
        <f>((T121-W121)+1)</f>
        <v>14</v>
      </c>
      <c r="Y121" s="64">
        <f>IF(AND(OR(C121="BKK01",C121="BKK04"),L121="CFS/CY"),0,IF(M121="DG",1,IF(LEFT(C121,3)="LCH",7,IF(C121="BKK02",5,3))))</f>
        <v>3</v>
      </c>
      <c r="Z121" s="63">
        <f>IF(IF(AND(AC121="TML",AB121&gt;0),((T121-W121)+1)-AB121,((T121-W121)+1)-Y121)&gt;0,IF(AND(AC121="TML",AB121&gt;0),((T121-W121)+1)-AB121,((T121-W121)+1)-Y121),0)</f>
        <v>11</v>
      </c>
      <c r="AA121" s="187">
        <f>IF(AND(B121="G1",M121=""),IF(R121="20'",
VLOOKUP(Z121,Charge!$K$2:$M$5,2,TRUE)+(Z121-VLOOKUP(Z121,Charge!$K$2:$M$5,1,TRUE))*VLOOKUP(Z121,Charge!$K$2:$M$5,3,TRUE),
VLOOKUP(Z121,Charge!$N$2:$P$5,2,TRUE)+(Z121-VLOOKUP(Z121,Charge!$N$2:$P$5,1,TRUE))*VLOOKUP(Z121,Charge!$N$2:$P$5,3,TRUE)),
IF(AND(B121="G1",M121="DG"),IF(R121="20'",
VLOOKUP(Z121,Charge!$R$2:$T$5,2,TRUE)+(Z121-VLOOKUP(Z121,Charge!$R$2:$T$5,1,TRUE))*VLOOKUP(Z121,Charge!$R$2:$T$5,3,TRUE),
VLOOKUP(Z121,Charge!$U$2:$W$5,2,TRUE)+(Z121-VLOOKUP(Z121,Charge!$U$2:$W$5,1,TRUE))*VLOOKUP(Z121,Charge!$U$2:$W$5,3,TRUE)),
IF(AND(B121="G3",M121=""),IF(R121="20'",
VLOOKUP(Z121,Charge!$K$18:$M$21,2,TRUE)+(Z121-VLOOKUP(Z121,Charge!$K$18:$M$21,1,TRUE))*VLOOKUP(Z121,Charge!$K$18:$M$21,3,TRUE),
VLOOKUP(Z121,Charge!$N$18:$P$21,2,TRUE)+(Z121-VLOOKUP(Z121,Charge!$N$18:$P$21,1,TRUE))*VLOOKUP(Z121,Charge!$N$18:$P$21,3,TRUE)),
IF(AND(B121="G3",M121="DG"),IF(R121="20'",
VLOOKUP(Z121,Charge!$R$18:$T$21,2,TRUE)+(Z121-VLOOKUP(Z121,Charge!$R$18:$T$21,1,TRUE))*VLOOKUP(Z121,Charge!$R$18:$T$21,3,TRUE),
VLOOKUP(Z121,Charge!$U$18:$W$21,2,TRUE)+(Z121-VLOOKUP(Z121,Charge!$U$18:$W$21,1,TRUE))*VLOOKUP(Z121,Charge!$U$18:$W$21,3,TRUE)),
IF(AND(B121="G2",M121=""),IF(R121="20'",
VLOOKUP(Z121,Charge!$K$9:$M$12,2,TRUE)+(Z121-VLOOKUP(Z121,Charge!$K$9:$M$12,1,TRUE))*VLOOKUP(Z121,Charge!$K$9:$M$12,3,TRUE),
VLOOKUP(Z121,Charge!$N$9:$P$12,2,TRUE)+(Z121-VLOOKUP(Z121,Charge!$N$9:$P$12,1,TRUE))*VLOOKUP(Z121,Charge!$N$9:$P$12,3,TRUE)),
IF(AND(B121="G2",M121="DG"),IF(R121="20'",
VLOOKUP(Z121,Charge!$R$9:$T$12,2,TRUE)+(Z121-VLOOKUP(Z121,Charge!$R$9:$T$12,1,TRUE))*VLOOKUP(Z121,Charge!$R$9:$T$12,3,TRUE),
VLOOKUP(Z121,Charge!$U$9:$W$12,2,TRUE)+(Z121-VLOOKUP(Z121,Charge!$U$9:$W$12,1,TRUE))*VLOOKUP(Z121,Charge!$U$9:$W$12,3,TRUE)),IF(AND(B121="G4",M121=""),IF(R121="20'",Z121*Charge!$M$25,Z121*Charge!$P$25),IF(AND(B121="G4",M121="DG"),IF(R121="20'",Z121*Charge!$T$25,Z121*Charge!$W$25),0))))))))</f>
        <v>2220</v>
      </c>
      <c r="AB121" s="184" t="n"/>
      <c r="AC121" s="184" t="n"/>
      <c r="AD121" s="60">
        <f>IF(M121="DG",3,IF(N121="RF",3,5))+IF(AND(LEFT(C121,3)="BKK",N121="RF",Q121="KTS"),1,0)+IF(Q121="KHS",1,0)</f>
        <v>5</v>
      </c>
      <c r="AE121" s="63">
        <f>(T121-V121)+1</f>
        <v>46312</v>
      </c>
      <c r="AF121" s="63">
        <f>IF(AB121&gt;IF((V121-W121)&gt;0,V121-W121,0),0,IF(AB121&lt;IF((V121-W121)&gt;0,V121-W121,0),IF((V121-W121)&gt;0,V121-W121,0)-AB121,IF((V121-W121)&gt;0,V121-W121,0)))</f>
        <v>0</v>
      </c>
      <c r="AG121" s="187">
        <f>IF(AND(M121=""),IF(R121="20'",
VLOOKUP(AF121,Charge!$K$31:$M$34,2,TRUE)+(AF121-VLOOKUP(AF121,Charge!$K$31:$M$34,1,TRUE))*VLOOKUP(AF121,Charge!$K$31:$M$34,3,TRUE),
VLOOKUP(AF121,Charge!$N$31:$P$34,2,TRUE)+(AF121-VLOOKUP(AF121,Charge!$N$31:$P$34,1,TRUE))*VLOOKUP(AF121,Charge!$N$31:$P$34,3,TRUE)),
IF(AND(M121="DG"),IF(R121="20'",
VLOOKUP(AF121,Charge!$R$31:$T$34,2,TRUE)+(AF121-VLOOKUP(AF121,Charge!$R$31:$T$34,1,TRUE))*VLOOKUP(AF121,Charge!$R$31:$T$34,3,TRUE),
VLOOKUP(AF121,Charge!$U$31:$W$34,2,TRUE)+(AF121-VLOOKUP(AF121,Charge!$U$31:$W$34,1,TRUE))*VLOOKUP(AF121,Charge!$U$31:$W$34,3,TRUE)),0))</f>
        <v>0</v>
      </c>
      <c r="AH121" s="65" t="n"/>
      <c r="AI121" s="65">
        <f>AA121-AH121</f>
        <v>2220</v>
      </c>
      <c r="AJ121" s="188" t="n"/>
      <c r="AK121" s="62" t="str">
        <f>VLOOKUP(D121,'2.Bookinglist'!A:CT,40,FALSE)</f>
        <v>Dharaporn</v>
      </c>
      <c r="AL121" s="60" t="str">
        <f>VLOOKUP(D121,'2.Bookinglist'!A:CW,101,FALSE)</f>
        <v>2026-10-15</v>
      </c>
      <c r="AM121" s="60" t="str">
        <f>VLOOKUP(D121,'2.Bookinglist'!A:BK,63,FALSE)</f>
        <v>BKK27</v>
      </c>
      <c r="AN121" s="62" t="str">
        <f>VLOOKUP(D121,'2.Bookinglist'!A:AZ,52,FALSE)</f>
        <v>[FIX]Pickup : 2026-10-02, Return : 2026-10-03</v>
      </c>
      <c r="AO121" s="62" t="str">
        <f>VLOOKUP(D121,'2.Bookinglist'!A:CY,103,FALSE)</f>
        <v>ROLL OVER FROM PREVIOUS VSL SWSP 2609N BY ALLOCATON TEAM MS.TARN APPROVED COST IS UNDER HA DD.4/10</v>
      </c>
    </row>
    <row r="122" ht="12.95" customHeight="1">
      <c r="A122" s="96" t="inlineStr">
        <is>
          <t>SKLU1957128</t>
        </is>
      </c>
      <c r="B122" s="184" t="str">
        <f>IF(C122=Charge!$M$1,Charge!$J$1,IF(C122=Charge!$M$23,Charge!$J$23,IF(C122=Charge!$M$17,Charge!$J$17,IF(C122=Charge!$N$17,Charge!$J$17,Charge!$J$7))))</f>
        <v>G3</v>
      </c>
      <c r="C122" s="61" t="str">
        <f>VLOOKUP(A122,'1.Loading'!A:R,14,FALSE)</f>
        <v>BKK01</v>
      </c>
      <c r="D122" s="61" t="str">
        <f>VLOOKUP(A122,'1.Loading'!A:R,17,FALSE)</f>
        <v>HASLS22260901930</v>
      </c>
      <c r="E122" s="62" t="str">
        <f>VLOOKUP(D122,'2.Bookinglist'!A:CT,27,FALSE)</f>
        <v>THAI AGRI FOODS PUBLIC COMPANY LIMITED</v>
      </c>
      <c r="F122" s="62" t="str">
        <f>VLOOKUP(D122,'2.Bookinglist'!A:CT,28,FALSE)</f>
        <v>THAI AGRI FOODS PUBLIC COMPANY LIMITED</v>
      </c>
      <c r="G122" s="60">
        <f>VLOOKUP(D122,'2.Bookinglist'!A:E,5,FALSE)</f>
        <v>0</v>
      </c>
      <c r="H122" s="61" t="str">
        <f>VLOOKUP(D122,'2.Bookinglist'!A:CT,15,FALSE)</f>
        <v>THBKK</v>
      </c>
      <c r="I122" s="61" t="str">
        <f>VLOOKUP(D122,'2.Bookinglist'!A:CT,19,FALSE)</f>
        <v>RUVVO</v>
      </c>
      <c r="J122" s="61" t="str">
        <f>VLOOKUP(D122,'2.Bookinglist'!A:CT,26,FALSE)</f>
        <v>KRPUS</v>
      </c>
      <c r="K122" s="61" t="str">
        <f>VLOOKUP(A122,'1.Loading'!A:R,5,FALSE)</f>
        <v>22GP</v>
      </c>
      <c r="L122" s="60" t="str">
        <f>VLOOKUP(D122,'2.Bookinglist'!A:CT,85,FALSE)</f>
        <v>CY/CY</v>
      </c>
      <c r="M122" s="60" t="str">
        <f>IF(VLOOKUP(D122,'2.Bookinglist'!A:CT,43,FALSE)=0,"","DG")</f>
        <v/>
      </c>
      <c r="N122" s="60" t="str">
        <f>IF(RIGHT(K122,2)="RE","RF","")</f>
        <v/>
      </c>
      <c r="O122" s="61" t="str">
        <f>VLOOKUP(A122,'1.Loading'!A:R,3,FALSE)</f>
        <v>SWIC</v>
      </c>
      <c r="P122" s="61" t="str">
        <f>VLOOKUP(A122,'1.Loading'!A:R,4,FALSE)</f>
        <v>2611N</v>
      </c>
      <c r="Q122" s="61" t="str">
        <f>VLOOKUP(D122,'2.Bookinglist'!A:CT,12,FALSE)</f>
        <v>KHS1</v>
      </c>
      <c r="R122" s="60" t="str">
        <f>IF(LEFT(K122,2)="22","20'","40'")</f>
        <v>20'</v>
      </c>
      <c r="S122" s="185" t="n"/>
      <c r="T122" s="61" t="str">
        <f>VLOOKUP(A122,'1.Loading'!A:R,2,FALSE)</f>
        <v>2026-10-16</v>
      </c>
      <c r="U122" s="63">
        <f>T122-S122</f>
        <v>46311</v>
      </c>
      <c r="V122" s="186" t="n"/>
      <c r="W122" s="61" t="str">
        <f>VLOOKUP(A122,'3.GateMove'!A:D,4,FALSE)</f>
        <v>2026-10-12</v>
      </c>
      <c r="X122" s="63">
        <f>((T122-W122)+1)</f>
        <v>5</v>
      </c>
      <c r="Y122" s="64">
        <f>IF(AND(OR(C122="BKK01",C122="BKK04"),L122="CFS/CY"),0,IF(M122="DG",1,IF(LEFT(C122,3)="LCH",7,IF(C122="BKK02",5,3))))</f>
        <v>3</v>
      </c>
      <c r="Z122" s="63">
        <f>IF(IF(AND(AC122="TML",AB122&gt;0),((T122-W122)+1)-AB122,((T122-W122)+1)-Y122)&gt;0,IF(AND(AC122="TML",AB122&gt;0),((T122-W122)+1)-AB122,((T122-W122)+1)-Y122),0)</f>
        <v>2</v>
      </c>
      <c r="AA122" s="187">
        <f>IF(AND(B122="G1",M122=""),IF(R122="20'",
VLOOKUP(Z122,Charge!$K$2:$M$5,2,TRUE)+(Z122-VLOOKUP(Z122,Charge!$K$2:$M$5,1,TRUE))*VLOOKUP(Z122,Charge!$K$2:$M$5,3,TRUE),
VLOOKUP(Z122,Charge!$N$2:$P$5,2,TRUE)+(Z122-VLOOKUP(Z122,Charge!$N$2:$P$5,1,TRUE))*VLOOKUP(Z122,Charge!$N$2:$P$5,3,TRUE)),
IF(AND(B122="G1",M122="DG"),IF(R122="20'",
VLOOKUP(Z122,Charge!$R$2:$T$5,2,TRUE)+(Z122-VLOOKUP(Z122,Charge!$R$2:$T$5,1,TRUE))*VLOOKUP(Z122,Charge!$R$2:$T$5,3,TRUE),
VLOOKUP(Z122,Charge!$U$2:$W$5,2,TRUE)+(Z122-VLOOKUP(Z122,Charge!$U$2:$W$5,1,TRUE))*VLOOKUP(Z122,Charge!$U$2:$W$5,3,TRUE)),
IF(AND(B122="G3",M122=""),IF(R122="20'",
VLOOKUP(Z122,Charge!$K$18:$M$21,2,TRUE)+(Z122-VLOOKUP(Z122,Charge!$K$18:$M$21,1,TRUE))*VLOOKUP(Z122,Charge!$K$18:$M$21,3,TRUE),
VLOOKUP(Z122,Charge!$N$18:$P$21,2,TRUE)+(Z122-VLOOKUP(Z122,Charge!$N$18:$P$21,1,TRUE))*VLOOKUP(Z122,Charge!$N$18:$P$21,3,TRUE)),
IF(AND(B122="G3",M122="DG"),IF(R122="20'",
VLOOKUP(Z122,Charge!$R$18:$T$21,2,TRUE)+(Z122-VLOOKUP(Z122,Charge!$R$18:$T$21,1,TRUE))*VLOOKUP(Z122,Charge!$R$18:$T$21,3,TRUE),
VLOOKUP(Z122,Charge!$U$18:$W$21,2,TRUE)+(Z122-VLOOKUP(Z122,Charge!$U$18:$W$21,1,TRUE))*VLOOKUP(Z122,Charge!$U$18:$W$21,3,TRUE)),
IF(AND(B122="G2",M122=""),IF(R122="20'",
VLOOKUP(Z122,Charge!$K$9:$M$12,2,TRUE)+(Z122-VLOOKUP(Z122,Charge!$K$9:$M$12,1,TRUE))*VLOOKUP(Z122,Charge!$K$9:$M$12,3,TRUE),
VLOOKUP(Z122,Charge!$N$9:$P$12,2,TRUE)+(Z122-VLOOKUP(Z122,Charge!$N$9:$P$12,1,TRUE))*VLOOKUP(Z122,Charge!$N$9:$P$12,3,TRUE)),
IF(AND(B122="G2",M122="DG"),IF(R122="20'",
VLOOKUP(Z122,Charge!$R$9:$T$12,2,TRUE)+(Z122-VLOOKUP(Z122,Charge!$R$9:$T$12,1,TRUE))*VLOOKUP(Z122,Charge!$R$9:$T$12,3,TRUE),
VLOOKUP(Z122,Charge!$U$9:$W$12,2,TRUE)+(Z122-VLOOKUP(Z122,Charge!$U$9:$W$12,1,TRUE))*VLOOKUP(Z122,Charge!$U$9:$W$12,3,TRUE)),IF(AND(B122="G4",M122=""),IF(R122="20'",Z122*Charge!$M$25,Z122*Charge!$P$25),IF(AND(B122="G4",M122="DG"),IF(R122="20'",Z122*Charge!$T$25,Z122*Charge!$W$25),0))))))))</f>
        <v>320</v>
      </c>
      <c r="AB122" s="184" t="n"/>
      <c r="AC122" s="184" t="n"/>
      <c r="AD122" s="60">
        <f>IF(M122="DG",3,IF(N122="RF",3,5))+IF(AND(LEFT(C122,3)="BKK",N122="RF",Q122="KTS"),1,0)+IF(Q122="KHS",1,0)</f>
        <v>5</v>
      </c>
      <c r="AE122" s="63">
        <f>(T122-V122)+1</f>
        <v>46312</v>
      </c>
      <c r="AF122" s="63">
        <f>IF(AB122&gt;IF((V122-W122)&gt;0,V122-W122,0),0,IF(AB122&lt;IF((V122-W122)&gt;0,V122-W122,0),IF((V122-W122)&gt;0,V122-W122,0)-AB122,IF((V122-W122)&gt;0,V122-W122,0)))</f>
        <v>0</v>
      </c>
      <c r="AG122" s="187">
        <f>IF(AND(M122=""),IF(R122="20'",
VLOOKUP(AF122,Charge!$K$31:$M$34,2,TRUE)+(AF122-VLOOKUP(AF122,Charge!$K$31:$M$34,1,TRUE))*VLOOKUP(AF122,Charge!$K$31:$M$34,3,TRUE),
VLOOKUP(AF122,Charge!$N$31:$P$34,2,TRUE)+(AF122-VLOOKUP(AF122,Charge!$N$31:$P$34,1,TRUE))*VLOOKUP(AF122,Charge!$N$31:$P$34,3,TRUE)),
IF(AND(M122="DG"),IF(R122="20'",
VLOOKUP(AF122,Charge!$R$31:$T$34,2,TRUE)+(AF122-VLOOKUP(AF122,Charge!$R$31:$T$34,1,TRUE))*VLOOKUP(AF122,Charge!$R$31:$T$34,3,TRUE),
VLOOKUP(AF122,Charge!$U$31:$W$34,2,TRUE)+(AF122-VLOOKUP(AF122,Charge!$U$31:$W$34,1,TRUE))*VLOOKUP(AF122,Charge!$U$31:$W$34,3,TRUE)),0))</f>
        <v>0</v>
      </c>
      <c r="AH122" s="65" t="n"/>
      <c r="AI122" s="65">
        <f>AA122-AH122</f>
        <v>320</v>
      </c>
      <c r="AJ122" s="188" t="n"/>
      <c r="AK122" s="62" t="str">
        <f>VLOOKUP(D122,'2.Bookinglist'!A:CT,40,FALSE)</f>
        <v>ANNA MARS</v>
      </c>
      <c r="AL122" s="60" t="str">
        <f>VLOOKUP(D122,'2.Bookinglist'!A:CW,101,FALSE)</f>
        <v>2026-10-15</v>
      </c>
      <c r="AM122" s="60" t="str">
        <f>VLOOKUP(D122,'2.Bookinglist'!A:BK,63,FALSE)</f>
        <v>BKK27</v>
      </c>
      <c r="AN122" s="62" t="str">
        <f>VLOOKUP(D122,'2.Bookinglist'!A:AZ,52,FALSE)</f>
        <v>[FIX][FIX]SWIC/2611N/10/24[FIX] Pickup : 2026-10-09, Return : 2026-10-12</v>
      </c>
      <c r="AO122" s="62">
        <f>VLOOKUP(D122,'2.Bookinglist'!A:CY,103,FALSE)</f>
        <v>0</v>
      </c>
    </row>
    <row r="123" ht="12.95" customHeight="1">
      <c r="A123" s="96" t="inlineStr">
        <is>
          <t>SKLU1959687</t>
        </is>
      </c>
      <c r="B123" s="184" t="str">
        <f>IF(C123=Charge!$M$1,Charge!$J$1,IF(C123=Charge!$M$23,Charge!$J$23,IF(C123=Charge!$M$17,Charge!$J$17,IF(C123=Charge!$N$17,Charge!$J$17,Charge!$J$7))))</f>
        <v>G3</v>
      </c>
      <c r="C123" s="61" t="str">
        <f>VLOOKUP(A123,'1.Loading'!A:R,14,FALSE)</f>
        <v>BKK01</v>
      </c>
      <c r="D123" s="61" t="str">
        <f>VLOOKUP(A123,'1.Loading'!A:R,17,FALSE)</f>
        <v>HASLS22260900657</v>
      </c>
      <c r="E123" s="62" t="str">
        <f>VLOOKUP(D123,'2.Bookinglist'!A:CT,27,FALSE)</f>
        <v>ORIENT STAR INTERNATIONAL LOGISTICS CO., LTD.</v>
      </c>
      <c r="F123" s="62" t="str">
        <f>VLOOKUP(D123,'2.Bookinglist'!A:CT,28,FALSE)</f>
        <v>WIDE WATER GATE CO.,LTD</v>
      </c>
      <c r="G123" s="60">
        <f>VLOOKUP(D123,'2.Bookinglist'!A:E,5,FALSE)</f>
        <v>0</v>
      </c>
      <c r="H123" s="61" t="str">
        <f>VLOOKUP(D123,'2.Bookinglist'!A:CT,15,FALSE)</f>
        <v>THBKK</v>
      </c>
      <c r="I123" s="61" t="str">
        <f>VLOOKUP(D123,'2.Bookinglist'!A:CT,19,FALSE)</f>
        <v>KRPUS</v>
      </c>
      <c r="J123" s="61">
        <f>VLOOKUP(D123,'2.Bookinglist'!A:CT,26,FALSE)</f>
        <v>0</v>
      </c>
      <c r="K123" s="61" t="str">
        <f>VLOOKUP(A123,'1.Loading'!A:R,5,FALSE)</f>
        <v>22GP</v>
      </c>
      <c r="L123" s="60" t="str">
        <f>VLOOKUP(D123,'2.Bookinglist'!A:CT,85,FALSE)</f>
        <v>CY/CY</v>
      </c>
      <c r="M123" s="60" t="str">
        <f>IF(VLOOKUP(D123,'2.Bookinglist'!A:CT,43,FALSE)=0,"","DG")</f>
        <v/>
      </c>
      <c r="N123" s="60" t="str">
        <f>IF(RIGHT(K123,2)="RE","RF","")</f>
        <v/>
      </c>
      <c r="O123" s="61" t="str">
        <f>VLOOKUP(A123,'1.Loading'!A:R,3,FALSE)</f>
        <v>SWIC</v>
      </c>
      <c r="P123" s="61" t="str">
        <f>VLOOKUP(A123,'1.Loading'!A:R,4,FALSE)</f>
        <v>2611N</v>
      </c>
      <c r="Q123" s="61" t="str">
        <f>VLOOKUP(D123,'2.Bookinglist'!A:CT,12,FALSE)</f>
        <v>KHS1</v>
      </c>
      <c r="R123" s="60" t="str">
        <f>IF(LEFT(K123,2)="22","20'","40'")</f>
        <v>20'</v>
      </c>
      <c r="S123" s="185" t="n"/>
      <c r="T123" s="61" t="str">
        <f>VLOOKUP(A123,'1.Loading'!A:R,2,FALSE)</f>
        <v>2026-10-16</v>
      </c>
      <c r="U123" s="63">
        <f>T123-S123</f>
        <v>46311</v>
      </c>
      <c r="V123" s="186" t="n"/>
      <c r="W123" s="61" t="str">
        <f>VLOOKUP(A123,'3.GateMove'!A:D,4,FALSE)</f>
        <v>2026-10-11</v>
      </c>
      <c r="X123" s="63">
        <f>((T123-W123)+1)</f>
        <v>6</v>
      </c>
      <c r="Y123" s="64">
        <f>IF(AND(OR(C123="BKK01",C123="BKK04"),L123="CFS/CY"),0,IF(M123="DG",1,IF(LEFT(C123,3)="LCH",7,IF(C123="BKK02",5,3))))</f>
        <v>3</v>
      </c>
      <c r="Z123" s="63">
        <f>IF(IF(AND(AC123="TML",AB123&gt;0),((T123-W123)+1)-AB123,((T123-W123)+1)-Y123)&gt;0,IF(AND(AC123="TML",AB123&gt;0),((T123-W123)+1)-AB123,((T123-W123)+1)-Y123),0)</f>
        <v>3</v>
      </c>
      <c r="AA123" s="187">
        <f>IF(AND(B123="G1",M123=""),IF(R123="20'",
VLOOKUP(Z123,Charge!$K$2:$M$5,2,TRUE)+(Z123-VLOOKUP(Z123,Charge!$K$2:$M$5,1,TRUE))*VLOOKUP(Z123,Charge!$K$2:$M$5,3,TRUE),
VLOOKUP(Z123,Charge!$N$2:$P$5,2,TRUE)+(Z123-VLOOKUP(Z123,Charge!$N$2:$P$5,1,TRUE))*VLOOKUP(Z123,Charge!$N$2:$P$5,3,TRUE)),
IF(AND(B123="G1",M123="DG"),IF(R123="20'",
VLOOKUP(Z123,Charge!$R$2:$T$5,2,TRUE)+(Z123-VLOOKUP(Z123,Charge!$R$2:$T$5,1,TRUE))*VLOOKUP(Z123,Charge!$R$2:$T$5,3,TRUE),
VLOOKUP(Z123,Charge!$U$2:$W$5,2,TRUE)+(Z123-VLOOKUP(Z123,Charge!$U$2:$W$5,1,TRUE))*VLOOKUP(Z123,Charge!$U$2:$W$5,3,TRUE)),
IF(AND(B123="G3",M123=""),IF(R123="20'",
VLOOKUP(Z123,Charge!$K$18:$M$21,2,TRUE)+(Z123-VLOOKUP(Z123,Charge!$K$18:$M$21,1,TRUE))*VLOOKUP(Z123,Charge!$K$18:$M$21,3,TRUE),
VLOOKUP(Z123,Charge!$N$18:$P$21,2,TRUE)+(Z123-VLOOKUP(Z123,Charge!$N$18:$P$21,1,TRUE))*VLOOKUP(Z123,Charge!$N$18:$P$21,3,TRUE)),
IF(AND(B123="G3",M123="DG"),IF(R123="20'",
VLOOKUP(Z123,Charge!$R$18:$T$21,2,TRUE)+(Z123-VLOOKUP(Z123,Charge!$R$18:$T$21,1,TRUE))*VLOOKUP(Z123,Charge!$R$18:$T$21,3,TRUE),
VLOOKUP(Z123,Charge!$U$18:$W$21,2,TRUE)+(Z123-VLOOKUP(Z123,Charge!$U$18:$W$21,1,TRUE))*VLOOKUP(Z123,Charge!$U$18:$W$21,3,TRUE)),
IF(AND(B123="G2",M123=""),IF(R123="20'",
VLOOKUP(Z123,Charge!$K$9:$M$12,2,TRUE)+(Z123-VLOOKUP(Z123,Charge!$K$9:$M$12,1,TRUE))*VLOOKUP(Z123,Charge!$K$9:$M$12,3,TRUE),
VLOOKUP(Z123,Charge!$N$9:$P$12,2,TRUE)+(Z123-VLOOKUP(Z123,Charge!$N$9:$P$12,1,TRUE))*VLOOKUP(Z123,Charge!$N$9:$P$12,3,TRUE)),
IF(AND(B123="G2",M123="DG"),IF(R123="20'",
VLOOKUP(Z123,Charge!$R$9:$T$12,2,TRUE)+(Z123-VLOOKUP(Z123,Charge!$R$9:$T$12,1,TRUE))*VLOOKUP(Z123,Charge!$R$9:$T$12,3,TRUE),
VLOOKUP(Z123,Charge!$U$9:$W$12,2,TRUE)+(Z123-VLOOKUP(Z123,Charge!$U$9:$W$12,1,TRUE))*VLOOKUP(Z123,Charge!$U$9:$W$12,3,TRUE)),IF(AND(B123="G4",M123=""),IF(R123="20'",Z123*Charge!$M$25,Z123*Charge!$P$25),IF(AND(B123="G4",M123="DG"),IF(R123="20'",Z123*Charge!$T$25,Z123*Charge!$W$25),0))))))))</f>
        <v>480</v>
      </c>
      <c r="AB123" s="184" t="n"/>
      <c r="AC123" s="184" t="n"/>
      <c r="AD123" s="60">
        <f>IF(M123="DG",3,IF(N123="RF",3,5))+IF(AND(LEFT(C123,3)="BKK",N123="RF",Q123="KTS"),1,0)+IF(Q123="KHS",1,0)</f>
        <v>5</v>
      </c>
      <c r="AE123" s="63">
        <f>(T123-V123)+1</f>
        <v>46312</v>
      </c>
      <c r="AF123" s="63">
        <f>IF(AB123&gt;IF((V123-W123)&gt;0,V123-W123,0),0,IF(AB123&lt;IF((V123-W123)&gt;0,V123-W123,0),IF((V123-W123)&gt;0,V123-W123,0)-AB123,IF((V123-W123)&gt;0,V123-W123,0)))</f>
        <v>0</v>
      </c>
      <c r="AG123" s="187">
        <f>IF(AND(M123=""),IF(R123="20'",
VLOOKUP(AF123,Charge!$K$31:$M$34,2,TRUE)+(AF123-VLOOKUP(AF123,Charge!$K$31:$M$34,1,TRUE))*VLOOKUP(AF123,Charge!$K$31:$M$34,3,TRUE),
VLOOKUP(AF123,Charge!$N$31:$P$34,2,TRUE)+(AF123-VLOOKUP(AF123,Charge!$N$31:$P$34,1,TRUE))*VLOOKUP(AF123,Charge!$N$31:$P$34,3,TRUE)),
IF(AND(M123="DG"),IF(R123="20'",
VLOOKUP(AF123,Charge!$R$31:$T$34,2,TRUE)+(AF123-VLOOKUP(AF123,Charge!$R$31:$T$34,1,TRUE))*VLOOKUP(AF123,Charge!$R$31:$T$34,3,TRUE),
VLOOKUP(AF123,Charge!$U$31:$W$34,2,TRUE)+(AF123-VLOOKUP(AF123,Charge!$U$31:$W$34,1,TRUE))*VLOOKUP(AF123,Charge!$U$31:$W$34,3,TRUE)),0))</f>
        <v>0</v>
      </c>
      <c r="AH123" s="65" t="n"/>
      <c r="AI123" s="65">
        <f>AA123-AH123</f>
        <v>480</v>
      </c>
      <c r="AJ123" s="188" t="n"/>
      <c r="AK123" s="62" t="str">
        <f>VLOOKUP(D123,'2.Bookinglist'!A:CT,40,FALSE)</f>
        <v>Kim jaewon</v>
      </c>
      <c r="AL123" s="60" t="str">
        <f>VLOOKUP(D123,'2.Bookinglist'!A:CW,101,FALSE)</f>
        <v>2026-10-15</v>
      </c>
      <c r="AM123" s="60" t="str">
        <f>VLOOKUP(D123,'2.Bookinglist'!A:BK,63,FALSE)</f>
        <v>BKK25</v>
      </c>
      <c r="AN123" s="62" t="str">
        <f>VLOOKUP(D123,'2.Bookinglist'!A:AZ,52,FALSE)</f>
        <v>Pickup : 2026-10-09, Return : 2026-10-11 // FM DJCF 0152N BY HAL DD.28/09
(1ST RETURN 11/10 W/O RENT)</v>
      </c>
      <c r="AO123" s="62">
        <f>VLOOKUP(D123,'2.Bookinglist'!A:CY,103,FALSE)</f>
        <v>0</v>
      </c>
    </row>
    <row r="124" ht="12.95" customHeight="1">
      <c r="A124" s="96" t="inlineStr">
        <is>
          <t>SKLU1975585</t>
        </is>
      </c>
      <c r="B124" s="184" t="str">
        <f>IF(C124=Charge!$M$1,Charge!$J$1,IF(C124=Charge!$M$23,Charge!$J$23,IF(C124=Charge!$M$17,Charge!$J$17,IF(C124=Charge!$N$17,Charge!$J$17,Charge!$J$7))))</f>
        <v>G3</v>
      </c>
      <c r="C124" s="61" t="str">
        <f>VLOOKUP(A124,'1.Loading'!A:R,14,FALSE)</f>
        <v>BKK01</v>
      </c>
      <c r="D124" s="61" t="str">
        <f>VLOOKUP(A124,'1.Loading'!A:R,17,FALSE)</f>
        <v>HASLS22260801865</v>
      </c>
      <c r="E124" s="62" t="str">
        <f>VLOOKUP(D124,'2.Bookinglist'!A:CT,27,FALSE)</f>
        <v>STARFISH CO., LTD.</v>
      </c>
      <c r="F124" s="62" t="str">
        <f>VLOOKUP(D124,'2.Bookinglist'!A:CT,28,FALSE)</f>
        <v>STARFISH CO., LTD.</v>
      </c>
      <c r="G124" s="60">
        <f>VLOOKUP(D124,'2.Bookinglist'!A:E,5,FALSE)</f>
        <v>0</v>
      </c>
      <c r="H124" s="61" t="str">
        <f>VLOOKUP(D124,'2.Bookinglist'!A:CT,15,FALSE)</f>
        <v>THBKK</v>
      </c>
      <c r="I124" s="61" t="str">
        <f>VLOOKUP(D124,'2.Bookinglist'!A:CT,19,FALSE)</f>
        <v>JPSEN</v>
      </c>
      <c r="J124" s="61" t="str">
        <f>VLOOKUP(D124,'2.Bookinglist'!A:CT,26,FALSE)</f>
        <v>KRPUS</v>
      </c>
      <c r="K124" s="61" t="str">
        <f>VLOOKUP(A124,'1.Loading'!A:R,5,FALSE)</f>
        <v>22GP</v>
      </c>
      <c r="L124" s="60" t="str">
        <f>VLOOKUP(D124,'2.Bookinglist'!A:CT,85,FALSE)</f>
        <v>CY/CY</v>
      </c>
      <c r="M124" s="60" t="str">
        <f>IF(VLOOKUP(D124,'2.Bookinglist'!A:CT,43,FALSE)=0,"","DG")</f>
        <v/>
      </c>
      <c r="N124" s="60" t="str">
        <f>IF(RIGHT(K124,2)="RE","RF","")</f>
        <v/>
      </c>
      <c r="O124" s="61" t="str">
        <f>VLOOKUP(A124,'1.Loading'!A:R,3,FALSE)</f>
        <v>SWIC</v>
      </c>
      <c r="P124" s="61" t="str">
        <f>VLOOKUP(A124,'1.Loading'!A:R,4,FALSE)</f>
        <v>2611N</v>
      </c>
      <c r="Q124" s="61" t="str">
        <f>VLOOKUP(D124,'2.Bookinglist'!A:CT,12,FALSE)</f>
        <v>KHS1</v>
      </c>
      <c r="R124" s="60" t="str">
        <f>IF(LEFT(K124,2)="22","20'","40'")</f>
        <v>20'</v>
      </c>
      <c r="S124" s="185" t="n"/>
      <c r="T124" s="61" t="str">
        <f>VLOOKUP(A124,'1.Loading'!A:R,2,FALSE)</f>
        <v>2026-10-16</v>
      </c>
      <c r="U124" s="63">
        <f>T124-S124</f>
        <v>46311</v>
      </c>
      <c r="V124" s="186" t="n"/>
      <c r="W124" s="61" t="str">
        <f>VLOOKUP(A124,'3.GateMove'!A:D,4,FALSE)</f>
        <v>2026-10-03</v>
      </c>
      <c r="X124" s="63">
        <f>((T124-W124)+1)</f>
        <v>14</v>
      </c>
      <c r="Y124" s="64">
        <f>IF(AND(OR(C124="BKK01",C124="BKK04"),L124="CFS/CY"),0,IF(M124="DG",1,IF(LEFT(C124,3)="LCH",7,IF(C124="BKK02",5,3))))</f>
        <v>3</v>
      </c>
      <c r="Z124" s="63">
        <f>IF(IF(AND(AC124="TML",AB124&gt;0),((T124-W124)+1)-AB124,((T124-W124)+1)-Y124)&gt;0,IF(AND(AC124="TML",AB124&gt;0),((T124-W124)+1)-AB124,((T124-W124)+1)-Y124),0)</f>
        <v>11</v>
      </c>
      <c r="AA124" s="187">
        <f>IF(AND(B124="G1",M124=""),IF(R124="20'",
VLOOKUP(Z124,Charge!$K$2:$M$5,2,TRUE)+(Z124-VLOOKUP(Z124,Charge!$K$2:$M$5,1,TRUE))*VLOOKUP(Z124,Charge!$K$2:$M$5,3,TRUE),
VLOOKUP(Z124,Charge!$N$2:$P$5,2,TRUE)+(Z124-VLOOKUP(Z124,Charge!$N$2:$P$5,1,TRUE))*VLOOKUP(Z124,Charge!$N$2:$P$5,3,TRUE)),
IF(AND(B124="G1",M124="DG"),IF(R124="20'",
VLOOKUP(Z124,Charge!$R$2:$T$5,2,TRUE)+(Z124-VLOOKUP(Z124,Charge!$R$2:$T$5,1,TRUE))*VLOOKUP(Z124,Charge!$R$2:$T$5,3,TRUE),
VLOOKUP(Z124,Charge!$U$2:$W$5,2,TRUE)+(Z124-VLOOKUP(Z124,Charge!$U$2:$W$5,1,TRUE))*VLOOKUP(Z124,Charge!$U$2:$W$5,3,TRUE)),
IF(AND(B124="G3",M124=""),IF(R124="20'",
VLOOKUP(Z124,Charge!$K$18:$M$21,2,TRUE)+(Z124-VLOOKUP(Z124,Charge!$K$18:$M$21,1,TRUE))*VLOOKUP(Z124,Charge!$K$18:$M$21,3,TRUE),
VLOOKUP(Z124,Charge!$N$18:$P$21,2,TRUE)+(Z124-VLOOKUP(Z124,Charge!$N$18:$P$21,1,TRUE))*VLOOKUP(Z124,Charge!$N$18:$P$21,3,TRUE)),
IF(AND(B124="G3",M124="DG"),IF(R124="20'",
VLOOKUP(Z124,Charge!$R$18:$T$21,2,TRUE)+(Z124-VLOOKUP(Z124,Charge!$R$18:$T$21,1,TRUE))*VLOOKUP(Z124,Charge!$R$18:$T$21,3,TRUE),
VLOOKUP(Z124,Charge!$U$18:$W$21,2,TRUE)+(Z124-VLOOKUP(Z124,Charge!$U$18:$W$21,1,TRUE))*VLOOKUP(Z124,Charge!$U$18:$W$21,3,TRUE)),
IF(AND(B124="G2",M124=""),IF(R124="20'",
VLOOKUP(Z124,Charge!$K$9:$M$12,2,TRUE)+(Z124-VLOOKUP(Z124,Charge!$K$9:$M$12,1,TRUE))*VLOOKUP(Z124,Charge!$K$9:$M$12,3,TRUE),
VLOOKUP(Z124,Charge!$N$9:$P$12,2,TRUE)+(Z124-VLOOKUP(Z124,Charge!$N$9:$P$12,1,TRUE))*VLOOKUP(Z124,Charge!$N$9:$P$12,3,TRUE)),
IF(AND(B124="G2",M124="DG"),IF(R124="20'",
VLOOKUP(Z124,Charge!$R$9:$T$12,2,TRUE)+(Z124-VLOOKUP(Z124,Charge!$R$9:$T$12,1,TRUE))*VLOOKUP(Z124,Charge!$R$9:$T$12,3,TRUE),
VLOOKUP(Z124,Charge!$U$9:$W$12,2,TRUE)+(Z124-VLOOKUP(Z124,Charge!$U$9:$W$12,1,TRUE))*VLOOKUP(Z124,Charge!$U$9:$W$12,3,TRUE)),IF(AND(B124="G4",M124=""),IF(R124="20'",Z124*Charge!$M$25,Z124*Charge!$P$25),IF(AND(B124="G4",M124="DG"),IF(R124="20'",Z124*Charge!$T$25,Z124*Charge!$W$25),0))))))))</f>
        <v>2220</v>
      </c>
      <c r="AB124" s="184" t="n"/>
      <c r="AC124" s="184" t="n"/>
      <c r="AD124" s="60">
        <f>IF(M124="DG",3,IF(N124="RF",3,5))+IF(AND(LEFT(C124,3)="BKK",N124="RF",Q124="KTS"),1,0)+IF(Q124="KHS",1,0)</f>
        <v>5</v>
      </c>
      <c r="AE124" s="63">
        <f>(T124-V124)+1</f>
        <v>46312</v>
      </c>
      <c r="AF124" s="63">
        <f>IF(AB124&gt;IF((V124-W124)&gt;0,V124-W124,0),0,IF(AB124&lt;IF((V124-W124)&gt;0,V124-W124,0),IF((V124-W124)&gt;0,V124-W124,0)-AB124,IF((V124-W124)&gt;0,V124-W124,0)))</f>
        <v>0</v>
      </c>
      <c r="AG124" s="187">
        <f>IF(AND(M124=""),IF(R124="20'",
VLOOKUP(AF124,Charge!$K$31:$M$34,2,TRUE)+(AF124-VLOOKUP(AF124,Charge!$K$31:$M$34,1,TRUE))*VLOOKUP(AF124,Charge!$K$31:$M$34,3,TRUE),
VLOOKUP(AF124,Charge!$N$31:$P$34,2,TRUE)+(AF124-VLOOKUP(AF124,Charge!$N$31:$P$34,1,TRUE))*VLOOKUP(AF124,Charge!$N$31:$P$34,3,TRUE)),
IF(AND(M124="DG"),IF(R124="20'",
VLOOKUP(AF124,Charge!$R$31:$T$34,2,TRUE)+(AF124-VLOOKUP(AF124,Charge!$R$31:$T$34,1,TRUE))*VLOOKUP(AF124,Charge!$R$31:$T$34,3,TRUE),
VLOOKUP(AF124,Charge!$U$31:$W$34,2,TRUE)+(AF124-VLOOKUP(AF124,Charge!$U$31:$W$34,1,TRUE))*VLOOKUP(AF124,Charge!$U$31:$W$34,3,TRUE)),0))</f>
        <v>0</v>
      </c>
      <c r="AH124" s="65" t="n"/>
      <c r="AI124" s="65">
        <f>AA124-AH124</f>
        <v>2220</v>
      </c>
      <c r="AJ124" s="188" t="n"/>
      <c r="AK124" s="62" t="str">
        <f>VLOOKUP(D124,'2.Bookinglist'!A:CT,40,FALSE)</f>
        <v>Dharaporn</v>
      </c>
      <c r="AL124" s="60" t="str">
        <f>VLOOKUP(D124,'2.Bookinglist'!A:CW,101,FALSE)</f>
        <v>2026-10-15</v>
      </c>
      <c r="AM124" s="60" t="str">
        <f>VLOOKUP(D124,'2.Bookinglist'!A:BK,63,FALSE)</f>
        <v>BKK27</v>
      </c>
      <c r="AN124" s="62" t="str">
        <f>VLOOKUP(D124,'2.Bookinglist'!A:AZ,52,FALSE)</f>
        <v>[FIX]Pickup : 2026-10-02, Return : 2026-10-03</v>
      </c>
      <c r="AO124" s="62" t="str">
        <f>VLOOKUP(D124,'2.Bookinglist'!A:CY,103,FALSE)</f>
        <v>ROLL OVER FROM PREVIOUS VSL SWSP 2609N BY ALLOCATON TEAM MS.TARN APPROVED COST IS UNDER HA DD.4/10</v>
      </c>
    </row>
    <row r="125" ht="12.95" customHeight="1">
      <c r="A125" s="96" t="inlineStr">
        <is>
          <t>SKLU1981417</t>
        </is>
      </c>
      <c r="B125" s="184" t="str">
        <f>IF(C125=Charge!$M$1,Charge!$J$1,IF(C125=Charge!$M$23,Charge!$J$23,IF(C125=Charge!$M$17,Charge!$J$17,IF(C125=Charge!$N$17,Charge!$J$17,Charge!$J$7))))</f>
        <v>G3</v>
      </c>
      <c r="C125" s="61" t="str">
        <f>VLOOKUP(A125,'1.Loading'!A:R,14,FALSE)</f>
        <v>BKK01</v>
      </c>
      <c r="D125" s="61" t="str">
        <f>VLOOKUP(A125,'1.Loading'!A:R,17,FALSE)</f>
        <v>HASLS22260900657</v>
      </c>
      <c r="E125" s="62" t="str">
        <f>VLOOKUP(D125,'2.Bookinglist'!A:CT,27,FALSE)</f>
        <v>ORIENT STAR INTERNATIONAL LOGISTICS CO., LTD.</v>
      </c>
      <c r="F125" s="62" t="str">
        <f>VLOOKUP(D125,'2.Bookinglist'!A:CT,28,FALSE)</f>
        <v>WIDE WATER GATE CO.,LTD</v>
      </c>
      <c r="G125" s="60">
        <f>VLOOKUP(D125,'2.Bookinglist'!A:E,5,FALSE)</f>
        <v>0</v>
      </c>
      <c r="H125" s="61" t="str">
        <f>VLOOKUP(D125,'2.Bookinglist'!A:CT,15,FALSE)</f>
        <v>THBKK</v>
      </c>
      <c r="I125" s="61" t="str">
        <f>VLOOKUP(D125,'2.Bookinglist'!A:CT,19,FALSE)</f>
        <v>KRPUS</v>
      </c>
      <c r="J125" s="61">
        <f>VLOOKUP(D125,'2.Bookinglist'!A:CT,26,FALSE)</f>
        <v>0</v>
      </c>
      <c r="K125" s="61" t="str">
        <f>VLOOKUP(A125,'1.Loading'!A:R,5,FALSE)</f>
        <v>22GP</v>
      </c>
      <c r="L125" s="60" t="str">
        <f>VLOOKUP(D125,'2.Bookinglist'!A:CT,85,FALSE)</f>
        <v>CY/CY</v>
      </c>
      <c r="M125" s="60" t="str">
        <f>IF(VLOOKUP(D125,'2.Bookinglist'!A:CT,43,FALSE)=0,"","DG")</f>
        <v/>
      </c>
      <c r="N125" s="60" t="str">
        <f>IF(RIGHT(K125,2)="RE","RF","")</f>
        <v/>
      </c>
      <c r="O125" s="61" t="str">
        <f>VLOOKUP(A125,'1.Loading'!A:R,3,FALSE)</f>
        <v>SWIC</v>
      </c>
      <c r="P125" s="61" t="str">
        <f>VLOOKUP(A125,'1.Loading'!A:R,4,FALSE)</f>
        <v>2611N</v>
      </c>
      <c r="Q125" s="61" t="str">
        <f>VLOOKUP(D125,'2.Bookinglist'!A:CT,12,FALSE)</f>
        <v>KHS1</v>
      </c>
      <c r="R125" s="60" t="str">
        <f>IF(LEFT(K125,2)="22","20'","40'")</f>
        <v>20'</v>
      </c>
      <c r="S125" s="185" t="n"/>
      <c r="T125" s="61" t="str">
        <f>VLOOKUP(A125,'1.Loading'!A:R,2,FALSE)</f>
        <v>2026-10-16</v>
      </c>
      <c r="U125" s="63">
        <f>T125-S125</f>
        <v>46311</v>
      </c>
      <c r="V125" s="186" t="n"/>
      <c r="W125" s="61" t="str">
        <f>VLOOKUP(A125,'3.GateMove'!A:D,4,FALSE)</f>
        <v>2026-10-11</v>
      </c>
      <c r="X125" s="63">
        <f>((T125-W125)+1)</f>
        <v>6</v>
      </c>
      <c r="Y125" s="64">
        <f>IF(AND(OR(C125="BKK01",C125="BKK04"),L125="CFS/CY"),0,IF(M125="DG",1,IF(LEFT(C125,3)="LCH",7,IF(C125="BKK02",5,3))))</f>
        <v>3</v>
      </c>
      <c r="Z125" s="63">
        <f>IF(IF(AND(AC125="TML",AB125&gt;0),((T125-W125)+1)-AB125,((T125-W125)+1)-Y125)&gt;0,IF(AND(AC125="TML",AB125&gt;0),((T125-W125)+1)-AB125,((T125-W125)+1)-Y125),0)</f>
        <v>3</v>
      </c>
      <c r="AA125" s="187">
        <f>IF(AND(B125="G1",M125=""),IF(R125="20'",
VLOOKUP(Z125,Charge!$K$2:$M$5,2,TRUE)+(Z125-VLOOKUP(Z125,Charge!$K$2:$M$5,1,TRUE))*VLOOKUP(Z125,Charge!$K$2:$M$5,3,TRUE),
VLOOKUP(Z125,Charge!$N$2:$P$5,2,TRUE)+(Z125-VLOOKUP(Z125,Charge!$N$2:$P$5,1,TRUE))*VLOOKUP(Z125,Charge!$N$2:$P$5,3,TRUE)),
IF(AND(B125="G1",M125="DG"),IF(R125="20'",
VLOOKUP(Z125,Charge!$R$2:$T$5,2,TRUE)+(Z125-VLOOKUP(Z125,Charge!$R$2:$T$5,1,TRUE))*VLOOKUP(Z125,Charge!$R$2:$T$5,3,TRUE),
VLOOKUP(Z125,Charge!$U$2:$W$5,2,TRUE)+(Z125-VLOOKUP(Z125,Charge!$U$2:$W$5,1,TRUE))*VLOOKUP(Z125,Charge!$U$2:$W$5,3,TRUE)),
IF(AND(B125="G3",M125=""),IF(R125="20'",
VLOOKUP(Z125,Charge!$K$18:$M$21,2,TRUE)+(Z125-VLOOKUP(Z125,Charge!$K$18:$M$21,1,TRUE))*VLOOKUP(Z125,Charge!$K$18:$M$21,3,TRUE),
VLOOKUP(Z125,Charge!$N$18:$P$21,2,TRUE)+(Z125-VLOOKUP(Z125,Charge!$N$18:$P$21,1,TRUE))*VLOOKUP(Z125,Charge!$N$18:$P$21,3,TRUE)),
IF(AND(B125="G3",M125="DG"),IF(R125="20'",
VLOOKUP(Z125,Charge!$R$18:$T$21,2,TRUE)+(Z125-VLOOKUP(Z125,Charge!$R$18:$T$21,1,TRUE))*VLOOKUP(Z125,Charge!$R$18:$T$21,3,TRUE),
VLOOKUP(Z125,Charge!$U$18:$W$21,2,TRUE)+(Z125-VLOOKUP(Z125,Charge!$U$18:$W$21,1,TRUE))*VLOOKUP(Z125,Charge!$U$18:$W$21,3,TRUE)),
IF(AND(B125="G2",M125=""),IF(R125="20'",
VLOOKUP(Z125,Charge!$K$9:$M$12,2,TRUE)+(Z125-VLOOKUP(Z125,Charge!$K$9:$M$12,1,TRUE))*VLOOKUP(Z125,Charge!$K$9:$M$12,3,TRUE),
VLOOKUP(Z125,Charge!$N$9:$P$12,2,TRUE)+(Z125-VLOOKUP(Z125,Charge!$N$9:$P$12,1,TRUE))*VLOOKUP(Z125,Charge!$N$9:$P$12,3,TRUE)),
IF(AND(B125="G2",M125="DG"),IF(R125="20'",
VLOOKUP(Z125,Charge!$R$9:$T$12,2,TRUE)+(Z125-VLOOKUP(Z125,Charge!$R$9:$T$12,1,TRUE))*VLOOKUP(Z125,Charge!$R$9:$T$12,3,TRUE),
VLOOKUP(Z125,Charge!$U$9:$W$12,2,TRUE)+(Z125-VLOOKUP(Z125,Charge!$U$9:$W$12,1,TRUE))*VLOOKUP(Z125,Charge!$U$9:$W$12,3,TRUE)),IF(AND(B125="G4",M125=""),IF(R125="20'",Z125*Charge!$M$25,Z125*Charge!$P$25),IF(AND(B125="G4",M125="DG"),IF(R125="20'",Z125*Charge!$T$25,Z125*Charge!$W$25),0))))))))</f>
        <v>480</v>
      </c>
      <c r="AB125" s="184" t="n"/>
      <c r="AC125" s="184" t="n"/>
      <c r="AD125" s="60">
        <f>IF(M125="DG",3,IF(N125="RF",3,5))+IF(AND(LEFT(C125,3)="BKK",N125="RF",Q125="KTS"),1,0)+IF(Q125="KHS",1,0)</f>
        <v>5</v>
      </c>
      <c r="AE125" s="63">
        <f>(T125-V125)+1</f>
        <v>46312</v>
      </c>
      <c r="AF125" s="63">
        <f>IF(AB125&gt;IF((V125-W125)&gt;0,V125-W125,0),0,IF(AB125&lt;IF((V125-W125)&gt;0,V125-W125,0),IF((V125-W125)&gt;0,V125-W125,0)-AB125,IF((V125-W125)&gt;0,V125-W125,0)))</f>
        <v>0</v>
      </c>
      <c r="AG125" s="187">
        <f>IF(AND(M125=""),IF(R125="20'",
VLOOKUP(AF125,Charge!$K$31:$M$34,2,TRUE)+(AF125-VLOOKUP(AF125,Charge!$K$31:$M$34,1,TRUE))*VLOOKUP(AF125,Charge!$K$31:$M$34,3,TRUE),
VLOOKUP(AF125,Charge!$N$31:$P$34,2,TRUE)+(AF125-VLOOKUP(AF125,Charge!$N$31:$P$34,1,TRUE))*VLOOKUP(AF125,Charge!$N$31:$P$34,3,TRUE)),
IF(AND(M125="DG"),IF(R125="20'",
VLOOKUP(AF125,Charge!$R$31:$T$34,2,TRUE)+(AF125-VLOOKUP(AF125,Charge!$R$31:$T$34,1,TRUE))*VLOOKUP(AF125,Charge!$R$31:$T$34,3,TRUE),
VLOOKUP(AF125,Charge!$U$31:$W$34,2,TRUE)+(AF125-VLOOKUP(AF125,Charge!$U$31:$W$34,1,TRUE))*VLOOKUP(AF125,Charge!$U$31:$W$34,3,TRUE)),0))</f>
        <v>0</v>
      </c>
      <c r="AH125" s="65" t="n"/>
      <c r="AI125" s="65">
        <f>AA125-AH125</f>
        <v>480</v>
      </c>
      <c r="AJ125" s="188" t="n"/>
      <c r="AK125" s="62" t="str">
        <f>VLOOKUP(D125,'2.Bookinglist'!A:CT,40,FALSE)</f>
        <v>Kim jaewon</v>
      </c>
      <c r="AL125" s="60" t="str">
        <f>VLOOKUP(D125,'2.Bookinglist'!A:CW,101,FALSE)</f>
        <v>2026-10-15</v>
      </c>
      <c r="AM125" s="60" t="str">
        <f>VLOOKUP(D125,'2.Bookinglist'!A:BK,63,FALSE)</f>
        <v>BKK25</v>
      </c>
      <c r="AN125" s="62" t="str">
        <f>VLOOKUP(D125,'2.Bookinglist'!A:AZ,52,FALSE)</f>
        <v>Pickup : 2026-10-09, Return : 2026-10-11 // FM DJCF 0152N BY HAL DD.28/09
(1ST RETURN 11/10 W/O RENT)</v>
      </c>
      <c r="AO125" s="62">
        <f>VLOOKUP(D125,'2.Bookinglist'!A:CY,103,FALSE)</f>
        <v>0</v>
      </c>
    </row>
    <row r="126" ht="12.95" customHeight="1">
      <c r="A126" s="96" t="inlineStr">
        <is>
          <t>SKLU1998580</t>
        </is>
      </c>
      <c r="B126" s="184" t="str">
        <f>IF(C126=Charge!$M$1,Charge!$J$1,IF(C126=Charge!$M$23,Charge!$J$23,IF(C126=Charge!$M$17,Charge!$J$17,IF(C126=Charge!$N$17,Charge!$J$17,Charge!$J$7))))</f>
        <v>G3</v>
      </c>
      <c r="C126" s="61" t="str">
        <f>VLOOKUP(A126,'1.Loading'!A:R,14,FALSE)</f>
        <v>BKK01</v>
      </c>
      <c r="D126" s="61" t="str">
        <f>VLOOKUP(A126,'1.Loading'!A:R,17,FALSE)</f>
        <v>HASLS22260901929</v>
      </c>
      <c r="E126" s="62" t="str">
        <f>VLOOKUP(D126,'2.Bookinglist'!A:CT,27,FALSE)</f>
        <v>THAI AGRI FOODS PUBLIC COMPANY LIMITED</v>
      </c>
      <c r="F126" s="62" t="str">
        <f>VLOOKUP(D126,'2.Bookinglist'!A:CT,28,FALSE)</f>
        <v>THAI AGRI FOODS PUBLIC COMPANY LIMITED</v>
      </c>
      <c r="G126" s="60">
        <f>VLOOKUP(D126,'2.Bookinglist'!A:E,5,FALSE)</f>
        <v>0</v>
      </c>
      <c r="H126" s="61" t="str">
        <f>VLOOKUP(D126,'2.Bookinglist'!A:CT,15,FALSE)</f>
        <v>THBKK</v>
      </c>
      <c r="I126" s="61" t="str">
        <f>VLOOKUP(D126,'2.Bookinglist'!A:CT,19,FALSE)</f>
        <v>RUVVO</v>
      </c>
      <c r="J126" s="61" t="str">
        <f>VLOOKUP(D126,'2.Bookinglist'!A:CT,26,FALSE)</f>
        <v>KRPUS</v>
      </c>
      <c r="K126" s="61" t="str">
        <f>VLOOKUP(A126,'1.Loading'!A:R,5,FALSE)</f>
        <v>22GP</v>
      </c>
      <c r="L126" s="60" t="str">
        <f>VLOOKUP(D126,'2.Bookinglist'!A:CT,85,FALSE)</f>
        <v>CY/CY</v>
      </c>
      <c r="M126" s="60" t="str">
        <f>IF(VLOOKUP(D126,'2.Bookinglist'!A:CT,43,FALSE)=0,"","DG")</f>
        <v/>
      </c>
      <c r="N126" s="60" t="str">
        <f>IF(RIGHT(K126,2)="RE","RF","")</f>
        <v/>
      </c>
      <c r="O126" s="61" t="str">
        <f>VLOOKUP(A126,'1.Loading'!A:R,3,FALSE)</f>
        <v>SWIC</v>
      </c>
      <c r="P126" s="61" t="str">
        <f>VLOOKUP(A126,'1.Loading'!A:R,4,FALSE)</f>
        <v>2611N</v>
      </c>
      <c r="Q126" s="61" t="str">
        <f>VLOOKUP(D126,'2.Bookinglist'!A:CT,12,FALSE)</f>
        <v>KHS1</v>
      </c>
      <c r="R126" s="60" t="str">
        <f>IF(LEFT(K126,2)="22","20'","40'")</f>
        <v>20'</v>
      </c>
      <c r="S126" s="185" t="n"/>
      <c r="T126" s="61" t="str">
        <f>VLOOKUP(A126,'1.Loading'!A:R,2,FALSE)</f>
        <v>2026-10-16</v>
      </c>
      <c r="U126" s="63">
        <f>T126-S126</f>
        <v>46311</v>
      </c>
      <c r="V126" s="186" t="n"/>
      <c r="W126" s="61" t="str">
        <f>VLOOKUP(A126,'3.GateMove'!A:D,4,FALSE)</f>
        <v>2026-10-12</v>
      </c>
      <c r="X126" s="63">
        <f>((T126-W126)+1)</f>
        <v>5</v>
      </c>
      <c r="Y126" s="64">
        <f>IF(AND(OR(C126="BKK01",C126="BKK04"),L126="CFS/CY"),0,IF(M126="DG",1,IF(LEFT(C126,3)="LCH",7,IF(C126="BKK02",5,3))))</f>
        <v>3</v>
      </c>
      <c r="Z126" s="63">
        <f>IF(IF(AND(AC126="TML",AB126&gt;0),((T126-W126)+1)-AB126,((T126-W126)+1)-Y126)&gt;0,IF(AND(AC126="TML",AB126&gt;0),((T126-W126)+1)-AB126,((T126-W126)+1)-Y126),0)</f>
        <v>2</v>
      </c>
      <c r="AA126" s="187">
        <f>IF(AND(B126="G1",M126=""),IF(R126="20'",
VLOOKUP(Z126,Charge!$K$2:$M$5,2,TRUE)+(Z126-VLOOKUP(Z126,Charge!$K$2:$M$5,1,TRUE))*VLOOKUP(Z126,Charge!$K$2:$M$5,3,TRUE),
VLOOKUP(Z126,Charge!$N$2:$P$5,2,TRUE)+(Z126-VLOOKUP(Z126,Charge!$N$2:$P$5,1,TRUE))*VLOOKUP(Z126,Charge!$N$2:$P$5,3,TRUE)),
IF(AND(B126="G1",M126="DG"),IF(R126="20'",
VLOOKUP(Z126,Charge!$R$2:$T$5,2,TRUE)+(Z126-VLOOKUP(Z126,Charge!$R$2:$T$5,1,TRUE))*VLOOKUP(Z126,Charge!$R$2:$T$5,3,TRUE),
VLOOKUP(Z126,Charge!$U$2:$W$5,2,TRUE)+(Z126-VLOOKUP(Z126,Charge!$U$2:$W$5,1,TRUE))*VLOOKUP(Z126,Charge!$U$2:$W$5,3,TRUE)),
IF(AND(B126="G3",M126=""),IF(R126="20'",
VLOOKUP(Z126,Charge!$K$18:$M$21,2,TRUE)+(Z126-VLOOKUP(Z126,Charge!$K$18:$M$21,1,TRUE))*VLOOKUP(Z126,Charge!$K$18:$M$21,3,TRUE),
VLOOKUP(Z126,Charge!$N$18:$P$21,2,TRUE)+(Z126-VLOOKUP(Z126,Charge!$N$18:$P$21,1,TRUE))*VLOOKUP(Z126,Charge!$N$18:$P$21,3,TRUE)),
IF(AND(B126="G3",M126="DG"),IF(R126="20'",
VLOOKUP(Z126,Charge!$R$18:$T$21,2,TRUE)+(Z126-VLOOKUP(Z126,Charge!$R$18:$T$21,1,TRUE))*VLOOKUP(Z126,Charge!$R$18:$T$21,3,TRUE),
VLOOKUP(Z126,Charge!$U$18:$W$21,2,TRUE)+(Z126-VLOOKUP(Z126,Charge!$U$18:$W$21,1,TRUE))*VLOOKUP(Z126,Charge!$U$18:$W$21,3,TRUE)),
IF(AND(B126="G2",M126=""),IF(R126="20'",
VLOOKUP(Z126,Charge!$K$9:$M$12,2,TRUE)+(Z126-VLOOKUP(Z126,Charge!$K$9:$M$12,1,TRUE))*VLOOKUP(Z126,Charge!$K$9:$M$12,3,TRUE),
VLOOKUP(Z126,Charge!$N$9:$P$12,2,TRUE)+(Z126-VLOOKUP(Z126,Charge!$N$9:$P$12,1,TRUE))*VLOOKUP(Z126,Charge!$N$9:$P$12,3,TRUE)),
IF(AND(B126="G2",M126="DG"),IF(R126="20'",
VLOOKUP(Z126,Charge!$R$9:$T$12,2,TRUE)+(Z126-VLOOKUP(Z126,Charge!$R$9:$T$12,1,TRUE))*VLOOKUP(Z126,Charge!$R$9:$T$12,3,TRUE),
VLOOKUP(Z126,Charge!$U$9:$W$12,2,TRUE)+(Z126-VLOOKUP(Z126,Charge!$U$9:$W$12,1,TRUE))*VLOOKUP(Z126,Charge!$U$9:$W$12,3,TRUE)),IF(AND(B126="G4",M126=""),IF(R126="20'",Z126*Charge!$M$25,Z126*Charge!$P$25),IF(AND(B126="G4",M126="DG"),IF(R126="20'",Z126*Charge!$T$25,Z126*Charge!$W$25),0))))))))</f>
        <v>320</v>
      </c>
      <c r="AB126" s="184" t="n"/>
      <c r="AC126" s="184" t="n"/>
      <c r="AD126" s="60">
        <f>IF(M126="DG",3,IF(N126="RF",3,5))+IF(AND(LEFT(C126,3)="BKK",N126="RF",Q126="KTS"),1,0)+IF(Q126="KHS",1,0)</f>
        <v>5</v>
      </c>
      <c r="AE126" s="63">
        <f>(T126-V126)+1</f>
        <v>46312</v>
      </c>
      <c r="AF126" s="63">
        <f>IF(AB126&gt;IF((V126-W126)&gt;0,V126-W126,0),0,IF(AB126&lt;IF((V126-W126)&gt;0,V126-W126,0),IF((V126-W126)&gt;0,V126-W126,0)-AB126,IF((V126-W126)&gt;0,V126-W126,0)))</f>
        <v>0</v>
      </c>
      <c r="AG126" s="187">
        <f>IF(AND(M126=""),IF(R126="20'",
VLOOKUP(AF126,Charge!$K$31:$M$34,2,TRUE)+(AF126-VLOOKUP(AF126,Charge!$K$31:$M$34,1,TRUE))*VLOOKUP(AF126,Charge!$K$31:$M$34,3,TRUE),
VLOOKUP(AF126,Charge!$N$31:$P$34,2,TRUE)+(AF126-VLOOKUP(AF126,Charge!$N$31:$P$34,1,TRUE))*VLOOKUP(AF126,Charge!$N$31:$P$34,3,TRUE)),
IF(AND(M126="DG"),IF(R126="20'",
VLOOKUP(AF126,Charge!$R$31:$T$34,2,TRUE)+(AF126-VLOOKUP(AF126,Charge!$R$31:$T$34,1,TRUE))*VLOOKUP(AF126,Charge!$R$31:$T$34,3,TRUE),
VLOOKUP(AF126,Charge!$U$31:$W$34,2,TRUE)+(AF126-VLOOKUP(AF126,Charge!$U$31:$W$34,1,TRUE))*VLOOKUP(AF126,Charge!$U$31:$W$34,3,TRUE)),0))</f>
        <v>0</v>
      </c>
      <c r="AH126" s="65" t="n"/>
      <c r="AI126" s="65">
        <f>AA126-AH126</f>
        <v>320</v>
      </c>
      <c r="AJ126" s="188" t="n"/>
      <c r="AK126" s="62" t="str">
        <f>VLOOKUP(D126,'2.Bookinglist'!A:CT,40,FALSE)</f>
        <v>ANNA MARS</v>
      </c>
      <c r="AL126" s="60" t="str">
        <f>VLOOKUP(D126,'2.Bookinglist'!A:CW,101,FALSE)</f>
        <v>2026-10-15</v>
      </c>
      <c r="AM126" s="60" t="str">
        <f>VLOOKUP(D126,'2.Bookinglist'!A:BK,63,FALSE)</f>
        <v>BKK27</v>
      </c>
      <c r="AN126" s="62" t="str">
        <f>VLOOKUP(D126,'2.Bookinglist'!A:AZ,52,FALSE)</f>
        <v>[FIX][FIX]SWIC/2611N/10/24[FIX] Pickup : 2026-10-09, Return : 2026-10-12</v>
      </c>
      <c r="AO126" s="62">
        <f>VLOOKUP(D126,'2.Bookinglist'!A:CY,103,FALSE)</f>
        <v>0</v>
      </c>
    </row>
    <row r="127" ht="12.95" customHeight="1">
      <c r="A127" s="96" t="inlineStr">
        <is>
          <t>SKLU2060382</t>
        </is>
      </c>
      <c r="B127" s="184" t="str">
        <f>IF(C127=Charge!$M$1,Charge!$J$1,IF(C127=Charge!$M$23,Charge!$J$23,IF(C127=Charge!$M$17,Charge!$J$17,IF(C127=Charge!$N$17,Charge!$J$17,Charge!$J$7))))</f>
        <v>G3</v>
      </c>
      <c r="C127" s="61" t="str">
        <f>VLOOKUP(A127,'1.Loading'!A:R,14,FALSE)</f>
        <v>BKK01</v>
      </c>
      <c r="D127" s="61" t="str">
        <f>VLOOKUP(A127,'1.Loading'!A:R,17,FALSE)</f>
        <v>HASLS22260801865</v>
      </c>
      <c r="E127" s="62" t="str">
        <f>VLOOKUP(D127,'2.Bookinglist'!A:CT,27,FALSE)</f>
        <v>STARFISH CO., LTD.</v>
      </c>
      <c r="F127" s="62" t="str">
        <f>VLOOKUP(D127,'2.Bookinglist'!A:CT,28,FALSE)</f>
        <v>STARFISH CO., LTD.</v>
      </c>
      <c r="G127" s="60">
        <f>VLOOKUP(D127,'2.Bookinglist'!A:E,5,FALSE)</f>
        <v>0</v>
      </c>
      <c r="H127" s="61" t="str">
        <f>VLOOKUP(D127,'2.Bookinglist'!A:CT,15,FALSE)</f>
        <v>THBKK</v>
      </c>
      <c r="I127" s="61" t="str">
        <f>VLOOKUP(D127,'2.Bookinglist'!A:CT,19,FALSE)</f>
        <v>JPSEN</v>
      </c>
      <c r="J127" s="61" t="str">
        <f>VLOOKUP(D127,'2.Bookinglist'!A:CT,26,FALSE)</f>
        <v>KRPUS</v>
      </c>
      <c r="K127" s="61" t="str">
        <f>VLOOKUP(A127,'1.Loading'!A:R,5,FALSE)</f>
        <v>22GP</v>
      </c>
      <c r="L127" s="60" t="str">
        <f>VLOOKUP(D127,'2.Bookinglist'!A:CT,85,FALSE)</f>
        <v>CY/CY</v>
      </c>
      <c r="M127" s="60" t="str">
        <f>IF(VLOOKUP(D127,'2.Bookinglist'!A:CT,43,FALSE)=0,"","DG")</f>
        <v/>
      </c>
      <c r="N127" s="60" t="str">
        <f>IF(RIGHT(K127,2)="RE","RF","")</f>
        <v/>
      </c>
      <c r="O127" s="61" t="str">
        <f>VLOOKUP(A127,'1.Loading'!A:R,3,FALSE)</f>
        <v>SWIC</v>
      </c>
      <c r="P127" s="61" t="str">
        <f>VLOOKUP(A127,'1.Loading'!A:R,4,FALSE)</f>
        <v>2611N</v>
      </c>
      <c r="Q127" s="61" t="str">
        <f>VLOOKUP(D127,'2.Bookinglist'!A:CT,12,FALSE)</f>
        <v>KHS1</v>
      </c>
      <c r="R127" s="60" t="str">
        <f>IF(LEFT(K127,2)="22","20'","40'")</f>
        <v>20'</v>
      </c>
      <c r="S127" s="185" t="n"/>
      <c r="T127" s="61" t="str">
        <f>VLOOKUP(A127,'1.Loading'!A:R,2,FALSE)</f>
        <v>2026-10-16</v>
      </c>
      <c r="U127" s="63">
        <f>T127-S127</f>
        <v>46311</v>
      </c>
      <c r="V127" s="186" t="n"/>
      <c r="W127" s="61" t="str">
        <f>VLOOKUP(A127,'3.GateMove'!A:D,4,FALSE)</f>
        <v>2026-10-03</v>
      </c>
      <c r="X127" s="63">
        <f>((T127-W127)+1)</f>
        <v>14</v>
      </c>
      <c r="Y127" s="64">
        <f>IF(AND(OR(C127="BKK01",C127="BKK04"),L127="CFS/CY"),0,IF(M127="DG",1,IF(LEFT(C127,3)="LCH",7,IF(C127="BKK02",5,3))))</f>
        <v>3</v>
      </c>
      <c r="Z127" s="63">
        <f>IF(IF(AND(AC127="TML",AB127&gt;0),((T127-W127)+1)-AB127,((T127-W127)+1)-Y127)&gt;0,IF(AND(AC127="TML",AB127&gt;0),((T127-W127)+1)-AB127,((T127-W127)+1)-Y127),0)</f>
        <v>11</v>
      </c>
      <c r="AA127" s="187">
        <f>IF(AND(B127="G1",M127=""),IF(R127="20'",
VLOOKUP(Z127,Charge!$K$2:$M$5,2,TRUE)+(Z127-VLOOKUP(Z127,Charge!$K$2:$M$5,1,TRUE))*VLOOKUP(Z127,Charge!$K$2:$M$5,3,TRUE),
VLOOKUP(Z127,Charge!$N$2:$P$5,2,TRUE)+(Z127-VLOOKUP(Z127,Charge!$N$2:$P$5,1,TRUE))*VLOOKUP(Z127,Charge!$N$2:$P$5,3,TRUE)),
IF(AND(B127="G1",M127="DG"),IF(R127="20'",
VLOOKUP(Z127,Charge!$R$2:$T$5,2,TRUE)+(Z127-VLOOKUP(Z127,Charge!$R$2:$T$5,1,TRUE))*VLOOKUP(Z127,Charge!$R$2:$T$5,3,TRUE),
VLOOKUP(Z127,Charge!$U$2:$W$5,2,TRUE)+(Z127-VLOOKUP(Z127,Charge!$U$2:$W$5,1,TRUE))*VLOOKUP(Z127,Charge!$U$2:$W$5,3,TRUE)),
IF(AND(B127="G3",M127=""),IF(R127="20'",
VLOOKUP(Z127,Charge!$K$18:$M$21,2,TRUE)+(Z127-VLOOKUP(Z127,Charge!$K$18:$M$21,1,TRUE))*VLOOKUP(Z127,Charge!$K$18:$M$21,3,TRUE),
VLOOKUP(Z127,Charge!$N$18:$P$21,2,TRUE)+(Z127-VLOOKUP(Z127,Charge!$N$18:$P$21,1,TRUE))*VLOOKUP(Z127,Charge!$N$18:$P$21,3,TRUE)),
IF(AND(B127="G3",M127="DG"),IF(R127="20'",
VLOOKUP(Z127,Charge!$R$18:$T$21,2,TRUE)+(Z127-VLOOKUP(Z127,Charge!$R$18:$T$21,1,TRUE))*VLOOKUP(Z127,Charge!$R$18:$T$21,3,TRUE),
VLOOKUP(Z127,Charge!$U$18:$W$21,2,TRUE)+(Z127-VLOOKUP(Z127,Charge!$U$18:$W$21,1,TRUE))*VLOOKUP(Z127,Charge!$U$18:$W$21,3,TRUE)),
IF(AND(B127="G2",M127=""),IF(R127="20'",
VLOOKUP(Z127,Charge!$K$9:$M$12,2,TRUE)+(Z127-VLOOKUP(Z127,Charge!$K$9:$M$12,1,TRUE))*VLOOKUP(Z127,Charge!$K$9:$M$12,3,TRUE),
VLOOKUP(Z127,Charge!$N$9:$P$12,2,TRUE)+(Z127-VLOOKUP(Z127,Charge!$N$9:$P$12,1,TRUE))*VLOOKUP(Z127,Charge!$N$9:$P$12,3,TRUE)),
IF(AND(B127="G2",M127="DG"),IF(R127="20'",
VLOOKUP(Z127,Charge!$R$9:$T$12,2,TRUE)+(Z127-VLOOKUP(Z127,Charge!$R$9:$T$12,1,TRUE))*VLOOKUP(Z127,Charge!$R$9:$T$12,3,TRUE),
VLOOKUP(Z127,Charge!$U$9:$W$12,2,TRUE)+(Z127-VLOOKUP(Z127,Charge!$U$9:$W$12,1,TRUE))*VLOOKUP(Z127,Charge!$U$9:$W$12,3,TRUE)),IF(AND(B127="G4",M127=""),IF(R127="20'",Z127*Charge!$M$25,Z127*Charge!$P$25),IF(AND(B127="G4",M127="DG"),IF(R127="20'",Z127*Charge!$T$25,Z127*Charge!$W$25),0))))))))</f>
        <v>2220</v>
      </c>
      <c r="AB127" s="184" t="n"/>
      <c r="AC127" s="184" t="n"/>
      <c r="AD127" s="60">
        <f>IF(M127="DG",3,IF(N127="RF",3,5))+IF(AND(LEFT(C127,3)="BKK",N127="RF",Q127="KTS"),1,0)+IF(Q127="KHS",1,0)</f>
        <v>5</v>
      </c>
      <c r="AE127" s="63">
        <f>(T127-V127)+1</f>
        <v>46312</v>
      </c>
      <c r="AF127" s="63">
        <f>IF(AB127&gt;IF((V127-W127)&gt;0,V127-W127,0),0,IF(AB127&lt;IF((V127-W127)&gt;0,V127-W127,0),IF((V127-W127)&gt;0,V127-W127,0)-AB127,IF((V127-W127)&gt;0,V127-W127,0)))</f>
        <v>0</v>
      </c>
      <c r="AG127" s="187">
        <f>IF(AND(M127=""),IF(R127="20'",
VLOOKUP(AF127,Charge!$K$31:$M$34,2,TRUE)+(AF127-VLOOKUP(AF127,Charge!$K$31:$M$34,1,TRUE))*VLOOKUP(AF127,Charge!$K$31:$M$34,3,TRUE),
VLOOKUP(AF127,Charge!$N$31:$P$34,2,TRUE)+(AF127-VLOOKUP(AF127,Charge!$N$31:$P$34,1,TRUE))*VLOOKUP(AF127,Charge!$N$31:$P$34,3,TRUE)),
IF(AND(M127="DG"),IF(R127="20'",
VLOOKUP(AF127,Charge!$R$31:$T$34,2,TRUE)+(AF127-VLOOKUP(AF127,Charge!$R$31:$T$34,1,TRUE))*VLOOKUP(AF127,Charge!$R$31:$T$34,3,TRUE),
VLOOKUP(AF127,Charge!$U$31:$W$34,2,TRUE)+(AF127-VLOOKUP(AF127,Charge!$U$31:$W$34,1,TRUE))*VLOOKUP(AF127,Charge!$U$31:$W$34,3,TRUE)),0))</f>
        <v>0</v>
      </c>
      <c r="AH127" s="65" t="n"/>
      <c r="AI127" s="65">
        <f>AA127-AH127</f>
        <v>2220</v>
      </c>
      <c r="AJ127" s="188" t="n"/>
      <c r="AK127" s="62" t="str">
        <f>VLOOKUP(D127,'2.Bookinglist'!A:CT,40,FALSE)</f>
        <v>Dharaporn</v>
      </c>
      <c r="AL127" s="60" t="str">
        <f>VLOOKUP(D127,'2.Bookinglist'!A:CW,101,FALSE)</f>
        <v>2026-10-15</v>
      </c>
      <c r="AM127" s="60" t="str">
        <f>VLOOKUP(D127,'2.Bookinglist'!A:BK,63,FALSE)</f>
        <v>BKK27</v>
      </c>
      <c r="AN127" s="62" t="str">
        <f>VLOOKUP(D127,'2.Bookinglist'!A:AZ,52,FALSE)</f>
        <v>[FIX]Pickup : 2026-10-02, Return : 2026-10-03</v>
      </c>
      <c r="AO127" s="62" t="str">
        <f>VLOOKUP(D127,'2.Bookinglist'!A:CY,103,FALSE)</f>
        <v>ROLL OVER FROM PREVIOUS VSL SWSP 2609N BY ALLOCATON TEAM MS.TARN APPROVED COST IS UNDER HA DD.4/10</v>
      </c>
    </row>
    <row r="128" ht="12.95" customHeight="1">
      <c r="A128" s="96" t="inlineStr">
        <is>
          <t>SKLU2120603</t>
        </is>
      </c>
      <c r="B128" s="184" t="str">
        <f>IF(C128=Charge!$M$1,Charge!$J$1,IF(C128=Charge!$M$23,Charge!$J$23,IF(C128=Charge!$M$17,Charge!$J$17,IF(C128=Charge!$N$17,Charge!$J$17,Charge!$J$7))))</f>
        <v>G3</v>
      </c>
      <c r="C128" s="61" t="str">
        <f>VLOOKUP(A128,'1.Loading'!A:R,14,FALSE)</f>
        <v>BKK01</v>
      </c>
      <c r="D128" s="61" t="str">
        <f>VLOOKUP(A128,'1.Loading'!A:R,17,FALSE)</f>
        <v>HASLS22260801865</v>
      </c>
      <c r="E128" s="62" t="str">
        <f>VLOOKUP(D128,'2.Bookinglist'!A:CT,27,FALSE)</f>
        <v>STARFISH CO., LTD.</v>
      </c>
      <c r="F128" s="62" t="str">
        <f>VLOOKUP(D128,'2.Bookinglist'!A:CT,28,FALSE)</f>
        <v>STARFISH CO., LTD.</v>
      </c>
      <c r="G128" s="60">
        <f>VLOOKUP(D128,'2.Bookinglist'!A:E,5,FALSE)</f>
        <v>0</v>
      </c>
      <c r="H128" s="61" t="str">
        <f>VLOOKUP(D128,'2.Bookinglist'!A:CT,15,FALSE)</f>
        <v>THBKK</v>
      </c>
      <c r="I128" s="61" t="str">
        <f>VLOOKUP(D128,'2.Bookinglist'!A:CT,19,FALSE)</f>
        <v>JPSEN</v>
      </c>
      <c r="J128" s="61" t="str">
        <f>VLOOKUP(D128,'2.Bookinglist'!A:CT,26,FALSE)</f>
        <v>KRPUS</v>
      </c>
      <c r="K128" s="61" t="str">
        <f>VLOOKUP(A128,'1.Loading'!A:R,5,FALSE)</f>
        <v>22GP</v>
      </c>
      <c r="L128" s="60" t="str">
        <f>VLOOKUP(D128,'2.Bookinglist'!A:CT,85,FALSE)</f>
        <v>CY/CY</v>
      </c>
      <c r="M128" s="60" t="str">
        <f>IF(VLOOKUP(D128,'2.Bookinglist'!A:CT,43,FALSE)=0,"","DG")</f>
        <v/>
      </c>
      <c r="N128" s="60" t="str">
        <f>IF(RIGHT(K128,2)="RE","RF","")</f>
        <v/>
      </c>
      <c r="O128" s="61" t="str">
        <f>VLOOKUP(A128,'1.Loading'!A:R,3,FALSE)</f>
        <v>SWIC</v>
      </c>
      <c r="P128" s="61" t="str">
        <f>VLOOKUP(A128,'1.Loading'!A:R,4,FALSE)</f>
        <v>2611N</v>
      </c>
      <c r="Q128" s="61" t="str">
        <f>VLOOKUP(D128,'2.Bookinglist'!A:CT,12,FALSE)</f>
        <v>KHS1</v>
      </c>
      <c r="R128" s="60" t="str">
        <f>IF(LEFT(K128,2)="22","20'","40'")</f>
        <v>20'</v>
      </c>
      <c r="S128" s="185" t="n"/>
      <c r="T128" s="61" t="str">
        <f>VLOOKUP(A128,'1.Loading'!A:R,2,FALSE)</f>
        <v>2026-10-16</v>
      </c>
      <c r="U128" s="63">
        <f>T128-S128</f>
        <v>46311</v>
      </c>
      <c r="V128" s="186" t="n"/>
      <c r="W128" s="61" t="str">
        <f>VLOOKUP(A128,'3.GateMove'!A:D,4,FALSE)</f>
        <v>2026-10-03</v>
      </c>
      <c r="X128" s="63">
        <f>((T128-W128)+1)</f>
        <v>14</v>
      </c>
      <c r="Y128" s="64">
        <f>IF(AND(OR(C128="BKK01",C128="BKK04"),L128="CFS/CY"),0,IF(M128="DG",1,IF(LEFT(C128,3)="LCH",7,IF(C128="BKK02",5,3))))</f>
        <v>3</v>
      </c>
      <c r="Z128" s="63">
        <f>IF(IF(AND(AC128="TML",AB128&gt;0),((T128-W128)+1)-AB128,((T128-W128)+1)-Y128)&gt;0,IF(AND(AC128="TML",AB128&gt;0),((T128-W128)+1)-AB128,((T128-W128)+1)-Y128),0)</f>
        <v>11</v>
      </c>
      <c r="AA128" s="187">
        <f>IF(AND(B128="G1",M128=""),IF(R128="20'",
VLOOKUP(Z128,Charge!$K$2:$M$5,2,TRUE)+(Z128-VLOOKUP(Z128,Charge!$K$2:$M$5,1,TRUE))*VLOOKUP(Z128,Charge!$K$2:$M$5,3,TRUE),
VLOOKUP(Z128,Charge!$N$2:$P$5,2,TRUE)+(Z128-VLOOKUP(Z128,Charge!$N$2:$P$5,1,TRUE))*VLOOKUP(Z128,Charge!$N$2:$P$5,3,TRUE)),
IF(AND(B128="G1",M128="DG"),IF(R128="20'",
VLOOKUP(Z128,Charge!$R$2:$T$5,2,TRUE)+(Z128-VLOOKUP(Z128,Charge!$R$2:$T$5,1,TRUE))*VLOOKUP(Z128,Charge!$R$2:$T$5,3,TRUE),
VLOOKUP(Z128,Charge!$U$2:$W$5,2,TRUE)+(Z128-VLOOKUP(Z128,Charge!$U$2:$W$5,1,TRUE))*VLOOKUP(Z128,Charge!$U$2:$W$5,3,TRUE)),
IF(AND(B128="G3",M128=""),IF(R128="20'",
VLOOKUP(Z128,Charge!$K$18:$M$21,2,TRUE)+(Z128-VLOOKUP(Z128,Charge!$K$18:$M$21,1,TRUE))*VLOOKUP(Z128,Charge!$K$18:$M$21,3,TRUE),
VLOOKUP(Z128,Charge!$N$18:$P$21,2,TRUE)+(Z128-VLOOKUP(Z128,Charge!$N$18:$P$21,1,TRUE))*VLOOKUP(Z128,Charge!$N$18:$P$21,3,TRUE)),
IF(AND(B128="G3",M128="DG"),IF(R128="20'",
VLOOKUP(Z128,Charge!$R$18:$T$21,2,TRUE)+(Z128-VLOOKUP(Z128,Charge!$R$18:$T$21,1,TRUE))*VLOOKUP(Z128,Charge!$R$18:$T$21,3,TRUE),
VLOOKUP(Z128,Charge!$U$18:$W$21,2,TRUE)+(Z128-VLOOKUP(Z128,Charge!$U$18:$W$21,1,TRUE))*VLOOKUP(Z128,Charge!$U$18:$W$21,3,TRUE)),
IF(AND(B128="G2",M128=""),IF(R128="20'",
VLOOKUP(Z128,Charge!$K$9:$M$12,2,TRUE)+(Z128-VLOOKUP(Z128,Charge!$K$9:$M$12,1,TRUE))*VLOOKUP(Z128,Charge!$K$9:$M$12,3,TRUE),
VLOOKUP(Z128,Charge!$N$9:$P$12,2,TRUE)+(Z128-VLOOKUP(Z128,Charge!$N$9:$P$12,1,TRUE))*VLOOKUP(Z128,Charge!$N$9:$P$12,3,TRUE)),
IF(AND(B128="G2",M128="DG"),IF(R128="20'",
VLOOKUP(Z128,Charge!$R$9:$T$12,2,TRUE)+(Z128-VLOOKUP(Z128,Charge!$R$9:$T$12,1,TRUE))*VLOOKUP(Z128,Charge!$R$9:$T$12,3,TRUE),
VLOOKUP(Z128,Charge!$U$9:$W$12,2,TRUE)+(Z128-VLOOKUP(Z128,Charge!$U$9:$W$12,1,TRUE))*VLOOKUP(Z128,Charge!$U$9:$W$12,3,TRUE)),IF(AND(B128="G4",M128=""),IF(R128="20'",Z128*Charge!$M$25,Z128*Charge!$P$25),IF(AND(B128="G4",M128="DG"),IF(R128="20'",Z128*Charge!$T$25,Z128*Charge!$W$25),0))))))))</f>
        <v>2220</v>
      </c>
      <c r="AB128" s="184" t="n"/>
      <c r="AC128" s="184" t="n"/>
      <c r="AD128" s="60">
        <f>IF(M128="DG",3,IF(N128="RF",3,5))+IF(AND(LEFT(C128,3)="BKK",N128="RF",Q128="KTS"),1,0)+IF(Q128="KHS",1,0)</f>
        <v>5</v>
      </c>
      <c r="AE128" s="63">
        <f>(T128-V128)+1</f>
        <v>46312</v>
      </c>
      <c r="AF128" s="63">
        <f>IF(AB128&gt;IF((V128-W128)&gt;0,V128-W128,0),0,IF(AB128&lt;IF((V128-W128)&gt;0,V128-W128,0),IF((V128-W128)&gt;0,V128-W128,0)-AB128,IF((V128-W128)&gt;0,V128-W128,0)))</f>
        <v>0</v>
      </c>
      <c r="AG128" s="187">
        <f>IF(AND(M128=""),IF(R128="20'",
VLOOKUP(AF128,Charge!$K$31:$M$34,2,TRUE)+(AF128-VLOOKUP(AF128,Charge!$K$31:$M$34,1,TRUE))*VLOOKUP(AF128,Charge!$K$31:$M$34,3,TRUE),
VLOOKUP(AF128,Charge!$N$31:$P$34,2,TRUE)+(AF128-VLOOKUP(AF128,Charge!$N$31:$P$34,1,TRUE))*VLOOKUP(AF128,Charge!$N$31:$P$34,3,TRUE)),
IF(AND(M128="DG"),IF(R128="20'",
VLOOKUP(AF128,Charge!$R$31:$T$34,2,TRUE)+(AF128-VLOOKUP(AF128,Charge!$R$31:$T$34,1,TRUE))*VLOOKUP(AF128,Charge!$R$31:$T$34,3,TRUE),
VLOOKUP(AF128,Charge!$U$31:$W$34,2,TRUE)+(AF128-VLOOKUP(AF128,Charge!$U$31:$W$34,1,TRUE))*VLOOKUP(AF128,Charge!$U$31:$W$34,3,TRUE)),0))</f>
        <v>0</v>
      </c>
      <c r="AH128" s="65" t="n"/>
      <c r="AI128" s="65">
        <f>AA128-AH128</f>
        <v>2220</v>
      </c>
      <c r="AJ128" s="188" t="n"/>
      <c r="AK128" s="62" t="str">
        <f>VLOOKUP(D128,'2.Bookinglist'!A:CT,40,FALSE)</f>
        <v>Dharaporn</v>
      </c>
      <c r="AL128" s="60" t="str">
        <f>VLOOKUP(D128,'2.Bookinglist'!A:CW,101,FALSE)</f>
        <v>2026-10-15</v>
      </c>
      <c r="AM128" s="60" t="str">
        <f>VLOOKUP(D128,'2.Bookinglist'!A:BK,63,FALSE)</f>
        <v>BKK27</v>
      </c>
      <c r="AN128" s="62" t="str">
        <f>VLOOKUP(D128,'2.Bookinglist'!A:AZ,52,FALSE)</f>
        <v>[FIX]Pickup : 2026-10-02, Return : 2026-10-03</v>
      </c>
      <c r="AO128" s="62" t="str">
        <f>VLOOKUP(D128,'2.Bookinglist'!A:CY,103,FALSE)</f>
        <v>ROLL OVER FROM PREVIOUS VSL SWSP 2609N BY ALLOCATON TEAM MS.TARN APPROVED COST IS UNDER HA DD.4/10</v>
      </c>
    </row>
    <row r="129" ht="12.95" customHeight="1">
      <c r="A129" s="96" t="inlineStr">
        <is>
          <t>SKLU2318815</t>
        </is>
      </c>
      <c r="B129" s="184" t="str">
        <f>IF(C129=Charge!$M$1,Charge!$J$1,IF(C129=Charge!$M$23,Charge!$J$23,IF(C129=Charge!$M$17,Charge!$J$17,IF(C129=Charge!$N$17,Charge!$J$17,Charge!$J$7))))</f>
        <v>G3</v>
      </c>
      <c r="C129" s="61" t="str">
        <f>VLOOKUP(A129,'1.Loading'!A:R,14,FALSE)</f>
        <v>BKK01</v>
      </c>
      <c r="D129" s="61" t="str">
        <f>VLOOKUP(A129,'1.Loading'!A:R,17,FALSE)</f>
        <v>HASLS22260901974</v>
      </c>
      <c r="E129" s="62" t="str">
        <f>VLOOKUP(D129,'2.Bookinglist'!A:CT,27,FALSE)</f>
        <v>SCGJWD LOGISTICS PUBLIC COMPANY LIMITED</v>
      </c>
      <c r="F129" s="62" t="str">
        <f>VLOOKUP(D129,'2.Bookinglist'!A:CT,28,FALSE)</f>
        <v>SCG INTERNATIONAL CORPORATION CO., LTD.</v>
      </c>
      <c r="G129" s="60">
        <f>VLOOKUP(D129,'2.Bookinglist'!A:E,5,FALSE)</f>
        <v>0</v>
      </c>
      <c r="H129" s="61" t="str">
        <f>VLOOKUP(D129,'2.Bookinglist'!A:CT,15,FALSE)</f>
        <v>THBKK</v>
      </c>
      <c r="I129" s="61" t="str">
        <f>VLOOKUP(D129,'2.Bookinglist'!A:CT,19,FALSE)</f>
        <v>JPIYM</v>
      </c>
      <c r="J129" s="61" t="str">
        <f>VLOOKUP(D129,'2.Bookinglist'!A:CT,26,FALSE)</f>
        <v>KRPUS</v>
      </c>
      <c r="K129" s="61" t="str">
        <f>VLOOKUP(A129,'1.Loading'!A:R,5,FALSE)</f>
        <v>22GP</v>
      </c>
      <c r="L129" s="60" t="str">
        <f>VLOOKUP(D129,'2.Bookinglist'!A:CT,85,FALSE)</f>
        <v>CY/CY</v>
      </c>
      <c r="M129" s="60" t="str">
        <f>IF(VLOOKUP(D129,'2.Bookinglist'!A:CT,43,FALSE)=0,"","DG")</f>
        <v/>
      </c>
      <c r="N129" s="60" t="str">
        <f>IF(RIGHT(K129,2)="RE","RF","")</f>
        <v/>
      </c>
      <c r="O129" s="61" t="str">
        <f>VLOOKUP(A129,'1.Loading'!A:R,3,FALSE)</f>
        <v>SWIC</v>
      </c>
      <c r="P129" s="61" t="str">
        <f>VLOOKUP(A129,'1.Loading'!A:R,4,FALSE)</f>
        <v>2611N</v>
      </c>
      <c r="Q129" s="61" t="str">
        <f>VLOOKUP(D129,'2.Bookinglist'!A:CT,12,FALSE)</f>
        <v>KHS1</v>
      </c>
      <c r="R129" s="60" t="str">
        <f>IF(LEFT(K129,2)="22","20'","40'")</f>
        <v>20'</v>
      </c>
      <c r="S129" s="185" t="n"/>
      <c r="T129" s="61" t="str">
        <f>VLOOKUP(A129,'1.Loading'!A:R,2,FALSE)</f>
        <v>2026-10-16</v>
      </c>
      <c r="U129" s="63">
        <f>T129-S129</f>
        <v>46311</v>
      </c>
      <c r="V129" s="186" t="n"/>
      <c r="W129" s="61" t="str">
        <f>VLOOKUP(A129,'3.GateMove'!A:D,4,FALSE)</f>
        <v>2026-10-03</v>
      </c>
      <c r="X129" s="63">
        <f>((T129-W129)+1)</f>
        <v>14</v>
      </c>
      <c r="Y129" s="64">
        <f>IF(AND(OR(C129="BKK01",C129="BKK04"),L129="CFS/CY"),0,IF(M129="DG",1,IF(LEFT(C129,3)="LCH",7,IF(C129="BKK02",5,3))))</f>
        <v>3</v>
      </c>
      <c r="Z129" s="63">
        <f>IF(IF(AND(AC129="TML",AB129&gt;0),((T129-W129)+1)-AB129,((T129-W129)+1)-Y129)&gt;0,IF(AND(AC129="TML",AB129&gt;0),((T129-W129)+1)-AB129,((T129-W129)+1)-Y129),0)</f>
        <v>11</v>
      </c>
      <c r="AA129" s="187">
        <f>IF(AND(B129="G1",M129=""),IF(R129="20'",
VLOOKUP(Z129,Charge!$K$2:$M$5,2,TRUE)+(Z129-VLOOKUP(Z129,Charge!$K$2:$M$5,1,TRUE))*VLOOKUP(Z129,Charge!$K$2:$M$5,3,TRUE),
VLOOKUP(Z129,Charge!$N$2:$P$5,2,TRUE)+(Z129-VLOOKUP(Z129,Charge!$N$2:$P$5,1,TRUE))*VLOOKUP(Z129,Charge!$N$2:$P$5,3,TRUE)),
IF(AND(B129="G1",M129="DG"),IF(R129="20'",
VLOOKUP(Z129,Charge!$R$2:$T$5,2,TRUE)+(Z129-VLOOKUP(Z129,Charge!$R$2:$T$5,1,TRUE))*VLOOKUP(Z129,Charge!$R$2:$T$5,3,TRUE),
VLOOKUP(Z129,Charge!$U$2:$W$5,2,TRUE)+(Z129-VLOOKUP(Z129,Charge!$U$2:$W$5,1,TRUE))*VLOOKUP(Z129,Charge!$U$2:$W$5,3,TRUE)),
IF(AND(B129="G3",M129=""),IF(R129="20'",
VLOOKUP(Z129,Charge!$K$18:$M$21,2,TRUE)+(Z129-VLOOKUP(Z129,Charge!$K$18:$M$21,1,TRUE))*VLOOKUP(Z129,Charge!$K$18:$M$21,3,TRUE),
VLOOKUP(Z129,Charge!$N$18:$P$21,2,TRUE)+(Z129-VLOOKUP(Z129,Charge!$N$18:$P$21,1,TRUE))*VLOOKUP(Z129,Charge!$N$18:$P$21,3,TRUE)),
IF(AND(B129="G3",M129="DG"),IF(R129="20'",
VLOOKUP(Z129,Charge!$R$18:$T$21,2,TRUE)+(Z129-VLOOKUP(Z129,Charge!$R$18:$T$21,1,TRUE))*VLOOKUP(Z129,Charge!$R$18:$T$21,3,TRUE),
VLOOKUP(Z129,Charge!$U$18:$W$21,2,TRUE)+(Z129-VLOOKUP(Z129,Charge!$U$18:$W$21,1,TRUE))*VLOOKUP(Z129,Charge!$U$18:$W$21,3,TRUE)),
IF(AND(B129="G2",M129=""),IF(R129="20'",
VLOOKUP(Z129,Charge!$K$9:$M$12,2,TRUE)+(Z129-VLOOKUP(Z129,Charge!$K$9:$M$12,1,TRUE))*VLOOKUP(Z129,Charge!$K$9:$M$12,3,TRUE),
VLOOKUP(Z129,Charge!$N$9:$P$12,2,TRUE)+(Z129-VLOOKUP(Z129,Charge!$N$9:$P$12,1,TRUE))*VLOOKUP(Z129,Charge!$N$9:$P$12,3,TRUE)),
IF(AND(B129="G2",M129="DG"),IF(R129="20'",
VLOOKUP(Z129,Charge!$R$9:$T$12,2,TRUE)+(Z129-VLOOKUP(Z129,Charge!$R$9:$T$12,1,TRUE))*VLOOKUP(Z129,Charge!$R$9:$T$12,3,TRUE),
VLOOKUP(Z129,Charge!$U$9:$W$12,2,TRUE)+(Z129-VLOOKUP(Z129,Charge!$U$9:$W$12,1,TRUE))*VLOOKUP(Z129,Charge!$U$9:$W$12,3,TRUE)),IF(AND(B129="G4",M129=""),IF(R129="20'",Z129*Charge!$M$25,Z129*Charge!$P$25),IF(AND(B129="G4",M129="DG"),IF(R129="20'",Z129*Charge!$T$25,Z129*Charge!$W$25),0))))))))</f>
        <v>2220</v>
      </c>
      <c r="AB129" s="184" t="n"/>
      <c r="AC129" s="184" t="n"/>
      <c r="AD129" s="60">
        <f>IF(M129="DG",3,IF(N129="RF",3,5))+IF(AND(LEFT(C129,3)="BKK",N129="RF",Q129="KTS"),1,0)+IF(Q129="KHS",1,0)</f>
        <v>5</v>
      </c>
      <c r="AE129" s="63">
        <f>(T129-V129)+1</f>
        <v>46312</v>
      </c>
      <c r="AF129" s="63">
        <f>IF(AB129&gt;IF((V129-W129)&gt;0,V129-W129,0),0,IF(AB129&lt;IF((V129-W129)&gt;0,V129-W129,0),IF((V129-W129)&gt;0,V129-W129,0)-AB129,IF((V129-W129)&gt;0,V129-W129,0)))</f>
        <v>0</v>
      </c>
      <c r="AG129" s="187">
        <f>IF(AND(M129=""),IF(R129="20'",
VLOOKUP(AF129,Charge!$K$31:$M$34,2,TRUE)+(AF129-VLOOKUP(AF129,Charge!$K$31:$M$34,1,TRUE))*VLOOKUP(AF129,Charge!$K$31:$M$34,3,TRUE),
VLOOKUP(AF129,Charge!$N$31:$P$34,2,TRUE)+(AF129-VLOOKUP(AF129,Charge!$N$31:$P$34,1,TRUE))*VLOOKUP(AF129,Charge!$N$31:$P$34,3,TRUE)),
IF(AND(M129="DG"),IF(R129="20'",
VLOOKUP(AF129,Charge!$R$31:$T$34,2,TRUE)+(AF129-VLOOKUP(AF129,Charge!$R$31:$T$34,1,TRUE))*VLOOKUP(AF129,Charge!$R$31:$T$34,3,TRUE),
VLOOKUP(AF129,Charge!$U$31:$W$34,2,TRUE)+(AF129-VLOOKUP(AF129,Charge!$U$31:$W$34,1,TRUE))*VLOOKUP(AF129,Charge!$U$31:$W$34,3,TRUE)),0))</f>
        <v>0</v>
      </c>
      <c r="AH129" s="65" t="n"/>
      <c r="AI129" s="65">
        <f>AA129-AH129</f>
        <v>2220</v>
      </c>
      <c r="AJ129" s="188" t="n"/>
      <c r="AK129" s="62" t="str">
        <f>VLOOKUP(D129,'2.Bookinglist'!A:CT,40,FALSE)</f>
        <v>Kanokporn</v>
      </c>
      <c r="AL129" s="60" t="str">
        <f>VLOOKUP(D129,'2.Bookinglist'!A:CW,101,FALSE)</f>
        <v>2026-10-15</v>
      </c>
      <c r="AM129" s="60" t="str">
        <f>VLOOKUP(D129,'2.Bookinglist'!A:BK,63,FALSE)</f>
        <v>BKK27</v>
      </c>
      <c r="AN129" s="62" t="str">
        <f>VLOOKUP(D129,'2.Bookinglist'!A:AZ,52,FALSE)</f>
        <v>[FIX]CY 01/10/26 , RTN 03/10/26 (JB2609183605 )1ST RETURN 03/10/26</v>
      </c>
      <c r="AO129" s="62" t="str">
        <f>VLOOKUP(D129,'2.Bookinglist'!A:CY,103,FALSE)</f>
        <v>ROLL OVER FROM PREVIOUS VSL SWSP 2609N BY ALLOCATION TEAM MS.TARN APPROVED COST IS UNDER HA DD.4/10</v>
      </c>
    </row>
    <row r="130" ht="12.95" customHeight="1">
      <c r="A130" s="96" t="inlineStr">
        <is>
          <t>SKLU2323690</t>
        </is>
      </c>
      <c r="B130" s="184" t="str">
        <f>IF(C130=Charge!$M$1,Charge!$J$1,IF(C130=Charge!$M$23,Charge!$J$23,IF(C130=Charge!$M$17,Charge!$J$17,IF(C130=Charge!$N$17,Charge!$J$17,Charge!$J$7))))</f>
        <v>G3</v>
      </c>
      <c r="C130" s="61" t="str">
        <f>VLOOKUP(A130,'1.Loading'!A:R,14,FALSE)</f>
        <v>BKK01</v>
      </c>
      <c r="D130" s="61" t="str">
        <f>VLOOKUP(A130,'1.Loading'!A:R,17,FALSE)</f>
        <v>HASLS22260900657</v>
      </c>
      <c r="E130" s="62" t="str">
        <f>VLOOKUP(D130,'2.Bookinglist'!A:CT,27,FALSE)</f>
        <v>ORIENT STAR INTERNATIONAL LOGISTICS CO., LTD.</v>
      </c>
      <c r="F130" s="62" t="str">
        <f>VLOOKUP(D130,'2.Bookinglist'!A:CT,28,FALSE)</f>
        <v>WIDE WATER GATE CO.,LTD</v>
      </c>
      <c r="G130" s="60">
        <f>VLOOKUP(D130,'2.Bookinglist'!A:E,5,FALSE)</f>
        <v>0</v>
      </c>
      <c r="H130" s="61" t="str">
        <f>VLOOKUP(D130,'2.Bookinglist'!A:CT,15,FALSE)</f>
        <v>THBKK</v>
      </c>
      <c r="I130" s="61" t="str">
        <f>VLOOKUP(D130,'2.Bookinglist'!A:CT,19,FALSE)</f>
        <v>KRPUS</v>
      </c>
      <c r="J130" s="61">
        <f>VLOOKUP(D130,'2.Bookinglist'!A:CT,26,FALSE)</f>
        <v>0</v>
      </c>
      <c r="K130" s="61" t="str">
        <f>VLOOKUP(A130,'1.Loading'!A:R,5,FALSE)</f>
        <v>22GP</v>
      </c>
      <c r="L130" s="60" t="str">
        <f>VLOOKUP(D130,'2.Bookinglist'!A:CT,85,FALSE)</f>
        <v>CY/CY</v>
      </c>
      <c r="M130" s="60" t="str">
        <f>IF(VLOOKUP(D130,'2.Bookinglist'!A:CT,43,FALSE)=0,"","DG")</f>
        <v/>
      </c>
      <c r="N130" s="60" t="str">
        <f>IF(RIGHT(K130,2)="RE","RF","")</f>
        <v/>
      </c>
      <c r="O130" s="61" t="str">
        <f>VLOOKUP(A130,'1.Loading'!A:R,3,FALSE)</f>
        <v>SWIC</v>
      </c>
      <c r="P130" s="61" t="str">
        <f>VLOOKUP(A130,'1.Loading'!A:R,4,FALSE)</f>
        <v>2611N</v>
      </c>
      <c r="Q130" s="61" t="str">
        <f>VLOOKUP(D130,'2.Bookinglist'!A:CT,12,FALSE)</f>
        <v>KHS1</v>
      </c>
      <c r="R130" s="60" t="str">
        <f>IF(LEFT(K130,2)="22","20'","40'")</f>
        <v>20'</v>
      </c>
      <c r="S130" s="185" t="n"/>
      <c r="T130" s="61" t="str">
        <f>VLOOKUP(A130,'1.Loading'!A:R,2,FALSE)</f>
        <v>2026-10-16</v>
      </c>
      <c r="U130" s="63">
        <f>T130-S130</f>
        <v>46311</v>
      </c>
      <c r="V130" s="186" t="n"/>
      <c r="W130" s="61" t="str">
        <f>VLOOKUP(A130,'3.GateMove'!A:D,4,FALSE)</f>
        <v>2026-10-11</v>
      </c>
      <c r="X130" s="63">
        <f>((T130-W130)+1)</f>
        <v>6</v>
      </c>
      <c r="Y130" s="64">
        <f>IF(AND(OR(C130="BKK01",C130="BKK04"),L130="CFS/CY"),0,IF(M130="DG",1,IF(LEFT(C130,3)="LCH",7,IF(C130="BKK02",5,3))))</f>
        <v>3</v>
      </c>
      <c r="Z130" s="63">
        <f>IF(IF(AND(AC130="TML",AB130&gt;0),((T130-W130)+1)-AB130,((T130-W130)+1)-Y130)&gt;0,IF(AND(AC130="TML",AB130&gt;0),((T130-W130)+1)-AB130,((T130-W130)+1)-Y130),0)</f>
        <v>3</v>
      </c>
      <c r="AA130" s="187">
        <f>IF(AND(B130="G1",M130=""),IF(R130="20'",
VLOOKUP(Z130,Charge!$K$2:$M$5,2,TRUE)+(Z130-VLOOKUP(Z130,Charge!$K$2:$M$5,1,TRUE))*VLOOKUP(Z130,Charge!$K$2:$M$5,3,TRUE),
VLOOKUP(Z130,Charge!$N$2:$P$5,2,TRUE)+(Z130-VLOOKUP(Z130,Charge!$N$2:$P$5,1,TRUE))*VLOOKUP(Z130,Charge!$N$2:$P$5,3,TRUE)),
IF(AND(B130="G1",M130="DG"),IF(R130="20'",
VLOOKUP(Z130,Charge!$R$2:$T$5,2,TRUE)+(Z130-VLOOKUP(Z130,Charge!$R$2:$T$5,1,TRUE))*VLOOKUP(Z130,Charge!$R$2:$T$5,3,TRUE),
VLOOKUP(Z130,Charge!$U$2:$W$5,2,TRUE)+(Z130-VLOOKUP(Z130,Charge!$U$2:$W$5,1,TRUE))*VLOOKUP(Z130,Charge!$U$2:$W$5,3,TRUE)),
IF(AND(B130="G3",M130=""),IF(R130="20'",
VLOOKUP(Z130,Charge!$K$18:$M$21,2,TRUE)+(Z130-VLOOKUP(Z130,Charge!$K$18:$M$21,1,TRUE))*VLOOKUP(Z130,Charge!$K$18:$M$21,3,TRUE),
VLOOKUP(Z130,Charge!$N$18:$P$21,2,TRUE)+(Z130-VLOOKUP(Z130,Charge!$N$18:$P$21,1,TRUE))*VLOOKUP(Z130,Charge!$N$18:$P$21,3,TRUE)),
IF(AND(B130="G3",M130="DG"),IF(R130="20'",
VLOOKUP(Z130,Charge!$R$18:$T$21,2,TRUE)+(Z130-VLOOKUP(Z130,Charge!$R$18:$T$21,1,TRUE))*VLOOKUP(Z130,Charge!$R$18:$T$21,3,TRUE),
VLOOKUP(Z130,Charge!$U$18:$W$21,2,TRUE)+(Z130-VLOOKUP(Z130,Charge!$U$18:$W$21,1,TRUE))*VLOOKUP(Z130,Charge!$U$18:$W$21,3,TRUE)),
IF(AND(B130="G2",M130=""),IF(R130="20'",
VLOOKUP(Z130,Charge!$K$9:$M$12,2,TRUE)+(Z130-VLOOKUP(Z130,Charge!$K$9:$M$12,1,TRUE))*VLOOKUP(Z130,Charge!$K$9:$M$12,3,TRUE),
VLOOKUP(Z130,Charge!$N$9:$P$12,2,TRUE)+(Z130-VLOOKUP(Z130,Charge!$N$9:$P$12,1,TRUE))*VLOOKUP(Z130,Charge!$N$9:$P$12,3,TRUE)),
IF(AND(B130="G2",M130="DG"),IF(R130="20'",
VLOOKUP(Z130,Charge!$R$9:$T$12,2,TRUE)+(Z130-VLOOKUP(Z130,Charge!$R$9:$T$12,1,TRUE))*VLOOKUP(Z130,Charge!$R$9:$T$12,3,TRUE),
VLOOKUP(Z130,Charge!$U$9:$W$12,2,TRUE)+(Z130-VLOOKUP(Z130,Charge!$U$9:$W$12,1,TRUE))*VLOOKUP(Z130,Charge!$U$9:$W$12,3,TRUE)),IF(AND(B130="G4",M130=""),IF(R130="20'",Z130*Charge!$M$25,Z130*Charge!$P$25),IF(AND(B130="G4",M130="DG"),IF(R130="20'",Z130*Charge!$T$25,Z130*Charge!$W$25),0))))))))</f>
        <v>480</v>
      </c>
      <c r="AB130" s="184" t="n"/>
      <c r="AC130" s="184" t="n"/>
      <c r="AD130" s="60">
        <f>IF(M130="DG",3,IF(N130="RF",3,5))+IF(AND(LEFT(C130,3)="BKK",N130="RF",Q130="KTS"),1,0)+IF(Q130="KHS",1,0)</f>
        <v>5</v>
      </c>
      <c r="AE130" s="63">
        <f>(T130-V130)+1</f>
        <v>46312</v>
      </c>
      <c r="AF130" s="63">
        <f>IF(AB130&gt;IF((V130-W130)&gt;0,V130-W130,0),0,IF(AB130&lt;IF((V130-W130)&gt;0,V130-W130,0),IF((V130-W130)&gt;0,V130-W130,0)-AB130,IF((V130-W130)&gt;0,V130-W130,0)))</f>
        <v>0</v>
      </c>
      <c r="AG130" s="187">
        <f>IF(AND(M130=""),IF(R130="20'",
VLOOKUP(AF130,Charge!$K$31:$M$34,2,TRUE)+(AF130-VLOOKUP(AF130,Charge!$K$31:$M$34,1,TRUE))*VLOOKUP(AF130,Charge!$K$31:$M$34,3,TRUE),
VLOOKUP(AF130,Charge!$N$31:$P$34,2,TRUE)+(AF130-VLOOKUP(AF130,Charge!$N$31:$P$34,1,TRUE))*VLOOKUP(AF130,Charge!$N$31:$P$34,3,TRUE)),
IF(AND(M130="DG"),IF(R130="20'",
VLOOKUP(AF130,Charge!$R$31:$T$34,2,TRUE)+(AF130-VLOOKUP(AF130,Charge!$R$31:$T$34,1,TRUE))*VLOOKUP(AF130,Charge!$R$31:$T$34,3,TRUE),
VLOOKUP(AF130,Charge!$U$31:$W$34,2,TRUE)+(AF130-VLOOKUP(AF130,Charge!$U$31:$W$34,1,TRUE))*VLOOKUP(AF130,Charge!$U$31:$W$34,3,TRUE)),0))</f>
        <v>0</v>
      </c>
      <c r="AH130" s="65" t="n"/>
      <c r="AI130" s="65">
        <f>AA130-AH130</f>
        <v>480</v>
      </c>
      <c r="AJ130" s="188" t="n"/>
      <c r="AK130" s="62" t="str">
        <f>VLOOKUP(D130,'2.Bookinglist'!A:CT,40,FALSE)</f>
        <v>Kim jaewon</v>
      </c>
      <c r="AL130" s="60" t="str">
        <f>VLOOKUP(D130,'2.Bookinglist'!A:CW,101,FALSE)</f>
        <v>2026-10-15</v>
      </c>
      <c r="AM130" s="60" t="str">
        <f>VLOOKUP(D130,'2.Bookinglist'!A:BK,63,FALSE)</f>
        <v>BKK25</v>
      </c>
      <c r="AN130" s="62" t="str">
        <f>VLOOKUP(D130,'2.Bookinglist'!A:AZ,52,FALSE)</f>
        <v>Pickup : 2026-10-09, Return : 2026-10-11 // FM DJCF 0152N BY HAL DD.28/09
(1ST RETURN 11/10 W/O RENT)</v>
      </c>
      <c r="AO130" s="62">
        <f>VLOOKUP(D130,'2.Bookinglist'!A:CY,103,FALSE)</f>
        <v>0</v>
      </c>
    </row>
    <row r="131" ht="12.95" customHeight="1">
      <c r="A131" s="96" t="inlineStr">
        <is>
          <t>SKLU2410454</t>
        </is>
      </c>
      <c r="B131" s="184" t="str">
        <f>IF(C131=Charge!$M$1,Charge!$J$1,IF(C131=Charge!$M$23,Charge!$J$23,IF(C131=Charge!$M$17,Charge!$J$17,IF(C131=Charge!$N$17,Charge!$J$17,Charge!$J$7))))</f>
        <v>G3</v>
      </c>
      <c r="C131" s="61" t="str">
        <f>VLOOKUP(A131,'1.Loading'!A:R,14,FALSE)</f>
        <v>BKK01</v>
      </c>
      <c r="D131" s="61" t="str">
        <f>VLOOKUP(A131,'1.Loading'!A:R,17,FALSE)</f>
        <v>HASLS22260801865</v>
      </c>
      <c r="E131" s="62" t="str">
        <f>VLOOKUP(D131,'2.Bookinglist'!A:CT,27,FALSE)</f>
        <v>STARFISH CO., LTD.</v>
      </c>
      <c r="F131" s="62" t="str">
        <f>VLOOKUP(D131,'2.Bookinglist'!A:CT,28,FALSE)</f>
        <v>STARFISH CO., LTD.</v>
      </c>
      <c r="G131" s="60">
        <f>VLOOKUP(D131,'2.Bookinglist'!A:E,5,FALSE)</f>
        <v>0</v>
      </c>
      <c r="H131" s="61" t="str">
        <f>VLOOKUP(D131,'2.Bookinglist'!A:CT,15,FALSE)</f>
        <v>THBKK</v>
      </c>
      <c r="I131" s="61" t="str">
        <f>VLOOKUP(D131,'2.Bookinglist'!A:CT,19,FALSE)</f>
        <v>JPSEN</v>
      </c>
      <c r="J131" s="61" t="str">
        <f>VLOOKUP(D131,'2.Bookinglist'!A:CT,26,FALSE)</f>
        <v>KRPUS</v>
      </c>
      <c r="K131" s="61" t="str">
        <f>VLOOKUP(A131,'1.Loading'!A:R,5,FALSE)</f>
        <v>22GP</v>
      </c>
      <c r="L131" s="60" t="str">
        <f>VLOOKUP(D131,'2.Bookinglist'!A:CT,85,FALSE)</f>
        <v>CY/CY</v>
      </c>
      <c r="M131" s="60" t="str">
        <f>IF(VLOOKUP(D131,'2.Bookinglist'!A:CT,43,FALSE)=0,"","DG")</f>
        <v/>
      </c>
      <c r="N131" s="60" t="str">
        <f>IF(RIGHT(K131,2)="RE","RF","")</f>
        <v/>
      </c>
      <c r="O131" s="61" t="str">
        <f>VLOOKUP(A131,'1.Loading'!A:R,3,FALSE)</f>
        <v>SWIC</v>
      </c>
      <c r="P131" s="61" t="str">
        <f>VLOOKUP(A131,'1.Loading'!A:R,4,FALSE)</f>
        <v>2611N</v>
      </c>
      <c r="Q131" s="61" t="str">
        <f>VLOOKUP(D131,'2.Bookinglist'!A:CT,12,FALSE)</f>
        <v>KHS1</v>
      </c>
      <c r="R131" s="60" t="str">
        <f>IF(LEFT(K131,2)="22","20'","40'")</f>
        <v>20'</v>
      </c>
      <c r="S131" s="185" t="n"/>
      <c r="T131" s="61" t="str">
        <f>VLOOKUP(A131,'1.Loading'!A:R,2,FALSE)</f>
        <v>2026-10-16</v>
      </c>
      <c r="U131" s="63">
        <f>T131-S131</f>
        <v>46311</v>
      </c>
      <c r="V131" s="186" t="n"/>
      <c r="W131" s="61" t="str">
        <f>VLOOKUP(A131,'3.GateMove'!A:D,4,FALSE)</f>
        <v>2026-10-03</v>
      </c>
      <c r="X131" s="63">
        <f>((T131-W131)+1)</f>
        <v>14</v>
      </c>
      <c r="Y131" s="64">
        <f>IF(AND(OR(C131="BKK01",C131="BKK04"),L131="CFS/CY"),0,IF(M131="DG",1,IF(LEFT(C131,3)="LCH",7,IF(C131="BKK02",5,3))))</f>
        <v>3</v>
      </c>
      <c r="Z131" s="63">
        <f>IF(IF(AND(AC131="TML",AB131&gt;0),((T131-W131)+1)-AB131,((T131-W131)+1)-Y131)&gt;0,IF(AND(AC131="TML",AB131&gt;0),((T131-W131)+1)-AB131,((T131-W131)+1)-Y131),0)</f>
        <v>11</v>
      </c>
      <c r="AA131" s="187">
        <f>IF(AND(B131="G1",M131=""),IF(R131="20'",
VLOOKUP(Z131,Charge!$K$2:$M$5,2,TRUE)+(Z131-VLOOKUP(Z131,Charge!$K$2:$M$5,1,TRUE))*VLOOKUP(Z131,Charge!$K$2:$M$5,3,TRUE),
VLOOKUP(Z131,Charge!$N$2:$P$5,2,TRUE)+(Z131-VLOOKUP(Z131,Charge!$N$2:$P$5,1,TRUE))*VLOOKUP(Z131,Charge!$N$2:$P$5,3,TRUE)),
IF(AND(B131="G1",M131="DG"),IF(R131="20'",
VLOOKUP(Z131,Charge!$R$2:$T$5,2,TRUE)+(Z131-VLOOKUP(Z131,Charge!$R$2:$T$5,1,TRUE))*VLOOKUP(Z131,Charge!$R$2:$T$5,3,TRUE),
VLOOKUP(Z131,Charge!$U$2:$W$5,2,TRUE)+(Z131-VLOOKUP(Z131,Charge!$U$2:$W$5,1,TRUE))*VLOOKUP(Z131,Charge!$U$2:$W$5,3,TRUE)),
IF(AND(B131="G3",M131=""),IF(R131="20'",
VLOOKUP(Z131,Charge!$K$18:$M$21,2,TRUE)+(Z131-VLOOKUP(Z131,Charge!$K$18:$M$21,1,TRUE))*VLOOKUP(Z131,Charge!$K$18:$M$21,3,TRUE),
VLOOKUP(Z131,Charge!$N$18:$P$21,2,TRUE)+(Z131-VLOOKUP(Z131,Charge!$N$18:$P$21,1,TRUE))*VLOOKUP(Z131,Charge!$N$18:$P$21,3,TRUE)),
IF(AND(B131="G3",M131="DG"),IF(R131="20'",
VLOOKUP(Z131,Charge!$R$18:$T$21,2,TRUE)+(Z131-VLOOKUP(Z131,Charge!$R$18:$T$21,1,TRUE))*VLOOKUP(Z131,Charge!$R$18:$T$21,3,TRUE),
VLOOKUP(Z131,Charge!$U$18:$W$21,2,TRUE)+(Z131-VLOOKUP(Z131,Charge!$U$18:$W$21,1,TRUE))*VLOOKUP(Z131,Charge!$U$18:$W$21,3,TRUE)),
IF(AND(B131="G2",M131=""),IF(R131="20'",
VLOOKUP(Z131,Charge!$K$9:$M$12,2,TRUE)+(Z131-VLOOKUP(Z131,Charge!$K$9:$M$12,1,TRUE))*VLOOKUP(Z131,Charge!$K$9:$M$12,3,TRUE),
VLOOKUP(Z131,Charge!$N$9:$P$12,2,TRUE)+(Z131-VLOOKUP(Z131,Charge!$N$9:$P$12,1,TRUE))*VLOOKUP(Z131,Charge!$N$9:$P$12,3,TRUE)),
IF(AND(B131="G2",M131="DG"),IF(R131="20'",
VLOOKUP(Z131,Charge!$R$9:$T$12,2,TRUE)+(Z131-VLOOKUP(Z131,Charge!$R$9:$T$12,1,TRUE))*VLOOKUP(Z131,Charge!$R$9:$T$12,3,TRUE),
VLOOKUP(Z131,Charge!$U$9:$W$12,2,TRUE)+(Z131-VLOOKUP(Z131,Charge!$U$9:$W$12,1,TRUE))*VLOOKUP(Z131,Charge!$U$9:$W$12,3,TRUE)),IF(AND(B131="G4",M131=""),IF(R131="20'",Z131*Charge!$M$25,Z131*Charge!$P$25),IF(AND(B131="G4",M131="DG"),IF(R131="20'",Z131*Charge!$T$25,Z131*Charge!$W$25),0))))))))</f>
        <v>2220</v>
      </c>
      <c r="AB131" s="184" t="n"/>
      <c r="AC131" s="184" t="n"/>
      <c r="AD131" s="60">
        <f>IF(M131="DG",3,IF(N131="RF",3,5))+IF(AND(LEFT(C131,3)="BKK",N131="RF",Q131="KTS"),1,0)+IF(Q131="KHS",1,0)</f>
        <v>5</v>
      </c>
      <c r="AE131" s="63">
        <f>(T131-V131)+1</f>
        <v>46312</v>
      </c>
      <c r="AF131" s="63">
        <f>IF(AB131&gt;IF((V131-W131)&gt;0,V131-W131,0),0,IF(AB131&lt;IF((V131-W131)&gt;0,V131-W131,0),IF((V131-W131)&gt;0,V131-W131,0)-AB131,IF((V131-W131)&gt;0,V131-W131,0)))</f>
        <v>0</v>
      </c>
      <c r="AG131" s="187">
        <f>IF(AND(M131=""),IF(R131="20'",
VLOOKUP(AF131,Charge!$K$31:$M$34,2,TRUE)+(AF131-VLOOKUP(AF131,Charge!$K$31:$M$34,1,TRUE))*VLOOKUP(AF131,Charge!$K$31:$M$34,3,TRUE),
VLOOKUP(AF131,Charge!$N$31:$P$34,2,TRUE)+(AF131-VLOOKUP(AF131,Charge!$N$31:$P$34,1,TRUE))*VLOOKUP(AF131,Charge!$N$31:$P$34,3,TRUE)),
IF(AND(M131="DG"),IF(R131="20'",
VLOOKUP(AF131,Charge!$R$31:$T$34,2,TRUE)+(AF131-VLOOKUP(AF131,Charge!$R$31:$T$34,1,TRUE))*VLOOKUP(AF131,Charge!$R$31:$T$34,3,TRUE),
VLOOKUP(AF131,Charge!$U$31:$W$34,2,TRUE)+(AF131-VLOOKUP(AF131,Charge!$U$31:$W$34,1,TRUE))*VLOOKUP(AF131,Charge!$U$31:$W$34,3,TRUE)),0))</f>
        <v>0</v>
      </c>
      <c r="AH131" s="65" t="n"/>
      <c r="AI131" s="65">
        <f>AA131-AH131</f>
        <v>2220</v>
      </c>
      <c r="AJ131" s="188" t="n"/>
      <c r="AK131" s="62" t="str">
        <f>VLOOKUP(D131,'2.Bookinglist'!A:CT,40,FALSE)</f>
        <v>Dharaporn</v>
      </c>
      <c r="AL131" s="60" t="str">
        <f>VLOOKUP(D131,'2.Bookinglist'!A:CW,101,FALSE)</f>
        <v>2026-10-15</v>
      </c>
      <c r="AM131" s="60" t="str">
        <f>VLOOKUP(D131,'2.Bookinglist'!A:BK,63,FALSE)</f>
        <v>BKK27</v>
      </c>
      <c r="AN131" s="62" t="str">
        <f>VLOOKUP(D131,'2.Bookinglist'!A:AZ,52,FALSE)</f>
        <v>[FIX]Pickup : 2026-10-02, Return : 2026-10-03</v>
      </c>
      <c r="AO131" s="62" t="str">
        <f>VLOOKUP(D131,'2.Bookinglist'!A:CY,103,FALSE)</f>
        <v>ROLL OVER FROM PREVIOUS VSL SWSP 2609N BY ALLOCATON TEAM MS.TARN APPROVED COST IS UNDER HA DD.4/10</v>
      </c>
    </row>
    <row r="132" ht="12.95" customHeight="1">
      <c r="A132" s="96" t="inlineStr">
        <is>
          <t>SKLU2415775</t>
        </is>
      </c>
      <c r="B132" s="184" t="str">
        <f>IF(C132=Charge!$M$1,Charge!$J$1,IF(C132=Charge!$M$23,Charge!$J$23,IF(C132=Charge!$M$17,Charge!$J$17,IF(C132=Charge!$N$17,Charge!$J$17,Charge!$J$7))))</f>
        <v>G3</v>
      </c>
      <c r="C132" s="61" t="str">
        <f>VLOOKUP(A132,'1.Loading'!A:R,14,FALSE)</f>
        <v>BKK01</v>
      </c>
      <c r="D132" s="61" t="str">
        <f>VLOOKUP(A132,'1.Loading'!A:R,17,FALSE)</f>
        <v>HASLS22260901669</v>
      </c>
      <c r="E132" s="62" t="str">
        <f>VLOOKUP(D132,'2.Bookinglist'!A:CT,27,FALSE)</f>
        <v>SEA FLEXI LOGISTICS CO.,LTD.</v>
      </c>
      <c r="F132" s="62" t="str">
        <f>VLOOKUP(D132,'2.Bookinglist'!A:CT,28,FALSE)</f>
        <v>THANAKORN VEGETABLE OIL PRODUCTS CO., LTD.</v>
      </c>
      <c r="G132" s="60">
        <f>VLOOKUP(D132,'2.Bookinglist'!A:E,5,FALSE)</f>
        <v>0</v>
      </c>
      <c r="H132" s="61" t="str">
        <f>VLOOKUP(D132,'2.Bookinglist'!A:CT,15,FALSE)</f>
        <v>THBKK</v>
      </c>
      <c r="I132" s="61" t="str">
        <f>VLOOKUP(D132,'2.Bookinglist'!A:CT,19,FALSE)</f>
        <v>VNSGN</v>
      </c>
      <c r="J132" s="61">
        <f>VLOOKUP(D132,'2.Bookinglist'!A:CT,26,FALSE)</f>
        <v>0</v>
      </c>
      <c r="K132" s="61" t="str">
        <f>VLOOKUP(A132,'1.Loading'!A:R,5,FALSE)</f>
        <v>22GP</v>
      </c>
      <c r="L132" s="60" t="str">
        <f>VLOOKUP(D132,'2.Bookinglist'!A:CT,85,FALSE)</f>
        <v>CY/CY</v>
      </c>
      <c r="M132" s="60" t="str">
        <f>IF(VLOOKUP(D132,'2.Bookinglist'!A:CT,43,FALSE)=0,"","DG")</f>
        <v/>
      </c>
      <c r="N132" s="60" t="str">
        <f>IF(RIGHT(K132,2)="RE","RF","")</f>
        <v/>
      </c>
      <c r="O132" s="61" t="str">
        <f>VLOOKUP(A132,'1.Loading'!A:R,3,FALSE)</f>
        <v>SWIC</v>
      </c>
      <c r="P132" s="61" t="str">
        <f>VLOOKUP(A132,'1.Loading'!A:R,4,FALSE)</f>
        <v>2611N</v>
      </c>
      <c r="Q132" s="61" t="str">
        <f>VLOOKUP(D132,'2.Bookinglist'!A:CT,12,FALSE)</f>
        <v>KHS1</v>
      </c>
      <c r="R132" s="60" t="str">
        <f>IF(LEFT(K132,2)="22","20'","40'")</f>
        <v>20'</v>
      </c>
      <c r="S132" s="185" t="n"/>
      <c r="T132" s="61" t="str">
        <f>VLOOKUP(A132,'1.Loading'!A:R,2,FALSE)</f>
        <v>2026-10-16</v>
      </c>
      <c r="U132" s="63">
        <f>T132-S132</f>
        <v>46311</v>
      </c>
      <c r="V132" s="186" t="n"/>
      <c r="W132" s="61" t="str">
        <f>VLOOKUP(A132,'3.GateMove'!A:D,4,FALSE)</f>
        <v>2026-10-12</v>
      </c>
      <c r="X132" s="63">
        <f>((T132-W132)+1)</f>
        <v>5</v>
      </c>
      <c r="Y132" s="64">
        <f>IF(AND(OR(C132="BKK01",C132="BKK04"),L132="CFS/CY"),0,IF(M132="DG",1,IF(LEFT(C132,3)="LCH",7,IF(C132="BKK02",5,3))))</f>
        <v>3</v>
      </c>
      <c r="Z132" s="63">
        <f>IF(IF(AND(AC132="TML",AB132&gt;0),((T132-W132)+1)-AB132,((T132-W132)+1)-Y132)&gt;0,IF(AND(AC132="TML",AB132&gt;0),((T132-W132)+1)-AB132,((T132-W132)+1)-Y132),0)</f>
        <v>2</v>
      </c>
      <c r="AA132" s="187">
        <f>IF(AND(B132="G1",M132=""),IF(R132="20'",
VLOOKUP(Z132,Charge!$K$2:$M$5,2,TRUE)+(Z132-VLOOKUP(Z132,Charge!$K$2:$M$5,1,TRUE))*VLOOKUP(Z132,Charge!$K$2:$M$5,3,TRUE),
VLOOKUP(Z132,Charge!$N$2:$P$5,2,TRUE)+(Z132-VLOOKUP(Z132,Charge!$N$2:$P$5,1,TRUE))*VLOOKUP(Z132,Charge!$N$2:$P$5,3,TRUE)),
IF(AND(B132="G1",M132="DG"),IF(R132="20'",
VLOOKUP(Z132,Charge!$R$2:$T$5,2,TRUE)+(Z132-VLOOKUP(Z132,Charge!$R$2:$T$5,1,TRUE))*VLOOKUP(Z132,Charge!$R$2:$T$5,3,TRUE),
VLOOKUP(Z132,Charge!$U$2:$W$5,2,TRUE)+(Z132-VLOOKUP(Z132,Charge!$U$2:$W$5,1,TRUE))*VLOOKUP(Z132,Charge!$U$2:$W$5,3,TRUE)),
IF(AND(B132="G3",M132=""),IF(R132="20'",
VLOOKUP(Z132,Charge!$K$18:$M$21,2,TRUE)+(Z132-VLOOKUP(Z132,Charge!$K$18:$M$21,1,TRUE))*VLOOKUP(Z132,Charge!$K$18:$M$21,3,TRUE),
VLOOKUP(Z132,Charge!$N$18:$P$21,2,TRUE)+(Z132-VLOOKUP(Z132,Charge!$N$18:$P$21,1,TRUE))*VLOOKUP(Z132,Charge!$N$18:$P$21,3,TRUE)),
IF(AND(B132="G3",M132="DG"),IF(R132="20'",
VLOOKUP(Z132,Charge!$R$18:$T$21,2,TRUE)+(Z132-VLOOKUP(Z132,Charge!$R$18:$T$21,1,TRUE))*VLOOKUP(Z132,Charge!$R$18:$T$21,3,TRUE),
VLOOKUP(Z132,Charge!$U$18:$W$21,2,TRUE)+(Z132-VLOOKUP(Z132,Charge!$U$18:$W$21,1,TRUE))*VLOOKUP(Z132,Charge!$U$18:$W$21,3,TRUE)),
IF(AND(B132="G2",M132=""),IF(R132="20'",
VLOOKUP(Z132,Charge!$K$9:$M$12,2,TRUE)+(Z132-VLOOKUP(Z132,Charge!$K$9:$M$12,1,TRUE))*VLOOKUP(Z132,Charge!$K$9:$M$12,3,TRUE),
VLOOKUP(Z132,Charge!$N$9:$P$12,2,TRUE)+(Z132-VLOOKUP(Z132,Charge!$N$9:$P$12,1,TRUE))*VLOOKUP(Z132,Charge!$N$9:$P$12,3,TRUE)),
IF(AND(B132="G2",M132="DG"),IF(R132="20'",
VLOOKUP(Z132,Charge!$R$9:$T$12,2,TRUE)+(Z132-VLOOKUP(Z132,Charge!$R$9:$T$12,1,TRUE))*VLOOKUP(Z132,Charge!$R$9:$T$12,3,TRUE),
VLOOKUP(Z132,Charge!$U$9:$W$12,2,TRUE)+(Z132-VLOOKUP(Z132,Charge!$U$9:$W$12,1,TRUE))*VLOOKUP(Z132,Charge!$U$9:$W$12,3,TRUE)),IF(AND(B132="G4",M132=""),IF(R132="20'",Z132*Charge!$M$25,Z132*Charge!$P$25),IF(AND(B132="G4",M132="DG"),IF(R132="20'",Z132*Charge!$T$25,Z132*Charge!$W$25),0))))))))</f>
        <v>320</v>
      </c>
      <c r="AB132" s="184" t="n"/>
      <c r="AC132" s="184" t="n"/>
      <c r="AD132" s="60">
        <f>IF(M132="DG",3,IF(N132="RF",3,5))+IF(AND(LEFT(C132,3)="BKK",N132="RF",Q132="KTS"),1,0)+IF(Q132="KHS",1,0)</f>
        <v>5</v>
      </c>
      <c r="AE132" s="63">
        <f>(T132-V132)+1</f>
        <v>46312</v>
      </c>
      <c r="AF132" s="63">
        <f>IF(AB132&gt;IF((V132-W132)&gt;0,V132-W132,0),0,IF(AB132&lt;IF((V132-W132)&gt;0,V132-W132,0),IF((V132-W132)&gt;0,V132-W132,0)-AB132,IF((V132-W132)&gt;0,V132-W132,0)))</f>
        <v>0</v>
      </c>
      <c r="AG132" s="187">
        <f>IF(AND(M132=""),IF(R132="20'",
VLOOKUP(AF132,Charge!$K$31:$M$34,2,TRUE)+(AF132-VLOOKUP(AF132,Charge!$K$31:$M$34,1,TRUE))*VLOOKUP(AF132,Charge!$K$31:$M$34,3,TRUE),
VLOOKUP(AF132,Charge!$N$31:$P$34,2,TRUE)+(AF132-VLOOKUP(AF132,Charge!$N$31:$P$34,1,TRUE))*VLOOKUP(AF132,Charge!$N$31:$P$34,3,TRUE)),
IF(AND(M132="DG"),IF(R132="20'",
VLOOKUP(AF132,Charge!$R$31:$T$34,2,TRUE)+(AF132-VLOOKUP(AF132,Charge!$R$31:$T$34,1,TRUE))*VLOOKUP(AF132,Charge!$R$31:$T$34,3,TRUE),
VLOOKUP(AF132,Charge!$U$31:$W$34,2,TRUE)+(AF132-VLOOKUP(AF132,Charge!$U$31:$W$34,1,TRUE))*VLOOKUP(AF132,Charge!$U$31:$W$34,3,TRUE)),0))</f>
        <v>0</v>
      </c>
      <c r="AH132" s="65" t="n"/>
      <c r="AI132" s="65">
        <f>AA132-AH132</f>
        <v>320</v>
      </c>
      <c r="AJ132" s="188" t="n"/>
      <c r="AK132" s="62" t="str">
        <f>VLOOKUP(D132,'2.Bookinglist'!A:CT,40,FALSE)</f>
        <v>Nannaapust Sukporntaweewat</v>
      </c>
      <c r="AL132" s="60" t="str">
        <f>VLOOKUP(D132,'2.Bookinglist'!A:CW,101,FALSE)</f>
        <v>2026-10-15</v>
      </c>
      <c r="AM132" s="60" t="str">
        <f>VLOOKUP(D132,'2.Bookinglist'!A:BK,63,FALSE)</f>
        <v>BKK27</v>
      </c>
      <c r="AN132" s="62" t="str">
        <f>VLOOKUP(D132,'2.Bookinglist'!A:AZ,52,FALSE)</f>
        <v>**APPROVAL BY MR.M.J CHANG DD.30/09/2026* *FLEXIBAG ONDECK*
Survey : 2026-10-09 , Pickup : 2026-10-10, Return : 2026-10-12
EXTEND CLOSING DD.13/10/26 @12.00</v>
      </c>
      <c r="AO132" s="62">
        <f>VLOOKUP(D132,'2.Bookinglist'!A:CY,103,FALSE)</f>
        <v>0</v>
      </c>
    </row>
    <row r="133" ht="12.95" customHeight="1">
      <c r="A133" s="96" t="inlineStr">
        <is>
          <t>SKLU2426527</t>
        </is>
      </c>
      <c r="B133" s="184" t="str">
        <f>IF(C133=Charge!$M$1,Charge!$J$1,IF(C133=Charge!$M$23,Charge!$J$23,IF(C133=Charge!$M$17,Charge!$J$17,IF(C133=Charge!$N$17,Charge!$J$17,Charge!$J$7))))</f>
        <v>G3</v>
      </c>
      <c r="C133" s="61" t="str">
        <f>VLOOKUP(A133,'1.Loading'!A:R,14,FALSE)</f>
        <v>BKK01</v>
      </c>
      <c r="D133" s="61" t="str">
        <f>VLOOKUP(A133,'1.Loading'!A:R,17,FALSE)</f>
        <v>HASLS22260902209</v>
      </c>
      <c r="E133" s="62" t="str">
        <f>VLOOKUP(D133,'2.Bookinglist'!A:CT,27,FALSE)</f>
        <v>SUNFLOWER AGRO CO LTD</v>
      </c>
      <c r="F133" s="62" t="str">
        <f>VLOOKUP(D133,'2.Bookinglist'!A:CT,28,FALSE)</f>
        <v>PONGLARP CO.,LTD.</v>
      </c>
      <c r="G133" s="60">
        <f>VLOOKUP(D133,'2.Bookinglist'!A:E,5,FALSE)</f>
        <v>0</v>
      </c>
      <c r="H133" s="61" t="str">
        <f>VLOOKUP(D133,'2.Bookinglist'!A:CT,15,FALSE)</f>
        <v>THBKK</v>
      </c>
      <c r="I133" s="61" t="str">
        <f>VLOOKUP(D133,'2.Bookinglist'!A:CT,19,FALSE)</f>
        <v>KRPUS</v>
      </c>
      <c r="J133" s="61">
        <f>VLOOKUP(D133,'2.Bookinglist'!A:CT,26,FALSE)</f>
        <v>0</v>
      </c>
      <c r="K133" s="61" t="str">
        <f>VLOOKUP(A133,'1.Loading'!A:R,5,FALSE)</f>
        <v>22GP</v>
      </c>
      <c r="L133" s="60" t="str">
        <f>VLOOKUP(D133,'2.Bookinglist'!A:CT,85,FALSE)</f>
        <v>CY/CY</v>
      </c>
      <c r="M133" s="60" t="str">
        <f>IF(VLOOKUP(D133,'2.Bookinglist'!A:CT,43,FALSE)=0,"","DG")</f>
        <v/>
      </c>
      <c r="N133" s="60" t="str">
        <f>IF(RIGHT(K133,2)="RE","RF","")</f>
        <v/>
      </c>
      <c r="O133" s="61" t="str">
        <f>VLOOKUP(A133,'1.Loading'!A:R,3,FALSE)</f>
        <v>SWIC</v>
      </c>
      <c r="P133" s="61" t="str">
        <f>VLOOKUP(A133,'1.Loading'!A:R,4,FALSE)</f>
        <v>2611N</v>
      </c>
      <c r="Q133" s="61" t="str">
        <f>VLOOKUP(D133,'2.Bookinglist'!A:CT,12,FALSE)</f>
        <v>KHS1</v>
      </c>
      <c r="R133" s="60" t="str">
        <f>IF(LEFT(K133,2)="22","20'","40'")</f>
        <v>20'</v>
      </c>
      <c r="S133" s="185" t="n"/>
      <c r="T133" s="61" t="str">
        <f>VLOOKUP(A133,'1.Loading'!A:R,2,FALSE)</f>
        <v>2026-10-16</v>
      </c>
      <c r="U133" s="63">
        <f>T133-S133</f>
        <v>46311</v>
      </c>
      <c r="V133" s="186" t="n"/>
      <c r="W133" s="61" t="str">
        <f>VLOOKUP(A133,'3.GateMove'!A:D,4,FALSE)</f>
        <v>2026-10-02</v>
      </c>
      <c r="X133" s="63">
        <f>((T133-W133)+1)</f>
        <v>15</v>
      </c>
      <c r="Y133" s="64">
        <f>IF(AND(OR(C133="BKK01",C133="BKK04"),L133="CFS/CY"),0,IF(M133="DG",1,IF(LEFT(C133,3)="LCH",7,IF(C133="BKK02",5,3))))</f>
        <v>3</v>
      </c>
      <c r="Z133" s="63">
        <f>IF(IF(AND(AC133="TML",AB133&gt;0),((T133-W133)+1)-AB133,((T133-W133)+1)-Y133)&gt;0,IF(AND(AC133="TML",AB133&gt;0),((T133-W133)+1)-AB133,((T133-W133)+1)-Y133),0)</f>
        <v>12</v>
      </c>
      <c r="AA133" s="187">
        <f>IF(AND(B133="G1",M133=""),IF(R133="20'",
VLOOKUP(Z133,Charge!$K$2:$M$5,2,TRUE)+(Z133-VLOOKUP(Z133,Charge!$K$2:$M$5,1,TRUE))*VLOOKUP(Z133,Charge!$K$2:$M$5,3,TRUE),
VLOOKUP(Z133,Charge!$N$2:$P$5,2,TRUE)+(Z133-VLOOKUP(Z133,Charge!$N$2:$P$5,1,TRUE))*VLOOKUP(Z133,Charge!$N$2:$P$5,3,TRUE)),
IF(AND(B133="G1",M133="DG"),IF(R133="20'",
VLOOKUP(Z133,Charge!$R$2:$T$5,2,TRUE)+(Z133-VLOOKUP(Z133,Charge!$R$2:$T$5,1,TRUE))*VLOOKUP(Z133,Charge!$R$2:$T$5,3,TRUE),
VLOOKUP(Z133,Charge!$U$2:$W$5,2,TRUE)+(Z133-VLOOKUP(Z133,Charge!$U$2:$W$5,1,TRUE))*VLOOKUP(Z133,Charge!$U$2:$W$5,3,TRUE)),
IF(AND(B133="G3",M133=""),IF(R133="20'",
VLOOKUP(Z133,Charge!$K$18:$M$21,2,TRUE)+(Z133-VLOOKUP(Z133,Charge!$K$18:$M$21,1,TRUE))*VLOOKUP(Z133,Charge!$K$18:$M$21,3,TRUE),
VLOOKUP(Z133,Charge!$N$18:$P$21,2,TRUE)+(Z133-VLOOKUP(Z133,Charge!$N$18:$P$21,1,TRUE))*VLOOKUP(Z133,Charge!$N$18:$P$21,3,TRUE)),
IF(AND(B133="G3",M133="DG"),IF(R133="20'",
VLOOKUP(Z133,Charge!$R$18:$T$21,2,TRUE)+(Z133-VLOOKUP(Z133,Charge!$R$18:$T$21,1,TRUE))*VLOOKUP(Z133,Charge!$R$18:$T$21,3,TRUE),
VLOOKUP(Z133,Charge!$U$18:$W$21,2,TRUE)+(Z133-VLOOKUP(Z133,Charge!$U$18:$W$21,1,TRUE))*VLOOKUP(Z133,Charge!$U$18:$W$21,3,TRUE)),
IF(AND(B133="G2",M133=""),IF(R133="20'",
VLOOKUP(Z133,Charge!$K$9:$M$12,2,TRUE)+(Z133-VLOOKUP(Z133,Charge!$K$9:$M$12,1,TRUE))*VLOOKUP(Z133,Charge!$K$9:$M$12,3,TRUE),
VLOOKUP(Z133,Charge!$N$9:$P$12,2,TRUE)+(Z133-VLOOKUP(Z133,Charge!$N$9:$P$12,1,TRUE))*VLOOKUP(Z133,Charge!$N$9:$P$12,3,TRUE)),
IF(AND(B133="G2",M133="DG"),IF(R133="20'",
VLOOKUP(Z133,Charge!$R$9:$T$12,2,TRUE)+(Z133-VLOOKUP(Z133,Charge!$R$9:$T$12,1,TRUE))*VLOOKUP(Z133,Charge!$R$9:$T$12,3,TRUE),
VLOOKUP(Z133,Charge!$U$9:$W$12,2,TRUE)+(Z133-VLOOKUP(Z133,Charge!$U$9:$W$12,1,TRUE))*VLOOKUP(Z133,Charge!$U$9:$W$12,3,TRUE)),IF(AND(B133="G4",M133=""),IF(R133="20'",Z133*Charge!$M$25,Z133*Charge!$P$25),IF(AND(B133="G4",M133="DG"),IF(R133="20'",Z133*Charge!$T$25,Z133*Charge!$W$25),0))))))))</f>
        <v>2495</v>
      </c>
      <c r="AB133" s="184" t="n"/>
      <c r="AC133" s="184" t="n"/>
      <c r="AD133" s="60">
        <f>IF(M133="DG",3,IF(N133="RF",3,5))+IF(AND(LEFT(C133,3)="BKK",N133="RF",Q133="KTS"),1,0)+IF(Q133="KHS",1,0)</f>
        <v>5</v>
      </c>
      <c r="AE133" s="63">
        <f>(T133-V133)+1</f>
        <v>46312</v>
      </c>
      <c r="AF133" s="63">
        <f>IF(AB133&gt;IF((V133-W133)&gt;0,V133-W133,0),0,IF(AB133&lt;IF((V133-W133)&gt;0,V133-W133,0),IF((V133-W133)&gt;0,V133-W133,0)-AB133,IF((V133-W133)&gt;0,V133-W133,0)))</f>
        <v>0</v>
      </c>
      <c r="AG133" s="187">
        <f>IF(AND(M133=""),IF(R133="20'",
VLOOKUP(AF133,Charge!$K$31:$M$34,2,TRUE)+(AF133-VLOOKUP(AF133,Charge!$K$31:$M$34,1,TRUE))*VLOOKUP(AF133,Charge!$K$31:$M$34,3,TRUE),
VLOOKUP(AF133,Charge!$N$31:$P$34,2,TRUE)+(AF133-VLOOKUP(AF133,Charge!$N$31:$P$34,1,TRUE))*VLOOKUP(AF133,Charge!$N$31:$P$34,3,TRUE)),
IF(AND(M133="DG"),IF(R133="20'",
VLOOKUP(AF133,Charge!$R$31:$T$34,2,TRUE)+(AF133-VLOOKUP(AF133,Charge!$R$31:$T$34,1,TRUE))*VLOOKUP(AF133,Charge!$R$31:$T$34,3,TRUE),
VLOOKUP(AF133,Charge!$U$31:$W$34,2,TRUE)+(AF133-VLOOKUP(AF133,Charge!$U$31:$W$34,1,TRUE))*VLOOKUP(AF133,Charge!$U$31:$W$34,3,TRUE)),0))</f>
        <v>0</v>
      </c>
      <c r="AH133" s="65" t="n"/>
      <c r="AI133" s="65">
        <f>AA133-AH133</f>
        <v>2495</v>
      </c>
      <c r="AJ133" s="188" t="n"/>
      <c r="AK133" s="62" t="str">
        <f>VLOOKUP(D133,'2.Bookinglist'!A:CT,40,FALSE)</f>
        <v>Arunphat W. (Aiw)</v>
      </c>
      <c r="AL133" s="60" t="str">
        <f>VLOOKUP(D133,'2.Bookinglist'!A:CW,101,FALSE)</f>
        <v>2026-10-15</v>
      </c>
      <c r="AM133" s="60" t="str">
        <f>VLOOKUP(D133,'2.Bookinglist'!A:BK,63,FALSE)</f>
        <v>BKK27</v>
      </c>
      <c r="AN133" s="62" t="str">
        <f>VLOOKUP(D133,'2.Bookinglist'!A:AZ,52,FALSE)</f>
        <v>Pickup : 2026-10-01, Return : 2026-10-02</v>
      </c>
      <c r="AO133" s="62" t="str">
        <f>VLOOKUP(D133,'2.Bookinglist'!A:CY,103,FALSE)</f>
        <v>ROLL OVER FORM PREVIOUS VSL SWAT 2610N BY ALLOCATION TEAM MS.TARN APPROVED COST IS UNDER HA DD.8/10</v>
      </c>
    </row>
    <row r="134" ht="12.95" customHeight="1">
      <c r="A134" s="96" t="inlineStr">
        <is>
          <t>SKLU2471871</t>
        </is>
      </c>
      <c r="B134" s="184" t="str">
        <f>IF(C134=Charge!$M$1,Charge!$J$1,IF(C134=Charge!$M$23,Charge!$J$23,IF(C134=Charge!$M$17,Charge!$J$17,IF(C134=Charge!$N$17,Charge!$J$17,Charge!$J$7))))</f>
        <v>G3</v>
      </c>
      <c r="C134" s="61" t="str">
        <f>VLOOKUP(A134,'1.Loading'!A:R,14,FALSE)</f>
        <v>BKK01</v>
      </c>
      <c r="D134" s="61" t="str">
        <f>VLOOKUP(A134,'1.Loading'!A:R,17,FALSE)</f>
        <v>HASLS22260902658</v>
      </c>
      <c r="E134" s="62" t="str">
        <f>VLOOKUP(D134,'2.Bookinglist'!A:CT,27,FALSE)</f>
        <v>GOLDEN WORLD LOGISTICS CO., LTD.</v>
      </c>
      <c r="F134" s="62" t="str">
        <f>VLOOKUP(D134,'2.Bookinglist'!A:CT,28,FALSE)</f>
        <v>LAM SOON (THAILAND) PUBLIC COMPANY LIMITED</v>
      </c>
      <c r="G134" s="60">
        <f>VLOOKUP(D134,'2.Bookinglist'!A:E,5,FALSE)</f>
        <v>0</v>
      </c>
      <c r="H134" s="61" t="str">
        <f>VLOOKUP(D134,'2.Bookinglist'!A:CT,15,FALSE)</f>
        <v>THBKK</v>
      </c>
      <c r="I134" s="61" t="str">
        <f>VLOOKUP(D134,'2.Bookinglist'!A:CT,19,FALSE)</f>
        <v>VNSGN</v>
      </c>
      <c r="J134" s="61">
        <f>VLOOKUP(D134,'2.Bookinglist'!A:CT,26,FALSE)</f>
        <v>0</v>
      </c>
      <c r="K134" s="61" t="str">
        <f>VLOOKUP(A134,'1.Loading'!A:R,5,FALSE)</f>
        <v>22GP</v>
      </c>
      <c r="L134" s="60" t="str">
        <f>VLOOKUP(D134,'2.Bookinglist'!A:CT,85,FALSE)</f>
        <v>CY/CY</v>
      </c>
      <c r="M134" s="60" t="str">
        <f>IF(VLOOKUP(D134,'2.Bookinglist'!A:CT,43,FALSE)=0,"","DG")</f>
        <v/>
      </c>
      <c r="N134" s="60" t="str">
        <f>IF(RIGHT(K134,2)="RE","RF","")</f>
        <v/>
      </c>
      <c r="O134" s="61" t="str">
        <f>VLOOKUP(A134,'1.Loading'!A:R,3,FALSE)</f>
        <v>SWIC</v>
      </c>
      <c r="P134" s="61" t="str">
        <f>VLOOKUP(A134,'1.Loading'!A:R,4,FALSE)</f>
        <v>2611N</v>
      </c>
      <c r="Q134" s="61" t="str">
        <f>VLOOKUP(D134,'2.Bookinglist'!A:CT,12,FALSE)</f>
        <v>KHS1</v>
      </c>
      <c r="R134" s="60" t="str">
        <f>IF(LEFT(K134,2)="22","20'","40'")</f>
        <v>20'</v>
      </c>
      <c r="S134" s="185" t="n"/>
      <c r="T134" s="61" t="str">
        <f>VLOOKUP(A134,'1.Loading'!A:R,2,FALSE)</f>
        <v>2026-10-16</v>
      </c>
      <c r="U134" s="63">
        <f>T134-S134</f>
        <v>46311</v>
      </c>
      <c r="V134" s="186" t="n"/>
      <c r="W134" s="61" t="str">
        <f>VLOOKUP(A134,'3.GateMove'!A:D,4,FALSE)</f>
        <v>2026-10-12</v>
      </c>
      <c r="X134" s="63">
        <f>((T134-W134)+1)</f>
        <v>5</v>
      </c>
      <c r="Y134" s="64">
        <f>IF(AND(OR(C134="BKK01",C134="BKK04"),L134="CFS/CY"),0,IF(M134="DG",1,IF(LEFT(C134,3)="LCH",7,IF(C134="BKK02",5,3))))</f>
        <v>3</v>
      </c>
      <c r="Z134" s="63">
        <f>IF(IF(AND(AC134="TML",AB134&gt;0),((T134-W134)+1)-AB134,((T134-W134)+1)-Y134)&gt;0,IF(AND(AC134="TML",AB134&gt;0),((T134-W134)+1)-AB134,((T134-W134)+1)-Y134),0)</f>
        <v>2</v>
      </c>
      <c r="AA134" s="187">
        <f>IF(AND(B134="G1",M134=""),IF(R134="20'",
VLOOKUP(Z134,Charge!$K$2:$M$5,2,TRUE)+(Z134-VLOOKUP(Z134,Charge!$K$2:$M$5,1,TRUE))*VLOOKUP(Z134,Charge!$K$2:$M$5,3,TRUE),
VLOOKUP(Z134,Charge!$N$2:$P$5,2,TRUE)+(Z134-VLOOKUP(Z134,Charge!$N$2:$P$5,1,TRUE))*VLOOKUP(Z134,Charge!$N$2:$P$5,3,TRUE)),
IF(AND(B134="G1",M134="DG"),IF(R134="20'",
VLOOKUP(Z134,Charge!$R$2:$T$5,2,TRUE)+(Z134-VLOOKUP(Z134,Charge!$R$2:$T$5,1,TRUE))*VLOOKUP(Z134,Charge!$R$2:$T$5,3,TRUE),
VLOOKUP(Z134,Charge!$U$2:$W$5,2,TRUE)+(Z134-VLOOKUP(Z134,Charge!$U$2:$W$5,1,TRUE))*VLOOKUP(Z134,Charge!$U$2:$W$5,3,TRUE)),
IF(AND(B134="G3",M134=""),IF(R134="20'",
VLOOKUP(Z134,Charge!$K$18:$M$21,2,TRUE)+(Z134-VLOOKUP(Z134,Charge!$K$18:$M$21,1,TRUE))*VLOOKUP(Z134,Charge!$K$18:$M$21,3,TRUE),
VLOOKUP(Z134,Charge!$N$18:$P$21,2,TRUE)+(Z134-VLOOKUP(Z134,Charge!$N$18:$P$21,1,TRUE))*VLOOKUP(Z134,Charge!$N$18:$P$21,3,TRUE)),
IF(AND(B134="G3",M134="DG"),IF(R134="20'",
VLOOKUP(Z134,Charge!$R$18:$T$21,2,TRUE)+(Z134-VLOOKUP(Z134,Charge!$R$18:$T$21,1,TRUE))*VLOOKUP(Z134,Charge!$R$18:$T$21,3,TRUE),
VLOOKUP(Z134,Charge!$U$18:$W$21,2,TRUE)+(Z134-VLOOKUP(Z134,Charge!$U$18:$W$21,1,TRUE))*VLOOKUP(Z134,Charge!$U$18:$W$21,3,TRUE)),
IF(AND(B134="G2",M134=""),IF(R134="20'",
VLOOKUP(Z134,Charge!$K$9:$M$12,2,TRUE)+(Z134-VLOOKUP(Z134,Charge!$K$9:$M$12,1,TRUE))*VLOOKUP(Z134,Charge!$K$9:$M$12,3,TRUE),
VLOOKUP(Z134,Charge!$N$9:$P$12,2,TRUE)+(Z134-VLOOKUP(Z134,Charge!$N$9:$P$12,1,TRUE))*VLOOKUP(Z134,Charge!$N$9:$P$12,3,TRUE)),
IF(AND(B134="G2",M134="DG"),IF(R134="20'",
VLOOKUP(Z134,Charge!$R$9:$T$12,2,TRUE)+(Z134-VLOOKUP(Z134,Charge!$R$9:$T$12,1,TRUE))*VLOOKUP(Z134,Charge!$R$9:$T$12,3,TRUE),
VLOOKUP(Z134,Charge!$U$9:$W$12,2,TRUE)+(Z134-VLOOKUP(Z134,Charge!$U$9:$W$12,1,TRUE))*VLOOKUP(Z134,Charge!$U$9:$W$12,3,TRUE)),IF(AND(B134="G4",M134=""),IF(R134="20'",Z134*Charge!$M$25,Z134*Charge!$P$25),IF(AND(B134="G4",M134="DG"),IF(R134="20'",Z134*Charge!$T$25,Z134*Charge!$W$25),0))))))))</f>
        <v>320</v>
      </c>
      <c r="AB134" s="184" t="n"/>
      <c r="AC134" s="184" t="n"/>
      <c r="AD134" s="60">
        <f>IF(M134="DG",3,IF(N134="RF",3,5))+IF(AND(LEFT(C134,3)="BKK",N134="RF",Q134="KTS"),1,0)+IF(Q134="KHS",1,0)</f>
        <v>5</v>
      </c>
      <c r="AE134" s="63">
        <f>(T134-V134)+1</f>
        <v>46312</v>
      </c>
      <c r="AF134" s="63">
        <f>IF(AB134&gt;IF((V134-W134)&gt;0,V134-W134,0),0,IF(AB134&lt;IF((V134-W134)&gt;0,V134-W134,0),IF((V134-W134)&gt;0,V134-W134,0)-AB134,IF((V134-W134)&gt;0,V134-W134,0)))</f>
        <v>0</v>
      </c>
      <c r="AG134" s="187">
        <f>IF(AND(M134=""),IF(R134="20'",
VLOOKUP(AF134,Charge!$K$31:$M$34,2,TRUE)+(AF134-VLOOKUP(AF134,Charge!$K$31:$M$34,1,TRUE))*VLOOKUP(AF134,Charge!$K$31:$M$34,3,TRUE),
VLOOKUP(AF134,Charge!$N$31:$P$34,2,TRUE)+(AF134-VLOOKUP(AF134,Charge!$N$31:$P$34,1,TRUE))*VLOOKUP(AF134,Charge!$N$31:$P$34,3,TRUE)),
IF(AND(M134="DG"),IF(R134="20'",
VLOOKUP(AF134,Charge!$R$31:$T$34,2,TRUE)+(AF134-VLOOKUP(AF134,Charge!$R$31:$T$34,1,TRUE))*VLOOKUP(AF134,Charge!$R$31:$T$34,3,TRUE),
VLOOKUP(AF134,Charge!$U$31:$W$34,2,TRUE)+(AF134-VLOOKUP(AF134,Charge!$U$31:$W$34,1,TRUE))*VLOOKUP(AF134,Charge!$U$31:$W$34,3,TRUE)),0))</f>
        <v>0</v>
      </c>
      <c r="AH134" s="65" t="n"/>
      <c r="AI134" s="65">
        <f>AA134-AH134</f>
        <v>320</v>
      </c>
      <c r="AJ134" s="188" t="n"/>
      <c r="AK134" s="62" t="str">
        <f>VLOOKUP(D134,'2.Bookinglist'!A:CT,40,FALSE)</f>
        <v>Arunphat W. (Aiw)</v>
      </c>
      <c r="AL134" s="60" t="str">
        <f>VLOOKUP(D134,'2.Bookinglist'!A:CW,101,FALSE)</f>
        <v>2026-10-15</v>
      </c>
      <c r="AM134" s="60" t="str">
        <f>VLOOKUP(D134,'2.Bookinglist'!A:BK,63,FALSE)</f>
        <v>BKK27</v>
      </c>
      <c r="AN134" s="62" t="str">
        <f>VLOOKUP(D134,'2.Bookinglist'!A:AZ,52,FALSE)</f>
        <v>Pickup : 2026-10-08, Return : 2026-10-12 (1ST RTN DD: 11/10/26 WO/RENT)
</v>
      </c>
      <c r="AO134" s="62">
        <f>VLOOKUP(D134,'2.Bookinglist'!A:CY,103,FALSE)</f>
        <v>0</v>
      </c>
    </row>
    <row r="135" ht="12.95" customHeight="1">
      <c r="A135" s="96" t="inlineStr">
        <is>
          <t>SKLU2471953</t>
        </is>
      </c>
      <c r="B135" s="184" t="str">
        <f>IF(C135=Charge!$M$1,Charge!$J$1,IF(C135=Charge!$M$23,Charge!$J$23,IF(C135=Charge!$M$17,Charge!$J$17,IF(C135=Charge!$N$17,Charge!$J$17,Charge!$J$7))))</f>
        <v>G3</v>
      </c>
      <c r="C135" s="61" t="str">
        <f>VLOOKUP(A135,'1.Loading'!A:R,14,FALSE)</f>
        <v>BKK01</v>
      </c>
      <c r="D135" s="61" t="str">
        <f>VLOOKUP(A135,'1.Loading'!A:R,17,FALSE)</f>
        <v>HASLS22260902184</v>
      </c>
      <c r="E135" s="62" t="str">
        <f>VLOOKUP(D135,'2.Bookinglist'!A:CT,27,FALSE)</f>
        <v>BIRLA CARBON (THAILAND) PUBLIC COMPANY LIMITED</v>
      </c>
      <c r="F135" s="62" t="str">
        <f>VLOOKUP(D135,'2.Bookinglist'!A:CT,28,FALSE)</f>
        <v>BIRLA CARBON (THAILAND) PUBLIC COMPANY LIMITED</v>
      </c>
      <c r="G135" s="60">
        <f>VLOOKUP(D135,'2.Bookinglist'!A:E,5,FALSE)</f>
        <v>0</v>
      </c>
      <c r="H135" s="61" t="str">
        <f>VLOOKUP(D135,'2.Bookinglist'!A:CT,15,FALSE)</f>
        <v>THBKK</v>
      </c>
      <c r="I135" s="61" t="str">
        <f>VLOOKUP(D135,'2.Bookinglist'!A:CT,19,FALSE)</f>
        <v>JPUKB</v>
      </c>
      <c r="J135" s="61" t="str">
        <f>VLOOKUP(D135,'2.Bookinglist'!A:CT,26,FALSE)</f>
        <v>KRPUS</v>
      </c>
      <c r="K135" s="61" t="str">
        <f>VLOOKUP(A135,'1.Loading'!A:R,5,FALSE)</f>
        <v>22GP</v>
      </c>
      <c r="L135" s="60" t="str">
        <f>VLOOKUP(D135,'2.Bookinglist'!A:CT,85,FALSE)</f>
        <v>CY/CY</v>
      </c>
      <c r="M135" s="60" t="str">
        <f>IF(VLOOKUP(D135,'2.Bookinglist'!A:CT,43,FALSE)=0,"","DG")</f>
        <v/>
      </c>
      <c r="N135" s="60" t="str">
        <f>IF(RIGHT(K135,2)="RE","RF","")</f>
        <v/>
      </c>
      <c r="O135" s="61" t="str">
        <f>VLOOKUP(A135,'1.Loading'!A:R,3,FALSE)</f>
        <v>SWIC</v>
      </c>
      <c r="P135" s="61" t="str">
        <f>VLOOKUP(A135,'1.Loading'!A:R,4,FALSE)</f>
        <v>2611N</v>
      </c>
      <c r="Q135" s="61" t="str">
        <f>VLOOKUP(D135,'2.Bookinglist'!A:CT,12,FALSE)</f>
        <v>KHS1</v>
      </c>
      <c r="R135" s="60" t="str">
        <f>IF(LEFT(K135,2)="22","20'","40'")</f>
        <v>20'</v>
      </c>
      <c r="S135" s="185" t="n"/>
      <c r="T135" s="61" t="str">
        <f>VLOOKUP(A135,'1.Loading'!A:R,2,FALSE)</f>
        <v>2026-10-16</v>
      </c>
      <c r="U135" s="63">
        <f>T135-S135</f>
        <v>46311</v>
      </c>
      <c r="V135" s="186" t="n"/>
      <c r="W135" s="61" t="str">
        <f>VLOOKUP(A135,'3.GateMove'!A:D,4,FALSE)</f>
        <v>2026-10-13</v>
      </c>
      <c r="X135" s="63">
        <f>((T135-W135)+1)</f>
        <v>4</v>
      </c>
      <c r="Y135" s="64">
        <f>IF(AND(OR(C135="BKK01",C135="BKK04"),L135="CFS/CY"),0,IF(M135="DG",1,IF(LEFT(C135,3)="LCH",7,IF(C135="BKK02",5,3))))</f>
        <v>3</v>
      </c>
      <c r="Z135" s="63">
        <f>IF(IF(AND(AC135="TML",AB135&gt;0),((T135-W135)+1)-AB135,((T135-W135)+1)-Y135)&gt;0,IF(AND(AC135="TML",AB135&gt;0),((T135-W135)+1)-AB135,((T135-W135)+1)-Y135),0)</f>
        <v>1</v>
      </c>
      <c r="AA135" s="187">
        <f>IF(AND(B135="G1",M135=""),IF(R135="20'",
VLOOKUP(Z135,Charge!$K$2:$M$5,2,TRUE)+(Z135-VLOOKUP(Z135,Charge!$K$2:$M$5,1,TRUE))*VLOOKUP(Z135,Charge!$K$2:$M$5,3,TRUE),
VLOOKUP(Z135,Charge!$N$2:$P$5,2,TRUE)+(Z135-VLOOKUP(Z135,Charge!$N$2:$P$5,1,TRUE))*VLOOKUP(Z135,Charge!$N$2:$P$5,3,TRUE)),
IF(AND(B135="G1",M135="DG"),IF(R135="20'",
VLOOKUP(Z135,Charge!$R$2:$T$5,2,TRUE)+(Z135-VLOOKUP(Z135,Charge!$R$2:$T$5,1,TRUE))*VLOOKUP(Z135,Charge!$R$2:$T$5,3,TRUE),
VLOOKUP(Z135,Charge!$U$2:$W$5,2,TRUE)+(Z135-VLOOKUP(Z135,Charge!$U$2:$W$5,1,TRUE))*VLOOKUP(Z135,Charge!$U$2:$W$5,3,TRUE)),
IF(AND(B135="G3",M135=""),IF(R135="20'",
VLOOKUP(Z135,Charge!$K$18:$M$21,2,TRUE)+(Z135-VLOOKUP(Z135,Charge!$K$18:$M$21,1,TRUE))*VLOOKUP(Z135,Charge!$K$18:$M$21,3,TRUE),
VLOOKUP(Z135,Charge!$N$18:$P$21,2,TRUE)+(Z135-VLOOKUP(Z135,Charge!$N$18:$P$21,1,TRUE))*VLOOKUP(Z135,Charge!$N$18:$P$21,3,TRUE)),
IF(AND(B135="G3",M135="DG"),IF(R135="20'",
VLOOKUP(Z135,Charge!$R$18:$T$21,2,TRUE)+(Z135-VLOOKUP(Z135,Charge!$R$18:$T$21,1,TRUE))*VLOOKUP(Z135,Charge!$R$18:$T$21,3,TRUE),
VLOOKUP(Z135,Charge!$U$18:$W$21,2,TRUE)+(Z135-VLOOKUP(Z135,Charge!$U$18:$W$21,1,TRUE))*VLOOKUP(Z135,Charge!$U$18:$W$21,3,TRUE)),
IF(AND(B135="G2",M135=""),IF(R135="20'",
VLOOKUP(Z135,Charge!$K$9:$M$12,2,TRUE)+(Z135-VLOOKUP(Z135,Charge!$K$9:$M$12,1,TRUE))*VLOOKUP(Z135,Charge!$K$9:$M$12,3,TRUE),
VLOOKUP(Z135,Charge!$N$9:$P$12,2,TRUE)+(Z135-VLOOKUP(Z135,Charge!$N$9:$P$12,1,TRUE))*VLOOKUP(Z135,Charge!$N$9:$P$12,3,TRUE)),
IF(AND(B135="G2",M135="DG"),IF(R135="20'",
VLOOKUP(Z135,Charge!$R$9:$T$12,2,TRUE)+(Z135-VLOOKUP(Z135,Charge!$R$9:$T$12,1,TRUE))*VLOOKUP(Z135,Charge!$R$9:$T$12,3,TRUE),
VLOOKUP(Z135,Charge!$U$9:$W$12,2,TRUE)+(Z135-VLOOKUP(Z135,Charge!$U$9:$W$12,1,TRUE))*VLOOKUP(Z135,Charge!$U$9:$W$12,3,TRUE)),IF(AND(B135="G4",M135=""),IF(R135="20'",Z135*Charge!$M$25,Z135*Charge!$P$25),IF(AND(B135="G4",M135="DG"),IF(R135="20'",Z135*Charge!$T$25,Z135*Charge!$W$25),0))))))))</f>
        <v>160</v>
      </c>
      <c r="AB135" s="184" t="n"/>
      <c r="AC135" s="184" t="n"/>
      <c r="AD135" s="60">
        <f>IF(M135="DG",3,IF(N135="RF",3,5))+IF(AND(LEFT(C135,3)="BKK",N135="RF",Q135="KTS"),1,0)+IF(Q135="KHS",1,0)</f>
        <v>5</v>
      </c>
      <c r="AE135" s="63">
        <f>(T135-V135)+1</f>
        <v>46312</v>
      </c>
      <c r="AF135" s="63">
        <f>IF(AB135&gt;IF((V135-W135)&gt;0,V135-W135,0),0,IF(AB135&lt;IF((V135-W135)&gt;0,V135-W135,0),IF((V135-W135)&gt;0,V135-W135,0)-AB135,IF((V135-W135)&gt;0,V135-W135,0)))</f>
        <v>0</v>
      </c>
      <c r="AG135" s="187">
        <f>IF(AND(M135=""),IF(R135="20'",
VLOOKUP(AF135,Charge!$K$31:$M$34,2,TRUE)+(AF135-VLOOKUP(AF135,Charge!$K$31:$M$34,1,TRUE))*VLOOKUP(AF135,Charge!$K$31:$M$34,3,TRUE),
VLOOKUP(AF135,Charge!$N$31:$P$34,2,TRUE)+(AF135-VLOOKUP(AF135,Charge!$N$31:$P$34,1,TRUE))*VLOOKUP(AF135,Charge!$N$31:$P$34,3,TRUE)),
IF(AND(M135="DG"),IF(R135="20'",
VLOOKUP(AF135,Charge!$R$31:$T$34,2,TRUE)+(AF135-VLOOKUP(AF135,Charge!$R$31:$T$34,1,TRUE))*VLOOKUP(AF135,Charge!$R$31:$T$34,3,TRUE),
VLOOKUP(AF135,Charge!$U$31:$W$34,2,TRUE)+(AF135-VLOOKUP(AF135,Charge!$U$31:$W$34,1,TRUE))*VLOOKUP(AF135,Charge!$U$31:$W$34,3,TRUE)),0))</f>
        <v>0</v>
      </c>
      <c r="AH135" s="65" t="n"/>
      <c r="AI135" s="65">
        <f>AA135-AH135</f>
        <v>160</v>
      </c>
      <c r="AJ135" s="188" t="n"/>
      <c r="AK135" s="62" t="str">
        <f>VLOOKUP(D135,'2.Bookinglist'!A:CT,40,FALSE)</f>
        <v>Dharaporn</v>
      </c>
      <c r="AL135" s="60" t="str">
        <f>VLOOKUP(D135,'2.Bookinglist'!A:CW,101,FALSE)</f>
        <v>2026-10-15</v>
      </c>
      <c r="AM135" s="60" t="str">
        <f>VLOOKUP(D135,'2.Bookinglist'!A:BK,63,FALSE)</f>
        <v>BKK27</v>
      </c>
      <c r="AN135" s="62" t="str">
        <f>VLOOKUP(D135,'2.Bookinglist'!A:AZ,52,FALSE)</f>
        <v>[FIX]Pickup : 2026-10-10, Return : 2026-10-12
CLS TIME DD.13/10/2026 @ 23.59</v>
      </c>
      <c r="AO135" s="62">
        <f>VLOOKUP(D135,'2.Bookinglist'!A:CY,103,FALSE)</f>
        <v>0</v>
      </c>
    </row>
    <row r="136" ht="12.95" customHeight="1">
      <c r="A136" s="96" t="inlineStr">
        <is>
          <t>SKLU2483050</t>
        </is>
      </c>
      <c r="B136" s="184" t="str">
        <f>IF(C136=Charge!$M$1,Charge!$J$1,IF(C136=Charge!$M$23,Charge!$J$23,IF(C136=Charge!$M$17,Charge!$J$17,IF(C136=Charge!$N$17,Charge!$J$17,Charge!$J$7))))</f>
        <v>G3</v>
      </c>
      <c r="C136" s="61" t="str">
        <f>VLOOKUP(A136,'1.Loading'!A:R,14,FALSE)</f>
        <v>BKK01</v>
      </c>
      <c r="D136" s="61" t="str">
        <f>VLOOKUP(A136,'1.Loading'!A:R,17,FALSE)</f>
        <v>HASLS22260801865</v>
      </c>
      <c r="E136" s="62" t="str">
        <f>VLOOKUP(D136,'2.Bookinglist'!A:CT,27,FALSE)</f>
        <v>STARFISH CO., LTD.</v>
      </c>
      <c r="F136" s="62" t="str">
        <f>VLOOKUP(D136,'2.Bookinglist'!A:CT,28,FALSE)</f>
        <v>STARFISH CO., LTD.</v>
      </c>
      <c r="G136" s="60">
        <f>VLOOKUP(D136,'2.Bookinglist'!A:E,5,FALSE)</f>
        <v>0</v>
      </c>
      <c r="H136" s="61" t="str">
        <f>VLOOKUP(D136,'2.Bookinglist'!A:CT,15,FALSE)</f>
        <v>THBKK</v>
      </c>
      <c r="I136" s="61" t="str">
        <f>VLOOKUP(D136,'2.Bookinglist'!A:CT,19,FALSE)</f>
        <v>JPSEN</v>
      </c>
      <c r="J136" s="61" t="str">
        <f>VLOOKUP(D136,'2.Bookinglist'!A:CT,26,FALSE)</f>
        <v>KRPUS</v>
      </c>
      <c r="K136" s="61" t="str">
        <f>VLOOKUP(A136,'1.Loading'!A:R,5,FALSE)</f>
        <v>22GP</v>
      </c>
      <c r="L136" s="60" t="str">
        <f>VLOOKUP(D136,'2.Bookinglist'!A:CT,85,FALSE)</f>
        <v>CY/CY</v>
      </c>
      <c r="M136" s="60" t="str">
        <f>IF(VLOOKUP(D136,'2.Bookinglist'!A:CT,43,FALSE)=0,"","DG")</f>
        <v/>
      </c>
      <c r="N136" s="60" t="str">
        <f>IF(RIGHT(K136,2)="RE","RF","")</f>
        <v/>
      </c>
      <c r="O136" s="61" t="str">
        <f>VLOOKUP(A136,'1.Loading'!A:R,3,FALSE)</f>
        <v>SWIC</v>
      </c>
      <c r="P136" s="61" t="str">
        <f>VLOOKUP(A136,'1.Loading'!A:R,4,FALSE)</f>
        <v>2611N</v>
      </c>
      <c r="Q136" s="61" t="str">
        <f>VLOOKUP(D136,'2.Bookinglist'!A:CT,12,FALSE)</f>
        <v>KHS1</v>
      </c>
      <c r="R136" s="60" t="str">
        <f>IF(LEFT(K136,2)="22","20'","40'")</f>
        <v>20'</v>
      </c>
      <c r="S136" s="185" t="n"/>
      <c r="T136" s="61" t="str">
        <f>VLOOKUP(A136,'1.Loading'!A:R,2,FALSE)</f>
        <v>2026-10-16</v>
      </c>
      <c r="U136" s="63">
        <f>T136-S136</f>
        <v>46311</v>
      </c>
      <c r="V136" s="186" t="n"/>
      <c r="W136" s="61" t="str">
        <f>VLOOKUP(A136,'3.GateMove'!A:D,4,FALSE)</f>
        <v>2026-10-03</v>
      </c>
      <c r="X136" s="63">
        <f>((T136-W136)+1)</f>
        <v>14</v>
      </c>
      <c r="Y136" s="64">
        <f>IF(AND(OR(C136="BKK01",C136="BKK04"),L136="CFS/CY"),0,IF(M136="DG",1,IF(LEFT(C136,3)="LCH",7,IF(C136="BKK02",5,3))))</f>
        <v>3</v>
      </c>
      <c r="Z136" s="63">
        <f>IF(IF(AND(AC136="TML",AB136&gt;0),((T136-W136)+1)-AB136,((T136-W136)+1)-Y136)&gt;0,IF(AND(AC136="TML",AB136&gt;0),((T136-W136)+1)-AB136,((T136-W136)+1)-Y136),0)</f>
        <v>11</v>
      </c>
      <c r="AA136" s="187">
        <f>IF(AND(B136="G1",M136=""),IF(R136="20'",
VLOOKUP(Z136,Charge!$K$2:$M$5,2,TRUE)+(Z136-VLOOKUP(Z136,Charge!$K$2:$M$5,1,TRUE))*VLOOKUP(Z136,Charge!$K$2:$M$5,3,TRUE),
VLOOKUP(Z136,Charge!$N$2:$P$5,2,TRUE)+(Z136-VLOOKUP(Z136,Charge!$N$2:$P$5,1,TRUE))*VLOOKUP(Z136,Charge!$N$2:$P$5,3,TRUE)),
IF(AND(B136="G1",M136="DG"),IF(R136="20'",
VLOOKUP(Z136,Charge!$R$2:$T$5,2,TRUE)+(Z136-VLOOKUP(Z136,Charge!$R$2:$T$5,1,TRUE))*VLOOKUP(Z136,Charge!$R$2:$T$5,3,TRUE),
VLOOKUP(Z136,Charge!$U$2:$W$5,2,TRUE)+(Z136-VLOOKUP(Z136,Charge!$U$2:$W$5,1,TRUE))*VLOOKUP(Z136,Charge!$U$2:$W$5,3,TRUE)),
IF(AND(B136="G3",M136=""),IF(R136="20'",
VLOOKUP(Z136,Charge!$K$18:$M$21,2,TRUE)+(Z136-VLOOKUP(Z136,Charge!$K$18:$M$21,1,TRUE))*VLOOKUP(Z136,Charge!$K$18:$M$21,3,TRUE),
VLOOKUP(Z136,Charge!$N$18:$P$21,2,TRUE)+(Z136-VLOOKUP(Z136,Charge!$N$18:$P$21,1,TRUE))*VLOOKUP(Z136,Charge!$N$18:$P$21,3,TRUE)),
IF(AND(B136="G3",M136="DG"),IF(R136="20'",
VLOOKUP(Z136,Charge!$R$18:$T$21,2,TRUE)+(Z136-VLOOKUP(Z136,Charge!$R$18:$T$21,1,TRUE))*VLOOKUP(Z136,Charge!$R$18:$T$21,3,TRUE),
VLOOKUP(Z136,Charge!$U$18:$W$21,2,TRUE)+(Z136-VLOOKUP(Z136,Charge!$U$18:$W$21,1,TRUE))*VLOOKUP(Z136,Charge!$U$18:$W$21,3,TRUE)),
IF(AND(B136="G2",M136=""),IF(R136="20'",
VLOOKUP(Z136,Charge!$K$9:$M$12,2,TRUE)+(Z136-VLOOKUP(Z136,Charge!$K$9:$M$12,1,TRUE))*VLOOKUP(Z136,Charge!$K$9:$M$12,3,TRUE),
VLOOKUP(Z136,Charge!$N$9:$P$12,2,TRUE)+(Z136-VLOOKUP(Z136,Charge!$N$9:$P$12,1,TRUE))*VLOOKUP(Z136,Charge!$N$9:$P$12,3,TRUE)),
IF(AND(B136="G2",M136="DG"),IF(R136="20'",
VLOOKUP(Z136,Charge!$R$9:$T$12,2,TRUE)+(Z136-VLOOKUP(Z136,Charge!$R$9:$T$12,1,TRUE))*VLOOKUP(Z136,Charge!$R$9:$T$12,3,TRUE),
VLOOKUP(Z136,Charge!$U$9:$W$12,2,TRUE)+(Z136-VLOOKUP(Z136,Charge!$U$9:$W$12,1,TRUE))*VLOOKUP(Z136,Charge!$U$9:$W$12,3,TRUE)),IF(AND(B136="G4",M136=""),IF(R136="20'",Z136*Charge!$M$25,Z136*Charge!$P$25),IF(AND(B136="G4",M136="DG"),IF(R136="20'",Z136*Charge!$T$25,Z136*Charge!$W$25),0))))))))</f>
        <v>2220</v>
      </c>
      <c r="AB136" s="184" t="n"/>
      <c r="AC136" s="184" t="n"/>
      <c r="AD136" s="60">
        <f>IF(M136="DG",3,IF(N136="RF",3,5))+IF(AND(LEFT(C136,3)="BKK",N136="RF",Q136="KTS"),1,0)+IF(Q136="KHS",1,0)</f>
        <v>5</v>
      </c>
      <c r="AE136" s="63">
        <f>(T136-V136)+1</f>
        <v>46312</v>
      </c>
      <c r="AF136" s="63">
        <f>IF(AB136&gt;IF((V136-W136)&gt;0,V136-W136,0),0,IF(AB136&lt;IF((V136-W136)&gt;0,V136-W136,0),IF((V136-W136)&gt;0,V136-W136,0)-AB136,IF((V136-W136)&gt;0,V136-W136,0)))</f>
        <v>0</v>
      </c>
      <c r="AG136" s="187">
        <f>IF(AND(M136=""),IF(R136="20'",
VLOOKUP(AF136,Charge!$K$31:$M$34,2,TRUE)+(AF136-VLOOKUP(AF136,Charge!$K$31:$M$34,1,TRUE))*VLOOKUP(AF136,Charge!$K$31:$M$34,3,TRUE),
VLOOKUP(AF136,Charge!$N$31:$P$34,2,TRUE)+(AF136-VLOOKUP(AF136,Charge!$N$31:$P$34,1,TRUE))*VLOOKUP(AF136,Charge!$N$31:$P$34,3,TRUE)),
IF(AND(M136="DG"),IF(R136="20'",
VLOOKUP(AF136,Charge!$R$31:$T$34,2,TRUE)+(AF136-VLOOKUP(AF136,Charge!$R$31:$T$34,1,TRUE))*VLOOKUP(AF136,Charge!$R$31:$T$34,3,TRUE),
VLOOKUP(AF136,Charge!$U$31:$W$34,2,TRUE)+(AF136-VLOOKUP(AF136,Charge!$U$31:$W$34,1,TRUE))*VLOOKUP(AF136,Charge!$U$31:$W$34,3,TRUE)),0))</f>
        <v>0</v>
      </c>
      <c r="AH136" s="65" t="n"/>
      <c r="AI136" s="65">
        <f>AA136-AH136</f>
        <v>2220</v>
      </c>
      <c r="AJ136" s="188" t="n"/>
      <c r="AK136" s="62" t="str">
        <f>VLOOKUP(D136,'2.Bookinglist'!A:CT,40,FALSE)</f>
        <v>Dharaporn</v>
      </c>
      <c r="AL136" s="60" t="str">
        <f>VLOOKUP(D136,'2.Bookinglist'!A:CW,101,FALSE)</f>
        <v>2026-10-15</v>
      </c>
      <c r="AM136" s="60" t="str">
        <f>VLOOKUP(D136,'2.Bookinglist'!A:BK,63,FALSE)</f>
        <v>BKK27</v>
      </c>
      <c r="AN136" s="62" t="str">
        <f>VLOOKUP(D136,'2.Bookinglist'!A:AZ,52,FALSE)</f>
        <v>[FIX]Pickup : 2026-10-02, Return : 2026-10-03</v>
      </c>
      <c r="AO136" s="62" t="str">
        <f>VLOOKUP(D136,'2.Bookinglist'!A:CY,103,FALSE)</f>
        <v>ROLL OVER FROM PREVIOUS VSL SWSP 2609N BY ALLOCATON TEAM MS.TARN APPROVED COST IS UNDER HA DD.4/10</v>
      </c>
    </row>
    <row r="137" ht="12.95" customHeight="1">
      <c r="A137" s="96" t="inlineStr">
        <is>
          <t>SKLU2484101</t>
        </is>
      </c>
      <c r="B137" s="184" t="str">
        <f>IF(C137=Charge!$M$1,Charge!$J$1,IF(C137=Charge!$M$23,Charge!$J$23,IF(C137=Charge!$M$17,Charge!$J$17,IF(C137=Charge!$N$17,Charge!$J$17,Charge!$J$7))))</f>
        <v>G3</v>
      </c>
      <c r="C137" s="61" t="str">
        <f>VLOOKUP(A137,'1.Loading'!A:R,14,FALSE)</f>
        <v>BKK01</v>
      </c>
      <c r="D137" s="61" t="str">
        <f>VLOOKUP(A137,'1.Loading'!A:R,17,FALSE)</f>
        <v>HASLS22260902184</v>
      </c>
      <c r="E137" s="62" t="str">
        <f>VLOOKUP(D137,'2.Bookinglist'!A:CT,27,FALSE)</f>
        <v>BIRLA CARBON (THAILAND) PUBLIC COMPANY LIMITED</v>
      </c>
      <c r="F137" s="62" t="str">
        <f>VLOOKUP(D137,'2.Bookinglist'!A:CT,28,FALSE)</f>
        <v>BIRLA CARBON (THAILAND) PUBLIC COMPANY LIMITED</v>
      </c>
      <c r="G137" s="60">
        <f>VLOOKUP(D137,'2.Bookinglist'!A:E,5,FALSE)</f>
        <v>0</v>
      </c>
      <c r="H137" s="61" t="str">
        <f>VLOOKUP(D137,'2.Bookinglist'!A:CT,15,FALSE)</f>
        <v>THBKK</v>
      </c>
      <c r="I137" s="61" t="str">
        <f>VLOOKUP(D137,'2.Bookinglist'!A:CT,19,FALSE)</f>
        <v>JPUKB</v>
      </c>
      <c r="J137" s="61" t="str">
        <f>VLOOKUP(D137,'2.Bookinglist'!A:CT,26,FALSE)</f>
        <v>KRPUS</v>
      </c>
      <c r="K137" s="61" t="str">
        <f>VLOOKUP(A137,'1.Loading'!A:R,5,FALSE)</f>
        <v>22GP</v>
      </c>
      <c r="L137" s="60" t="str">
        <f>VLOOKUP(D137,'2.Bookinglist'!A:CT,85,FALSE)</f>
        <v>CY/CY</v>
      </c>
      <c r="M137" s="60" t="str">
        <f>IF(VLOOKUP(D137,'2.Bookinglist'!A:CT,43,FALSE)=0,"","DG")</f>
        <v/>
      </c>
      <c r="N137" s="60" t="str">
        <f>IF(RIGHT(K137,2)="RE","RF","")</f>
        <v/>
      </c>
      <c r="O137" s="61" t="str">
        <f>VLOOKUP(A137,'1.Loading'!A:R,3,FALSE)</f>
        <v>SWIC</v>
      </c>
      <c r="P137" s="61" t="str">
        <f>VLOOKUP(A137,'1.Loading'!A:R,4,FALSE)</f>
        <v>2611N</v>
      </c>
      <c r="Q137" s="61" t="str">
        <f>VLOOKUP(D137,'2.Bookinglist'!A:CT,12,FALSE)</f>
        <v>KHS1</v>
      </c>
      <c r="R137" s="60" t="str">
        <f>IF(LEFT(K137,2)="22","20'","40'")</f>
        <v>20'</v>
      </c>
      <c r="S137" s="185" t="n"/>
      <c r="T137" s="61" t="str">
        <f>VLOOKUP(A137,'1.Loading'!A:R,2,FALSE)</f>
        <v>2026-10-16</v>
      </c>
      <c r="U137" s="63">
        <f>T137-S137</f>
        <v>46311</v>
      </c>
      <c r="V137" s="186" t="n"/>
      <c r="W137" s="61" t="str">
        <f>VLOOKUP(A137,'3.GateMove'!A:D,4,FALSE)</f>
        <v>2026-10-13</v>
      </c>
      <c r="X137" s="63">
        <f>((T137-W137)+1)</f>
        <v>4</v>
      </c>
      <c r="Y137" s="64">
        <f>IF(AND(OR(C137="BKK01",C137="BKK04"),L137="CFS/CY"),0,IF(M137="DG",1,IF(LEFT(C137,3)="LCH",7,IF(C137="BKK02",5,3))))</f>
        <v>3</v>
      </c>
      <c r="Z137" s="63">
        <f>IF(IF(AND(AC137="TML",AB137&gt;0),((T137-W137)+1)-AB137,((T137-W137)+1)-Y137)&gt;0,IF(AND(AC137="TML",AB137&gt;0),((T137-W137)+1)-AB137,((T137-W137)+1)-Y137),0)</f>
        <v>1</v>
      </c>
      <c r="AA137" s="187">
        <f>IF(AND(B137="G1",M137=""),IF(R137="20'",
VLOOKUP(Z137,Charge!$K$2:$M$5,2,TRUE)+(Z137-VLOOKUP(Z137,Charge!$K$2:$M$5,1,TRUE))*VLOOKUP(Z137,Charge!$K$2:$M$5,3,TRUE),
VLOOKUP(Z137,Charge!$N$2:$P$5,2,TRUE)+(Z137-VLOOKUP(Z137,Charge!$N$2:$P$5,1,TRUE))*VLOOKUP(Z137,Charge!$N$2:$P$5,3,TRUE)),
IF(AND(B137="G1",M137="DG"),IF(R137="20'",
VLOOKUP(Z137,Charge!$R$2:$T$5,2,TRUE)+(Z137-VLOOKUP(Z137,Charge!$R$2:$T$5,1,TRUE))*VLOOKUP(Z137,Charge!$R$2:$T$5,3,TRUE),
VLOOKUP(Z137,Charge!$U$2:$W$5,2,TRUE)+(Z137-VLOOKUP(Z137,Charge!$U$2:$W$5,1,TRUE))*VLOOKUP(Z137,Charge!$U$2:$W$5,3,TRUE)),
IF(AND(B137="G3",M137=""),IF(R137="20'",
VLOOKUP(Z137,Charge!$K$18:$M$21,2,TRUE)+(Z137-VLOOKUP(Z137,Charge!$K$18:$M$21,1,TRUE))*VLOOKUP(Z137,Charge!$K$18:$M$21,3,TRUE),
VLOOKUP(Z137,Charge!$N$18:$P$21,2,TRUE)+(Z137-VLOOKUP(Z137,Charge!$N$18:$P$21,1,TRUE))*VLOOKUP(Z137,Charge!$N$18:$P$21,3,TRUE)),
IF(AND(B137="G3",M137="DG"),IF(R137="20'",
VLOOKUP(Z137,Charge!$R$18:$T$21,2,TRUE)+(Z137-VLOOKUP(Z137,Charge!$R$18:$T$21,1,TRUE))*VLOOKUP(Z137,Charge!$R$18:$T$21,3,TRUE),
VLOOKUP(Z137,Charge!$U$18:$W$21,2,TRUE)+(Z137-VLOOKUP(Z137,Charge!$U$18:$W$21,1,TRUE))*VLOOKUP(Z137,Charge!$U$18:$W$21,3,TRUE)),
IF(AND(B137="G2",M137=""),IF(R137="20'",
VLOOKUP(Z137,Charge!$K$9:$M$12,2,TRUE)+(Z137-VLOOKUP(Z137,Charge!$K$9:$M$12,1,TRUE))*VLOOKUP(Z137,Charge!$K$9:$M$12,3,TRUE),
VLOOKUP(Z137,Charge!$N$9:$P$12,2,TRUE)+(Z137-VLOOKUP(Z137,Charge!$N$9:$P$12,1,TRUE))*VLOOKUP(Z137,Charge!$N$9:$P$12,3,TRUE)),
IF(AND(B137="G2",M137="DG"),IF(R137="20'",
VLOOKUP(Z137,Charge!$R$9:$T$12,2,TRUE)+(Z137-VLOOKUP(Z137,Charge!$R$9:$T$12,1,TRUE))*VLOOKUP(Z137,Charge!$R$9:$T$12,3,TRUE),
VLOOKUP(Z137,Charge!$U$9:$W$12,2,TRUE)+(Z137-VLOOKUP(Z137,Charge!$U$9:$W$12,1,TRUE))*VLOOKUP(Z137,Charge!$U$9:$W$12,3,TRUE)),IF(AND(B137="G4",M137=""),IF(R137="20'",Z137*Charge!$M$25,Z137*Charge!$P$25),IF(AND(B137="G4",M137="DG"),IF(R137="20'",Z137*Charge!$T$25,Z137*Charge!$W$25),0))))))))</f>
        <v>160</v>
      </c>
      <c r="AB137" s="184" t="n"/>
      <c r="AC137" s="184" t="n"/>
      <c r="AD137" s="60">
        <f>IF(M137="DG",3,IF(N137="RF",3,5))+IF(AND(LEFT(C137,3)="BKK",N137="RF",Q137="KTS"),1,0)+IF(Q137="KHS",1,0)</f>
        <v>5</v>
      </c>
      <c r="AE137" s="63">
        <f>(T137-V137)+1</f>
        <v>46312</v>
      </c>
      <c r="AF137" s="63">
        <f>IF(AB137&gt;IF((V137-W137)&gt;0,V137-W137,0),0,IF(AB137&lt;IF((V137-W137)&gt;0,V137-W137,0),IF((V137-W137)&gt;0,V137-W137,0)-AB137,IF((V137-W137)&gt;0,V137-W137,0)))</f>
        <v>0</v>
      </c>
      <c r="AG137" s="187">
        <f>IF(AND(M137=""),IF(R137="20'",
VLOOKUP(AF137,Charge!$K$31:$M$34,2,TRUE)+(AF137-VLOOKUP(AF137,Charge!$K$31:$M$34,1,TRUE))*VLOOKUP(AF137,Charge!$K$31:$M$34,3,TRUE),
VLOOKUP(AF137,Charge!$N$31:$P$34,2,TRUE)+(AF137-VLOOKUP(AF137,Charge!$N$31:$P$34,1,TRUE))*VLOOKUP(AF137,Charge!$N$31:$P$34,3,TRUE)),
IF(AND(M137="DG"),IF(R137="20'",
VLOOKUP(AF137,Charge!$R$31:$T$34,2,TRUE)+(AF137-VLOOKUP(AF137,Charge!$R$31:$T$34,1,TRUE))*VLOOKUP(AF137,Charge!$R$31:$T$34,3,TRUE),
VLOOKUP(AF137,Charge!$U$31:$W$34,2,TRUE)+(AF137-VLOOKUP(AF137,Charge!$U$31:$W$34,1,TRUE))*VLOOKUP(AF137,Charge!$U$31:$W$34,3,TRUE)),0))</f>
        <v>0</v>
      </c>
      <c r="AH137" s="65" t="n"/>
      <c r="AI137" s="65">
        <f>AA137-AH137</f>
        <v>160</v>
      </c>
      <c r="AJ137" s="188" t="n"/>
      <c r="AK137" s="62" t="str">
        <f>VLOOKUP(D137,'2.Bookinglist'!A:CT,40,FALSE)</f>
        <v>Dharaporn</v>
      </c>
      <c r="AL137" s="60" t="str">
        <f>VLOOKUP(D137,'2.Bookinglist'!A:CW,101,FALSE)</f>
        <v>2026-10-15</v>
      </c>
      <c r="AM137" s="60" t="str">
        <f>VLOOKUP(D137,'2.Bookinglist'!A:BK,63,FALSE)</f>
        <v>BKK27</v>
      </c>
      <c r="AN137" s="62" t="str">
        <f>VLOOKUP(D137,'2.Bookinglist'!A:AZ,52,FALSE)</f>
        <v>[FIX]Pickup : 2026-10-10, Return : 2026-10-12
CLS TIME DD.13/10/2026 @ 23.59</v>
      </c>
      <c r="AO137" s="62">
        <f>VLOOKUP(D137,'2.Bookinglist'!A:CY,103,FALSE)</f>
        <v>0</v>
      </c>
    </row>
    <row r="138" ht="12.95" customHeight="1">
      <c r="A138" s="96" t="inlineStr">
        <is>
          <t>SKLU3511011</t>
        </is>
      </c>
      <c r="B138" s="184" t="str">
        <f>IF(C138=Charge!$M$1,Charge!$J$1,IF(C138=Charge!$M$23,Charge!$J$23,IF(C138=Charge!$M$17,Charge!$J$17,IF(C138=Charge!$N$17,Charge!$J$17,Charge!$J$7))))</f>
        <v>G3</v>
      </c>
      <c r="C138" s="61" t="str">
        <f>VLOOKUP(A138,'1.Loading'!A:R,14,FALSE)</f>
        <v>BKK01</v>
      </c>
      <c r="D138" s="61" t="str">
        <f>VLOOKUP(A138,'1.Loading'!A:R,17,FALSE)</f>
        <v>HASLS22260801161</v>
      </c>
      <c r="E138" s="62" t="str">
        <f>VLOOKUP(D138,'2.Bookinglist'!A:CT,27,FALSE)</f>
        <v>MEGALOAD DEVELOPMENT LOGISTICS CO., LTD.</v>
      </c>
      <c r="F138" s="62" t="str">
        <f>VLOOKUP(D138,'2.Bookinglist'!A:CT,28,FALSE)</f>
        <v>FISHMEAL MARKETING DEVELOPMENT CO., LTD.</v>
      </c>
      <c r="G138" s="60">
        <f>VLOOKUP(D138,'2.Bookinglist'!A:E,5,FALSE)</f>
        <v>0</v>
      </c>
      <c r="H138" s="61" t="str">
        <f>VLOOKUP(D138,'2.Bookinglist'!A:CT,15,FALSE)</f>
        <v>THBKK</v>
      </c>
      <c r="I138" s="61" t="str">
        <f>VLOOKUP(D138,'2.Bookinglist'!A:CT,19,FALSE)</f>
        <v>JPKSM</v>
      </c>
      <c r="J138" s="61" t="str">
        <f>VLOOKUP(D138,'2.Bookinglist'!A:CT,26,FALSE)</f>
        <v>KRPUS</v>
      </c>
      <c r="K138" s="61" t="str">
        <f>VLOOKUP(A138,'1.Loading'!A:R,5,FALSE)</f>
        <v>22GP</v>
      </c>
      <c r="L138" s="60" t="str">
        <f>VLOOKUP(D138,'2.Bookinglist'!A:CT,85,FALSE)</f>
        <v>CY/CY</v>
      </c>
      <c r="M138" s="60" t="str">
        <f>IF(VLOOKUP(D138,'2.Bookinglist'!A:CT,43,FALSE)=0,"","DG")</f>
        <v>DG</v>
      </c>
      <c r="N138" s="60" t="str">
        <f>IF(RIGHT(K138,2)="RE","RF","")</f>
        <v/>
      </c>
      <c r="O138" s="61" t="str">
        <f>VLOOKUP(A138,'1.Loading'!A:R,3,FALSE)</f>
        <v>SWIC</v>
      </c>
      <c r="P138" s="61" t="str">
        <f>VLOOKUP(A138,'1.Loading'!A:R,4,FALSE)</f>
        <v>2611N</v>
      </c>
      <c r="Q138" s="61" t="str">
        <f>VLOOKUP(D138,'2.Bookinglist'!A:CT,12,FALSE)</f>
        <v>KHS1</v>
      </c>
      <c r="R138" s="60" t="str">
        <f>IF(LEFT(K138,2)="22","20'","40'")</f>
        <v>20'</v>
      </c>
      <c r="S138" s="185" t="n"/>
      <c r="T138" s="61" t="str">
        <f>VLOOKUP(A138,'1.Loading'!A:R,2,FALSE)</f>
        <v>2026-10-16</v>
      </c>
      <c r="U138" s="63">
        <f>T138-S138</f>
        <v>46311</v>
      </c>
      <c r="V138" s="186" t="n"/>
      <c r="W138" s="61" t="str">
        <f>VLOOKUP(A138,'3.GateMove'!A:D,4,FALSE)</f>
        <v>2026-10-13</v>
      </c>
      <c r="X138" s="63">
        <f>((T138-W138)+1)</f>
        <v>4</v>
      </c>
      <c r="Y138" s="64">
        <f>IF(AND(OR(C138="BKK01",C138="BKK04"),L138="CFS/CY"),0,IF(M138="DG",1,IF(LEFT(C138,3)="LCH",7,IF(C138="BKK02",5,3))))</f>
        <v>1</v>
      </c>
      <c r="Z138" s="63">
        <f>IF(IF(AND(AC138="TML",AB138&gt;0),((T138-W138)+1)-AB138,((T138-W138)+1)-Y138)&gt;0,IF(AND(AC138="TML",AB138&gt;0),((T138-W138)+1)-AB138,((T138-W138)+1)-Y138),0)</f>
        <v>3</v>
      </c>
      <c r="AA138" s="187">
        <f>IF(AND(B138="G1",M138=""),IF(R138="20'",
VLOOKUP(Z138,Charge!$K$2:$M$5,2,TRUE)+(Z138-VLOOKUP(Z138,Charge!$K$2:$M$5,1,TRUE))*VLOOKUP(Z138,Charge!$K$2:$M$5,3,TRUE),
VLOOKUP(Z138,Charge!$N$2:$P$5,2,TRUE)+(Z138-VLOOKUP(Z138,Charge!$N$2:$P$5,1,TRUE))*VLOOKUP(Z138,Charge!$N$2:$P$5,3,TRUE)),
IF(AND(B138="G1",M138="DG"),IF(R138="20'",
VLOOKUP(Z138,Charge!$R$2:$T$5,2,TRUE)+(Z138-VLOOKUP(Z138,Charge!$R$2:$T$5,1,TRUE))*VLOOKUP(Z138,Charge!$R$2:$T$5,3,TRUE),
VLOOKUP(Z138,Charge!$U$2:$W$5,2,TRUE)+(Z138-VLOOKUP(Z138,Charge!$U$2:$W$5,1,TRUE))*VLOOKUP(Z138,Charge!$U$2:$W$5,3,TRUE)),
IF(AND(B138="G3",M138=""),IF(R138="20'",
VLOOKUP(Z138,Charge!$K$18:$M$21,2,TRUE)+(Z138-VLOOKUP(Z138,Charge!$K$18:$M$21,1,TRUE))*VLOOKUP(Z138,Charge!$K$18:$M$21,3,TRUE),
VLOOKUP(Z138,Charge!$N$18:$P$21,2,TRUE)+(Z138-VLOOKUP(Z138,Charge!$N$18:$P$21,1,TRUE))*VLOOKUP(Z138,Charge!$N$18:$P$21,3,TRUE)),
IF(AND(B138="G3",M138="DG"),IF(R138="20'",
VLOOKUP(Z138,Charge!$R$18:$T$21,2,TRUE)+(Z138-VLOOKUP(Z138,Charge!$R$18:$T$21,1,TRUE))*VLOOKUP(Z138,Charge!$R$18:$T$21,3,TRUE),
VLOOKUP(Z138,Charge!$U$18:$W$21,2,TRUE)+(Z138-VLOOKUP(Z138,Charge!$U$18:$W$21,1,TRUE))*VLOOKUP(Z138,Charge!$U$18:$W$21,3,TRUE)),
IF(AND(B138="G2",M138=""),IF(R138="20'",
VLOOKUP(Z138,Charge!$K$9:$M$12,2,TRUE)+(Z138-VLOOKUP(Z138,Charge!$K$9:$M$12,1,TRUE))*VLOOKUP(Z138,Charge!$K$9:$M$12,3,TRUE),
VLOOKUP(Z138,Charge!$N$9:$P$12,2,TRUE)+(Z138-VLOOKUP(Z138,Charge!$N$9:$P$12,1,TRUE))*VLOOKUP(Z138,Charge!$N$9:$P$12,3,TRUE)),
IF(AND(B138="G2",M138="DG"),IF(R138="20'",
VLOOKUP(Z138,Charge!$R$9:$T$12,2,TRUE)+(Z138-VLOOKUP(Z138,Charge!$R$9:$T$12,1,TRUE))*VLOOKUP(Z138,Charge!$R$9:$T$12,3,TRUE),
VLOOKUP(Z138,Charge!$U$9:$W$12,2,TRUE)+(Z138-VLOOKUP(Z138,Charge!$U$9:$W$12,1,TRUE))*VLOOKUP(Z138,Charge!$U$9:$W$12,3,TRUE)),IF(AND(B138="G4",M138=""),IF(R138="20'",Z138*Charge!$M$25,Z138*Charge!$P$25),IF(AND(B138="G4",M138="DG"),IF(R138="20'",Z138*Charge!$T$25,Z138*Charge!$W$25),0))))))))</f>
        <v>1440</v>
      </c>
      <c r="AB138" s="184" t="n"/>
      <c r="AC138" s="184" t="n"/>
      <c r="AD138" s="60">
        <f>IF(M138="DG",3,IF(N138="RF",3,5))+IF(AND(LEFT(C138,3)="BKK",N138="RF",Q138="KTS"),1,0)+IF(Q138="KHS",1,0)</f>
        <v>3</v>
      </c>
      <c r="AE138" s="63">
        <f>(T138-V138)+1</f>
        <v>46312</v>
      </c>
      <c r="AF138" s="63">
        <f>IF(AB138&gt;IF((V138-W138)&gt;0,V138-W138,0),0,IF(AB138&lt;IF((V138-W138)&gt;0,V138-W138,0),IF((V138-W138)&gt;0,V138-W138,0)-AB138,IF((V138-W138)&gt;0,V138-W138,0)))</f>
        <v>0</v>
      </c>
      <c r="AG138" s="187">
        <f>IF(AND(M138=""),IF(R138="20'",
VLOOKUP(AF138,Charge!$K$31:$M$34,2,TRUE)+(AF138-VLOOKUP(AF138,Charge!$K$31:$M$34,1,TRUE))*VLOOKUP(AF138,Charge!$K$31:$M$34,3,TRUE),
VLOOKUP(AF138,Charge!$N$31:$P$34,2,TRUE)+(AF138-VLOOKUP(AF138,Charge!$N$31:$P$34,1,TRUE))*VLOOKUP(AF138,Charge!$N$31:$P$34,3,TRUE)),
IF(AND(M138="DG"),IF(R138="20'",
VLOOKUP(AF138,Charge!$R$31:$T$34,2,TRUE)+(AF138-VLOOKUP(AF138,Charge!$R$31:$T$34,1,TRUE))*VLOOKUP(AF138,Charge!$R$31:$T$34,3,TRUE),
VLOOKUP(AF138,Charge!$U$31:$W$34,2,TRUE)+(AF138-VLOOKUP(AF138,Charge!$U$31:$W$34,1,TRUE))*VLOOKUP(AF138,Charge!$U$31:$W$34,3,TRUE)),0))</f>
        <v>0</v>
      </c>
      <c r="AH138" s="65" t="n"/>
      <c r="AI138" s="65">
        <f>AA138-AH138</f>
        <v>1440</v>
      </c>
      <c r="AJ138" s="188" t="n"/>
      <c r="AK138" s="62" t="str">
        <f>VLOOKUP(D138,'2.Bookinglist'!A:CT,40,FALSE)</f>
        <v>Tarn(Supaporn)</v>
      </c>
      <c r="AL138" s="60" t="str">
        <f>VLOOKUP(D138,'2.Bookinglist'!A:CW,101,FALSE)</f>
        <v>2026-10-12</v>
      </c>
      <c r="AM138" s="60" t="str">
        <f>VLOOKUP(D138,'2.Bookinglist'!A:BK,63,FALSE)</f>
        <v>BKK27</v>
      </c>
      <c r="AN138" s="62" t="str">
        <f>VLOOKUP(D138,'2.Bookinglist'!A:AZ,52,FALSE)</f>
        <v>[FIX][FIX]** APPROVAL DG BY MR.M.J CHANG DD.30/09/2026 ** DG22GPx13 (CLS 9 / UN 2216)  
Pickup : 2026-10-10, Return : 2026-09-10 
EXTEND  CLS TIME 13/23.59 FIRST DATE CAN RETURN CNTR DD.13/10</v>
      </c>
      <c r="AO138" s="62">
        <f>VLOOKUP(D138,'2.Bookinglist'!A:CY,103,FALSE)</f>
        <v>0</v>
      </c>
    </row>
    <row r="139" ht="12.95" customHeight="1">
      <c r="A139" s="96" t="inlineStr">
        <is>
          <t>SKRU9909262</t>
        </is>
      </c>
      <c r="B139" s="184" t="str">
        <f>IF(C139=Charge!$M$1,Charge!$J$1,IF(C139=Charge!$M$23,Charge!$J$23,IF(C139=Charge!$M$17,Charge!$J$17,IF(C139=Charge!$N$17,Charge!$J$17,Charge!$J$7))))</f>
        <v>G3</v>
      </c>
      <c r="C139" s="61" t="str">
        <f>VLOOKUP(A139,'1.Loading'!A:R,14,FALSE)</f>
        <v>BKK01</v>
      </c>
      <c r="D139" s="61" t="str">
        <f>VLOOKUP(A139,'1.Loading'!A:R,17,FALSE)</f>
        <v>HASLS22260902791</v>
      </c>
      <c r="E139" s="62" t="str">
        <f>VLOOKUP(D139,'2.Bookinglist'!A:CT,27,FALSE)</f>
        <v>VENTE TRADE CO.,LTD.</v>
      </c>
      <c r="F139" s="62" t="str">
        <f>VLOOKUP(D139,'2.Bookinglist'!A:CT,28,FALSE)</f>
        <v>VENTE TRADE CO.,LTD.</v>
      </c>
      <c r="G139" s="60">
        <f>VLOOKUP(D139,'2.Bookinglist'!A:E,5,FALSE)</f>
        <v>0</v>
      </c>
      <c r="H139" s="61" t="str">
        <f>VLOOKUP(D139,'2.Bookinglist'!A:CT,15,FALSE)</f>
        <v>THBKK</v>
      </c>
      <c r="I139" s="61" t="str">
        <f>VLOOKUP(D139,'2.Bookinglist'!A:CT,19,FALSE)</f>
        <v>RUVVO</v>
      </c>
      <c r="J139" s="61" t="str">
        <f>VLOOKUP(D139,'2.Bookinglist'!A:CT,26,FALSE)</f>
        <v>KRPUS</v>
      </c>
      <c r="K139" s="61" t="str">
        <f>VLOOKUP(A139,'1.Loading'!A:R,5,FALSE)</f>
        <v>45RE</v>
      </c>
      <c r="L139" s="60" t="str">
        <f>VLOOKUP(D139,'2.Bookinglist'!A:CT,85,FALSE)</f>
        <v>CY/CY</v>
      </c>
      <c r="M139" s="60" t="str">
        <f>IF(VLOOKUP(D139,'2.Bookinglist'!A:CT,43,FALSE)=0,"","DG")</f>
        <v/>
      </c>
      <c r="N139" s="60" t="str">
        <f>IF(RIGHT(K139,2)="RE","RF","")</f>
        <v>RF</v>
      </c>
      <c r="O139" s="61" t="str">
        <f>VLOOKUP(A139,'1.Loading'!A:R,3,FALSE)</f>
        <v>SWIC</v>
      </c>
      <c r="P139" s="61" t="str">
        <f>VLOOKUP(A139,'1.Loading'!A:R,4,FALSE)</f>
        <v>2611N</v>
      </c>
      <c r="Q139" s="61" t="str">
        <f>VLOOKUP(D139,'2.Bookinglist'!A:CT,12,FALSE)</f>
        <v>KHS1</v>
      </c>
      <c r="R139" s="60" t="str">
        <f>IF(LEFT(K139,2)="22","20'","40'")</f>
        <v>40'</v>
      </c>
      <c r="S139" s="185" t="n"/>
      <c r="T139" s="61" t="str">
        <f>VLOOKUP(A139,'1.Loading'!A:R,2,FALSE)</f>
        <v>2026-10-16</v>
      </c>
      <c r="U139" s="63">
        <f>T139-S139</f>
        <v>46311</v>
      </c>
      <c r="V139" s="186" t="n"/>
      <c r="W139" s="61" t="str">
        <f>VLOOKUP(A139,'3.GateMove'!A:D,4,FALSE)</f>
        <v>2026-10-12</v>
      </c>
      <c r="X139" s="63">
        <f>((T139-W139)+1)</f>
        <v>5</v>
      </c>
      <c r="Y139" s="64">
        <f>IF(AND(OR(C139="BKK01",C139="BKK04"),L139="CFS/CY"),0,IF(M139="DG",1,IF(LEFT(C139,3)="LCH",7,IF(C139="BKK02",5,3))))</f>
        <v>3</v>
      </c>
      <c r="Z139" s="63">
        <f>IF(IF(AND(AC139="TML",AB139&gt;0),((T139-W139)+1)-AB139,((T139-W139)+1)-Y139)&gt;0,IF(AND(AC139="TML",AB139&gt;0),((T139-W139)+1)-AB139,((T139-W139)+1)-Y139),0)</f>
        <v>2</v>
      </c>
      <c r="AA139" s="187">
        <f>IF(AND(B139="G1",M139=""),IF(R139="20'",
VLOOKUP(Z139,Charge!$K$2:$M$5,2,TRUE)+(Z139-VLOOKUP(Z139,Charge!$K$2:$M$5,1,TRUE))*VLOOKUP(Z139,Charge!$K$2:$M$5,3,TRUE),
VLOOKUP(Z139,Charge!$N$2:$P$5,2,TRUE)+(Z139-VLOOKUP(Z139,Charge!$N$2:$P$5,1,TRUE))*VLOOKUP(Z139,Charge!$N$2:$P$5,3,TRUE)),
IF(AND(B139="G1",M139="DG"),IF(R139="20'",
VLOOKUP(Z139,Charge!$R$2:$T$5,2,TRUE)+(Z139-VLOOKUP(Z139,Charge!$R$2:$T$5,1,TRUE))*VLOOKUP(Z139,Charge!$R$2:$T$5,3,TRUE),
VLOOKUP(Z139,Charge!$U$2:$W$5,2,TRUE)+(Z139-VLOOKUP(Z139,Charge!$U$2:$W$5,1,TRUE))*VLOOKUP(Z139,Charge!$U$2:$W$5,3,TRUE)),
IF(AND(B139="G3",M139=""),IF(R139="20'",
VLOOKUP(Z139,Charge!$K$18:$M$21,2,TRUE)+(Z139-VLOOKUP(Z139,Charge!$K$18:$M$21,1,TRUE))*VLOOKUP(Z139,Charge!$K$18:$M$21,3,TRUE),
VLOOKUP(Z139,Charge!$N$18:$P$21,2,TRUE)+(Z139-VLOOKUP(Z139,Charge!$N$18:$P$21,1,TRUE))*VLOOKUP(Z139,Charge!$N$18:$P$21,3,TRUE)),
IF(AND(B139="G3",M139="DG"),IF(R139="20'",
VLOOKUP(Z139,Charge!$R$18:$T$21,2,TRUE)+(Z139-VLOOKUP(Z139,Charge!$R$18:$T$21,1,TRUE))*VLOOKUP(Z139,Charge!$R$18:$T$21,3,TRUE),
VLOOKUP(Z139,Charge!$U$18:$W$21,2,TRUE)+(Z139-VLOOKUP(Z139,Charge!$U$18:$W$21,1,TRUE))*VLOOKUP(Z139,Charge!$U$18:$W$21,3,TRUE)),
IF(AND(B139="G2",M139=""),IF(R139="20'",
VLOOKUP(Z139,Charge!$K$9:$M$12,2,TRUE)+(Z139-VLOOKUP(Z139,Charge!$K$9:$M$12,1,TRUE))*VLOOKUP(Z139,Charge!$K$9:$M$12,3,TRUE),
VLOOKUP(Z139,Charge!$N$9:$P$12,2,TRUE)+(Z139-VLOOKUP(Z139,Charge!$N$9:$P$12,1,TRUE))*VLOOKUP(Z139,Charge!$N$9:$P$12,3,TRUE)),
IF(AND(B139="G2",M139="DG"),IF(R139="20'",
VLOOKUP(Z139,Charge!$R$9:$T$12,2,TRUE)+(Z139-VLOOKUP(Z139,Charge!$R$9:$T$12,1,TRUE))*VLOOKUP(Z139,Charge!$R$9:$T$12,3,TRUE),
VLOOKUP(Z139,Charge!$U$9:$W$12,2,TRUE)+(Z139-VLOOKUP(Z139,Charge!$U$9:$W$12,1,TRUE))*VLOOKUP(Z139,Charge!$U$9:$W$12,3,TRUE)),IF(AND(B139="G4",M139=""),IF(R139="20'",Z139*Charge!$M$25,Z139*Charge!$P$25),IF(AND(B139="G4",M139="DG"),IF(R139="20'",Z139*Charge!$T$25,Z139*Charge!$W$25),0))))))))</f>
        <v>640</v>
      </c>
      <c r="AB139" s="184" t="n"/>
      <c r="AC139" s="184" t="n"/>
      <c r="AD139" s="60">
        <f>IF(M139="DG",3,IF(N139="RF",3,5))+IF(AND(LEFT(C139,3)="BKK",N139="RF",Q139="KTS"),1,0)+IF(Q139="KHS",1,0)</f>
        <v>3</v>
      </c>
      <c r="AE139" s="63">
        <f>(T139-V139)+1</f>
        <v>46312</v>
      </c>
      <c r="AF139" s="63">
        <f>IF(AB139&gt;IF((V139-W139)&gt;0,V139-W139,0),0,IF(AB139&lt;IF((V139-W139)&gt;0,V139-W139,0),IF((V139-W139)&gt;0,V139-W139,0)-AB139,IF((V139-W139)&gt;0,V139-W139,0)))</f>
        <v>0</v>
      </c>
      <c r="AG139" s="187">
        <f>IF(AND(M139=""),IF(R139="20'",
VLOOKUP(AF139,Charge!$K$31:$M$34,2,TRUE)+(AF139-VLOOKUP(AF139,Charge!$K$31:$M$34,1,TRUE))*VLOOKUP(AF139,Charge!$K$31:$M$34,3,TRUE),
VLOOKUP(AF139,Charge!$N$31:$P$34,2,TRUE)+(AF139-VLOOKUP(AF139,Charge!$N$31:$P$34,1,TRUE))*VLOOKUP(AF139,Charge!$N$31:$P$34,3,TRUE)),
IF(AND(M139="DG"),IF(R139="20'",
VLOOKUP(AF139,Charge!$R$31:$T$34,2,TRUE)+(AF139-VLOOKUP(AF139,Charge!$R$31:$T$34,1,TRUE))*VLOOKUP(AF139,Charge!$R$31:$T$34,3,TRUE),
VLOOKUP(AF139,Charge!$U$31:$W$34,2,TRUE)+(AF139-VLOOKUP(AF139,Charge!$U$31:$W$34,1,TRUE))*VLOOKUP(AF139,Charge!$U$31:$W$34,3,TRUE)),0))</f>
        <v>0</v>
      </c>
      <c r="AH139" s="65" t="n"/>
      <c r="AI139" s="65">
        <f>AA139-AH139</f>
        <v>640</v>
      </c>
      <c r="AJ139" s="188" t="n"/>
      <c r="AK139" s="62" t="str">
        <f>VLOOKUP(D139,'2.Bookinglist'!A:CT,40,FALSE)</f>
        <v>Insuk Heo</v>
      </c>
      <c r="AL139" s="60" t="str">
        <f>VLOOKUP(D139,'2.Bookinglist'!A:CW,101,FALSE)</f>
        <v>2026-10-15</v>
      </c>
      <c r="AM139" s="60" t="str">
        <f>VLOOKUP(D139,'2.Bookinglist'!A:BK,63,FALSE)</f>
        <v>BKK27</v>
      </c>
      <c r="AN139" s="62" t="str">
        <f>VLOOKUP(D139,'2.Bookinglist'!A:AZ,52,FALSE)</f>
        <v>[FIX][FIX]CY-RTN : 09-11/10/2026 (TEMP : +18'C / VENT CLOSE)
CLS TIME DD.13/10/2026 @ 18.00 *1ST RETURN CNTR DD.12/10/2026*</v>
      </c>
      <c r="AO139" s="62">
        <f>VLOOKUP(D139,'2.Bookinglist'!A:CY,103,FALSE)</f>
        <v>0</v>
      </c>
    </row>
    <row r="140" ht="12.95" customHeight="1">
      <c r="A140" s="96" t="inlineStr">
        <is>
          <t>TCLU3361047</t>
        </is>
      </c>
      <c r="B140" s="184" t="str">
        <f>IF(C140=Charge!$M$1,Charge!$J$1,IF(C140=Charge!$M$23,Charge!$J$23,IF(C140=Charge!$M$17,Charge!$J$17,IF(C140=Charge!$N$17,Charge!$J$17,Charge!$J$7))))</f>
        <v>G3</v>
      </c>
      <c r="C140" s="61" t="str">
        <f>VLOOKUP(A140,'1.Loading'!A:R,14,FALSE)</f>
        <v>BKK01</v>
      </c>
      <c r="D140" s="61" t="str">
        <f>VLOOKUP(A140,'1.Loading'!A:R,17,FALSE)</f>
        <v>HASLS22260901932</v>
      </c>
      <c r="E140" s="62" t="str">
        <f>VLOOKUP(D140,'2.Bookinglist'!A:CT,27,FALSE)</f>
        <v>THAI AGRI FOODS PUBLIC COMPANY LIMITED</v>
      </c>
      <c r="F140" s="62" t="str">
        <f>VLOOKUP(D140,'2.Bookinglist'!A:CT,28,FALSE)</f>
        <v>THAI AGRI FOODS PUBLIC COMPANY LIMITED</v>
      </c>
      <c r="G140" s="60">
        <f>VLOOKUP(D140,'2.Bookinglist'!A:E,5,FALSE)</f>
        <v>0</v>
      </c>
      <c r="H140" s="61" t="str">
        <f>VLOOKUP(D140,'2.Bookinglist'!A:CT,15,FALSE)</f>
        <v>THBKK</v>
      </c>
      <c r="I140" s="61" t="str">
        <f>VLOOKUP(D140,'2.Bookinglist'!A:CT,19,FALSE)</f>
        <v>RUVVO</v>
      </c>
      <c r="J140" s="61" t="str">
        <f>VLOOKUP(D140,'2.Bookinglist'!A:CT,26,FALSE)</f>
        <v>KRPUS</v>
      </c>
      <c r="K140" s="61" t="str">
        <f>VLOOKUP(A140,'1.Loading'!A:R,5,FALSE)</f>
        <v>22GP</v>
      </c>
      <c r="L140" s="60" t="str">
        <f>VLOOKUP(D140,'2.Bookinglist'!A:CT,85,FALSE)</f>
        <v>CY/CY</v>
      </c>
      <c r="M140" s="60" t="str">
        <f>IF(VLOOKUP(D140,'2.Bookinglist'!A:CT,43,FALSE)=0,"","DG")</f>
        <v/>
      </c>
      <c r="N140" s="60" t="str">
        <f>IF(RIGHT(K140,2)="RE","RF","")</f>
        <v/>
      </c>
      <c r="O140" s="61" t="str">
        <f>VLOOKUP(A140,'1.Loading'!A:R,3,FALSE)</f>
        <v>SWIC</v>
      </c>
      <c r="P140" s="61" t="str">
        <f>VLOOKUP(A140,'1.Loading'!A:R,4,FALSE)</f>
        <v>2611N</v>
      </c>
      <c r="Q140" s="61" t="str">
        <f>VLOOKUP(D140,'2.Bookinglist'!A:CT,12,FALSE)</f>
        <v>KHS1</v>
      </c>
      <c r="R140" s="60" t="str">
        <f>IF(LEFT(K140,2)="22","20'","40'")</f>
        <v>20'</v>
      </c>
      <c r="S140" s="185" t="n"/>
      <c r="T140" s="61" t="str">
        <f>VLOOKUP(A140,'1.Loading'!A:R,2,FALSE)</f>
        <v>2026-10-16</v>
      </c>
      <c r="U140" s="63">
        <f>T140-S140</f>
        <v>46311</v>
      </c>
      <c r="V140" s="186" t="n"/>
      <c r="W140" s="61" t="str">
        <f>VLOOKUP(A140,'3.GateMove'!A:D,4,FALSE)</f>
        <v>2026-10-12</v>
      </c>
      <c r="X140" s="63">
        <f>((T140-W140)+1)</f>
        <v>5</v>
      </c>
      <c r="Y140" s="64">
        <f>IF(AND(OR(C140="BKK01",C140="BKK04"),L140="CFS/CY"),0,IF(M140="DG",1,IF(LEFT(C140,3)="LCH",7,IF(C140="BKK02",5,3))))</f>
        <v>3</v>
      </c>
      <c r="Z140" s="63">
        <f>IF(IF(AND(AC140="TML",AB140&gt;0),((T140-W140)+1)-AB140,((T140-W140)+1)-Y140)&gt;0,IF(AND(AC140="TML",AB140&gt;0),((T140-W140)+1)-AB140,((T140-W140)+1)-Y140),0)</f>
        <v>2</v>
      </c>
      <c r="AA140" s="187">
        <f>IF(AND(B140="G1",M140=""),IF(R140="20'",
VLOOKUP(Z140,Charge!$K$2:$M$5,2,TRUE)+(Z140-VLOOKUP(Z140,Charge!$K$2:$M$5,1,TRUE))*VLOOKUP(Z140,Charge!$K$2:$M$5,3,TRUE),
VLOOKUP(Z140,Charge!$N$2:$P$5,2,TRUE)+(Z140-VLOOKUP(Z140,Charge!$N$2:$P$5,1,TRUE))*VLOOKUP(Z140,Charge!$N$2:$P$5,3,TRUE)),
IF(AND(B140="G1",M140="DG"),IF(R140="20'",
VLOOKUP(Z140,Charge!$R$2:$T$5,2,TRUE)+(Z140-VLOOKUP(Z140,Charge!$R$2:$T$5,1,TRUE))*VLOOKUP(Z140,Charge!$R$2:$T$5,3,TRUE),
VLOOKUP(Z140,Charge!$U$2:$W$5,2,TRUE)+(Z140-VLOOKUP(Z140,Charge!$U$2:$W$5,1,TRUE))*VLOOKUP(Z140,Charge!$U$2:$W$5,3,TRUE)),
IF(AND(B140="G3",M140=""),IF(R140="20'",
VLOOKUP(Z140,Charge!$K$18:$M$21,2,TRUE)+(Z140-VLOOKUP(Z140,Charge!$K$18:$M$21,1,TRUE))*VLOOKUP(Z140,Charge!$K$18:$M$21,3,TRUE),
VLOOKUP(Z140,Charge!$N$18:$P$21,2,TRUE)+(Z140-VLOOKUP(Z140,Charge!$N$18:$P$21,1,TRUE))*VLOOKUP(Z140,Charge!$N$18:$P$21,3,TRUE)),
IF(AND(B140="G3",M140="DG"),IF(R140="20'",
VLOOKUP(Z140,Charge!$R$18:$T$21,2,TRUE)+(Z140-VLOOKUP(Z140,Charge!$R$18:$T$21,1,TRUE))*VLOOKUP(Z140,Charge!$R$18:$T$21,3,TRUE),
VLOOKUP(Z140,Charge!$U$18:$W$21,2,TRUE)+(Z140-VLOOKUP(Z140,Charge!$U$18:$W$21,1,TRUE))*VLOOKUP(Z140,Charge!$U$18:$W$21,3,TRUE)),
IF(AND(B140="G2",M140=""),IF(R140="20'",
VLOOKUP(Z140,Charge!$K$9:$M$12,2,TRUE)+(Z140-VLOOKUP(Z140,Charge!$K$9:$M$12,1,TRUE))*VLOOKUP(Z140,Charge!$K$9:$M$12,3,TRUE),
VLOOKUP(Z140,Charge!$N$9:$P$12,2,TRUE)+(Z140-VLOOKUP(Z140,Charge!$N$9:$P$12,1,TRUE))*VLOOKUP(Z140,Charge!$N$9:$P$12,3,TRUE)),
IF(AND(B140="G2",M140="DG"),IF(R140="20'",
VLOOKUP(Z140,Charge!$R$9:$T$12,2,TRUE)+(Z140-VLOOKUP(Z140,Charge!$R$9:$T$12,1,TRUE))*VLOOKUP(Z140,Charge!$R$9:$T$12,3,TRUE),
VLOOKUP(Z140,Charge!$U$9:$W$12,2,TRUE)+(Z140-VLOOKUP(Z140,Charge!$U$9:$W$12,1,TRUE))*VLOOKUP(Z140,Charge!$U$9:$W$12,3,TRUE)),IF(AND(B140="G4",M140=""),IF(R140="20'",Z140*Charge!$M$25,Z140*Charge!$P$25),IF(AND(B140="G4",M140="DG"),IF(R140="20'",Z140*Charge!$T$25,Z140*Charge!$W$25),0))))))))</f>
        <v>320</v>
      </c>
      <c r="AB140" s="184" t="n"/>
      <c r="AC140" s="184" t="n"/>
      <c r="AD140" s="60">
        <f>IF(M140="DG",3,IF(N140="RF",3,5))+IF(AND(LEFT(C140,3)="BKK",N140="RF",Q140="KTS"),1,0)+IF(Q140="KHS",1,0)</f>
        <v>5</v>
      </c>
      <c r="AE140" s="63">
        <f>(T140-V140)+1</f>
        <v>46312</v>
      </c>
      <c r="AF140" s="63">
        <f>IF(AB140&gt;IF((V140-W140)&gt;0,V140-W140,0),0,IF(AB140&lt;IF((V140-W140)&gt;0,V140-W140,0),IF((V140-W140)&gt;0,V140-W140,0)-AB140,IF((V140-W140)&gt;0,V140-W140,0)))</f>
        <v>0</v>
      </c>
      <c r="AG140" s="187">
        <f>IF(AND(M140=""),IF(R140="20'",
VLOOKUP(AF140,Charge!$K$31:$M$34,2,TRUE)+(AF140-VLOOKUP(AF140,Charge!$K$31:$M$34,1,TRUE))*VLOOKUP(AF140,Charge!$K$31:$M$34,3,TRUE),
VLOOKUP(AF140,Charge!$N$31:$P$34,2,TRUE)+(AF140-VLOOKUP(AF140,Charge!$N$31:$P$34,1,TRUE))*VLOOKUP(AF140,Charge!$N$31:$P$34,3,TRUE)),
IF(AND(M140="DG"),IF(R140="20'",
VLOOKUP(AF140,Charge!$R$31:$T$34,2,TRUE)+(AF140-VLOOKUP(AF140,Charge!$R$31:$T$34,1,TRUE))*VLOOKUP(AF140,Charge!$R$31:$T$34,3,TRUE),
VLOOKUP(AF140,Charge!$U$31:$W$34,2,TRUE)+(AF140-VLOOKUP(AF140,Charge!$U$31:$W$34,1,TRUE))*VLOOKUP(AF140,Charge!$U$31:$W$34,3,TRUE)),0))</f>
        <v>0</v>
      </c>
      <c r="AH140" s="65" t="n"/>
      <c r="AI140" s="65">
        <f>AA140-AH140</f>
        <v>320</v>
      </c>
      <c r="AJ140" s="188" t="n"/>
      <c r="AK140" s="62" t="str">
        <f>VLOOKUP(D140,'2.Bookinglist'!A:CT,40,FALSE)</f>
        <v>ANNA MARS</v>
      </c>
      <c r="AL140" s="60" t="str">
        <f>VLOOKUP(D140,'2.Bookinglist'!A:CW,101,FALSE)</f>
        <v>2026-10-15</v>
      </c>
      <c r="AM140" s="60" t="str">
        <f>VLOOKUP(D140,'2.Bookinglist'!A:BK,63,FALSE)</f>
        <v>BKK27</v>
      </c>
      <c r="AN140" s="62" t="str">
        <f>VLOOKUP(D140,'2.Bookinglist'!A:AZ,52,FALSE)</f>
        <v>[FIX][FIX]SWIC/2611N/10/24[FIX] Pickup : 2026-10-09, Return : 2026-10-12</v>
      </c>
      <c r="AO140" s="62">
        <f>VLOOKUP(D140,'2.Bookinglist'!A:CY,103,FALSE)</f>
        <v>0</v>
      </c>
    </row>
    <row r="141" ht="12.95" customHeight="1">
      <c r="A141" s="96" t="inlineStr">
        <is>
          <t>TEMU5121525</t>
        </is>
      </c>
      <c r="B141" s="184" t="str">
        <f>IF(C141=Charge!$M$1,Charge!$J$1,IF(C141=Charge!$M$23,Charge!$J$23,IF(C141=Charge!$M$17,Charge!$J$17,IF(C141=Charge!$N$17,Charge!$J$17,Charge!$J$7))))</f>
        <v>G3</v>
      </c>
      <c r="C141" s="61" t="str">
        <f>VLOOKUP(A141,'1.Loading'!A:R,14,FALSE)</f>
        <v>BKK01</v>
      </c>
      <c r="D141" s="61" t="str">
        <f>VLOOKUP(A141,'1.Loading'!A:R,17,FALSE)</f>
        <v>HASLS22260902262</v>
      </c>
      <c r="E141" s="62" t="str">
        <f>VLOOKUP(D141,'2.Bookinglist'!A:CT,27,FALSE)</f>
        <v>SCAN GLOBAL LOGISTICS CO., LTD.</v>
      </c>
      <c r="F141" s="62" t="str">
        <f>VLOOKUP(D141,'2.Bookinglist'!A:CT,28,FALSE)</f>
        <v>ASIA STAINLESS STEEL CO.,LTD.</v>
      </c>
      <c r="G141" s="60">
        <f>VLOOKUP(D141,'2.Bookinglist'!A:E,5,FALSE)</f>
        <v>0</v>
      </c>
      <c r="H141" s="61" t="str">
        <f>VLOOKUP(D141,'2.Bookinglist'!A:CT,15,FALSE)</f>
        <v>THBKK</v>
      </c>
      <c r="I141" s="61" t="str">
        <f>VLOOKUP(D141,'2.Bookinglist'!A:CT,19,FALSE)</f>
        <v>JPSMZ</v>
      </c>
      <c r="J141" s="61" t="str">
        <f>VLOOKUP(D141,'2.Bookinglist'!A:CT,26,FALSE)</f>
        <v>KRPUS</v>
      </c>
      <c r="K141" s="61" t="str">
        <f>VLOOKUP(A141,'1.Loading'!A:R,5,FALSE)</f>
        <v>22GP</v>
      </c>
      <c r="L141" s="60" t="str">
        <f>VLOOKUP(D141,'2.Bookinglist'!A:CT,85,FALSE)</f>
        <v>CY/CY</v>
      </c>
      <c r="M141" s="60" t="str">
        <f>IF(VLOOKUP(D141,'2.Bookinglist'!A:CT,43,FALSE)=0,"","DG")</f>
        <v/>
      </c>
      <c r="N141" s="60" t="str">
        <f>IF(RIGHT(K141,2)="RE","RF","")</f>
        <v/>
      </c>
      <c r="O141" s="61" t="str">
        <f>VLOOKUP(A141,'1.Loading'!A:R,3,FALSE)</f>
        <v>SWIC</v>
      </c>
      <c r="P141" s="61" t="str">
        <f>VLOOKUP(A141,'1.Loading'!A:R,4,FALSE)</f>
        <v>2611N</v>
      </c>
      <c r="Q141" s="61" t="str">
        <f>VLOOKUP(D141,'2.Bookinglist'!A:CT,12,FALSE)</f>
        <v>KHS1</v>
      </c>
      <c r="R141" s="60" t="str">
        <f>IF(LEFT(K141,2)="22","20'","40'")</f>
        <v>20'</v>
      </c>
      <c r="S141" s="185" t="n"/>
      <c r="T141" s="61" t="str">
        <f>VLOOKUP(A141,'1.Loading'!A:R,2,FALSE)</f>
        <v>2026-10-16</v>
      </c>
      <c r="U141" s="63">
        <f>T141-S141</f>
        <v>46311</v>
      </c>
      <c r="V141" s="186" t="n"/>
      <c r="W141" s="61" t="str">
        <f>VLOOKUP(A141,'3.GateMove'!A:D,4,FALSE)</f>
        <v>2026-10-11</v>
      </c>
      <c r="X141" s="63">
        <f>((T141-W141)+1)</f>
        <v>6</v>
      </c>
      <c r="Y141" s="64">
        <f>IF(AND(OR(C141="BKK01",C141="BKK04"),L141="CFS/CY"),0,IF(M141="DG",1,IF(LEFT(C141,3)="LCH",7,IF(C141="BKK02",5,3))))</f>
        <v>3</v>
      </c>
      <c r="Z141" s="63">
        <f>IF(IF(AND(AC141="TML",AB141&gt;0),((T141-W141)+1)-AB141,((T141-W141)+1)-Y141)&gt;0,IF(AND(AC141="TML",AB141&gt;0),((T141-W141)+1)-AB141,((T141-W141)+1)-Y141),0)</f>
        <v>3</v>
      </c>
      <c r="AA141" s="187">
        <f>IF(AND(B141="G1",M141=""),IF(R141="20'",
VLOOKUP(Z141,Charge!$K$2:$M$5,2,TRUE)+(Z141-VLOOKUP(Z141,Charge!$K$2:$M$5,1,TRUE))*VLOOKUP(Z141,Charge!$K$2:$M$5,3,TRUE),
VLOOKUP(Z141,Charge!$N$2:$P$5,2,TRUE)+(Z141-VLOOKUP(Z141,Charge!$N$2:$P$5,1,TRUE))*VLOOKUP(Z141,Charge!$N$2:$P$5,3,TRUE)),
IF(AND(B141="G1",M141="DG"),IF(R141="20'",
VLOOKUP(Z141,Charge!$R$2:$T$5,2,TRUE)+(Z141-VLOOKUP(Z141,Charge!$R$2:$T$5,1,TRUE))*VLOOKUP(Z141,Charge!$R$2:$T$5,3,TRUE),
VLOOKUP(Z141,Charge!$U$2:$W$5,2,TRUE)+(Z141-VLOOKUP(Z141,Charge!$U$2:$W$5,1,TRUE))*VLOOKUP(Z141,Charge!$U$2:$W$5,3,TRUE)),
IF(AND(B141="G3",M141=""),IF(R141="20'",
VLOOKUP(Z141,Charge!$K$18:$M$21,2,TRUE)+(Z141-VLOOKUP(Z141,Charge!$K$18:$M$21,1,TRUE))*VLOOKUP(Z141,Charge!$K$18:$M$21,3,TRUE),
VLOOKUP(Z141,Charge!$N$18:$P$21,2,TRUE)+(Z141-VLOOKUP(Z141,Charge!$N$18:$P$21,1,TRUE))*VLOOKUP(Z141,Charge!$N$18:$P$21,3,TRUE)),
IF(AND(B141="G3",M141="DG"),IF(R141="20'",
VLOOKUP(Z141,Charge!$R$18:$T$21,2,TRUE)+(Z141-VLOOKUP(Z141,Charge!$R$18:$T$21,1,TRUE))*VLOOKUP(Z141,Charge!$R$18:$T$21,3,TRUE),
VLOOKUP(Z141,Charge!$U$18:$W$21,2,TRUE)+(Z141-VLOOKUP(Z141,Charge!$U$18:$W$21,1,TRUE))*VLOOKUP(Z141,Charge!$U$18:$W$21,3,TRUE)),
IF(AND(B141="G2",M141=""),IF(R141="20'",
VLOOKUP(Z141,Charge!$K$9:$M$12,2,TRUE)+(Z141-VLOOKUP(Z141,Charge!$K$9:$M$12,1,TRUE))*VLOOKUP(Z141,Charge!$K$9:$M$12,3,TRUE),
VLOOKUP(Z141,Charge!$N$9:$P$12,2,TRUE)+(Z141-VLOOKUP(Z141,Charge!$N$9:$P$12,1,TRUE))*VLOOKUP(Z141,Charge!$N$9:$P$12,3,TRUE)),
IF(AND(B141="G2",M141="DG"),IF(R141="20'",
VLOOKUP(Z141,Charge!$R$9:$T$12,2,TRUE)+(Z141-VLOOKUP(Z141,Charge!$R$9:$T$12,1,TRUE))*VLOOKUP(Z141,Charge!$R$9:$T$12,3,TRUE),
VLOOKUP(Z141,Charge!$U$9:$W$12,2,TRUE)+(Z141-VLOOKUP(Z141,Charge!$U$9:$W$12,1,TRUE))*VLOOKUP(Z141,Charge!$U$9:$W$12,3,TRUE)),IF(AND(B141="G4",M141=""),IF(R141="20'",Z141*Charge!$M$25,Z141*Charge!$P$25),IF(AND(B141="G4",M141="DG"),IF(R141="20'",Z141*Charge!$T$25,Z141*Charge!$W$25),0))))))))</f>
        <v>480</v>
      </c>
      <c r="AB141" s="184" t="n"/>
      <c r="AC141" s="184" t="n"/>
      <c r="AD141" s="60">
        <f>IF(M141="DG",3,IF(N141="RF",3,5))+IF(AND(LEFT(C141,3)="BKK",N141="RF",Q141="KTS"),1,0)+IF(Q141="KHS",1,0)</f>
        <v>5</v>
      </c>
      <c r="AE141" s="63">
        <f>(T141-V141)+1</f>
        <v>46312</v>
      </c>
      <c r="AF141" s="63">
        <f>IF(AB141&gt;IF((V141-W141)&gt;0,V141-W141,0),0,IF(AB141&lt;IF((V141-W141)&gt;0,V141-W141,0),IF((V141-W141)&gt;0,V141-W141,0)-AB141,IF((V141-W141)&gt;0,V141-W141,0)))</f>
        <v>0</v>
      </c>
      <c r="AG141" s="187">
        <f>IF(AND(M141=""),IF(R141="20'",
VLOOKUP(AF141,Charge!$K$31:$M$34,2,TRUE)+(AF141-VLOOKUP(AF141,Charge!$K$31:$M$34,1,TRUE))*VLOOKUP(AF141,Charge!$K$31:$M$34,3,TRUE),
VLOOKUP(AF141,Charge!$N$31:$P$34,2,TRUE)+(AF141-VLOOKUP(AF141,Charge!$N$31:$P$34,1,TRUE))*VLOOKUP(AF141,Charge!$N$31:$P$34,3,TRUE)),
IF(AND(M141="DG"),IF(R141="20'",
VLOOKUP(AF141,Charge!$R$31:$T$34,2,TRUE)+(AF141-VLOOKUP(AF141,Charge!$R$31:$T$34,1,TRUE))*VLOOKUP(AF141,Charge!$R$31:$T$34,3,TRUE),
VLOOKUP(AF141,Charge!$U$31:$W$34,2,TRUE)+(AF141-VLOOKUP(AF141,Charge!$U$31:$W$34,1,TRUE))*VLOOKUP(AF141,Charge!$U$31:$W$34,3,TRUE)),0))</f>
        <v>0</v>
      </c>
      <c r="AH141" s="65" t="n"/>
      <c r="AI141" s="65">
        <f>AA141-AH141</f>
        <v>480</v>
      </c>
      <c r="AJ141" s="188" t="n"/>
      <c r="AK141" s="62" t="str">
        <f>VLOOKUP(D141,'2.Bookinglist'!A:CT,40,FALSE)</f>
        <v>Arunphat W. (Aiw)</v>
      </c>
      <c r="AL141" s="60" t="str">
        <f>VLOOKUP(D141,'2.Bookinglist'!A:CW,101,FALSE)</f>
        <v>2026-10-15</v>
      </c>
      <c r="AM141" s="60" t="str">
        <f>VLOOKUP(D141,'2.Bookinglist'!A:BK,63,FALSE)</f>
        <v>BKK27</v>
      </c>
      <c r="AN141" s="62" t="str">
        <f>VLOOKUP(D141,'2.Bookinglist'!A:AZ,52,FALSE)</f>
        <v>Pickup : 2026-10-09, Return : 2026-10-11 </v>
      </c>
      <c r="AO141" s="62">
        <f>VLOOKUP(D141,'2.Bookinglist'!A:CY,103,FALSE)</f>
        <v>0</v>
      </c>
    </row>
    <row r="142" ht="12.95" customHeight="1">
      <c r="A142" s="96" t="inlineStr">
        <is>
          <t>TEMU9748750</t>
        </is>
      </c>
      <c r="B142" s="184" t="str">
        <f>IF(C142=Charge!$M$1,Charge!$J$1,IF(C142=Charge!$M$23,Charge!$J$23,IF(C142=Charge!$M$17,Charge!$J$17,IF(C142=Charge!$N$17,Charge!$J$17,Charge!$J$7))))</f>
        <v>G3</v>
      </c>
      <c r="C142" s="61" t="str">
        <f>VLOOKUP(A142,'1.Loading'!A:R,14,FALSE)</f>
        <v>BKK01</v>
      </c>
      <c r="D142" s="61" t="str">
        <f>VLOOKUP(A142,'1.Loading'!A:R,17,FALSE)</f>
        <v>HASLS22260902791</v>
      </c>
      <c r="E142" s="62" t="str">
        <f>VLOOKUP(D142,'2.Bookinglist'!A:CT,27,FALSE)</f>
        <v>VENTE TRADE CO.,LTD.</v>
      </c>
      <c r="F142" s="62" t="str">
        <f>VLOOKUP(D142,'2.Bookinglist'!A:CT,28,FALSE)</f>
        <v>VENTE TRADE CO.,LTD.</v>
      </c>
      <c r="G142" s="60">
        <f>VLOOKUP(D142,'2.Bookinglist'!A:E,5,FALSE)</f>
        <v>0</v>
      </c>
      <c r="H142" s="61" t="str">
        <f>VLOOKUP(D142,'2.Bookinglist'!A:CT,15,FALSE)</f>
        <v>THBKK</v>
      </c>
      <c r="I142" s="61" t="str">
        <f>VLOOKUP(D142,'2.Bookinglist'!A:CT,19,FALSE)</f>
        <v>RUVVO</v>
      </c>
      <c r="J142" s="61" t="str">
        <f>VLOOKUP(D142,'2.Bookinglist'!A:CT,26,FALSE)</f>
        <v>KRPUS</v>
      </c>
      <c r="K142" s="61" t="str">
        <f>VLOOKUP(A142,'1.Loading'!A:R,5,FALSE)</f>
        <v>45RE</v>
      </c>
      <c r="L142" s="60" t="str">
        <f>VLOOKUP(D142,'2.Bookinglist'!A:CT,85,FALSE)</f>
        <v>CY/CY</v>
      </c>
      <c r="M142" s="60" t="str">
        <f>IF(VLOOKUP(D142,'2.Bookinglist'!A:CT,43,FALSE)=0,"","DG")</f>
        <v/>
      </c>
      <c r="N142" s="60" t="str">
        <f>IF(RIGHT(K142,2)="RE","RF","")</f>
        <v>RF</v>
      </c>
      <c r="O142" s="61" t="str">
        <f>VLOOKUP(A142,'1.Loading'!A:R,3,FALSE)</f>
        <v>SWIC</v>
      </c>
      <c r="P142" s="61" t="str">
        <f>VLOOKUP(A142,'1.Loading'!A:R,4,FALSE)</f>
        <v>2611N</v>
      </c>
      <c r="Q142" s="61" t="str">
        <f>VLOOKUP(D142,'2.Bookinglist'!A:CT,12,FALSE)</f>
        <v>KHS1</v>
      </c>
      <c r="R142" s="60" t="str">
        <f>IF(LEFT(K142,2)="22","20'","40'")</f>
        <v>40'</v>
      </c>
      <c r="S142" s="185" t="n"/>
      <c r="T142" s="61" t="str">
        <f>VLOOKUP(A142,'1.Loading'!A:R,2,FALSE)</f>
        <v>2026-10-16</v>
      </c>
      <c r="U142" s="63">
        <f>T142-S142</f>
        <v>46311</v>
      </c>
      <c r="V142" s="186" t="n"/>
      <c r="W142" s="61" t="str">
        <f>VLOOKUP(A142,'3.GateMove'!A:D,4,FALSE)</f>
        <v>2026-10-12</v>
      </c>
      <c r="X142" s="63">
        <f>((T142-W142)+1)</f>
        <v>5</v>
      </c>
      <c r="Y142" s="64">
        <f>IF(AND(OR(C142="BKK01",C142="BKK04"),L142="CFS/CY"),0,IF(M142="DG",1,IF(LEFT(C142,3)="LCH",7,IF(C142="BKK02",5,3))))</f>
        <v>3</v>
      </c>
      <c r="Z142" s="63">
        <f>IF(IF(AND(AC142="TML",AB142&gt;0),((T142-W142)+1)-AB142,((T142-W142)+1)-Y142)&gt;0,IF(AND(AC142="TML",AB142&gt;0),((T142-W142)+1)-AB142,((T142-W142)+1)-Y142),0)</f>
        <v>2</v>
      </c>
      <c r="AA142" s="187">
        <f>IF(AND(B142="G1",M142=""),IF(R142="20'",
VLOOKUP(Z142,Charge!$K$2:$M$5,2,TRUE)+(Z142-VLOOKUP(Z142,Charge!$K$2:$M$5,1,TRUE))*VLOOKUP(Z142,Charge!$K$2:$M$5,3,TRUE),
VLOOKUP(Z142,Charge!$N$2:$P$5,2,TRUE)+(Z142-VLOOKUP(Z142,Charge!$N$2:$P$5,1,TRUE))*VLOOKUP(Z142,Charge!$N$2:$P$5,3,TRUE)),
IF(AND(B142="G1",M142="DG"),IF(R142="20'",
VLOOKUP(Z142,Charge!$R$2:$T$5,2,TRUE)+(Z142-VLOOKUP(Z142,Charge!$R$2:$T$5,1,TRUE))*VLOOKUP(Z142,Charge!$R$2:$T$5,3,TRUE),
VLOOKUP(Z142,Charge!$U$2:$W$5,2,TRUE)+(Z142-VLOOKUP(Z142,Charge!$U$2:$W$5,1,TRUE))*VLOOKUP(Z142,Charge!$U$2:$W$5,3,TRUE)),
IF(AND(B142="G3",M142=""),IF(R142="20'",
VLOOKUP(Z142,Charge!$K$18:$M$21,2,TRUE)+(Z142-VLOOKUP(Z142,Charge!$K$18:$M$21,1,TRUE))*VLOOKUP(Z142,Charge!$K$18:$M$21,3,TRUE),
VLOOKUP(Z142,Charge!$N$18:$P$21,2,TRUE)+(Z142-VLOOKUP(Z142,Charge!$N$18:$P$21,1,TRUE))*VLOOKUP(Z142,Charge!$N$18:$P$21,3,TRUE)),
IF(AND(B142="G3",M142="DG"),IF(R142="20'",
VLOOKUP(Z142,Charge!$R$18:$T$21,2,TRUE)+(Z142-VLOOKUP(Z142,Charge!$R$18:$T$21,1,TRUE))*VLOOKUP(Z142,Charge!$R$18:$T$21,3,TRUE),
VLOOKUP(Z142,Charge!$U$18:$W$21,2,TRUE)+(Z142-VLOOKUP(Z142,Charge!$U$18:$W$21,1,TRUE))*VLOOKUP(Z142,Charge!$U$18:$W$21,3,TRUE)),
IF(AND(B142="G2",M142=""),IF(R142="20'",
VLOOKUP(Z142,Charge!$K$9:$M$12,2,TRUE)+(Z142-VLOOKUP(Z142,Charge!$K$9:$M$12,1,TRUE))*VLOOKUP(Z142,Charge!$K$9:$M$12,3,TRUE),
VLOOKUP(Z142,Charge!$N$9:$P$12,2,TRUE)+(Z142-VLOOKUP(Z142,Charge!$N$9:$P$12,1,TRUE))*VLOOKUP(Z142,Charge!$N$9:$P$12,3,TRUE)),
IF(AND(B142="G2",M142="DG"),IF(R142="20'",
VLOOKUP(Z142,Charge!$R$9:$T$12,2,TRUE)+(Z142-VLOOKUP(Z142,Charge!$R$9:$T$12,1,TRUE))*VLOOKUP(Z142,Charge!$R$9:$T$12,3,TRUE),
VLOOKUP(Z142,Charge!$U$9:$W$12,2,TRUE)+(Z142-VLOOKUP(Z142,Charge!$U$9:$W$12,1,TRUE))*VLOOKUP(Z142,Charge!$U$9:$W$12,3,TRUE)),IF(AND(B142="G4",M142=""),IF(R142="20'",Z142*Charge!$M$25,Z142*Charge!$P$25),IF(AND(B142="G4",M142="DG"),IF(R142="20'",Z142*Charge!$T$25,Z142*Charge!$W$25),0))))))))</f>
        <v>640</v>
      </c>
      <c r="AB142" s="184" t="n"/>
      <c r="AC142" s="184" t="n"/>
      <c r="AD142" s="60">
        <f>IF(M142="DG",3,IF(N142="RF",3,5))+IF(AND(LEFT(C142,3)="BKK",N142="RF",Q142="KTS"),1,0)+IF(Q142="KHS",1,0)</f>
        <v>3</v>
      </c>
      <c r="AE142" s="63">
        <f>(T142-V142)+1</f>
        <v>46312</v>
      </c>
      <c r="AF142" s="63">
        <f>IF(AB142&gt;IF((V142-W142)&gt;0,V142-W142,0),0,IF(AB142&lt;IF((V142-W142)&gt;0,V142-W142,0),IF((V142-W142)&gt;0,V142-W142,0)-AB142,IF((V142-W142)&gt;0,V142-W142,0)))</f>
        <v>0</v>
      </c>
      <c r="AG142" s="187">
        <f>IF(AND(M142=""),IF(R142="20'",
VLOOKUP(AF142,Charge!$K$31:$M$34,2,TRUE)+(AF142-VLOOKUP(AF142,Charge!$K$31:$M$34,1,TRUE))*VLOOKUP(AF142,Charge!$K$31:$M$34,3,TRUE),
VLOOKUP(AF142,Charge!$N$31:$P$34,2,TRUE)+(AF142-VLOOKUP(AF142,Charge!$N$31:$P$34,1,TRUE))*VLOOKUP(AF142,Charge!$N$31:$P$34,3,TRUE)),
IF(AND(M142="DG"),IF(R142="20'",
VLOOKUP(AF142,Charge!$R$31:$T$34,2,TRUE)+(AF142-VLOOKUP(AF142,Charge!$R$31:$T$34,1,TRUE))*VLOOKUP(AF142,Charge!$R$31:$T$34,3,TRUE),
VLOOKUP(AF142,Charge!$U$31:$W$34,2,TRUE)+(AF142-VLOOKUP(AF142,Charge!$U$31:$W$34,1,TRUE))*VLOOKUP(AF142,Charge!$U$31:$W$34,3,TRUE)),0))</f>
        <v>0</v>
      </c>
      <c r="AH142" s="65" t="n"/>
      <c r="AI142" s="65">
        <f>AA142-AH142</f>
        <v>640</v>
      </c>
      <c r="AJ142" s="188" t="n"/>
      <c r="AK142" s="62" t="str">
        <f>VLOOKUP(D142,'2.Bookinglist'!A:CT,40,FALSE)</f>
        <v>Insuk Heo</v>
      </c>
      <c r="AL142" s="60" t="str">
        <f>VLOOKUP(D142,'2.Bookinglist'!A:CW,101,FALSE)</f>
        <v>2026-10-15</v>
      </c>
      <c r="AM142" s="60" t="str">
        <f>VLOOKUP(D142,'2.Bookinglist'!A:BK,63,FALSE)</f>
        <v>BKK27</v>
      </c>
      <c r="AN142" s="62" t="str">
        <f>VLOOKUP(D142,'2.Bookinglist'!A:AZ,52,FALSE)</f>
        <v>[FIX][FIX]CY-RTN : 09-11/10/2026 (TEMP : +18'C / VENT CLOSE)
CLS TIME DD.13/10/2026 @ 18.00 *1ST RETURN CNTR DD.12/10/2026*</v>
      </c>
      <c r="AO142" s="62">
        <f>VLOOKUP(D142,'2.Bookinglist'!A:CY,103,FALSE)</f>
        <v>0</v>
      </c>
    </row>
    <row r="143" ht="12.95" customHeight="1">
      <c r="A143" s="96" t="inlineStr">
        <is>
          <t>TRHU2722779</t>
        </is>
      </c>
      <c r="B143" s="184" t="str">
        <f>IF(C143=Charge!$M$1,Charge!$J$1,IF(C143=Charge!$M$23,Charge!$J$23,IF(C143=Charge!$M$17,Charge!$J$17,IF(C143=Charge!$N$17,Charge!$J$17,Charge!$J$7))))</f>
        <v>G3</v>
      </c>
      <c r="C143" s="61" t="str">
        <f>VLOOKUP(A143,'1.Loading'!A:R,14,FALSE)</f>
        <v>BKK01</v>
      </c>
      <c r="D143" s="61" t="str">
        <f>VLOOKUP(A143,'1.Loading'!A:R,17,FALSE)</f>
        <v>HASLS22260801161</v>
      </c>
      <c r="E143" s="62" t="str">
        <f>VLOOKUP(D143,'2.Bookinglist'!A:CT,27,FALSE)</f>
        <v>MEGALOAD DEVELOPMENT LOGISTICS CO., LTD.</v>
      </c>
      <c r="F143" s="62" t="str">
        <f>VLOOKUP(D143,'2.Bookinglist'!A:CT,28,FALSE)</f>
        <v>FISHMEAL MARKETING DEVELOPMENT CO., LTD.</v>
      </c>
      <c r="G143" s="60">
        <f>VLOOKUP(D143,'2.Bookinglist'!A:E,5,FALSE)</f>
        <v>0</v>
      </c>
      <c r="H143" s="61" t="str">
        <f>VLOOKUP(D143,'2.Bookinglist'!A:CT,15,FALSE)</f>
        <v>THBKK</v>
      </c>
      <c r="I143" s="61" t="str">
        <f>VLOOKUP(D143,'2.Bookinglist'!A:CT,19,FALSE)</f>
        <v>JPKSM</v>
      </c>
      <c r="J143" s="61" t="str">
        <f>VLOOKUP(D143,'2.Bookinglist'!A:CT,26,FALSE)</f>
        <v>KRPUS</v>
      </c>
      <c r="K143" s="61" t="str">
        <f>VLOOKUP(A143,'1.Loading'!A:R,5,FALSE)</f>
        <v>22GP</v>
      </c>
      <c r="L143" s="60" t="str">
        <f>VLOOKUP(D143,'2.Bookinglist'!A:CT,85,FALSE)</f>
        <v>CY/CY</v>
      </c>
      <c r="M143" s="60" t="str">
        <f>IF(VLOOKUP(D143,'2.Bookinglist'!A:CT,43,FALSE)=0,"","DG")</f>
        <v>DG</v>
      </c>
      <c r="N143" s="60" t="str">
        <f>IF(RIGHT(K143,2)="RE","RF","")</f>
        <v/>
      </c>
      <c r="O143" s="61" t="str">
        <f>VLOOKUP(A143,'1.Loading'!A:R,3,FALSE)</f>
        <v>SWIC</v>
      </c>
      <c r="P143" s="61" t="str">
        <f>VLOOKUP(A143,'1.Loading'!A:R,4,FALSE)</f>
        <v>2611N</v>
      </c>
      <c r="Q143" s="61" t="str">
        <f>VLOOKUP(D143,'2.Bookinglist'!A:CT,12,FALSE)</f>
        <v>KHS1</v>
      </c>
      <c r="R143" s="60" t="str">
        <f>IF(LEFT(K143,2)="22","20'","40'")</f>
        <v>20'</v>
      </c>
      <c r="S143" s="185" t="n"/>
      <c r="T143" s="61" t="str">
        <f>VLOOKUP(A143,'1.Loading'!A:R,2,FALSE)</f>
        <v>2026-10-16</v>
      </c>
      <c r="U143" s="63">
        <f>T143-S143</f>
        <v>46311</v>
      </c>
      <c r="V143" s="186" t="n"/>
      <c r="W143" s="61" t="str">
        <f>VLOOKUP(A143,'3.GateMove'!A:D,4,FALSE)</f>
        <v>2026-10-13</v>
      </c>
      <c r="X143" s="63">
        <f>((T143-W143)+1)</f>
        <v>4</v>
      </c>
      <c r="Y143" s="64">
        <f>IF(AND(OR(C143="BKK01",C143="BKK04"),L143="CFS/CY"),0,IF(M143="DG",1,IF(LEFT(C143,3)="LCH",7,IF(C143="BKK02",5,3))))</f>
        <v>1</v>
      </c>
      <c r="Z143" s="63">
        <f>IF(IF(AND(AC143="TML",AB143&gt;0),((T143-W143)+1)-AB143,((T143-W143)+1)-Y143)&gt;0,IF(AND(AC143="TML",AB143&gt;0),((T143-W143)+1)-AB143,((T143-W143)+1)-Y143),0)</f>
        <v>3</v>
      </c>
      <c r="AA143" s="187">
        <f>IF(AND(B143="G1",M143=""),IF(R143="20'",
VLOOKUP(Z143,Charge!$K$2:$M$5,2,TRUE)+(Z143-VLOOKUP(Z143,Charge!$K$2:$M$5,1,TRUE))*VLOOKUP(Z143,Charge!$K$2:$M$5,3,TRUE),
VLOOKUP(Z143,Charge!$N$2:$P$5,2,TRUE)+(Z143-VLOOKUP(Z143,Charge!$N$2:$P$5,1,TRUE))*VLOOKUP(Z143,Charge!$N$2:$P$5,3,TRUE)),
IF(AND(B143="G1",M143="DG"),IF(R143="20'",
VLOOKUP(Z143,Charge!$R$2:$T$5,2,TRUE)+(Z143-VLOOKUP(Z143,Charge!$R$2:$T$5,1,TRUE))*VLOOKUP(Z143,Charge!$R$2:$T$5,3,TRUE),
VLOOKUP(Z143,Charge!$U$2:$W$5,2,TRUE)+(Z143-VLOOKUP(Z143,Charge!$U$2:$W$5,1,TRUE))*VLOOKUP(Z143,Charge!$U$2:$W$5,3,TRUE)),
IF(AND(B143="G3",M143=""),IF(R143="20'",
VLOOKUP(Z143,Charge!$K$18:$M$21,2,TRUE)+(Z143-VLOOKUP(Z143,Charge!$K$18:$M$21,1,TRUE))*VLOOKUP(Z143,Charge!$K$18:$M$21,3,TRUE),
VLOOKUP(Z143,Charge!$N$18:$P$21,2,TRUE)+(Z143-VLOOKUP(Z143,Charge!$N$18:$P$21,1,TRUE))*VLOOKUP(Z143,Charge!$N$18:$P$21,3,TRUE)),
IF(AND(B143="G3",M143="DG"),IF(R143="20'",
VLOOKUP(Z143,Charge!$R$18:$T$21,2,TRUE)+(Z143-VLOOKUP(Z143,Charge!$R$18:$T$21,1,TRUE))*VLOOKUP(Z143,Charge!$R$18:$T$21,3,TRUE),
VLOOKUP(Z143,Charge!$U$18:$W$21,2,TRUE)+(Z143-VLOOKUP(Z143,Charge!$U$18:$W$21,1,TRUE))*VLOOKUP(Z143,Charge!$U$18:$W$21,3,TRUE)),
IF(AND(B143="G2",M143=""),IF(R143="20'",
VLOOKUP(Z143,Charge!$K$9:$M$12,2,TRUE)+(Z143-VLOOKUP(Z143,Charge!$K$9:$M$12,1,TRUE))*VLOOKUP(Z143,Charge!$K$9:$M$12,3,TRUE),
VLOOKUP(Z143,Charge!$N$9:$P$12,2,TRUE)+(Z143-VLOOKUP(Z143,Charge!$N$9:$P$12,1,TRUE))*VLOOKUP(Z143,Charge!$N$9:$P$12,3,TRUE)),
IF(AND(B143="G2",M143="DG"),IF(R143="20'",
VLOOKUP(Z143,Charge!$R$9:$T$12,2,TRUE)+(Z143-VLOOKUP(Z143,Charge!$R$9:$T$12,1,TRUE))*VLOOKUP(Z143,Charge!$R$9:$T$12,3,TRUE),
VLOOKUP(Z143,Charge!$U$9:$W$12,2,TRUE)+(Z143-VLOOKUP(Z143,Charge!$U$9:$W$12,1,TRUE))*VLOOKUP(Z143,Charge!$U$9:$W$12,3,TRUE)),IF(AND(B143="G4",M143=""),IF(R143="20'",Z143*Charge!$M$25,Z143*Charge!$P$25),IF(AND(B143="G4",M143="DG"),IF(R143="20'",Z143*Charge!$T$25,Z143*Charge!$W$25),0))))))))</f>
        <v>1440</v>
      </c>
      <c r="AB143" s="184" t="n"/>
      <c r="AC143" s="184" t="n"/>
      <c r="AD143" s="60">
        <f>IF(M143="DG",3,IF(N143="RF",3,5))+IF(AND(LEFT(C143,3)="BKK",N143="RF",Q143="KTS"),1,0)+IF(Q143="KHS",1,0)</f>
        <v>3</v>
      </c>
      <c r="AE143" s="63">
        <f>(T143-V143)+1</f>
        <v>46312</v>
      </c>
      <c r="AF143" s="63">
        <f>IF(AB143&gt;IF((V143-W143)&gt;0,V143-W143,0),0,IF(AB143&lt;IF((V143-W143)&gt;0,V143-W143,0),IF((V143-W143)&gt;0,V143-W143,0)-AB143,IF((V143-W143)&gt;0,V143-W143,0)))</f>
        <v>0</v>
      </c>
      <c r="AG143" s="187">
        <f>IF(AND(M143=""),IF(R143="20'",
VLOOKUP(AF143,Charge!$K$31:$M$34,2,TRUE)+(AF143-VLOOKUP(AF143,Charge!$K$31:$M$34,1,TRUE))*VLOOKUP(AF143,Charge!$K$31:$M$34,3,TRUE),
VLOOKUP(AF143,Charge!$N$31:$P$34,2,TRUE)+(AF143-VLOOKUP(AF143,Charge!$N$31:$P$34,1,TRUE))*VLOOKUP(AF143,Charge!$N$31:$P$34,3,TRUE)),
IF(AND(M143="DG"),IF(R143="20'",
VLOOKUP(AF143,Charge!$R$31:$T$34,2,TRUE)+(AF143-VLOOKUP(AF143,Charge!$R$31:$T$34,1,TRUE))*VLOOKUP(AF143,Charge!$R$31:$T$34,3,TRUE),
VLOOKUP(AF143,Charge!$U$31:$W$34,2,TRUE)+(AF143-VLOOKUP(AF143,Charge!$U$31:$W$34,1,TRUE))*VLOOKUP(AF143,Charge!$U$31:$W$34,3,TRUE)),0))</f>
        <v>0</v>
      </c>
      <c r="AH143" s="65" t="n"/>
      <c r="AI143" s="65">
        <f>AA143-AH143</f>
        <v>1440</v>
      </c>
      <c r="AJ143" s="188" t="n"/>
      <c r="AK143" s="62" t="str">
        <f>VLOOKUP(D143,'2.Bookinglist'!A:CT,40,FALSE)</f>
        <v>Tarn(Supaporn)</v>
      </c>
      <c r="AL143" s="60" t="str">
        <f>VLOOKUP(D143,'2.Bookinglist'!A:CW,101,FALSE)</f>
        <v>2026-10-12</v>
      </c>
      <c r="AM143" s="60" t="str">
        <f>VLOOKUP(D143,'2.Bookinglist'!A:BK,63,FALSE)</f>
        <v>BKK27</v>
      </c>
      <c r="AN143" s="62" t="str">
        <f>VLOOKUP(D143,'2.Bookinglist'!A:AZ,52,FALSE)</f>
        <v>[FIX][FIX]** APPROVAL DG BY MR.M.J CHANG DD.30/09/2026 ** DG22GPx13 (CLS 9 / UN 2216)  
Pickup : 2026-10-10, Return : 2026-09-10 
EXTEND  CLS TIME 13/23.59 FIRST DATE CAN RETURN CNTR DD.13/10</v>
      </c>
      <c r="AO143" s="62">
        <f>VLOOKUP(D143,'2.Bookinglist'!A:CY,103,FALSE)</f>
        <v>0</v>
      </c>
    </row>
    <row r="144" ht="12.95" customHeight="1">
      <c r="A144" s="96" t="inlineStr">
        <is>
          <t>TRHU4863610</t>
        </is>
      </c>
      <c r="B144" s="184" t="str">
        <f>IF(C144=Charge!$M$1,Charge!$J$1,IF(C144=Charge!$M$23,Charge!$J$23,IF(C144=Charge!$M$17,Charge!$J$17,IF(C144=Charge!$N$17,Charge!$J$17,Charge!$J$7))))</f>
        <v>G3</v>
      </c>
      <c r="C144" s="61" t="str">
        <f>VLOOKUP(A144,'1.Loading'!A:R,14,FALSE)</f>
        <v>BKK01</v>
      </c>
      <c r="D144" s="61" t="str">
        <f>VLOOKUP(A144,'1.Loading'!A:R,17,FALSE)</f>
        <v>HASLS22260901777</v>
      </c>
      <c r="E144" s="62" t="str">
        <f>VLOOKUP(D144,'2.Bookinglist'!A:CT,27,FALSE)</f>
        <v>MULFRO (THAILAND) CO., LTD.</v>
      </c>
      <c r="F144" s="62" t="str">
        <f>VLOOKUP(D144,'2.Bookinglist'!A:CT,28,FALSE)</f>
        <v>MULFRO (THAILAND) CO., LTD.</v>
      </c>
      <c r="G144" s="60">
        <f>VLOOKUP(D144,'2.Bookinglist'!A:E,5,FALSE)</f>
        <v>0</v>
      </c>
      <c r="H144" s="61" t="str">
        <f>VLOOKUP(D144,'2.Bookinglist'!A:CT,15,FALSE)</f>
        <v>THBKK</v>
      </c>
      <c r="I144" s="61" t="str">
        <f>VLOOKUP(D144,'2.Bookinglist'!A:CT,19,FALSE)</f>
        <v>JPMYJ</v>
      </c>
      <c r="J144" s="61" t="str">
        <f>VLOOKUP(D144,'2.Bookinglist'!A:CT,26,FALSE)</f>
        <v>KRPUS</v>
      </c>
      <c r="K144" s="61" t="str">
        <f>VLOOKUP(A144,'1.Loading'!A:R,5,FALSE)</f>
        <v>45GP</v>
      </c>
      <c r="L144" s="60" t="str">
        <f>VLOOKUP(D144,'2.Bookinglist'!A:CT,85,FALSE)</f>
        <v>CY/CY</v>
      </c>
      <c r="M144" s="60" t="str">
        <f>IF(VLOOKUP(D144,'2.Bookinglist'!A:CT,43,FALSE)=0,"","DG")</f>
        <v/>
      </c>
      <c r="N144" s="60" t="str">
        <f>IF(RIGHT(K144,2)="RE","RF","")</f>
        <v/>
      </c>
      <c r="O144" s="61" t="str">
        <f>VLOOKUP(A144,'1.Loading'!A:R,3,FALSE)</f>
        <v>SWIC</v>
      </c>
      <c r="P144" s="61" t="str">
        <f>VLOOKUP(A144,'1.Loading'!A:R,4,FALSE)</f>
        <v>2611N</v>
      </c>
      <c r="Q144" s="61" t="str">
        <f>VLOOKUP(D144,'2.Bookinglist'!A:CT,12,FALSE)</f>
        <v>KHS1</v>
      </c>
      <c r="R144" s="60" t="str">
        <f>IF(LEFT(K144,2)="22","20'","40'")</f>
        <v>40'</v>
      </c>
      <c r="S144" s="185" t="n"/>
      <c r="T144" s="61" t="str">
        <f>VLOOKUP(A144,'1.Loading'!A:R,2,FALSE)</f>
        <v>2026-10-16</v>
      </c>
      <c r="U144" s="63">
        <f>T144-S144</f>
        <v>46311</v>
      </c>
      <c r="V144" s="186" t="n"/>
      <c r="W144" s="61" t="str">
        <f>VLOOKUP(A144,'3.GateMove'!A:D,4,FALSE)</f>
        <v>2026-10-10</v>
      </c>
      <c r="X144" s="63">
        <f>((T144-W144)+1)</f>
        <v>7</v>
      </c>
      <c r="Y144" s="64">
        <f>IF(AND(OR(C144="BKK01",C144="BKK04"),L144="CFS/CY"),0,IF(M144="DG",1,IF(LEFT(C144,3)="LCH",7,IF(C144="BKK02",5,3))))</f>
        <v>3</v>
      </c>
      <c r="Z144" s="63">
        <f>IF(IF(AND(AC144="TML",AB144&gt;0),((T144-W144)+1)-AB144,((T144-W144)+1)-Y144)&gt;0,IF(AND(AC144="TML",AB144&gt;0),((T144-W144)+1)-AB144,((T144-W144)+1)-Y144),0)</f>
        <v>4</v>
      </c>
      <c r="AA144" s="187">
        <f>IF(AND(B144="G1",M144=""),IF(R144="20'",
VLOOKUP(Z144,Charge!$K$2:$M$5,2,TRUE)+(Z144-VLOOKUP(Z144,Charge!$K$2:$M$5,1,TRUE))*VLOOKUP(Z144,Charge!$K$2:$M$5,3,TRUE),
VLOOKUP(Z144,Charge!$N$2:$P$5,2,TRUE)+(Z144-VLOOKUP(Z144,Charge!$N$2:$P$5,1,TRUE))*VLOOKUP(Z144,Charge!$N$2:$P$5,3,TRUE)),
IF(AND(B144="G1",M144="DG"),IF(R144="20'",
VLOOKUP(Z144,Charge!$R$2:$T$5,2,TRUE)+(Z144-VLOOKUP(Z144,Charge!$R$2:$T$5,1,TRUE))*VLOOKUP(Z144,Charge!$R$2:$T$5,3,TRUE),
VLOOKUP(Z144,Charge!$U$2:$W$5,2,TRUE)+(Z144-VLOOKUP(Z144,Charge!$U$2:$W$5,1,TRUE))*VLOOKUP(Z144,Charge!$U$2:$W$5,3,TRUE)),
IF(AND(B144="G3",M144=""),IF(R144="20'",
VLOOKUP(Z144,Charge!$K$18:$M$21,2,TRUE)+(Z144-VLOOKUP(Z144,Charge!$K$18:$M$21,1,TRUE))*VLOOKUP(Z144,Charge!$K$18:$M$21,3,TRUE),
VLOOKUP(Z144,Charge!$N$18:$P$21,2,TRUE)+(Z144-VLOOKUP(Z144,Charge!$N$18:$P$21,1,TRUE))*VLOOKUP(Z144,Charge!$N$18:$P$21,3,TRUE)),
IF(AND(B144="G3",M144="DG"),IF(R144="20'",
VLOOKUP(Z144,Charge!$R$18:$T$21,2,TRUE)+(Z144-VLOOKUP(Z144,Charge!$R$18:$T$21,1,TRUE))*VLOOKUP(Z144,Charge!$R$18:$T$21,3,TRUE),
VLOOKUP(Z144,Charge!$U$18:$W$21,2,TRUE)+(Z144-VLOOKUP(Z144,Charge!$U$18:$W$21,1,TRUE))*VLOOKUP(Z144,Charge!$U$18:$W$21,3,TRUE)),
IF(AND(B144="G2",M144=""),IF(R144="20'",
VLOOKUP(Z144,Charge!$K$9:$M$12,2,TRUE)+(Z144-VLOOKUP(Z144,Charge!$K$9:$M$12,1,TRUE))*VLOOKUP(Z144,Charge!$K$9:$M$12,3,TRUE),
VLOOKUP(Z144,Charge!$N$9:$P$12,2,TRUE)+(Z144-VLOOKUP(Z144,Charge!$N$9:$P$12,1,TRUE))*VLOOKUP(Z144,Charge!$N$9:$P$12,3,TRUE)),
IF(AND(B144="G2",M144="DG"),IF(R144="20'",
VLOOKUP(Z144,Charge!$R$9:$T$12,2,TRUE)+(Z144-VLOOKUP(Z144,Charge!$R$9:$T$12,1,TRUE))*VLOOKUP(Z144,Charge!$R$9:$T$12,3,TRUE),
VLOOKUP(Z144,Charge!$U$9:$W$12,2,TRUE)+(Z144-VLOOKUP(Z144,Charge!$U$9:$W$12,1,TRUE))*VLOOKUP(Z144,Charge!$U$9:$W$12,3,TRUE)),IF(AND(B144="G4",M144=""),IF(R144="20'",Z144*Charge!$M$25,Z144*Charge!$P$25),IF(AND(B144="G4",M144="DG"),IF(R144="20'",Z144*Charge!$T$25,Z144*Charge!$W$25),0))))))))</f>
        <v>1280</v>
      </c>
      <c r="AB144" s="184" t="n"/>
      <c r="AC144" s="184" t="n"/>
      <c r="AD144" s="60">
        <f>IF(M144="DG",3,IF(N144="RF",3,5))+IF(AND(LEFT(C144,3)="BKK",N144="RF",Q144="KTS"),1,0)+IF(Q144="KHS",1,0)</f>
        <v>5</v>
      </c>
      <c r="AE144" s="63">
        <f>(T144-V144)+1</f>
        <v>46312</v>
      </c>
      <c r="AF144" s="63">
        <f>IF(AB144&gt;IF((V144-W144)&gt;0,V144-W144,0),0,IF(AB144&lt;IF((V144-W144)&gt;0,V144-W144,0),IF((V144-W144)&gt;0,V144-W144,0)-AB144,IF((V144-W144)&gt;0,V144-W144,0)))</f>
        <v>0</v>
      </c>
      <c r="AG144" s="187">
        <f>IF(AND(M144=""),IF(R144="20'",
VLOOKUP(AF144,Charge!$K$31:$M$34,2,TRUE)+(AF144-VLOOKUP(AF144,Charge!$K$31:$M$34,1,TRUE))*VLOOKUP(AF144,Charge!$K$31:$M$34,3,TRUE),
VLOOKUP(AF144,Charge!$N$31:$P$34,2,TRUE)+(AF144-VLOOKUP(AF144,Charge!$N$31:$P$34,1,TRUE))*VLOOKUP(AF144,Charge!$N$31:$P$34,3,TRUE)),
IF(AND(M144="DG"),IF(R144="20'",
VLOOKUP(AF144,Charge!$R$31:$T$34,2,TRUE)+(AF144-VLOOKUP(AF144,Charge!$R$31:$T$34,1,TRUE))*VLOOKUP(AF144,Charge!$R$31:$T$34,3,TRUE),
VLOOKUP(AF144,Charge!$U$31:$W$34,2,TRUE)+(AF144-VLOOKUP(AF144,Charge!$U$31:$W$34,1,TRUE))*VLOOKUP(AF144,Charge!$U$31:$W$34,3,TRUE)),0))</f>
        <v>0</v>
      </c>
      <c r="AH144" s="65" t="n"/>
      <c r="AI144" s="65">
        <f>AA144-AH144</f>
        <v>1280</v>
      </c>
      <c r="AJ144" s="188" t="n"/>
      <c r="AK144" s="62" t="str">
        <f>VLOOKUP(D144,'2.Bookinglist'!A:CT,40,FALSE)</f>
        <v>Kanokporn</v>
      </c>
      <c r="AL144" s="60" t="str">
        <f>VLOOKUP(D144,'2.Bookinglist'!A:CW,101,FALSE)</f>
        <v>2026-10-15</v>
      </c>
      <c r="AM144" s="60" t="str">
        <f>VLOOKUP(D144,'2.Bookinglist'!A:BK,63,FALSE)</f>
        <v>BKK27</v>
      </c>
      <c r="AN144" s="62" t="str">
        <f>VLOOKUP(D144,'2.Bookinglist'!A:AZ,52,FALSE)</f>
        <v>Pickup : 2026-10-07, Return : 2026-10-09 // FM PGPO 2612N BY HAL DD.05/10</v>
      </c>
      <c r="AO144" s="62">
        <f>VLOOKUP(D144,'2.Bookinglist'!A:CY,103,FALSE)</f>
        <v>0</v>
      </c>
    </row>
    <row r="145" ht="12.95" customHeight="1">
      <c r="A145" s="96" t="inlineStr">
        <is>
          <t>TRHU6362665</t>
        </is>
      </c>
      <c r="B145" s="184" t="str">
        <f>IF(C145=Charge!$M$1,Charge!$J$1,IF(C145=Charge!$M$23,Charge!$J$23,IF(C145=Charge!$M$17,Charge!$J$17,IF(C145=Charge!$N$17,Charge!$J$17,Charge!$J$7))))</f>
        <v>G3</v>
      </c>
      <c r="C145" s="61" t="str">
        <f>VLOOKUP(A145,'1.Loading'!A:R,14,FALSE)</f>
        <v>BKK01</v>
      </c>
      <c r="D145" s="61" t="str">
        <f>VLOOKUP(A145,'1.Loading'!A:R,17,FALSE)</f>
        <v>HASLS22260902222</v>
      </c>
      <c r="E145" s="62" t="str">
        <f>VLOOKUP(D145,'2.Bookinglist'!A:CT,27,FALSE)</f>
        <v>CAPRICORN LOGISTICS CO., LTD.</v>
      </c>
      <c r="F145" s="62" t="str">
        <f>VLOOKUP(D145,'2.Bookinglist'!A:CT,28,FALSE)</f>
        <v>SWAN INDUSTRIES (THAILAND) LTD.</v>
      </c>
      <c r="G145" s="60">
        <f>VLOOKUP(D145,'2.Bookinglist'!A:E,5,FALSE)</f>
        <v>0</v>
      </c>
      <c r="H145" s="61" t="str">
        <f>VLOOKUP(D145,'2.Bookinglist'!A:CT,15,FALSE)</f>
        <v>THBKK</v>
      </c>
      <c r="I145" s="61" t="str">
        <f>VLOOKUP(D145,'2.Bookinglist'!A:CT,19,FALSE)</f>
        <v>VNSGN</v>
      </c>
      <c r="J145" s="61">
        <f>VLOOKUP(D145,'2.Bookinglist'!A:CT,26,FALSE)</f>
        <v>0</v>
      </c>
      <c r="K145" s="61" t="str">
        <f>VLOOKUP(A145,'1.Loading'!A:R,5,FALSE)</f>
        <v>45GP</v>
      </c>
      <c r="L145" s="60" t="str">
        <f>VLOOKUP(D145,'2.Bookinglist'!A:CT,85,FALSE)</f>
        <v>CY/CY</v>
      </c>
      <c r="M145" s="60" t="str">
        <f>IF(VLOOKUP(D145,'2.Bookinglist'!A:CT,43,FALSE)=0,"","DG")</f>
        <v/>
      </c>
      <c r="N145" s="60" t="str">
        <f>IF(RIGHT(K145,2)="RE","RF","")</f>
        <v/>
      </c>
      <c r="O145" s="61" t="str">
        <f>VLOOKUP(A145,'1.Loading'!A:R,3,FALSE)</f>
        <v>SWIC</v>
      </c>
      <c r="P145" s="61" t="str">
        <f>VLOOKUP(A145,'1.Loading'!A:R,4,FALSE)</f>
        <v>2611N</v>
      </c>
      <c r="Q145" s="61" t="str">
        <f>VLOOKUP(D145,'2.Bookinglist'!A:CT,12,FALSE)</f>
        <v>KHS1</v>
      </c>
      <c r="R145" s="60" t="str">
        <f>IF(LEFT(K145,2)="22","20'","40'")</f>
        <v>40'</v>
      </c>
      <c r="S145" s="185" t="n"/>
      <c r="T145" s="61" t="str">
        <f>VLOOKUP(A145,'1.Loading'!A:R,2,FALSE)</f>
        <v>2026-10-16</v>
      </c>
      <c r="U145" s="63">
        <f>T145-S145</f>
        <v>46311</v>
      </c>
      <c r="V145" s="186" t="n"/>
      <c r="W145" s="61" t="str">
        <f>VLOOKUP(A145,'3.GateMove'!A:D,4,FALSE)</f>
        <v>2026-10-12</v>
      </c>
      <c r="X145" s="63">
        <f>((T145-W145)+1)</f>
        <v>5</v>
      </c>
      <c r="Y145" s="64">
        <f>IF(AND(OR(C145="BKK01",C145="BKK04"),L145="CFS/CY"),0,IF(M145="DG",1,IF(LEFT(C145,3)="LCH",7,IF(C145="BKK02",5,3))))</f>
        <v>3</v>
      </c>
      <c r="Z145" s="63">
        <f>IF(IF(AND(AC145="TML",AB145&gt;0),((T145-W145)+1)-AB145,((T145-W145)+1)-Y145)&gt;0,IF(AND(AC145="TML",AB145&gt;0),((T145-W145)+1)-AB145,((T145-W145)+1)-Y145),0)</f>
        <v>2</v>
      </c>
      <c r="AA145" s="187">
        <f>IF(AND(B145="G1",M145=""),IF(R145="20'",
VLOOKUP(Z145,Charge!$K$2:$M$5,2,TRUE)+(Z145-VLOOKUP(Z145,Charge!$K$2:$M$5,1,TRUE))*VLOOKUP(Z145,Charge!$K$2:$M$5,3,TRUE),
VLOOKUP(Z145,Charge!$N$2:$P$5,2,TRUE)+(Z145-VLOOKUP(Z145,Charge!$N$2:$P$5,1,TRUE))*VLOOKUP(Z145,Charge!$N$2:$P$5,3,TRUE)),
IF(AND(B145="G1",M145="DG"),IF(R145="20'",
VLOOKUP(Z145,Charge!$R$2:$T$5,2,TRUE)+(Z145-VLOOKUP(Z145,Charge!$R$2:$T$5,1,TRUE))*VLOOKUP(Z145,Charge!$R$2:$T$5,3,TRUE),
VLOOKUP(Z145,Charge!$U$2:$W$5,2,TRUE)+(Z145-VLOOKUP(Z145,Charge!$U$2:$W$5,1,TRUE))*VLOOKUP(Z145,Charge!$U$2:$W$5,3,TRUE)),
IF(AND(B145="G3",M145=""),IF(R145="20'",
VLOOKUP(Z145,Charge!$K$18:$M$21,2,TRUE)+(Z145-VLOOKUP(Z145,Charge!$K$18:$M$21,1,TRUE))*VLOOKUP(Z145,Charge!$K$18:$M$21,3,TRUE),
VLOOKUP(Z145,Charge!$N$18:$P$21,2,TRUE)+(Z145-VLOOKUP(Z145,Charge!$N$18:$P$21,1,TRUE))*VLOOKUP(Z145,Charge!$N$18:$P$21,3,TRUE)),
IF(AND(B145="G3",M145="DG"),IF(R145="20'",
VLOOKUP(Z145,Charge!$R$18:$T$21,2,TRUE)+(Z145-VLOOKUP(Z145,Charge!$R$18:$T$21,1,TRUE))*VLOOKUP(Z145,Charge!$R$18:$T$21,3,TRUE),
VLOOKUP(Z145,Charge!$U$18:$W$21,2,TRUE)+(Z145-VLOOKUP(Z145,Charge!$U$18:$W$21,1,TRUE))*VLOOKUP(Z145,Charge!$U$18:$W$21,3,TRUE)),
IF(AND(B145="G2",M145=""),IF(R145="20'",
VLOOKUP(Z145,Charge!$K$9:$M$12,2,TRUE)+(Z145-VLOOKUP(Z145,Charge!$K$9:$M$12,1,TRUE))*VLOOKUP(Z145,Charge!$K$9:$M$12,3,TRUE),
VLOOKUP(Z145,Charge!$N$9:$P$12,2,TRUE)+(Z145-VLOOKUP(Z145,Charge!$N$9:$P$12,1,TRUE))*VLOOKUP(Z145,Charge!$N$9:$P$12,3,TRUE)),
IF(AND(B145="G2",M145="DG"),IF(R145="20'",
VLOOKUP(Z145,Charge!$R$9:$T$12,2,TRUE)+(Z145-VLOOKUP(Z145,Charge!$R$9:$T$12,1,TRUE))*VLOOKUP(Z145,Charge!$R$9:$T$12,3,TRUE),
VLOOKUP(Z145,Charge!$U$9:$W$12,2,TRUE)+(Z145-VLOOKUP(Z145,Charge!$U$9:$W$12,1,TRUE))*VLOOKUP(Z145,Charge!$U$9:$W$12,3,TRUE)),IF(AND(B145="G4",M145=""),IF(R145="20'",Z145*Charge!$M$25,Z145*Charge!$P$25),IF(AND(B145="G4",M145="DG"),IF(R145="20'",Z145*Charge!$T$25,Z145*Charge!$W$25),0))))))))</f>
        <v>640</v>
      </c>
      <c r="AB145" s="184" t="n"/>
      <c r="AC145" s="184" t="n"/>
      <c r="AD145" s="60">
        <f>IF(M145="DG",3,IF(N145="RF",3,5))+IF(AND(LEFT(C145,3)="BKK",N145="RF",Q145="KTS"),1,0)+IF(Q145="KHS",1,0)</f>
        <v>5</v>
      </c>
      <c r="AE145" s="63">
        <f>(T145-V145)+1</f>
        <v>46312</v>
      </c>
      <c r="AF145" s="63">
        <f>IF(AB145&gt;IF((V145-W145)&gt;0,V145-W145,0),0,IF(AB145&lt;IF((V145-W145)&gt;0,V145-W145,0),IF((V145-W145)&gt;0,V145-W145,0)-AB145,IF((V145-W145)&gt;0,V145-W145,0)))</f>
        <v>0</v>
      </c>
      <c r="AG145" s="187">
        <f>IF(AND(M145=""),IF(R145="20'",
VLOOKUP(AF145,Charge!$K$31:$M$34,2,TRUE)+(AF145-VLOOKUP(AF145,Charge!$K$31:$M$34,1,TRUE))*VLOOKUP(AF145,Charge!$K$31:$M$34,3,TRUE),
VLOOKUP(AF145,Charge!$N$31:$P$34,2,TRUE)+(AF145-VLOOKUP(AF145,Charge!$N$31:$P$34,1,TRUE))*VLOOKUP(AF145,Charge!$N$31:$P$34,3,TRUE)),
IF(AND(M145="DG"),IF(R145="20'",
VLOOKUP(AF145,Charge!$R$31:$T$34,2,TRUE)+(AF145-VLOOKUP(AF145,Charge!$R$31:$T$34,1,TRUE))*VLOOKUP(AF145,Charge!$R$31:$T$34,3,TRUE),
VLOOKUP(AF145,Charge!$U$31:$W$34,2,TRUE)+(AF145-VLOOKUP(AF145,Charge!$U$31:$W$34,1,TRUE))*VLOOKUP(AF145,Charge!$U$31:$W$34,3,TRUE)),0))</f>
        <v>0</v>
      </c>
      <c r="AH145" s="65" t="n"/>
      <c r="AI145" s="65">
        <f>AA145-AH145</f>
        <v>640</v>
      </c>
      <c r="AJ145" s="188" t="n"/>
      <c r="AK145" s="62" t="str">
        <f>VLOOKUP(D145,'2.Bookinglist'!A:CT,40,FALSE)</f>
        <v>Nguyen Xuan Toan</v>
      </c>
      <c r="AL145" s="60" t="str">
        <f>VLOOKUP(D145,'2.Bookinglist'!A:CW,101,FALSE)</f>
        <v>2026-10-15</v>
      </c>
      <c r="AM145" s="60" t="str">
        <f>VLOOKUP(D145,'2.Bookinglist'!A:BK,63,FALSE)</f>
        <v>BKK27</v>
      </c>
      <c r="AN145" s="62" t="str">
        <f>VLOOKUP(D145,'2.Bookinglist'!A:AZ,52,FALSE)</f>
        <v>Pickup : 2026-10-12, Return : 2026-10-12 (1ST RETURN DD.11/10/26)</v>
      </c>
      <c r="AO145" s="62">
        <f>VLOOKUP(D145,'2.Bookinglist'!A:CY,103,FALSE)</f>
        <v>0</v>
      </c>
    </row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2026-10-16T02:27:05Z</dcterms:modified>
  <cp:lastModifiedBy>office4</cp:lastModifiedBy>
  <cp:lastPrinted>2019-11-19T03:03:39Z</cp:lastPrinted>
</cp:coreProperties>
</file>