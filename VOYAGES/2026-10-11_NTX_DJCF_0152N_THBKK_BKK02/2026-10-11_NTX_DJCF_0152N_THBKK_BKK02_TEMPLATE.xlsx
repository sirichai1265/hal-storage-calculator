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3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FBIU5086896</t>
        </is>
      </c>
      <c r="B2" s="161" t="inlineStr">
        <is>
          <t>2026-10-11</t>
        </is>
      </c>
      <c r="C2" s="96" t="inlineStr">
        <is>
          <t>DJCF</t>
        </is>
      </c>
      <c r="D2" s="96" t="inlineStr">
        <is>
          <t>0152N</t>
        </is>
      </c>
      <c r="E2" s="96" t="inlineStr">
        <is>
          <t>45RE</t>
        </is>
      </c>
      <c r="F2" s="96" t="inlineStr">
        <is>
          <t>SD</t>
        </is>
      </c>
      <c r="G2" s="96" t="inlineStr">
        <is>
          <t>THBKK</t>
        </is>
      </c>
      <c r="H2" s="96" t="inlineStr">
        <is>
          <t>THBKK</t>
        </is>
      </c>
      <c r="I2" s="96" t="inlineStr">
        <is>
          <t>KRPUS</t>
        </is>
      </c>
      <c r="J2" s="96" t="inlineStr">
        <is>
          <t>KRPUS</t>
        </is>
      </c>
      <c r="K2" s="96" t="inlineStr">
        <is>
          <t>F</t>
        </is>
      </c>
      <c r="L2" s="96" t="inlineStr">
        <is>
          <t>ONE</t>
        </is>
      </c>
      <c r="M2" s="96" t="inlineStr">
        <is>
          <t>VFL</t>
        </is>
      </c>
      <c r="N2" s="96" t="inlineStr">
        <is>
          <t>BKK02</t>
        </is>
      </c>
      <c r="O2" s="96" t="inlineStr">
        <is>
          <t>BKK</t>
        </is>
      </c>
      <c r="P2" s="96" t="inlineStr">
        <is>
          <t>TH</t>
        </is>
      </c>
      <c r="Q2" s="96" t="inlineStr">
        <is>
          <t>HASLS22260901042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NTX</t>
        </is>
      </c>
      <c r="U2" s="97" t="n"/>
      <c r="V2" s="96" t="inlineStr">
        <is>
          <t>K0120025</t>
        </is>
      </c>
      <c r="W2" s="96" t="inlineStr">
        <is>
          <t>THAI UNION GROUP PUBLIC COMPANY</t>
        </is>
      </c>
      <c r="X2" s="96" t="inlineStr">
        <is>
          <t>VFD</t>
        </is>
      </c>
      <c r="Y2" s="96" t="inlineStr">
        <is>
          <t>BKR CO.,LTD.</t>
        </is>
      </c>
      <c r="Z2" s="96" t="inlineStr">
        <is>
          <t>BKR CO.,LTD.</t>
        </is>
      </c>
      <c r="AA2" s="97" t="n">
        <v>24968.4</v>
      </c>
      <c r="AB2" s="96" t="inlineStr">
        <is>
          <t>BKK02</t>
        </is>
      </c>
      <c r="AC2" s="96" t="inlineStr">
        <is>
          <t>PUS05</t>
        </is>
      </c>
    </row>
    <row r="3" ht="12" customHeight="1">
      <c r="A3" s="96" t="inlineStr">
        <is>
          <t>FBIU5089690</t>
        </is>
      </c>
      <c r="B3" s="161" t="inlineStr">
        <is>
          <t>2026-10-11</t>
        </is>
      </c>
      <c r="C3" s="96" t="inlineStr">
        <is>
          <t>DJCF</t>
        </is>
      </c>
      <c r="D3" s="96" t="inlineStr">
        <is>
          <t>0152N</t>
        </is>
      </c>
      <c r="E3" s="96" t="inlineStr">
        <is>
          <t>45RE</t>
        </is>
      </c>
      <c r="F3" s="96" t="inlineStr">
        <is>
          <t>SD</t>
        </is>
      </c>
      <c r="G3" s="96" t="inlineStr">
        <is>
          <t>THBKK</t>
        </is>
      </c>
      <c r="H3" s="96" t="inlineStr">
        <is>
          <t>THBKK</t>
        </is>
      </c>
      <c r="I3" s="96" t="inlineStr">
        <is>
          <t>VNSGN</t>
        </is>
      </c>
      <c r="J3" s="96" t="inlineStr">
        <is>
          <t>VNSGN</t>
        </is>
      </c>
      <c r="K3" s="96" t="inlineStr">
        <is>
          <t>F</t>
        </is>
      </c>
      <c r="L3" s="96" t="inlineStr">
        <is>
          <t>ONE</t>
        </is>
      </c>
      <c r="M3" s="96" t="inlineStr">
        <is>
          <t>VFL</t>
        </is>
      </c>
      <c r="N3" s="96" t="inlineStr">
        <is>
          <t>BKK02</t>
        </is>
      </c>
      <c r="O3" s="96" t="inlineStr">
        <is>
          <t>BKK</t>
        </is>
      </c>
      <c r="P3" s="96" t="inlineStr">
        <is>
          <t>TH</t>
        </is>
      </c>
      <c r="Q3" s="96" t="inlineStr">
        <is>
          <t>HASLS22260901487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NTX</t>
        </is>
      </c>
      <c r="U3" s="97" t="n"/>
      <c r="V3" s="96" t="inlineStr">
        <is>
          <t>K0120025</t>
        </is>
      </c>
      <c r="W3" s="96" t="inlineStr">
        <is>
          <t>OPENSEA CARGO SERVICE CO.,LTD.</t>
        </is>
      </c>
      <c r="X3" s="96" t="inlineStr">
        <is>
          <t>VFD</t>
        </is>
      </c>
      <c r="Y3" s="96" t="inlineStr">
        <is>
          <t>TAN TIEN PHAT IMPORT EXPORT &amp;</t>
        </is>
      </c>
      <c r="Z3" s="96" t="inlineStr">
        <is>
          <t>TAN TIEN PHAT IMPORT EXPORT &amp;</t>
        </is>
      </c>
      <c r="AA3" s="97" t="n">
        <v>24063</v>
      </c>
      <c r="AB3" s="96" t="inlineStr">
        <is>
          <t>BKK02</t>
        </is>
      </c>
      <c r="AC3" s="96" t="inlineStr">
        <is>
          <t>SGN03</t>
        </is>
      </c>
    </row>
    <row r="4" ht="12" customHeight="1">
      <c r="A4" s="96" t="inlineStr">
        <is>
          <t>FSCU5888803</t>
        </is>
      </c>
      <c r="B4" s="161" t="inlineStr">
        <is>
          <t>2026-10-11</t>
        </is>
      </c>
      <c r="C4" s="96" t="inlineStr">
        <is>
          <t>DJCF</t>
        </is>
      </c>
      <c r="D4" s="96" t="inlineStr">
        <is>
          <t>0152N</t>
        </is>
      </c>
      <c r="E4" s="96" t="inlineStr">
        <is>
          <t>45RE</t>
        </is>
      </c>
      <c r="F4" s="96" t="inlineStr">
        <is>
          <t>SD</t>
        </is>
      </c>
      <c r="G4" s="96" t="inlineStr">
        <is>
          <t>THBKK</t>
        </is>
      </c>
      <c r="H4" s="96" t="inlineStr">
        <is>
          <t>THBKK</t>
        </is>
      </c>
      <c r="I4" s="96" t="inlineStr">
        <is>
          <t>VNSGN</t>
        </is>
      </c>
      <c r="J4" s="96" t="inlineStr">
        <is>
          <t>VNSGN</t>
        </is>
      </c>
      <c r="K4" s="96" t="inlineStr">
        <is>
          <t>F</t>
        </is>
      </c>
      <c r="L4" s="96" t="inlineStr">
        <is>
          <t>L/T</t>
        </is>
      </c>
      <c r="M4" s="96" t="inlineStr">
        <is>
          <t>VFL</t>
        </is>
      </c>
      <c r="N4" s="96" t="inlineStr">
        <is>
          <t>BKK02</t>
        </is>
      </c>
      <c r="O4" s="96" t="inlineStr">
        <is>
          <t>BKK</t>
        </is>
      </c>
      <c r="P4" s="96" t="inlineStr">
        <is>
          <t>TH</t>
        </is>
      </c>
      <c r="Q4" s="96" t="inlineStr">
        <is>
          <t>HASLS22260902719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NTX</t>
        </is>
      </c>
      <c r="U4" s="97" t="n"/>
      <c r="V4" s="96" t="inlineStr">
        <is>
          <t>C0320021</t>
        </is>
      </c>
      <c r="W4" s="96" t="inlineStr">
        <is>
          <t>YUSEN LOGISTICS (THAILAND) CO., LTD</t>
        </is>
      </c>
      <c r="X4" s="96" t="inlineStr">
        <is>
          <t>VFD</t>
        </is>
      </c>
      <c r="Y4" s="96" t="inlineStr">
        <is>
          <t>YUSEN LOGISTICS (VIETNAM) CO., LTD.</t>
        </is>
      </c>
      <c r="Z4" s="96" t="inlineStr">
        <is>
          <t>YUSEN LOGISTICS (VIETNAM) CO., LTD.</t>
        </is>
      </c>
      <c r="AA4" s="97" t="n">
        <v>1949</v>
      </c>
      <c r="AB4" s="96" t="inlineStr">
        <is>
          <t>BKK02</t>
        </is>
      </c>
      <c r="AC4" s="96" t="inlineStr">
        <is>
          <t>SGN03</t>
        </is>
      </c>
    </row>
    <row r="5" ht="12" customHeight="1">
      <c r="A5" s="96" t="inlineStr">
        <is>
          <t>HALU2027547</t>
        </is>
      </c>
      <c r="B5" s="161" t="inlineStr">
        <is>
          <t>2026-10-11</t>
        </is>
      </c>
      <c r="C5" s="96" t="inlineStr">
        <is>
          <t>DJCF</t>
        </is>
      </c>
      <c r="D5" s="96" t="inlineStr">
        <is>
          <t>0152N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THBKK</t>
        </is>
      </c>
      <c r="H5" s="96" t="inlineStr">
        <is>
          <t>THBKK</t>
        </is>
      </c>
      <c r="I5" s="96" t="inlineStr">
        <is>
          <t>VNSGN</t>
        </is>
      </c>
      <c r="J5" s="96" t="inlineStr">
        <is>
          <t>VNSGN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BKK02</t>
        </is>
      </c>
      <c r="O5" s="96" t="inlineStr">
        <is>
          <t>BKK</t>
        </is>
      </c>
      <c r="P5" s="96" t="inlineStr">
        <is>
          <t>TH</t>
        </is>
      </c>
      <c r="Q5" s="96" t="inlineStr">
        <is>
          <t>HASLS22260801939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NTX</t>
        </is>
      </c>
      <c r="U5" s="97" t="n"/>
      <c r="V5" s="96" t="inlineStr">
        <is>
          <t>TXG13016</t>
        </is>
      </c>
      <c r="W5" s="96" t="inlineStr">
        <is>
          <t>QUANTERM LOGISTICS (THAILAND)</t>
        </is>
      </c>
      <c r="X5" s="96" t="inlineStr">
        <is>
          <t>VFD</t>
        </is>
      </c>
      <c r="Y5" s="96" t="inlineStr">
        <is>
          <t>QUANTERM LOGISTICS VIETNAM CO.,LTD</t>
        </is>
      </c>
      <c r="Z5" s="96" t="inlineStr">
        <is>
          <t>QUANTERM LOGISTICS VIETNAM CO.,LTD</t>
        </is>
      </c>
      <c r="AA5" s="97" t="n">
        <v>25015.68</v>
      </c>
      <c r="AB5" s="96" t="inlineStr">
        <is>
          <t>BKK02</t>
        </is>
      </c>
      <c r="AC5" s="96" t="inlineStr">
        <is>
          <t>SGN03</t>
        </is>
      </c>
    </row>
    <row r="6" ht="12" customHeight="1">
      <c r="A6" s="96" t="inlineStr">
        <is>
          <t>HALU2042515</t>
        </is>
      </c>
      <c r="B6" s="161" t="inlineStr">
        <is>
          <t>2026-10-11</t>
        </is>
      </c>
      <c r="C6" s="96" t="inlineStr">
        <is>
          <t>DJCF</t>
        </is>
      </c>
      <c r="D6" s="96" t="inlineStr">
        <is>
          <t>0152N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THBKK</t>
        </is>
      </c>
      <c r="H6" s="96" t="inlineStr">
        <is>
          <t>THBKK</t>
        </is>
      </c>
      <c r="I6" s="96" t="inlineStr">
        <is>
          <t>KRPUS</t>
        </is>
      </c>
      <c r="J6" s="96" t="inlineStr">
        <is>
          <t>RUVVO</t>
        </is>
      </c>
      <c r="K6" s="96" t="inlineStr">
        <is>
          <t>F</t>
        </is>
      </c>
      <c r="L6" s="96" t="inlineStr">
        <is>
          <t>ONE</t>
        </is>
      </c>
      <c r="M6" s="96" t="inlineStr">
        <is>
          <t>VFL</t>
        </is>
      </c>
      <c r="N6" s="96" t="inlineStr">
        <is>
          <t>BKK02</t>
        </is>
      </c>
      <c r="O6" s="96" t="inlineStr">
        <is>
          <t>BKK</t>
        </is>
      </c>
      <c r="P6" s="96" t="inlineStr">
        <is>
          <t>TH</t>
        </is>
      </c>
      <c r="Q6" s="96" t="inlineStr">
        <is>
          <t>HASLS22260902672</t>
        </is>
      </c>
      <c r="R6" s="96" t="inlineStr">
        <is>
          <t>Y</t>
        </is>
      </c>
      <c r="S6" s="96" t="inlineStr">
        <is>
          <t>N</t>
        </is>
      </c>
      <c r="T6" s="96" t="inlineStr">
        <is>
          <t>NTX</t>
        </is>
      </c>
      <c r="U6" s="97" t="n"/>
      <c r="V6" s="96" t="inlineStr">
        <is>
          <t>K0120021</t>
        </is>
      </c>
      <c r="W6" s="96" t="inlineStr">
        <is>
          <t>SPK MOTORPARTS CO., LTD.</t>
        </is>
      </c>
      <c r="X6" s="96" t="inlineStr">
        <is>
          <t>VFD</t>
        </is>
      </c>
      <c r="Y6" s="96" t="inlineStr">
        <is>
          <t>MEGATEX TRADING CO LTD</t>
        </is>
      </c>
      <c r="Z6" s="96" t="inlineStr">
        <is>
          <t>LLC "TIS LOGISTIC"</t>
        </is>
      </c>
      <c r="AA6" s="97" t="n">
        <v>5266.8</v>
      </c>
      <c r="AB6" s="96" t="inlineStr">
        <is>
          <t>BKK02</t>
        </is>
      </c>
      <c r="AC6" s="96" t="inlineStr">
        <is>
          <t>VVO01</t>
        </is>
      </c>
    </row>
    <row r="7" ht="12" customHeight="1">
      <c r="A7" s="96" t="inlineStr">
        <is>
          <t>HALU2078462</t>
        </is>
      </c>
      <c r="B7" s="161" t="inlineStr">
        <is>
          <t>2026-10-11</t>
        </is>
      </c>
      <c r="C7" s="96" t="inlineStr">
        <is>
          <t>DJCF</t>
        </is>
      </c>
      <c r="D7" s="96" t="inlineStr">
        <is>
          <t>0152N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THBKK</t>
        </is>
      </c>
      <c r="H7" s="96" t="inlineStr">
        <is>
          <t>THBKK</t>
        </is>
      </c>
      <c r="I7" s="96" t="inlineStr">
        <is>
          <t>VNSGN</t>
        </is>
      </c>
      <c r="J7" s="96" t="inlineStr">
        <is>
          <t>VNSGN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BKK02</t>
        </is>
      </c>
      <c r="O7" s="96" t="inlineStr">
        <is>
          <t>BKK</t>
        </is>
      </c>
      <c r="P7" s="96" t="inlineStr">
        <is>
          <t>TH</t>
        </is>
      </c>
      <c r="Q7" s="96" t="inlineStr">
        <is>
          <t>HASLS22260901854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NTX</t>
        </is>
      </c>
      <c r="U7" s="97" t="n"/>
      <c r="V7" s="96" t="inlineStr">
        <is>
          <t>TXG15006</t>
        </is>
      </c>
      <c r="W7" s="96" t="inlineStr">
        <is>
          <t>CAPRICORN LOGISTICS CO.,LTD.</t>
        </is>
      </c>
      <c r="X7" s="96" t="inlineStr">
        <is>
          <t>VFD</t>
        </is>
      </c>
      <c r="Y7" s="96" t="inlineStr">
        <is>
          <t>BLUE OCEAN INTERNATIONAL</t>
        </is>
      </c>
      <c r="Z7" s="96" t="inlineStr">
        <is>
          <t>BLUE OCEAN INTERNATIONAL</t>
        </is>
      </c>
      <c r="AA7" s="97" t="n">
        <v>24760</v>
      </c>
      <c r="AB7" s="96" t="inlineStr">
        <is>
          <t>BKK02</t>
        </is>
      </c>
      <c r="AC7" s="96" t="inlineStr">
        <is>
          <t>SGN03</t>
        </is>
      </c>
    </row>
    <row r="8" ht="12" customHeight="1">
      <c r="A8" s="96" t="inlineStr">
        <is>
          <t>HALU2308375</t>
        </is>
      </c>
      <c r="B8" s="161" t="inlineStr">
        <is>
          <t>2026-10-11</t>
        </is>
      </c>
      <c r="C8" s="96" t="inlineStr">
        <is>
          <t>DJCF</t>
        </is>
      </c>
      <c r="D8" s="96" t="inlineStr">
        <is>
          <t>0152N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THBKK</t>
        </is>
      </c>
      <c r="H8" s="96" t="inlineStr">
        <is>
          <t>THBKK</t>
        </is>
      </c>
      <c r="I8" s="96" t="inlineStr">
        <is>
          <t>VNSGN</t>
        </is>
      </c>
      <c r="J8" s="96" t="inlineStr">
        <is>
          <t>VNSGN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BKK02</t>
        </is>
      </c>
      <c r="O8" s="96" t="inlineStr">
        <is>
          <t>BKK</t>
        </is>
      </c>
      <c r="P8" s="96" t="inlineStr">
        <is>
          <t>TH</t>
        </is>
      </c>
      <c r="Q8" s="96" t="inlineStr">
        <is>
          <t>HASLS22260900960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NTX</t>
        </is>
      </c>
      <c r="U8" s="97" t="n"/>
      <c r="V8" s="96" t="inlineStr">
        <is>
          <t>C0323005</t>
        </is>
      </c>
      <c r="W8" s="96" t="inlineStr">
        <is>
          <t>INITIAL FREIGHT CO.,LTD.</t>
        </is>
      </c>
      <c r="X8" s="96" t="inlineStr">
        <is>
          <t>VFD</t>
        </is>
      </c>
      <c r="Y8" s="96" t="inlineStr">
        <is>
          <t>BEE LOGISTICS CORPORATION</t>
        </is>
      </c>
      <c r="Z8" s="96" t="inlineStr">
        <is>
          <t>BEE LOGISTICS CORPORATION</t>
        </is>
      </c>
      <c r="AA8" s="97" t="n">
        <v>4608.83</v>
      </c>
      <c r="AB8" s="96" t="inlineStr">
        <is>
          <t>BKK02</t>
        </is>
      </c>
      <c r="AC8" s="96" t="inlineStr">
        <is>
          <t>SGN03</t>
        </is>
      </c>
    </row>
    <row r="9" ht="12" customHeight="1">
      <c r="A9" s="96" t="inlineStr">
        <is>
          <t>HALU2401699</t>
        </is>
      </c>
      <c r="B9" s="161" t="inlineStr">
        <is>
          <t>2026-10-11</t>
        </is>
      </c>
      <c r="C9" s="96" t="inlineStr">
        <is>
          <t>DJCF</t>
        </is>
      </c>
      <c r="D9" s="96" t="inlineStr">
        <is>
          <t>0152N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THBKK</t>
        </is>
      </c>
      <c r="H9" s="96" t="inlineStr">
        <is>
          <t>THBKK</t>
        </is>
      </c>
      <c r="I9" s="96" t="inlineStr">
        <is>
          <t>VNSGN</t>
        </is>
      </c>
      <c r="J9" s="96" t="inlineStr">
        <is>
          <t>VNSGN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BKK02</t>
        </is>
      </c>
      <c r="O9" s="96" t="inlineStr">
        <is>
          <t>BKK</t>
        </is>
      </c>
      <c r="P9" s="96" t="inlineStr">
        <is>
          <t>TH</t>
        </is>
      </c>
      <c r="Q9" s="96" t="inlineStr">
        <is>
          <t>HASLS22261000197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NTX</t>
        </is>
      </c>
      <c r="U9" s="97" t="n"/>
      <c r="V9" s="96" t="inlineStr">
        <is>
          <t>C0124002</t>
        </is>
      </c>
      <c r="W9" s="96" t="inlineStr">
        <is>
          <t>SCANWELL LOGISTICS (THAILAND)</t>
        </is>
      </c>
      <c r="X9" s="96" t="inlineStr">
        <is>
          <t>VFD</t>
        </is>
      </c>
      <c r="Y9" s="96" t="inlineStr">
        <is>
          <t>#0102705312-001#SCANWELL LOGISTICS</t>
        </is>
      </c>
      <c r="Z9" s="96" t="inlineStr">
        <is>
          <t>#0102705312-001#SCANWELL LOGISTICS</t>
        </is>
      </c>
      <c r="AA9" s="97" t="n">
        <v>10465.86</v>
      </c>
      <c r="AB9" s="96" t="inlineStr">
        <is>
          <t>BKK02</t>
        </is>
      </c>
      <c r="AC9" s="96" t="inlineStr">
        <is>
          <t>SGN03</t>
        </is>
      </c>
    </row>
    <row r="10" ht="12" customHeight="1">
      <c r="A10" s="96" t="inlineStr">
        <is>
          <t>HALU2415060</t>
        </is>
      </c>
      <c r="B10" s="161" t="inlineStr">
        <is>
          <t>2026-10-11</t>
        </is>
      </c>
      <c r="C10" s="96" t="inlineStr">
        <is>
          <t>DJCF</t>
        </is>
      </c>
      <c r="D10" s="96" t="inlineStr">
        <is>
          <t>0152N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THBKK</t>
        </is>
      </c>
      <c r="H10" s="96" t="inlineStr">
        <is>
          <t>THBKK</t>
        </is>
      </c>
      <c r="I10" s="96" t="inlineStr">
        <is>
          <t>KRPUS</t>
        </is>
      </c>
      <c r="J10" s="96" t="inlineStr">
        <is>
          <t>JPSMZ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BKK02</t>
        </is>
      </c>
      <c r="O10" s="96" t="inlineStr">
        <is>
          <t>BKK</t>
        </is>
      </c>
      <c r="P10" s="96" t="inlineStr">
        <is>
          <t>TH</t>
        </is>
      </c>
      <c r="Q10" s="96" t="inlineStr">
        <is>
          <t>HASLS22260900445</t>
        </is>
      </c>
      <c r="R10" s="96" t="inlineStr">
        <is>
          <t>Y</t>
        </is>
      </c>
      <c r="S10" s="96" t="inlineStr">
        <is>
          <t>N</t>
        </is>
      </c>
      <c r="T10" s="96" t="inlineStr">
        <is>
          <t>NTX</t>
        </is>
      </c>
      <c r="U10" s="97" t="n"/>
      <c r="V10" s="96" t="inlineStr">
        <is>
          <t>C0124002</t>
        </is>
      </c>
      <c r="W10" s="96" t="inlineStr">
        <is>
          <t>BANGKOK STARCH INDUSTRIAL</t>
        </is>
      </c>
      <c r="X10" s="96" t="inlineStr">
        <is>
          <t>VFD</t>
        </is>
      </c>
      <c r="Y10" s="96" t="inlineStr">
        <is>
          <t>TO ORDER OF SHIPPER</t>
        </is>
      </c>
      <c r="Z10" s="96" t="inlineStr">
        <is>
          <t>TOKAI DENPUN</t>
        </is>
      </c>
      <c r="AA10" s="97" t="n">
        <v>13736</v>
      </c>
      <c r="AB10" s="96" t="inlineStr">
        <is>
          <t>BKK02</t>
        </is>
      </c>
      <c r="AC10" s="96" t="inlineStr">
        <is>
          <t>SMZ01</t>
        </is>
      </c>
    </row>
    <row r="11" ht="12" customHeight="1">
      <c r="A11" s="96" t="inlineStr">
        <is>
          <t>HALU2422114</t>
        </is>
      </c>
      <c r="B11" s="161" t="inlineStr">
        <is>
          <t>2026-10-11</t>
        </is>
      </c>
      <c r="C11" s="96" t="inlineStr">
        <is>
          <t>DJCF</t>
        </is>
      </c>
      <c r="D11" s="96" t="inlineStr">
        <is>
          <t>0152N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THBKK</t>
        </is>
      </c>
      <c r="H11" s="96" t="inlineStr">
        <is>
          <t>THBKK</t>
        </is>
      </c>
      <c r="I11" s="96" t="inlineStr">
        <is>
          <t>VNSGN</t>
        </is>
      </c>
      <c r="J11" s="96" t="inlineStr">
        <is>
          <t>VNSGN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BKK02</t>
        </is>
      </c>
      <c r="O11" s="96" t="inlineStr">
        <is>
          <t>BKK</t>
        </is>
      </c>
      <c r="P11" s="96" t="inlineStr">
        <is>
          <t>TH</t>
        </is>
      </c>
      <c r="Q11" s="96" t="inlineStr">
        <is>
          <t>HASLS22260902782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NTX</t>
        </is>
      </c>
      <c r="U11" s="97" t="n"/>
      <c r="V11" s="96" t="inlineStr">
        <is>
          <t>C0124002</t>
        </is>
      </c>
      <c r="W11" s="96" t="inlineStr">
        <is>
          <t>NEO AGRO BUSINESS CO.,LTD.</t>
        </is>
      </c>
      <c r="X11" s="96" t="inlineStr">
        <is>
          <t>VFD</t>
        </is>
      </c>
      <c r="Y11" s="96" t="inlineStr">
        <is>
          <t>MINH AN CO.,LTD.</t>
        </is>
      </c>
      <c r="Z11" s="96" t="inlineStr">
        <is>
          <t>MINH AN CO.,LTD.</t>
        </is>
      </c>
      <c r="AA11" s="97" t="n">
        <v>3943.04</v>
      </c>
      <c r="AB11" s="96" t="inlineStr">
        <is>
          <t>BKK02</t>
        </is>
      </c>
      <c r="AC11" s="96" t="inlineStr">
        <is>
          <t>SGN03</t>
        </is>
      </c>
    </row>
    <row r="12" ht="12" customHeight="1">
      <c r="A12" s="96" t="inlineStr">
        <is>
          <t>HALU2465395</t>
        </is>
      </c>
      <c r="B12" s="161" t="inlineStr">
        <is>
          <t>2026-10-11</t>
        </is>
      </c>
      <c r="C12" s="96" t="inlineStr">
        <is>
          <t>DJCF</t>
        </is>
      </c>
      <c r="D12" s="96" t="inlineStr">
        <is>
          <t>0152N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THBKK</t>
        </is>
      </c>
      <c r="H12" s="96" t="inlineStr">
        <is>
          <t>THBKK</t>
        </is>
      </c>
      <c r="I12" s="96" t="inlineStr">
        <is>
          <t>VNSGN</t>
        </is>
      </c>
      <c r="J12" s="96" t="inlineStr">
        <is>
          <t>VNSGN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BKK02</t>
        </is>
      </c>
      <c r="O12" s="96" t="inlineStr">
        <is>
          <t>BKK</t>
        </is>
      </c>
      <c r="P12" s="96" t="inlineStr">
        <is>
          <t>TH</t>
        </is>
      </c>
      <c r="Q12" s="96" t="inlineStr">
        <is>
          <t>HASLS22260901835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NTX</t>
        </is>
      </c>
      <c r="U12" s="97" t="n"/>
      <c r="V12" s="96" t="inlineStr">
        <is>
          <t>C0424001</t>
        </is>
      </c>
      <c r="W12" s="96" t="inlineStr">
        <is>
          <t>ACCORD PILOT LOGISTICS (THAILAND)</t>
        </is>
      </c>
      <c r="X12" s="96" t="inlineStr">
        <is>
          <t>VFD</t>
        </is>
      </c>
      <c r="Y12" s="96" t="inlineStr">
        <is>
          <t>CJ LOGISTICS VINA CO., LTD</t>
        </is>
      </c>
      <c r="Z12" s="96" t="inlineStr">
        <is>
          <t>CJ LOGISTICS VINA CO., LTD</t>
        </is>
      </c>
      <c r="AA12" s="97" t="n">
        <v>20281.6</v>
      </c>
      <c r="AB12" s="96" t="inlineStr">
        <is>
          <t>BKK02</t>
        </is>
      </c>
      <c r="AC12" s="96" t="inlineStr">
        <is>
          <t>SGN03</t>
        </is>
      </c>
    </row>
    <row r="13" ht="12" customHeight="1">
      <c r="A13" s="96" t="inlineStr">
        <is>
          <t>HALU2515120</t>
        </is>
      </c>
      <c r="B13" s="161" t="inlineStr">
        <is>
          <t>2026-10-11</t>
        </is>
      </c>
      <c r="C13" s="96" t="inlineStr">
        <is>
          <t>DJCF</t>
        </is>
      </c>
      <c r="D13" s="96" t="inlineStr">
        <is>
          <t>0152N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THBKK</t>
        </is>
      </c>
      <c r="H13" s="96" t="inlineStr">
        <is>
          <t>THBKK</t>
        </is>
      </c>
      <c r="I13" s="96" t="inlineStr">
        <is>
          <t>VNSGN</t>
        </is>
      </c>
      <c r="J13" s="96" t="inlineStr">
        <is>
          <t>VNSGN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BKK02</t>
        </is>
      </c>
      <c r="O13" s="96" t="inlineStr">
        <is>
          <t>BKK</t>
        </is>
      </c>
      <c r="P13" s="96" t="inlineStr">
        <is>
          <t>TH</t>
        </is>
      </c>
      <c r="Q13" s="96" t="inlineStr">
        <is>
          <t>HASLS22260901791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NTX</t>
        </is>
      </c>
      <c r="U13" s="97" t="n"/>
      <c r="V13" s="96" t="inlineStr">
        <is>
          <t>C0125002</t>
        </is>
      </c>
      <c r="W13" s="96" t="inlineStr">
        <is>
          <t>ACCORD PILOT LOGISTICS (THAILAND)</t>
        </is>
      </c>
      <c r="X13" s="96" t="inlineStr">
        <is>
          <t>VFD</t>
        </is>
      </c>
      <c r="Y13" s="96" t="inlineStr">
        <is>
          <t>CJ LOGISTICS VINA CO., LTD</t>
        </is>
      </c>
      <c r="Z13" s="96" t="inlineStr">
        <is>
          <t>CJ LOGISTICS VINA CO., LTD</t>
        </is>
      </c>
      <c r="AA13" s="97" t="n">
        <v>20341.5</v>
      </c>
      <c r="AB13" s="96" t="inlineStr">
        <is>
          <t>BKK02</t>
        </is>
      </c>
      <c r="AC13" s="96" t="inlineStr">
        <is>
          <t>SGN03</t>
        </is>
      </c>
    </row>
    <row r="14" ht="12" customHeight="1">
      <c r="A14" s="96" t="inlineStr">
        <is>
          <t>HALU2538906</t>
        </is>
      </c>
      <c r="B14" s="161" t="inlineStr">
        <is>
          <t>2026-10-11</t>
        </is>
      </c>
      <c r="C14" s="96" t="inlineStr">
        <is>
          <t>DJCF</t>
        </is>
      </c>
      <c r="D14" s="96" t="inlineStr">
        <is>
          <t>0152N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THBKK</t>
        </is>
      </c>
      <c r="H14" s="96" t="inlineStr">
        <is>
          <t>THBKK</t>
        </is>
      </c>
      <c r="I14" s="96" t="inlineStr">
        <is>
          <t>VNSGN</t>
        </is>
      </c>
      <c r="J14" s="96" t="inlineStr">
        <is>
          <t>VNSGN</t>
        </is>
      </c>
      <c r="K14" s="96" t="inlineStr">
        <is>
          <t>F</t>
        </is>
      </c>
      <c r="L14" s="96" t="inlineStr">
        <is>
          <t>OWN</t>
        </is>
      </c>
      <c r="M14" s="96" t="inlineStr">
        <is>
          <t>VFL</t>
        </is>
      </c>
      <c r="N14" s="96" t="inlineStr">
        <is>
          <t>BKK02</t>
        </is>
      </c>
      <c r="O14" s="96" t="inlineStr">
        <is>
          <t>BKK</t>
        </is>
      </c>
      <c r="P14" s="96" t="inlineStr">
        <is>
          <t>TH</t>
        </is>
      </c>
      <c r="Q14" s="96" t="inlineStr">
        <is>
          <t>HASLS22260901147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NTX</t>
        </is>
      </c>
      <c r="U14" s="97" t="n"/>
      <c r="V14" s="96" t="inlineStr">
        <is>
          <t>C0125002</t>
        </is>
      </c>
      <c r="W14" s="96" t="inlineStr">
        <is>
          <t>NEWLY WEDS FOODS (THAILAND) LIMITED</t>
        </is>
      </c>
      <c r="X14" s="96" t="inlineStr">
        <is>
          <t>VFD</t>
        </is>
      </c>
      <c r="Y14" s="96" t="inlineStr">
        <is>
          <t>VINH HOAN CORPORATION</t>
        </is>
      </c>
      <c r="Z14" s="96" t="inlineStr">
        <is>
          <t>VINH HOAN CORPORATION</t>
        </is>
      </c>
      <c r="AA14" s="97" t="n">
        <v>4951.4</v>
      </c>
      <c r="AB14" s="96" t="inlineStr">
        <is>
          <t>BKK02</t>
        </is>
      </c>
      <c r="AC14" s="96" t="inlineStr">
        <is>
          <t>SGN03</t>
        </is>
      </c>
    </row>
    <row r="15" ht="12" customHeight="1">
      <c r="A15" s="96" t="inlineStr">
        <is>
          <t>HALU2567680</t>
        </is>
      </c>
      <c r="B15" s="161" t="inlineStr">
        <is>
          <t>2026-10-11</t>
        </is>
      </c>
      <c r="C15" s="96" t="inlineStr">
        <is>
          <t>DJCF</t>
        </is>
      </c>
      <c r="D15" s="96" t="inlineStr">
        <is>
          <t>0152N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THBKK</t>
        </is>
      </c>
      <c r="H15" s="96" t="inlineStr">
        <is>
          <t>THBKK</t>
        </is>
      </c>
      <c r="I15" s="96" t="inlineStr">
        <is>
          <t>KRPUS</t>
        </is>
      </c>
      <c r="J15" s="96" t="inlineStr">
        <is>
          <t>JPSMZ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BKK02</t>
        </is>
      </c>
      <c r="O15" s="96" t="inlineStr">
        <is>
          <t>BKK</t>
        </is>
      </c>
      <c r="P15" s="96" t="inlineStr">
        <is>
          <t>TH</t>
        </is>
      </c>
      <c r="Q15" s="96" t="inlineStr">
        <is>
          <t>HASLS22260900445</t>
        </is>
      </c>
      <c r="R15" s="96" t="inlineStr">
        <is>
          <t>Y</t>
        </is>
      </c>
      <c r="S15" s="96" t="inlineStr">
        <is>
          <t>N</t>
        </is>
      </c>
      <c r="T15" s="96" t="inlineStr">
        <is>
          <t>NTX</t>
        </is>
      </c>
      <c r="U15" s="97" t="n"/>
      <c r="V15" s="96" t="inlineStr">
        <is>
          <t>C0325006</t>
        </is>
      </c>
      <c r="W15" s="96" t="inlineStr">
        <is>
          <t>BANGKOK STARCH INDUSTRIAL</t>
        </is>
      </c>
      <c r="X15" s="96" t="inlineStr">
        <is>
          <t>VFD</t>
        </is>
      </c>
      <c r="Y15" s="96" t="inlineStr">
        <is>
          <t>TO ORDER OF SHIPPER</t>
        </is>
      </c>
      <c r="Z15" s="96" t="inlineStr">
        <is>
          <t>TOKAI DENPUN</t>
        </is>
      </c>
      <c r="AA15" s="97" t="n">
        <v>13736</v>
      </c>
      <c r="AB15" s="96" t="inlineStr">
        <is>
          <t>BKK02</t>
        </is>
      </c>
      <c r="AC15" s="96" t="inlineStr">
        <is>
          <t>SMZ01</t>
        </is>
      </c>
    </row>
    <row r="16" ht="12" customHeight="1">
      <c r="A16" s="96" t="inlineStr">
        <is>
          <t>HALU5690954</t>
        </is>
      </c>
      <c r="B16" s="161" t="inlineStr">
        <is>
          <t>2026-10-11</t>
        </is>
      </c>
      <c r="C16" s="96" t="inlineStr">
        <is>
          <t>DJCF</t>
        </is>
      </c>
      <c r="D16" s="96" t="inlineStr">
        <is>
          <t>0152N</t>
        </is>
      </c>
      <c r="E16" s="96" t="inlineStr">
        <is>
          <t>45GP</t>
        </is>
      </c>
      <c r="F16" s="96" t="inlineStr">
        <is>
          <t>SD</t>
        </is>
      </c>
      <c r="G16" s="96" t="inlineStr">
        <is>
          <t>THBKK</t>
        </is>
      </c>
      <c r="H16" s="96" t="inlineStr">
        <is>
          <t>THBKK</t>
        </is>
      </c>
      <c r="I16" s="96" t="inlineStr">
        <is>
          <t>VNSGN</t>
        </is>
      </c>
      <c r="J16" s="96" t="inlineStr">
        <is>
          <t>VNSGN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BKK02</t>
        </is>
      </c>
      <c r="O16" s="96" t="inlineStr">
        <is>
          <t>BKK</t>
        </is>
      </c>
      <c r="P16" s="96" t="inlineStr">
        <is>
          <t>TH</t>
        </is>
      </c>
      <c r="Q16" s="96" t="inlineStr">
        <is>
          <t>HASLS22261000179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NTX</t>
        </is>
      </c>
      <c r="U16" s="97" t="n"/>
      <c r="V16" s="96" t="inlineStr">
        <is>
          <t>SHA15003</t>
        </is>
      </c>
      <c r="W16" s="96" t="inlineStr">
        <is>
          <t>KORCHINA FREIGHT (THAILAND) CO.,LTD</t>
        </is>
      </c>
      <c r="X16" s="96" t="inlineStr">
        <is>
          <t>VFD</t>
        </is>
      </c>
      <c r="Y16" s="96" t="inlineStr">
        <is>
          <t>HS HYOSUNG GLOBAL LOGISTICS VINA</t>
        </is>
      </c>
      <c r="Z16" s="96" t="inlineStr">
        <is>
          <t>HS HYOSUNG GLOBAL LOGISTICS VINA</t>
        </is>
      </c>
      <c r="AA16" s="97" t="n">
        <v>6954.34</v>
      </c>
      <c r="AB16" s="96" t="inlineStr">
        <is>
          <t>BKK02</t>
        </is>
      </c>
      <c r="AC16" s="96" t="inlineStr">
        <is>
          <t>SGN03</t>
        </is>
      </c>
    </row>
    <row r="17" ht="12" customHeight="1">
      <c r="A17" s="96" t="inlineStr">
        <is>
          <t>HLHU6407495</t>
        </is>
      </c>
      <c r="B17" s="161" t="inlineStr">
        <is>
          <t>2026-10-11</t>
        </is>
      </c>
      <c r="C17" s="96" t="inlineStr">
        <is>
          <t>DJCF</t>
        </is>
      </c>
      <c r="D17" s="96" t="inlineStr">
        <is>
          <t>0152N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THBKK</t>
        </is>
      </c>
      <c r="H17" s="96" t="inlineStr">
        <is>
          <t>THBKK</t>
        </is>
      </c>
      <c r="I17" s="96" t="inlineStr">
        <is>
          <t>VNSGN</t>
        </is>
      </c>
      <c r="J17" s="96" t="inlineStr">
        <is>
          <t>VNSGN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BKK02</t>
        </is>
      </c>
      <c r="O17" s="96" t="inlineStr">
        <is>
          <t>BKK</t>
        </is>
      </c>
      <c r="P17" s="96" t="inlineStr">
        <is>
          <t>TH</t>
        </is>
      </c>
      <c r="Q17" s="96" t="inlineStr">
        <is>
          <t>HASLS22260902221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NTX</t>
        </is>
      </c>
      <c r="U17" s="97" t="n"/>
      <c r="V17" s="96" t="inlineStr">
        <is>
          <t>C0724001</t>
        </is>
      </c>
      <c r="W17" s="96" t="inlineStr">
        <is>
          <t>CAPRICORN LOGISTICS CO.,LTD.</t>
        </is>
      </c>
      <c r="X17" s="96" t="inlineStr">
        <is>
          <t>VFD</t>
        </is>
      </c>
      <c r="Y17" s="96" t="inlineStr">
        <is>
          <t>GIA NGUYEN INT'L LOGISTICS CO., LTD</t>
        </is>
      </c>
      <c r="Z17" s="96" t="inlineStr">
        <is>
          <t>GIA NGUYEN INT'L LOGISTICS CO., LTD</t>
        </is>
      </c>
      <c r="AA17" s="97" t="n">
        <v>5270.53</v>
      </c>
      <c r="AB17" s="96" t="inlineStr">
        <is>
          <t>BKK02</t>
        </is>
      </c>
      <c r="AC17" s="96" t="inlineStr">
        <is>
          <t>SGN03</t>
        </is>
      </c>
    </row>
    <row r="18" ht="12" customHeight="1">
      <c r="A18" s="96" t="inlineStr">
        <is>
          <t>HLHU6411849</t>
        </is>
      </c>
      <c r="B18" s="161" t="inlineStr">
        <is>
          <t>2026-10-11</t>
        </is>
      </c>
      <c r="C18" s="96" t="inlineStr">
        <is>
          <t>DJCF</t>
        </is>
      </c>
      <c r="D18" s="96" t="inlineStr">
        <is>
          <t>0152N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THBKK</t>
        </is>
      </c>
      <c r="H18" s="96" t="inlineStr">
        <is>
          <t>THBKK</t>
        </is>
      </c>
      <c r="I18" s="96" t="inlineStr">
        <is>
          <t>VNSGN</t>
        </is>
      </c>
      <c r="J18" s="96" t="inlineStr">
        <is>
          <t>VNSGN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BKK02</t>
        </is>
      </c>
      <c r="O18" s="96" t="inlineStr">
        <is>
          <t>BKK</t>
        </is>
      </c>
      <c r="P18" s="96" t="inlineStr">
        <is>
          <t>TH</t>
        </is>
      </c>
      <c r="Q18" s="96" t="inlineStr">
        <is>
          <t>HASLS22260901037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NTX</t>
        </is>
      </c>
      <c r="U18" s="97" t="n"/>
      <c r="V18" s="96" t="inlineStr">
        <is>
          <t>C0724001</t>
        </is>
      </c>
      <c r="W18" s="96" t="inlineStr">
        <is>
          <t>KANGWAL POLYESTER CO., LTD.</t>
        </is>
      </c>
      <c r="X18" s="96" t="inlineStr">
        <is>
          <t>VFD</t>
        </is>
      </c>
      <c r="Y18" s="96" t="inlineStr">
        <is>
          <t>TO ORDER OF VIETNAM INTERNATIONAL</t>
        </is>
      </c>
      <c r="Z18" s="96" t="inlineStr">
        <is>
          <t>VIET THANG CORPORATION (VICOTEX)</t>
        </is>
      </c>
      <c r="AA18" s="97" t="n">
        <v>25147.3</v>
      </c>
      <c r="AB18" s="96" t="inlineStr">
        <is>
          <t>BKK02</t>
        </is>
      </c>
      <c r="AC18" s="96" t="inlineStr">
        <is>
          <t>SGN03</t>
        </is>
      </c>
    </row>
    <row r="19" ht="12" customHeight="1">
      <c r="A19" s="96" t="inlineStr">
        <is>
          <t>HLHU8345643</t>
        </is>
      </c>
      <c r="B19" s="161" t="inlineStr">
        <is>
          <t>2026-10-11</t>
        </is>
      </c>
      <c r="C19" s="96" t="inlineStr">
        <is>
          <t>DJCF</t>
        </is>
      </c>
      <c r="D19" s="96" t="inlineStr">
        <is>
          <t>0152N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THBKK</t>
        </is>
      </c>
      <c r="H19" s="96" t="inlineStr">
        <is>
          <t>THBKK</t>
        </is>
      </c>
      <c r="I19" s="96" t="inlineStr">
        <is>
          <t>VNSGN</t>
        </is>
      </c>
      <c r="J19" s="96" t="inlineStr">
        <is>
          <t>VNSGN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BKK02</t>
        </is>
      </c>
      <c r="O19" s="96" t="inlineStr">
        <is>
          <t>BKK</t>
        </is>
      </c>
      <c r="P19" s="96" t="inlineStr">
        <is>
          <t>TH</t>
        </is>
      </c>
      <c r="Q19" s="96" t="inlineStr">
        <is>
          <t>HASLS22260901754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NTX</t>
        </is>
      </c>
      <c r="U19" s="97" t="n"/>
      <c r="V19" s="96" t="inlineStr">
        <is>
          <t>C0723003</t>
        </is>
      </c>
      <c r="W19" s="96" t="inlineStr">
        <is>
          <t>SIAM BROTHERS CORP.,LTD.</t>
        </is>
      </c>
      <c r="X19" s="96" t="inlineStr">
        <is>
          <t>VFD</t>
        </is>
      </c>
      <c r="Y19" s="96" t="inlineStr">
        <is>
          <t>THAI VIET NET JOINT STOCK COMPANY</t>
        </is>
      </c>
      <c r="Z19" s="96" t="inlineStr">
        <is>
          <t>THAI VIET NET JOINT STOCK COMPANY</t>
        </is>
      </c>
      <c r="AA19" s="97" t="n">
        <v>16901.3</v>
      </c>
      <c r="AB19" s="96" t="inlineStr">
        <is>
          <t>BKK02</t>
        </is>
      </c>
      <c r="AC19" s="96" t="inlineStr">
        <is>
          <t>SGN03</t>
        </is>
      </c>
    </row>
    <row r="20" ht="12" customHeight="1">
      <c r="A20" s="96" t="inlineStr">
        <is>
          <t>HLHU8451579</t>
        </is>
      </c>
      <c r="B20" s="161" t="inlineStr">
        <is>
          <t>2026-10-11</t>
        </is>
      </c>
      <c r="C20" s="96" t="inlineStr">
        <is>
          <t>DJCF</t>
        </is>
      </c>
      <c r="D20" s="96" t="inlineStr">
        <is>
          <t>0152N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THBKK</t>
        </is>
      </c>
      <c r="H20" s="96" t="inlineStr">
        <is>
          <t>THBKK</t>
        </is>
      </c>
      <c r="I20" s="96" t="inlineStr">
        <is>
          <t>KRINC</t>
        </is>
      </c>
      <c r="J20" s="96" t="inlineStr">
        <is>
          <t>KRINC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BKK02</t>
        </is>
      </c>
      <c r="O20" s="96" t="inlineStr">
        <is>
          <t>BKK</t>
        </is>
      </c>
      <c r="P20" s="96" t="inlineStr">
        <is>
          <t>TH</t>
        </is>
      </c>
      <c r="Q20" s="96" t="inlineStr">
        <is>
          <t>HASLS22261000463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NTX</t>
        </is>
      </c>
      <c r="U20" s="97" t="n"/>
      <c r="V20" s="96" t="inlineStr">
        <is>
          <t>C5624002</t>
        </is>
      </c>
      <c r="W20" s="96" t="inlineStr">
        <is>
          <t>H &amp; FRIENDS GTL (THAILAND) CO.,LTD.</t>
        </is>
      </c>
      <c r="X20" s="96" t="inlineStr">
        <is>
          <t>VFD</t>
        </is>
      </c>
      <c r="Y20" s="96" t="inlineStr">
        <is>
          <t>KWAY LOGIS CO.,LTD.</t>
        </is>
      </c>
      <c r="Z20" s="96" t="inlineStr">
        <is>
          <t>KWAY LOGIS CO.,LTD.</t>
        </is>
      </c>
      <c r="AA20" s="97" t="n">
        <v>17303.8</v>
      </c>
      <c r="AB20" s="96" t="inlineStr">
        <is>
          <t>BKK02</t>
        </is>
      </c>
      <c r="AC20" s="96" t="inlineStr">
        <is>
          <t>INC07</t>
        </is>
      </c>
    </row>
    <row r="21" ht="12" customHeight="1">
      <c r="A21" s="96" t="inlineStr">
        <is>
          <t>HLHU8469515</t>
        </is>
      </c>
      <c r="B21" s="161" t="inlineStr">
        <is>
          <t>2026-10-11</t>
        </is>
      </c>
      <c r="C21" s="96" t="inlineStr">
        <is>
          <t>DJCF</t>
        </is>
      </c>
      <c r="D21" s="96" t="inlineStr">
        <is>
          <t>0152N</t>
        </is>
      </c>
      <c r="E21" s="96" t="inlineStr">
        <is>
          <t>45GP</t>
        </is>
      </c>
      <c r="F21" s="96" t="inlineStr">
        <is>
          <t>SD</t>
        </is>
      </c>
      <c r="G21" s="96" t="inlineStr">
        <is>
          <t>THBKK</t>
        </is>
      </c>
      <c r="H21" s="96" t="inlineStr">
        <is>
          <t>THBKK</t>
        </is>
      </c>
      <c r="I21" s="96" t="inlineStr">
        <is>
          <t>VNSGN</t>
        </is>
      </c>
      <c r="J21" s="96" t="inlineStr">
        <is>
          <t>VNSGN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BKK02</t>
        </is>
      </c>
      <c r="O21" s="96" t="inlineStr">
        <is>
          <t>BKK</t>
        </is>
      </c>
      <c r="P21" s="96" t="inlineStr">
        <is>
          <t>TH</t>
        </is>
      </c>
      <c r="Q21" s="96" t="inlineStr">
        <is>
          <t>HASLS22260902379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NTX</t>
        </is>
      </c>
      <c r="U21" s="97" t="n"/>
      <c r="V21" s="96" t="inlineStr">
        <is>
          <t>C0324008</t>
        </is>
      </c>
      <c r="W21" s="96" t="inlineStr">
        <is>
          <t>ACCORD PILOT LOGISTICS (THAILAND)</t>
        </is>
      </c>
      <c r="X21" s="96" t="inlineStr">
        <is>
          <t>VFD</t>
        </is>
      </c>
      <c r="Y21" s="96" t="inlineStr">
        <is>
          <t>THINH PHAT LOGISTICS TRADING</t>
        </is>
      </c>
      <c r="Z21" s="96" t="inlineStr">
        <is>
          <t>THINH PHAT LOGISTICS TRADING</t>
        </is>
      </c>
      <c r="AA21" s="97" t="n">
        <v>7486.05</v>
      </c>
      <c r="AB21" s="96" t="inlineStr">
        <is>
          <t>BKK02</t>
        </is>
      </c>
      <c r="AC21" s="96" t="inlineStr">
        <is>
          <t>SGN03</t>
        </is>
      </c>
    </row>
    <row r="22" ht="12" customHeight="1">
      <c r="A22" s="96" t="inlineStr">
        <is>
          <t>HLHU8483175</t>
        </is>
      </c>
      <c r="B22" s="161" t="inlineStr">
        <is>
          <t>2026-10-11</t>
        </is>
      </c>
      <c r="C22" s="96" t="inlineStr">
        <is>
          <t>DJCF</t>
        </is>
      </c>
      <c r="D22" s="96" t="inlineStr">
        <is>
          <t>0152N</t>
        </is>
      </c>
      <c r="E22" s="96" t="inlineStr">
        <is>
          <t>45GP</t>
        </is>
      </c>
      <c r="F22" s="96" t="inlineStr">
        <is>
          <t>SD</t>
        </is>
      </c>
      <c r="G22" s="96" t="inlineStr">
        <is>
          <t>THBKK</t>
        </is>
      </c>
      <c r="H22" s="96" t="inlineStr">
        <is>
          <t>THBKK</t>
        </is>
      </c>
      <c r="I22" s="96" t="inlineStr">
        <is>
          <t>VNSGN</t>
        </is>
      </c>
      <c r="J22" s="96" t="inlineStr">
        <is>
          <t>VNSGN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BKK02</t>
        </is>
      </c>
      <c r="O22" s="96" t="inlineStr">
        <is>
          <t>BKK</t>
        </is>
      </c>
      <c r="P22" s="96" t="inlineStr">
        <is>
          <t>TH</t>
        </is>
      </c>
      <c r="Q22" s="96" t="inlineStr">
        <is>
          <t>HASLS22260901037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NTX</t>
        </is>
      </c>
      <c r="U22" s="97" t="n"/>
      <c r="V22" s="96" t="inlineStr">
        <is>
          <t>C0524001</t>
        </is>
      </c>
      <c r="W22" s="96" t="inlineStr">
        <is>
          <t>KANGWAL POLYESTER CO., LTD.</t>
        </is>
      </c>
      <c r="X22" s="96" t="inlineStr">
        <is>
          <t>VFD</t>
        </is>
      </c>
      <c r="Y22" s="96" t="inlineStr">
        <is>
          <t>TO ORDER OF VIETNAM INTERNATIONAL</t>
        </is>
      </c>
      <c r="Z22" s="96" t="inlineStr">
        <is>
          <t>VIET THANG CORPORATION (VICOTEX)</t>
        </is>
      </c>
      <c r="AA22" s="97" t="n">
        <v>25188.7</v>
      </c>
      <c r="AB22" s="96" t="inlineStr">
        <is>
          <t>BKK02</t>
        </is>
      </c>
      <c r="AC22" s="96" t="inlineStr">
        <is>
          <t>SGN03</t>
        </is>
      </c>
    </row>
    <row r="23" ht="12" customHeight="1">
      <c r="A23" s="96" t="inlineStr">
        <is>
          <t>HLHU8488053</t>
        </is>
      </c>
      <c r="B23" s="161" t="inlineStr">
        <is>
          <t>2026-10-11</t>
        </is>
      </c>
      <c r="C23" s="96" t="inlineStr">
        <is>
          <t>DJCF</t>
        </is>
      </c>
      <c r="D23" s="96" t="inlineStr">
        <is>
          <t>0152N</t>
        </is>
      </c>
      <c r="E23" s="96" t="inlineStr">
        <is>
          <t>45GP</t>
        </is>
      </c>
      <c r="F23" s="96" t="inlineStr">
        <is>
          <t>SD</t>
        </is>
      </c>
      <c r="G23" s="96" t="inlineStr">
        <is>
          <t>THBKK</t>
        </is>
      </c>
      <c r="H23" s="96" t="inlineStr">
        <is>
          <t>THBKK</t>
        </is>
      </c>
      <c r="I23" s="96" t="inlineStr">
        <is>
          <t>VNSGN</t>
        </is>
      </c>
      <c r="J23" s="96" t="inlineStr">
        <is>
          <t>VNSGN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BKK02</t>
        </is>
      </c>
      <c r="O23" s="96" t="inlineStr">
        <is>
          <t>BKK</t>
        </is>
      </c>
      <c r="P23" s="96" t="inlineStr">
        <is>
          <t>TH</t>
        </is>
      </c>
      <c r="Q23" s="96" t="inlineStr">
        <is>
          <t>HASLS22260801526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NTX</t>
        </is>
      </c>
      <c r="U23" s="97" t="n"/>
      <c r="V23" s="96" t="inlineStr">
        <is>
          <t>C0524001</t>
        </is>
      </c>
      <c r="W23" s="96" t="inlineStr">
        <is>
          <t>NIMBLE LOGISTICS CO.,LTD.</t>
        </is>
      </c>
      <c r="X23" s="96" t="inlineStr">
        <is>
          <t>VFD</t>
        </is>
      </c>
      <c r="Y23" s="96" t="inlineStr">
        <is>
          <t>TNC VINA CO.,LTD</t>
        </is>
      </c>
      <c r="Z23" s="96" t="inlineStr">
        <is>
          <t>TNC VINA CO.,LTD</t>
        </is>
      </c>
      <c r="AA23" s="97" t="n">
        <v>21053</v>
      </c>
      <c r="AB23" s="96" t="inlineStr">
        <is>
          <t>BKK02</t>
        </is>
      </c>
      <c r="AC23" s="96" t="inlineStr">
        <is>
          <t>SGN03</t>
        </is>
      </c>
    </row>
    <row r="24" ht="12" customHeight="1">
      <c r="A24" s="96" t="inlineStr">
        <is>
          <t>HLHU8523370</t>
        </is>
      </c>
      <c r="B24" s="161" t="inlineStr">
        <is>
          <t>2026-10-11</t>
        </is>
      </c>
      <c r="C24" s="96" t="inlineStr">
        <is>
          <t>DJCF</t>
        </is>
      </c>
      <c r="D24" s="96" t="inlineStr">
        <is>
          <t>0152N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THBKK</t>
        </is>
      </c>
      <c r="H24" s="96" t="inlineStr">
        <is>
          <t>THBKK</t>
        </is>
      </c>
      <c r="I24" s="96" t="inlineStr">
        <is>
          <t>VNSGN</t>
        </is>
      </c>
      <c r="J24" s="96" t="inlineStr">
        <is>
          <t>VNSGN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BKK02</t>
        </is>
      </c>
      <c r="O24" s="96" t="inlineStr">
        <is>
          <t>BKK</t>
        </is>
      </c>
      <c r="P24" s="96" t="inlineStr">
        <is>
          <t>TH</t>
        </is>
      </c>
      <c r="Q24" s="96" t="inlineStr">
        <is>
          <t>HASLS22261000007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NTX</t>
        </is>
      </c>
      <c r="U24" s="97" t="n"/>
      <c r="V24" s="96" t="inlineStr">
        <is>
          <t>C0125003</t>
        </is>
      </c>
      <c r="W24" s="96" t="inlineStr">
        <is>
          <t>APEX CIRCUIT (THAILAND) CO.,LTD.</t>
        </is>
      </c>
      <c r="X24" s="96" t="inlineStr">
        <is>
          <t>VFD</t>
        </is>
      </c>
      <c r="Y24" s="96" t="inlineStr">
        <is>
          <t>SAMSUNG ELECTRONICS HCMC CE COMPLEX</t>
        </is>
      </c>
      <c r="Z24" s="96" t="inlineStr">
        <is>
          <t>SAMSUNG SDS VIETNAM CO., LTD -</t>
        </is>
      </c>
      <c r="AA24" s="97" t="n">
        <v>7976.87</v>
      </c>
      <c r="AB24" s="96" t="inlineStr">
        <is>
          <t>BKK02</t>
        </is>
      </c>
      <c r="AC24" s="96" t="inlineStr">
        <is>
          <t>SGN03</t>
        </is>
      </c>
    </row>
    <row r="25" ht="12" customHeight="1">
      <c r="A25" s="96" t="inlineStr">
        <is>
          <t>HLHU8591930</t>
        </is>
      </c>
      <c r="B25" s="161" t="inlineStr">
        <is>
          <t>2026-10-11</t>
        </is>
      </c>
      <c r="C25" s="96" t="inlineStr">
        <is>
          <t>DJCF</t>
        </is>
      </c>
      <c r="D25" s="96" t="inlineStr">
        <is>
          <t>0152N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THBKK</t>
        </is>
      </c>
      <c r="H25" s="96" t="inlineStr">
        <is>
          <t>THBKK</t>
        </is>
      </c>
      <c r="I25" s="96" t="inlineStr">
        <is>
          <t>VNSGN</t>
        </is>
      </c>
      <c r="J25" s="96" t="inlineStr">
        <is>
          <t>VNSGN</t>
        </is>
      </c>
      <c r="K25" s="96" t="inlineStr">
        <is>
          <t>F</t>
        </is>
      </c>
      <c r="L25" s="96" t="inlineStr">
        <is>
          <t>OWN</t>
        </is>
      </c>
      <c r="M25" s="96" t="inlineStr">
        <is>
          <t>VFL</t>
        </is>
      </c>
      <c r="N25" s="96" t="inlineStr">
        <is>
          <t>BKK02</t>
        </is>
      </c>
      <c r="O25" s="96" t="inlineStr">
        <is>
          <t>BKK</t>
        </is>
      </c>
      <c r="P25" s="96" t="inlineStr">
        <is>
          <t>TH</t>
        </is>
      </c>
      <c r="Q25" s="96" t="inlineStr">
        <is>
          <t>HASLS22260901037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NTX</t>
        </is>
      </c>
      <c r="U25" s="97" t="n"/>
      <c r="V25" s="96" t="inlineStr">
        <is>
          <t>C0725001</t>
        </is>
      </c>
      <c r="W25" s="96" t="inlineStr">
        <is>
          <t>KANGWAL POLYESTER CO., LTD.</t>
        </is>
      </c>
      <c r="X25" s="96" t="inlineStr">
        <is>
          <t>VFD</t>
        </is>
      </c>
      <c r="Y25" s="96" t="inlineStr">
        <is>
          <t>TO ORDER OF VIETNAM INTERNATIONAL</t>
        </is>
      </c>
      <c r="Z25" s="96" t="inlineStr">
        <is>
          <t>VIET THANG CORPORATION (VICOTEX)</t>
        </is>
      </c>
      <c r="AA25" s="97" t="n">
        <v>25176.4</v>
      </c>
      <c r="AB25" s="96" t="inlineStr">
        <is>
          <t>BKK02</t>
        </is>
      </c>
      <c r="AC25" s="96" t="inlineStr">
        <is>
          <t>SGN03</t>
        </is>
      </c>
    </row>
    <row r="26" ht="12" customHeight="1">
      <c r="A26" s="96" t="inlineStr">
        <is>
          <t>MAGU2538221</t>
        </is>
      </c>
      <c r="B26" s="161" t="inlineStr">
        <is>
          <t>2026-10-11</t>
        </is>
      </c>
      <c r="C26" s="96" t="inlineStr">
        <is>
          <t>DJCF</t>
        </is>
      </c>
      <c r="D26" s="96" t="inlineStr">
        <is>
          <t>0152N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THBKK</t>
        </is>
      </c>
      <c r="H26" s="96" t="inlineStr">
        <is>
          <t>THBKK</t>
        </is>
      </c>
      <c r="I26" s="96" t="inlineStr">
        <is>
          <t>VNSGN</t>
        </is>
      </c>
      <c r="J26" s="96" t="inlineStr">
        <is>
          <t>VNSGN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BKK02</t>
        </is>
      </c>
      <c r="O26" s="96" t="inlineStr">
        <is>
          <t>BKK</t>
        </is>
      </c>
      <c r="P26" s="96" t="inlineStr">
        <is>
          <t>TH</t>
        </is>
      </c>
      <c r="Q26" s="96" t="inlineStr">
        <is>
          <t>HASLS22261000056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NTX</t>
        </is>
      </c>
      <c r="U26" s="97" t="n"/>
      <c r="V26" s="96" t="inlineStr">
        <is>
          <t>K0120021</t>
        </is>
      </c>
      <c r="W26" s="96" t="inlineStr">
        <is>
          <t>YUSEN LOGISTICS (THAILAND) CO., LTD</t>
        </is>
      </c>
      <c r="X26" s="96" t="inlineStr">
        <is>
          <t>VFD</t>
        </is>
      </c>
      <c r="Y26" s="96" t="inlineStr">
        <is>
          <t>YUSEN LOGISTICS (VIETNAM) CO., LTD</t>
        </is>
      </c>
      <c r="Z26" s="96" t="inlineStr">
        <is>
          <t>YUSEN LOGISTICS (VIETNAM) CO., LTD</t>
        </is>
      </c>
      <c r="AA26" s="97" t="n">
        <v>961.0700000000001</v>
      </c>
      <c r="AB26" s="96" t="inlineStr">
        <is>
          <t>BKK02</t>
        </is>
      </c>
      <c r="AC26" s="96" t="inlineStr">
        <is>
          <t>SGN03</t>
        </is>
      </c>
    </row>
    <row r="27" ht="12" customHeight="1">
      <c r="A27" s="96" t="inlineStr">
        <is>
          <t>SKHU6371677</t>
        </is>
      </c>
      <c r="B27" s="161" t="inlineStr">
        <is>
          <t>2026-10-11</t>
        </is>
      </c>
      <c r="C27" s="96" t="inlineStr">
        <is>
          <t>DJCF</t>
        </is>
      </c>
      <c r="D27" s="96" t="inlineStr">
        <is>
          <t>0152N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THBKK</t>
        </is>
      </c>
      <c r="H27" s="96" t="inlineStr">
        <is>
          <t>THBKK</t>
        </is>
      </c>
      <c r="I27" s="96" t="inlineStr">
        <is>
          <t>KRPUS</t>
        </is>
      </c>
      <c r="J27" s="96" t="inlineStr">
        <is>
          <t>JPMYJ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BKK02</t>
        </is>
      </c>
      <c r="O27" s="96" t="inlineStr">
        <is>
          <t>BKK</t>
        </is>
      </c>
      <c r="P27" s="96" t="inlineStr">
        <is>
          <t>TH</t>
        </is>
      </c>
      <c r="Q27" s="96" t="inlineStr">
        <is>
          <t>HASLS22260901039</t>
        </is>
      </c>
      <c r="R27" s="96" t="inlineStr">
        <is>
          <t>Y</t>
        </is>
      </c>
      <c r="S27" s="96" t="inlineStr">
        <is>
          <t>N</t>
        </is>
      </c>
      <c r="T27" s="96" t="inlineStr">
        <is>
          <t>NTX</t>
        </is>
      </c>
      <c r="U27" s="97" t="n"/>
      <c r="V27" s="96" t="inlineStr">
        <is>
          <t>K0120023</t>
        </is>
      </c>
      <c r="W27" s="96" t="inlineStr">
        <is>
          <t>PERFECT COMPANION GROUP CO., LTD.</t>
        </is>
      </c>
      <c r="X27" s="96" t="inlineStr">
        <is>
          <t>VFD</t>
        </is>
      </c>
      <c r="Y27" s="96" t="inlineStr">
        <is>
          <t>DCM CO.,LTD.</t>
        </is>
      </c>
      <c r="Z27" s="96" t="inlineStr">
        <is>
          <t>DCM CO.,LTD.</t>
        </is>
      </c>
      <c r="AA27" s="97" t="n">
        <v>18986.7</v>
      </c>
      <c r="AB27" s="96" t="inlineStr">
        <is>
          <t>BKK02</t>
        </is>
      </c>
      <c r="AC27" s="96" t="inlineStr">
        <is>
          <t>MYJ01</t>
        </is>
      </c>
    </row>
    <row r="28" ht="12" customHeight="1">
      <c r="A28" s="96" t="inlineStr">
        <is>
          <t>SKHU6412061</t>
        </is>
      </c>
      <c r="B28" s="161" t="inlineStr">
        <is>
          <t>2026-10-11</t>
        </is>
      </c>
      <c r="C28" s="96" t="inlineStr">
        <is>
          <t>DJCF</t>
        </is>
      </c>
      <c r="D28" s="96" t="inlineStr">
        <is>
          <t>0152N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THBKK</t>
        </is>
      </c>
      <c r="H28" s="96" t="inlineStr">
        <is>
          <t>THBKK</t>
        </is>
      </c>
      <c r="I28" s="96" t="inlineStr">
        <is>
          <t>VNSGN</t>
        </is>
      </c>
      <c r="J28" s="96" t="inlineStr">
        <is>
          <t>VNSGN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BKK02</t>
        </is>
      </c>
      <c r="O28" s="96" t="inlineStr">
        <is>
          <t>BKK</t>
        </is>
      </c>
      <c r="P28" s="96" t="inlineStr">
        <is>
          <t>TH</t>
        </is>
      </c>
      <c r="Q28" s="96" t="inlineStr">
        <is>
          <t>HASLS22260902379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NTX</t>
        </is>
      </c>
      <c r="U28" s="97" t="n"/>
      <c r="V28" s="96" t="inlineStr">
        <is>
          <t>K0120023</t>
        </is>
      </c>
      <c r="W28" s="96" t="inlineStr">
        <is>
          <t>ACCORD PILOT LOGISTICS (THAILAND)</t>
        </is>
      </c>
      <c r="X28" s="96" t="inlineStr">
        <is>
          <t>VFD</t>
        </is>
      </c>
      <c r="Y28" s="96" t="inlineStr">
        <is>
          <t>THINH PHAT LOGISTICS TRADING</t>
        </is>
      </c>
      <c r="Z28" s="96" t="inlineStr">
        <is>
          <t>THINH PHAT LOGISTICS TRADING</t>
        </is>
      </c>
      <c r="AA28" s="97" t="n">
        <v>7593.16</v>
      </c>
      <c r="AB28" s="96" t="inlineStr">
        <is>
          <t>BKK02</t>
        </is>
      </c>
      <c r="AC28" s="96" t="inlineStr">
        <is>
          <t>SGN03</t>
        </is>
      </c>
    </row>
    <row r="29" ht="12" customHeight="1">
      <c r="A29" s="96" t="inlineStr">
        <is>
          <t>SKHU6431518</t>
        </is>
      </c>
      <c r="B29" s="161" t="inlineStr">
        <is>
          <t>2026-10-11</t>
        </is>
      </c>
      <c r="C29" s="96" t="inlineStr">
        <is>
          <t>DJCF</t>
        </is>
      </c>
      <c r="D29" s="96" t="inlineStr">
        <is>
          <t>0152N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THBKK</t>
        </is>
      </c>
      <c r="H29" s="96" t="inlineStr">
        <is>
          <t>THBKK</t>
        </is>
      </c>
      <c r="I29" s="96" t="inlineStr">
        <is>
          <t>VNSGN</t>
        </is>
      </c>
      <c r="J29" s="96" t="inlineStr">
        <is>
          <t>VNSGN</t>
        </is>
      </c>
      <c r="K29" s="96" t="inlineStr">
        <is>
          <t>F</t>
        </is>
      </c>
      <c r="L29" s="96" t="inlineStr">
        <is>
          <t>ONE</t>
        </is>
      </c>
      <c r="M29" s="96" t="inlineStr">
        <is>
          <t>VFL</t>
        </is>
      </c>
      <c r="N29" s="96" t="inlineStr">
        <is>
          <t>BKK02</t>
        </is>
      </c>
      <c r="O29" s="96" t="inlineStr">
        <is>
          <t>BKK</t>
        </is>
      </c>
      <c r="P29" s="96" t="inlineStr">
        <is>
          <t>TH</t>
        </is>
      </c>
      <c r="Q29" s="96" t="inlineStr">
        <is>
          <t>HASLS22260902221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NTX</t>
        </is>
      </c>
      <c r="U29" s="97" t="n"/>
      <c r="V29" s="96" t="inlineStr">
        <is>
          <t>K0120023</t>
        </is>
      </c>
      <c r="W29" s="96" t="inlineStr">
        <is>
          <t>CAPRICORN LOGISTICS CO.,LTD.</t>
        </is>
      </c>
      <c r="X29" s="96" t="inlineStr">
        <is>
          <t>VFD</t>
        </is>
      </c>
      <c r="Y29" s="96" t="inlineStr">
        <is>
          <t>GIA NGUYEN INT'L LOGISTICS CO., LTD</t>
        </is>
      </c>
      <c r="Z29" s="96" t="inlineStr">
        <is>
          <t>GIA NGUYEN INT'L LOGISTICS CO., LTD</t>
        </is>
      </c>
      <c r="AA29" s="97" t="n">
        <v>5270.53</v>
      </c>
      <c r="AB29" s="96" t="inlineStr">
        <is>
          <t>BKK02</t>
        </is>
      </c>
      <c r="AC29" s="96" t="inlineStr">
        <is>
          <t>SGN03</t>
        </is>
      </c>
    </row>
    <row r="30" ht="12" customHeight="1">
      <c r="A30" s="96" t="inlineStr">
        <is>
          <t>SKHU8714060</t>
        </is>
      </c>
      <c r="B30" s="161" t="inlineStr">
        <is>
          <t>2026-10-11</t>
        </is>
      </c>
      <c r="C30" s="96" t="inlineStr">
        <is>
          <t>DJCF</t>
        </is>
      </c>
      <c r="D30" s="96" t="inlineStr">
        <is>
          <t>0152N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THBKK</t>
        </is>
      </c>
      <c r="H30" s="96" t="inlineStr">
        <is>
          <t>THBKK</t>
        </is>
      </c>
      <c r="I30" s="96" t="inlineStr">
        <is>
          <t>VNSGN</t>
        </is>
      </c>
      <c r="J30" s="96" t="inlineStr">
        <is>
          <t>VNSGN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BKK02</t>
        </is>
      </c>
      <c r="O30" s="96" t="inlineStr">
        <is>
          <t>BKK</t>
        </is>
      </c>
      <c r="P30" s="96" t="inlineStr">
        <is>
          <t>TH</t>
        </is>
      </c>
      <c r="Q30" s="96" t="inlineStr">
        <is>
          <t>HASLS22260902221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NTX</t>
        </is>
      </c>
      <c r="U30" s="97" t="n"/>
      <c r="V30" s="96" t="inlineStr">
        <is>
          <t>K0120023</t>
        </is>
      </c>
      <c r="W30" s="96" t="inlineStr">
        <is>
          <t>CAPRICORN LOGISTICS CO.,LTD.</t>
        </is>
      </c>
      <c r="X30" s="96" t="inlineStr">
        <is>
          <t>VFD</t>
        </is>
      </c>
      <c r="Y30" s="96" t="inlineStr">
        <is>
          <t>GIA NGUYEN INT'L LOGISTICS CO., LTD</t>
        </is>
      </c>
      <c r="Z30" s="96" t="inlineStr">
        <is>
          <t>GIA NGUYEN INT'L LOGISTICS CO., LTD</t>
        </is>
      </c>
      <c r="AA30" s="97" t="n">
        <v>5270.53</v>
      </c>
      <c r="AB30" s="96" t="inlineStr">
        <is>
          <t>BKK02</t>
        </is>
      </c>
      <c r="AC30" s="96" t="inlineStr">
        <is>
          <t>SGN03</t>
        </is>
      </c>
    </row>
    <row r="31" ht="12" customHeight="1">
      <c r="A31" s="96" t="inlineStr">
        <is>
          <t>SKHU8933794</t>
        </is>
      </c>
      <c r="B31" s="161" t="inlineStr">
        <is>
          <t>2026-10-11</t>
        </is>
      </c>
      <c r="C31" s="96" t="inlineStr">
        <is>
          <t>DJCF</t>
        </is>
      </c>
      <c r="D31" s="96" t="inlineStr">
        <is>
          <t>0152N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THBKK</t>
        </is>
      </c>
      <c r="H31" s="96" t="inlineStr">
        <is>
          <t>THBKK</t>
        </is>
      </c>
      <c r="I31" s="96" t="inlineStr">
        <is>
          <t>VNSGN</t>
        </is>
      </c>
      <c r="J31" s="96" t="inlineStr">
        <is>
          <t>VNSGN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BKK02</t>
        </is>
      </c>
      <c r="O31" s="96" t="inlineStr">
        <is>
          <t>BKK</t>
        </is>
      </c>
      <c r="P31" s="96" t="inlineStr">
        <is>
          <t>TH</t>
        </is>
      </c>
      <c r="Q31" s="96" t="inlineStr">
        <is>
          <t>HASLS22260901037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NTX</t>
        </is>
      </c>
      <c r="U31" s="97" t="n"/>
      <c r="V31" s="96" t="inlineStr">
        <is>
          <t>K0120023</t>
        </is>
      </c>
      <c r="W31" s="96" t="inlineStr">
        <is>
          <t>KANGWAL POLYESTER CO., LTD.</t>
        </is>
      </c>
      <c r="X31" s="96" t="inlineStr">
        <is>
          <t>VFD</t>
        </is>
      </c>
      <c r="Y31" s="96" t="inlineStr">
        <is>
          <t>TO ORDER OF VIETNAM INTERNATIONAL</t>
        </is>
      </c>
      <c r="Z31" s="96" t="inlineStr">
        <is>
          <t>VIET THANG CORPORATION (VICOTEX)</t>
        </is>
      </c>
      <c r="AA31" s="97" t="n">
        <v>25178.8</v>
      </c>
      <c r="AB31" s="96" t="inlineStr">
        <is>
          <t>BKK02</t>
        </is>
      </c>
      <c r="AC31" s="96" t="inlineStr">
        <is>
          <t>SGN03</t>
        </is>
      </c>
    </row>
    <row r="32" ht="12" customHeight="1">
      <c r="A32" s="96" t="inlineStr">
        <is>
          <t>SKHU9405600</t>
        </is>
      </c>
      <c r="B32" s="161" t="inlineStr">
        <is>
          <t>2026-10-11</t>
        </is>
      </c>
      <c r="C32" s="96" t="inlineStr">
        <is>
          <t>DJCF</t>
        </is>
      </c>
      <c r="D32" s="96" t="inlineStr">
        <is>
          <t>0152N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THBKK</t>
        </is>
      </c>
      <c r="H32" s="96" t="inlineStr">
        <is>
          <t>THBKK</t>
        </is>
      </c>
      <c r="I32" s="96" t="inlineStr">
        <is>
          <t>VNSGN</t>
        </is>
      </c>
      <c r="J32" s="96" t="inlineStr">
        <is>
          <t>VNSGN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BKK02</t>
        </is>
      </c>
      <c r="O32" s="96" t="inlineStr">
        <is>
          <t>BKK</t>
        </is>
      </c>
      <c r="P32" s="96" t="inlineStr">
        <is>
          <t>TH</t>
        </is>
      </c>
      <c r="Q32" s="96" t="inlineStr">
        <is>
          <t>HASLS22261000179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NTX</t>
        </is>
      </c>
      <c r="U32" s="97" t="n"/>
      <c r="V32" s="96" t="inlineStr">
        <is>
          <t>K0120023</t>
        </is>
      </c>
      <c r="W32" s="96" t="inlineStr">
        <is>
          <t>KORCHINA FREIGHT (THAILAND) CO.,LTD</t>
        </is>
      </c>
      <c r="X32" s="96" t="inlineStr">
        <is>
          <t>VFD</t>
        </is>
      </c>
      <c r="Y32" s="96" t="inlineStr">
        <is>
          <t>HS HYOSUNG GLOBAL LOGISTICS VINA</t>
        </is>
      </c>
      <c r="Z32" s="96" t="inlineStr">
        <is>
          <t>HS HYOSUNG GLOBAL LOGISTICS VINA</t>
        </is>
      </c>
      <c r="AA32" s="97" t="n">
        <v>6954.34</v>
      </c>
      <c r="AB32" s="96" t="inlineStr">
        <is>
          <t>BKK02</t>
        </is>
      </c>
      <c r="AC32" s="96" t="inlineStr">
        <is>
          <t>SGN03</t>
        </is>
      </c>
    </row>
    <row r="33" ht="12" customHeight="1">
      <c r="A33" s="96" t="inlineStr">
        <is>
          <t>SKHU9514724</t>
        </is>
      </c>
      <c r="B33" s="161" t="inlineStr">
        <is>
          <t>2026-10-11</t>
        </is>
      </c>
      <c r="C33" s="96" t="inlineStr">
        <is>
          <t>DJCF</t>
        </is>
      </c>
      <c r="D33" s="96" t="inlineStr">
        <is>
          <t>0152N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THBKK</t>
        </is>
      </c>
      <c r="H33" s="96" t="inlineStr">
        <is>
          <t>THBKK</t>
        </is>
      </c>
      <c r="I33" s="96" t="inlineStr">
        <is>
          <t>VNSGN</t>
        </is>
      </c>
      <c r="J33" s="96" t="inlineStr">
        <is>
          <t>VNSGN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BKK02</t>
        </is>
      </c>
      <c r="O33" s="96" t="inlineStr">
        <is>
          <t>BKK</t>
        </is>
      </c>
      <c r="P33" s="96" t="inlineStr">
        <is>
          <t>TH</t>
        </is>
      </c>
      <c r="Q33" s="96" t="inlineStr">
        <is>
          <t>HASLS22260902221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NTX</t>
        </is>
      </c>
      <c r="U33" s="97" t="n"/>
      <c r="V33" s="96" t="inlineStr">
        <is>
          <t>K0120023</t>
        </is>
      </c>
      <c r="W33" s="96" t="inlineStr">
        <is>
          <t>CAPRICORN LOGISTICS CO.,LTD.</t>
        </is>
      </c>
      <c r="X33" s="96" t="inlineStr">
        <is>
          <t>VFD</t>
        </is>
      </c>
      <c r="Y33" s="96" t="inlineStr">
        <is>
          <t>GIA NGUYEN INT'L LOGISTICS CO., LTD</t>
        </is>
      </c>
      <c r="Z33" s="96" t="inlineStr">
        <is>
          <t>GIA NGUYEN INT'L LOGISTICS CO., LTD</t>
        </is>
      </c>
      <c r="AA33" s="97" t="n">
        <v>5270.53</v>
      </c>
      <c r="AB33" s="96" t="inlineStr">
        <is>
          <t>BKK02</t>
        </is>
      </c>
      <c r="AC33" s="96" t="inlineStr">
        <is>
          <t>SGN03</t>
        </is>
      </c>
    </row>
    <row r="34" ht="12" customHeight="1">
      <c r="A34" s="96" t="inlineStr">
        <is>
          <t>SKHU9615680</t>
        </is>
      </c>
      <c r="B34" s="161" t="inlineStr">
        <is>
          <t>2026-10-11</t>
        </is>
      </c>
      <c r="C34" s="96" t="inlineStr">
        <is>
          <t>DJCF</t>
        </is>
      </c>
      <c r="D34" s="96" t="inlineStr">
        <is>
          <t>0152N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THBKK</t>
        </is>
      </c>
      <c r="H34" s="96" t="inlineStr">
        <is>
          <t>THBKK</t>
        </is>
      </c>
      <c r="I34" s="96" t="inlineStr">
        <is>
          <t>VNSGN</t>
        </is>
      </c>
      <c r="J34" s="96" t="inlineStr">
        <is>
          <t>VNSGN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BKK02</t>
        </is>
      </c>
      <c r="O34" s="96" t="inlineStr">
        <is>
          <t>BKK</t>
        </is>
      </c>
      <c r="P34" s="96" t="inlineStr">
        <is>
          <t>TH</t>
        </is>
      </c>
      <c r="Q34" s="96" t="inlineStr">
        <is>
          <t>HASLS22260902379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NTX</t>
        </is>
      </c>
      <c r="U34" s="97" t="n"/>
      <c r="V34" s="96" t="inlineStr">
        <is>
          <t>K0120023</t>
        </is>
      </c>
      <c r="W34" s="96" t="inlineStr">
        <is>
          <t>ACCORD PILOT LOGISTICS (THAILAND)</t>
        </is>
      </c>
      <c r="X34" s="96" t="inlineStr">
        <is>
          <t>VFD</t>
        </is>
      </c>
      <c r="Y34" s="96" t="inlineStr">
        <is>
          <t>THINH PHAT LOGISTICS TRADING</t>
        </is>
      </c>
      <c r="Z34" s="96" t="inlineStr">
        <is>
          <t>THINH PHAT LOGISTICS TRADING</t>
        </is>
      </c>
      <c r="AA34" s="97" t="n">
        <v>7486.05</v>
      </c>
      <c r="AB34" s="96" t="inlineStr">
        <is>
          <t>BKK02</t>
        </is>
      </c>
      <c r="AC34" s="96" t="inlineStr">
        <is>
          <t>SGN03</t>
        </is>
      </c>
    </row>
    <row r="35" ht="12" customHeight="1">
      <c r="A35" s="96" t="inlineStr">
        <is>
          <t>SKHU9913299</t>
        </is>
      </c>
      <c r="B35" s="161" t="inlineStr">
        <is>
          <t>2026-10-11</t>
        </is>
      </c>
      <c r="C35" s="96" t="inlineStr">
        <is>
          <t>DJCF</t>
        </is>
      </c>
      <c r="D35" s="96" t="inlineStr">
        <is>
          <t>0152N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THBKK</t>
        </is>
      </c>
      <c r="H35" s="96" t="inlineStr">
        <is>
          <t>THBKK</t>
        </is>
      </c>
      <c r="I35" s="96" t="inlineStr">
        <is>
          <t>VNSGN</t>
        </is>
      </c>
      <c r="J35" s="96" t="inlineStr">
        <is>
          <t>VNSGN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BKK02</t>
        </is>
      </c>
      <c r="O35" s="96" t="inlineStr">
        <is>
          <t>BKK</t>
        </is>
      </c>
      <c r="P35" s="96" t="inlineStr">
        <is>
          <t>TH</t>
        </is>
      </c>
      <c r="Q35" s="96" t="inlineStr">
        <is>
          <t>HASLS22260902221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NTX</t>
        </is>
      </c>
      <c r="U35" s="97" t="n"/>
      <c r="V35" s="96" t="inlineStr">
        <is>
          <t>K0120023</t>
        </is>
      </c>
      <c r="W35" s="96" t="inlineStr">
        <is>
          <t>CAPRICORN LOGISTICS CO.,LTD.</t>
        </is>
      </c>
      <c r="X35" s="96" t="inlineStr">
        <is>
          <t>VFD</t>
        </is>
      </c>
      <c r="Y35" s="96" t="inlineStr">
        <is>
          <t>GIA NGUYEN INT'L LOGISTICS CO., LTD</t>
        </is>
      </c>
      <c r="Z35" s="96" t="inlineStr">
        <is>
          <t>GIA NGUYEN INT'L LOGISTICS CO., LTD</t>
        </is>
      </c>
      <c r="AA35" s="97" t="n">
        <v>5270.53</v>
      </c>
      <c r="AB35" s="96" t="inlineStr">
        <is>
          <t>BKK02</t>
        </is>
      </c>
      <c r="AC35" s="96" t="inlineStr">
        <is>
          <t>SGN03</t>
        </is>
      </c>
    </row>
    <row r="36" ht="12" customHeight="1">
      <c r="A36" s="96" t="inlineStr">
        <is>
          <t>SKLU0715325</t>
        </is>
      </c>
      <c r="B36" s="161" t="inlineStr">
        <is>
          <t>2026-10-11</t>
        </is>
      </c>
      <c r="C36" s="96" t="inlineStr">
        <is>
          <t>DJCF</t>
        </is>
      </c>
      <c r="D36" s="96" t="inlineStr">
        <is>
          <t>0152N</t>
        </is>
      </c>
      <c r="E36" s="96" t="inlineStr">
        <is>
          <t>22GP</t>
        </is>
      </c>
      <c r="F36" s="96" t="inlineStr">
        <is>
          <t>SD</t>
        </is>
      </c>
      <c r="G36" s="96" t="inlineStr">
        <is>
          <t>THBKK</t>
        </is>
      </c>
      <c r="H36" s="96" t="inlineStr">
        <is>
          <t>THBKK</t>
        </is>
      </c>
      <c r="I36" s="96" t="inlineStr">
        <is>
          <t>VNSGN</t>
        </is>
      </c>
      <c r="J36" s="96" t="inlineStr">
        <is>
          <t>VNSGN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BKK02</t>
        </is>
      </c>
      <c r="O36" s="96" t="inlineStr">
        <is>
          <t>BKK</t>
        </is>
      </c>
      <c r="P36" s="96" t="inlineStr">
        <is>
          <t>TH</t>
        </is>
      </c>
      <c r="Q36" s="96" t="inlineStr">
        <is>
          <t>HASLS22260901854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NTX</t>
        </is>
      </c>
      <c r="U36" s="97" t="n"/>
      <c r="V36" s="96" t="inlineStr">
        <is>
          <t>K0120021</t>
        </is>
      </c>
      <c r="W36" s="96" t="inlineStr">
        <is>
          <t>CAPRICORN LOGISTICS CO.,LTD.</t>
        </is>
      </c>
      <c r="X36" s="96" t="inlineStr">
        <is>
          <t>VFD</t>
        </is>
      </c>
      <c r="Y36" s="96" t="inlineStr">
        <is>
          <t>BLUE OCEAN INTERNATIONAL</t>
        </is>
      </c>
      <c r="Z36" s="96" t="inlineStr">
        <is>
          <t>BLUE OCEAN INTERNATIONAL</t>
        </is>
      </c>
      <c r="AA36" s="97" t="n">
        <v>24760</v>
      </c>
      <c r="AB36" s="96" t="inlineStr">
        <is>
          <t>BKK02</t>
        </is>
      </c>
      <c r="AC36" s="96" t="inlineStr">
        <is>
          <t>SGN03</t>
        </is>
      </c>
    </row>
    <row r="37" ht="12" customHeight="1">
      <c r="A37" s="96" t="inlineStr">
        <is>
          <t>SKLU1004825</t>
        </is>
      </c>
      <c r="B37" s="161" t="inlineStr">
        <is>
          <t>2026-10-11</t>
        </is>
      </c>
      <c r="C37" s="96" t="inlineStr">
        <is>
          <t>DJCF</t>
        </is>
      </c>
      <c r="D37" s="96" t="inlineStr">
        <is>
          <t>0152N</t>
        </is>
      </c>
      <c r="E37" s="96" t="inlineStr">
        <is>
          <t>22GP</t>
        </is>
      </c>
      <c r="F37" s="96" t="inlineStr">
        <is>
          <t>SD</t>
        </is>
      </c>
      <c r="G37" s="96" t="inlineStr">
        <is>
          <t>THBKK</t>
        </is>
      </c>
      <c r="H37" s="96" t="inlineStr">
        <is>
          <t>THBKK</t>
        </is>
      </c>
      <c r="I37" s="96" t="inlineStr">
        <is>
          <t>VNSGN</t>
        </is>
      </c>
      <c r="J37" s="96" t="inlineStr">
        <is>
          <t>VNSGN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BKK02</t>
        </is>
      </c>
      <c r="O37" s="96" t="inlineStr">
        <is>
          <t>BKK</t>
        </is>
      </c>
      <c r="P37" s="96" t="inlineStr">
        <is>
          <t>TH</t>
        </is>
      </c>
      <c r="Q37" s="96" t="inlineStr">
        <is>
          <t>HASLS22260901854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NTX</t>
        </is>
      </c>
      <c r="U37" s="97" t="n"/>
      <c r="V37" s="96" t="inlineStr">
        <is>
          <t>K0120021</t>
        </is>
      </c>
      <c r="W37" s="96" t="inlineStr">
        <is>
          <t>CAPRICORN LOGISTICS CO.,LTD.</t>
        </is>
      </c>
      <c r="X37" s="96" t="inlineStr">
        <is>
          <t>VFD</t>
        </is>
      </c>
      <c r="Y37" s="96" t="inlineStr">
        <is>
          <t>BLUE OCEAN INTERNATIONAL</t>
        </is>
      </c>
      <c r="Z37" s="96" t="inlineStr">
        <is>
          <t>BLUE OCEAN INTERNATIONAL</t>
        </is>
      </c>
      <c r="AA37" s="97" t="n">
        <v>24760</v>
      </c>
      <c r="AB37" s="96" t="inlineStr">
        <is>
          <t>BKK02</t>
        </is>
      </c>
      <c r="AC37" s="96" t="inlineStr">
        <is>
          <t>SGN03</t>
        </is>
      </c>
    </row>
    <row r="38" ht="12" customHeight="1">
      <c r="A38" s="96" t="inlineStr">
        <is>
          <t>SKLU1419014</t>
        </is>
      </c>
      <c r="B38" s="161" t="inlineStr">
        <is>
          <t>2026-10-11</t>
        </is>
      </c>
      <c r="C38" s="96" t="inlineStr">
        <is>
          <t>DJCF</t>
        </is>
      </c>
      <c r="D38" s="96" t="inlineStr">
        <is>
          <t>0152N</t>
        </is>
      </c>
      <c r="E38" s="96" t="inlineStr">
        <is>
          <t>22GP</t>
        </is>
      </c>
      <c r="F38" s="96" t="inlineStr">
        <is>
          <t>SD</t>
        </is>
      </c>
      <c r="G38" s="96" t="inlineStr">
        <is>
          <t>THBKK</t>
        </is>
      </c>
      <c r="H38" s="96" t="inlineStr">
        <is>
          <t>THBKK</t>
        </is>
      </c>
      <c r="I38" s="96" t="inlineStr">
        <is>
          <t>VNSGN</t>
        </is>
      </c>
      <c r="J38" s="96" t="inlineStr">
        <is>
          <t>VNSGN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BKK02</t>
        </is>
      </c>
      <c r="O38" s="96" t="inlineStr">
        <is>
          <t>BKK</t>
        </is>
      </c>
      <c r="P38" s="96" t="inlineStr">
        <is>
          <t>TH</t>
        </is>
      </c>
      <c r="Q38" s="96" t="inlineStr">
        <is>
          <t>HASLS22260901854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NTX</t>
        </is>
      </c>
      <c r="U38" s="97" t="n"/>
      <c r="V38" s="96" t="inlineStr">
        <is>
          <t>K0120021</t>
        </is>
      </c>
      <c r="W38" s="96" t="inlineStr">
        <is>
          <t>CAPRICORN LOGISTICS CO.,LTD.</t>
        </is>
      </c>
      <c r="X38" s="96" t="inlineStr">
        <is>
          <t>VFD</t>
        </is>
      </c>
      <c r="Y38" s="96" t="inlineStr">
        <is>
          <t>BLUE OCEAN INTERNATIONAL</t>
        </is>
      </c>
      <c r="Z38" s="96" t="inlineStr">
        <is>
          <t>BLUE OCEAN INTERNATIONAL</t>
        </is>
      </c>
      <c r="AA38" s="97" t="n">
        <v>24760</v>
      </c>
      <c r="AB38" s="96" t="inlineStr">
        <is>
          <t>BKK02</t>
        </is>
      </c>
      <c r="AC38" s="96" t="inlineStr">
        <is>
          <t>SGN03</t>
        </is>
      </c>
    </row>
    <row r="39" ht="12" customHeight="1">
      <c r="A39" s="96" t="inlineStr">
        <is>
          <t>SKLU1546214</t>
        </is>
      </c>
      <c r="B39" s="161" t="inlineStr">
        <is>
          <t>2026-10-11</t>
        </is>
      </c>
      <c r="C39" s="96" t="inlineStr">
        <is>
          <t>DJCF</t>
        </is>
      </c>
      <c r="D39" s="96" t="inlineStr">
        <is>
          <t>0152N</t>
        </is>
      </c>
      <c r="E39" s="96" t="inlineStr">
        <is>
          <t>22GP</t>
        </is>
      </c>
      <c r="F39" s="96" t="inlineStr">
        <is>
          <t>SD</t>
        </is>
      </c>
      <c r="G39" s="96" t="inlineStr">
        <is>
          <t>THBKK</t>
        </is>
      </c>
      <c r="H39" s="96" t="inlineStr">
        <is>
          <t>THBKK</t>
        </is>
      </c>
      <c r="I39" s="96" t="inlineStr">
        <is>
          <t>KRINC</t>
        </is>
      </c>
      <c r="J39" s="96" t="inlineStr">
        <is>
          <t>KRINC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BKK02</t>
        </is>
      </c>
      <c r="O39" s="96" t="inlineStr">
        <is>
          <t>BKK</t>
        </is>
      </c>
      <c r="P39" s="96" t="inlineStr">
        <is>
          <t>TH</t>
        </is>
      </c>
      <c r="Q39" s="96" t="inlineStr">
        <is>
          <t>HASLS22260902065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NTX</t>
        </is>
      </c>
      <c r="U39" s="97" t="n"/>
      <c r="V39" s="96" t="inlineStr">
        <is>
          <t>K0120021</t>
        </is>
      </c>
      <c r="W39" s="96" t="inlineStr">
        <is>
          <t>CPS SHIPPING &amp; LOGISTICS CO., LTD.</t>
        </is>
      </c>
      <c r="X39" s="96" t="inlineStr">
        <is>
          <t>VFD</t>
        </is>
      </c>
      <c r="Y39" s="96" t="inlineStr">
        <is>
          <t>HANAREUM SHIPPING &amp; AIR CO., LTD</t>
        </is>
      </c>
      <c r="Z39" s="96" t="inlineStr">
        <is>
          <t>HANAREUM SHIPPING &amp; AIR CO., LTD</t>
        </is>
      </c>
      <c r="AA39" s="97" t="n">
        <v>2592</v>
      </c>
      <c r="AB39" s="96" t="inlineStr">
        <is>
          <t>BKK02</t>
        </is>
      </c>
      <c r="AC39" s="96" t="inlineStr">
        <is>
          <t>INC07</t>
        </is>
      </c>
    </row>
    <row r="40" ht="12" customHeight="1">
      <c r="A40" s="96" t="inlineStr">
        <is>
          <t>SKLU1583434</t>
        </is>
      </c>
      <c r="B40" s="161" t="inlineStr">
        <is>
          <t>2026-10-11</t>
        </is>
      </c>
      <c r="C40" s="96" t="inlineStr">
        <is>
          <t>DJCF</t>
        </is>
      </c>
      <c r="D40" s="96" t="inlineStr">
        <is>
          <t>0152N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THBKK</t>
        </is>
      </c>
      <c r="H40" s="96" t="inlineStr">
        <is>
          <t>THBKK</t>
        </is>
      </c>
      <c r="I40" s="96" t="inlineStr">
        <is>
          <t>VNSGN</t>
        </is>
      </c>
      <c r="J40" s="96" t="inlineStr">
        <is>
          <t>VNSGN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BKK02</t>
        </is>
      </c>
      <c r="O40" s="96" t="inlineStr">
        <is>
          <t>BKK</t>
        </is>
      </c>
      <c r="P40" s="96" t="inlineStr">
        <is>
          <t>TH</t>
        </is>
      </c>
      <c r="Q40" s="96" t="inlineStr">
        <is>
          <t>HASLS22260900835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NTX</t>
        </is>
      </c>
      <c r="U40" s="97" t="n"/>
      <c r="V40" s="96" t="inlineStr">
        <is>
          <t>K0120021</t>
        </is>
      </c>
      <c r="W40" s="96" t="inlineStr">
        <is>
          <t>YAMATO UNYU (THAILAND) CO.,LTD.</t>
        </is>
      </c>
      <c r="X40" s="96" t="inlineStr">
        <is>
          <t>VFD</t>
        </is>
      </c>
      <c r="Y40" s="96" t="inlineStr">
        <is>
          <t>YAMATO LOGISTICS VIETNAM CO.,LTD -</t>
        </is>
      </c>
      <c r="Z40" s="96" t="inlineStr">
        <is>
          <t>YAMATO LOGISTICS VIETNAM CO.,LTD -</t>
        </is>
      </c>
      <c r="AA40" s="97" t="n">
        <v>5451.56</v>
      </c>
      <c r="AB40" s="96" t="inlineStr">
        <is>
          <t>BKK02</t>
        </is>
      </c>
      <c r="AC40" s="96" t="inlineStr">
        <is>
          <t>SGN03</t>
        </is>
      </c>
    </row>
    <row r="41" ht="12" customHeight="1">
      <c r="A41" s="96" t="inlineStr">
        <is>
          <t>SKLU1597464</t>
        </is>
      </c>
      <c r="B41" s="161" t="inlineStr">
        <is>
          <t>2026-10-11</t>
        </is>
      </c>
      <c r="C41" s="96" t="inlineStr">
        <is>
          <t>DJCF</t>
        </is>
      </c>
      <c r="D41" s="96" t="inlineStr">
        <is>
          <t>0152N</t>
        </is>
      </c>
      <c r="E41" s="96" t="inlineStr">
        <is>
          <t>22GP</t>
        </is>
      </c>
      <c r="F41" s="96" t="inlineStr">
        <is>
          <t>SD</t>
        </is>
      </c>
      <c r="G41" s="96" t="inlineStr">
        <is>
          <t>THBKK</t>
        </is>
      </c>
      <c r="H41" s="96" t="inlineStr">
        <is>
          <t>THBKK</t>
        </is>
      </c>
      <c r="I41" s="96" t="inlineStr">
        <is>
          <t>KRINC</t>
        </is>
      </c>
      <c r="J41" s="96" t="inlineStr">
        <is>
          <t>KRINC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BKK02</t>
        </is>
      </c>
      <c r="O41" s="96" t="inlineStr">
        <is>
          <t>BKK</t>
        </is>
      </c>
      <c r="P41" s="96" t="inlineStr">
        <is>
          <t>TH</t>
        </is>
      </c>
      <c r="Q41" s="96" t="inlineStr">
        <is>
          <t>HASLS22260901191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NTX</t>
        </is>
      </c>
      <c r="U41" s="97" t="n"/>
      <c r="V41" s="96" t="inlineStr">
        <is>
          <t>K0120021</t>
        </is>
      </c>
      <c r="W41" s="96" t="inlineStr">
        <is>
          <t>CELESTIAL XPRESS LOGISTICS</t>
        </is>
      </c>
      <c r="X41" s="96" t="inlineStr">
        <is>
          <t>VFD</t>
        </is>
      </c>
      <c r="Y41" s="96" t="inlineStr">
        <is>
          <t>BEL SHIPPING CO., LTD.</t>
        </is>
      </c>
      <c r="Z41" s="96" t="inlineStr">
        <is>
          <t>BEL SHIPPING CO., LTD.</t>
        </is>
      </c>
      <c r="AA41" s="97" t="n">
        <v>11816</v>
      </c>
      <c r="AB41" s="96" t="inlineStr">
        <is>
          <t>BKK02</t>
        </is>
      </c>
      <c r="AC41" s="96" t="inlineStr">
        <is>
          <t>INC07</t>
        </is>
      </c>
    </row>
    <row r="42" ht="12" customHeight="1">
      <c r="A42" s="96" t="inlineStr">
        <is>
          <t>SKLU1622274</t>
        </is>
      </c>
      <c r="B42" s="161" t="inlineStr">
        <is>
          <t>2026-10-11</t>
        </is>
      </c>
      <c r="C42" s="96" t="inlineStr">
        <is>
          <t>DJCF</t>
        </is>
      </c>
      <c r="D42" s="96" t="inlineStr">
        <is>
          <t>0152N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THBKK</t>
        </is>
      </c>
      <c r="H42" s="96" t="inlineStr">
        <is>
          <t>THBKK</t>
        </is>
      </c>
      <c r="I42" s="96" t="inlineStr">
        <is>
          <t>VNSGN</t>
        </is>
      </c>
      <c r="J42" s="96" t="inlineStr">
        <is>
          <t>VNSGN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BKK02</t>
        </is>
      </c>
      <c r="O42" s="96" t="inlineStr">
        <is>
          <t>BKK</t>
        </is>
      </c>
      <c r="P42" s="96" t="inlineStr">
        <is>
          <t>TH</t>
        </is>
      </c>
      <c r="Q42" s="96" t="inlineStr">
        <is>
          <t>HASLS22260901078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NTX</t>
        </is>
      </c>
      <c r="U42" s="97" t="n"/>
      <c r="V42" s="96" t="inlineStr">
        <is>
          <t>K0120021</t>
        </is>
      </c>
      <c r="W42" s="96" t="inlineStr">
        <is>
          <t>EAST-LINK CORPORATION CO. , LTD.</t>
        </is>
      </c>
      <c r="X42" s="96" t="inlineStr">
        <is>
          <t>VFD</t>
        </is>
      </c>
      <c r="Y42" s="96" t="inlineStr">
        <is>
          <t>BEE LOGISTICS CORP - HANOI BRANCH</t>
        </is>
      </c>
      <c r="Z42" s="96" t="inlineStr">
        <is>
          <t>BEE LOGISTICS CORP - HANOI BRANCH</t>
        </is>
      </c>
      <c r="AA42" s="97" t="n">
        <v>1992.66</v>
      </c>
      <c r="AB42" s="96" t="inlineStr">
        <is>
          <t>BKK02</t>
        </is>
      </c>
      <c r="AC42" s="96" t="inlineStr">
        <is>
          <t>SGN03</t>
        </is>
      </c>
    </row>
    <row r="43" ht="12" customHeight="1">
      <c r="A43" s="96" t="inlineStr">
        <is>
          <t>SKLU1807160</t>
        </is>
      </c>
      <c r="B43" s="161" t="inlineStr">
        <is>
          <t>2026-10-11</t>
        </is>
      </c>
      <c r="C43" s="96" t="inlineStr">
        <is>
          <t>DJCF</t>
        </is>
      </c>
      <c r="D43" s="96" t="inlineStr">
        <is>
          <t>0152N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THBKK</t>
        </is>
      </c>
      <c r="H43" s="96" t="inlineStr">
        <is>
          <t>THBKK</t>
        </is>
      </c>
      <c r="I43" s="96" t="inlineStr">
        <is>
          <t>VNSGN</t>
        </is>
      </c>
      <c r="J43" s="96" t="inlineStr">
        <is>
          <t>VNSGN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BKK02</t>
        </is>
      </c>
      <c r="O43" s="96" t="inlineStr">
        <is>
          <t>BKK</t>
        </is>
      </c>
      <c r="P43" s="96" t="inlineStr">
        <is>
          <t>TH</t>
        </is>
      </c>
      <c r="Q43" s="96" t="inlineStr">
        <is>
          <t>HASLS22261000118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NTX</t>
        </is>
      </c>
      <c r="U43" s="97" t="n"/>
      <c r="V43" s="96" t="inlineStr">
        <is>
          <t>K0120021</t>
        </is>
      </c>
      <c r="W43" s="96" t="inlineStr">
        <is>
          <t>SIAM MACHINERY AND</t>
        </is>
      </c>
      <c r="X43" s="96" t="inlineStr">
        <is>
          <t>VFD</t>
        </is>
      </c>
      <c r="Y43" s="96" t="inlineStr">
        <is>
          <t>VINA KYOEI STEEL COMPANY LTD.</t>
        </is>
      </c>
      <c r="Z43" s="96" t="inlineStr">
        <is>
          <t>VINA KYOEI STEEL COMPANY LTD.</t>
        </is>
      </c>
      <c r="AA43" s="97" t="n">
        <v>9376</v>
      </c>
      <c r="AB43" s="96" t="inlineStr">
        <is>
          <t>BKK02</t>
        </is>
      </c>
      <c r="AC43" s="96" t="inlineStr">
        <is>
          <t>SGN03</t>
        </is>
      </c>
    </row>
    <row r="44" ht="12" customHeight="1">
      <c r="A44" s="96" t="inlineStr">
        <is>
          <t>SKLU2073311</t>
        </is>
      </c>
      <c r="B44" s="161" t="inlineStr">
        <is>
          <t>2026-10-11</t>
        </is>
      </c>
      <c r="C44" s="96" t="inlineStr">
        <is>
          <t>DJCF</t>
        </is>
      </c>
      <c r="D44" s="96" t="inlineStr">
        <is>
          <t>0152N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THBKK</t>
        </is>
      </c>
      <c r="H44" s="96" t="inlineStr">
        <is>
          <t>THBKK</t>
        </is>
      </c>
      <c r="I44" s="96" t="inlineStr">
        <is>
          <t>KRINC</t>
        </is>
      </c>
      <c r="J44" s="96" t="inlineStr">
        <is>
          <t>KRINC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BKK02</t>
        </is>
      </c>
      <c r="O44" s="96" t="inlineStr">
        <is>
          <t>BKK</t>
        </is>
      </c>
      <c r="P44" s="96" t="inlineStr">
        <is>
          <t>TH</t>
        </is>
      </c>
      <c r="Q44" s="96" t="inlineStr">
        <is>
          <t>HASLS22260900303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NTX</t>
        </is>
      </c>
      <c r="U44" s="97" t="n"/>
      <c r="V44" s="96" t="inlineStr">
        <is>
          <t>K0120021</t>
        </is>
      </c>
      <c r="W44" s="96" t="inlineStr">
        <is>
          <t>CELESTIAL XPRESS LOGISTICS</t>
        </is>
      </c>
      <c r="X44" s="96" t="inlineStr">
        <is>
          <t>VFD</t>
        </is>
      </c>
      <c r="Y44" s="96" t="inlineStr">
        <is>
          <t>BEL SHIPPING CO., LTD.</t>
        </is>
      </c>
      <c r="Z44" s="96" t="inlineStr">
        <is>
          <t>BEL SHIPPING CO., LTD.</t>
        </is>
      </c>
      <c r="AA44" s="97" t="n">
        <v>13858</v>
      </c>
      <c r="AB44" s="96" t="inlineStr">
        <is>
          <t>BKK02</t>
        </is>
      </c>
      <c r="AC44" s="96" t="inlineStr">
        <is>
          <t>INC07</t>
        </is>
      </c>
    </row>
    <row r="45" ht="12" customHeight="1">
      <c r="A45" s="96" t="inlineStr">
        <is>
          <t>SKLU2303862</t>
        </is>
      </c>
      <c r="B45" s="161" t="inlineStr">
        <is>
          <t>2026-10-11</t>
        </is>
      </c>
      <c r="C45" s="96" t="inlineStr">
        <is>
          <t>DJCF</t>
        </is>
      </c>
      <c r="D45" s="96" t="inlineStr">
        <is>
          <t>0152N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THBKK</t>
        </is>
      </c>
      <c r="H45" s="96" t="inlineStr">
        <is>
          <t>THBKK</t>
        </is>
      </c>
      <c r="I45" s="96" t="inlineStr">
        <is>
          <t>KRINC</t>
        </is>
      </c>
      <c r="J45" s="96" t="inlineStr">
        <is>
          <t>KRINC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BKK02</t>
        </is>
      </c>
      <c r="O45" s="96" t="inlineStr">
        <is>
          <t>BKK</t>
        </is>
      </c>
      <c r="P45" s="96" t="inlineStr">
        <is>
          <t>TH</t>
        </is>
      </c>
      <c r="Q45" s="96" t="inlineStr">
        <is>
          <t>HASLS22260901354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NTX</t>
        </is>
      </c>
      <c r="U45" s="97" t="n"/>
      <c r="V45" s="96" t="inlineStr">
        <is>
          <t>K0120021</t>
        </is>
      </c>
      <c r="W45" s="96" t="inlineStr">
        <is>
          <t>KORCHINA FREIGHT(THAILAND)CO.,LTD.</t>
        </is>
      </c>
      <c r="X45" s="96" t="inlineStr">
        <is>
          <t>VFD</t>
        </is>
      </c>
      <c r="Y45" s="96" t="inlineStr">
        <is>
          <t>PARKS WAY CO.,LTD.</t>
        </is>
      </c>
      <c r="Z45" s="96" t="inlineStr">
        <is>
          <t>PARKS WAY CO.,LTD.</t>
        </is>
      </c>
      <c r="AA45" s="97" t="n">
        <v>18200</v>
      </c>
      <c r="AB45" s="96" t="inlineStr">
        <is>
          <t>BKK02</t>
        </is>
      </c>
      <c r="AC45" s="96" t="inlineStr">
        <is>
          <t>INC07</t>
        </is>
      </c>
    </row>
    <row r="46" ht="12" customHeight="1">
      <c r="A46" s="96" t="inlineStr">
        <is>
          <t>SKLU2416534</t>
        </is>
      </c>
      <c r="B46" s="161" t="inlineStr">
        <is>
          <t>2026-10-11</t>
        </is>
      </c>
      <c r="C46" s="96" t="inlineStr">
        <is>
          <t>DJCF</t>
        </is>
      </c>
      <c r="D46" s="96" t="inlineStr">
        <is>
          <t>0152N</t>
        </is>
      </c>
      <c r="E46" s="96" t="inlineStr">
        <is>
          <t>22GP</t>
        </is>
      </c>
      <c r="F46" s="96" t="inlineStr">
        <is>
          <t>SD</t>
        </is>
      </c>
      <c r="G46" s="96" t="inlineStr">
        <is>
          <t>THBKK</t>
        </is>
      </c>
      <c r="H46" s="96" t="inlineStr">
        <is>
          <t>THBKK</t>
        </is>
      </c>
      <c r="I46" s="96" t="inlineStr">
        <is>
          <t>KRINC</t>
        </is>
      </c>
      <c r="J46" s="96" t="inlineStr">
        <is>
          <t>KRINC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BKK02</t>
        </is>
      </c>
      <c r="O46" s="96" t="inlineStr">
        <is>
          <t>BKK</t>
        </is>
      </c>
      <c r="P46" s="96" t="inlineStr">
        <is>
          <t>TH</t>
        </is>
      </c>
      <c r="Q46" s="96" t="inlineStr">
        <is>
          <t>HASLS22261000264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NTX</t>
        </is>
      </c>
      <c r="U46" s="97" t="n"/>
      <c r="V46" s="96" t="inlineStr">
        <is>
          <t>K0120021</t>
        </is>
      </c>
      <c r="W46" s="96" t="inlineStr">
        <is>
          <t>C.H. ROBINSON FREIGHT SERVICES</t>
        </is>
      </c>
      <c r="X46" s="96" t="inlineStr">
        <is>
          <t>VFD</t>
        </is>
      </c>
      <c r="Y46" s="96" t="inlineStr">
        <is>
          <t>C.H. ROBINSON FREIGHT</t>
        </is>
      </c>
      <c r="Z46" s="96" t="inlineStr">
        <is>
          <t>C.H. ROBINSON FREIGHT</t>
        </is>
      </c>
      <c r="AA46" s="97" t="n">
        <v>1800</v>
      </c>
      <c r="AB46" s="96" t="inlineStr">
        <is>
          <t>BKK02</t>
        </is>
      </c>
      <c r="AC46" s="96" t="inlineStr">
        <is>
          <t>INC07</t>
        </is>
      </c>
    </row>
    <row r="47" ht="12" customHeight="1">
      <c r="A47" s="96" t="inlineStr">
        <is>
          <t>SKLU2475901</t>
        </is>
      </c>
      <c r="B47" s="161" t="inlineStr">
        <is>
          <t>2026-10-11</t>
        </is>
      </c>
      <c r="C47" s="96" t="inlineStr">
        <is>
          <t>DJCF</t>
        </is>
      </c>
      <c r="D47" s="96" t="inlineStr">
        <is>
          <t>0152N</t>
        </is>
      </c>
      <c r="E47" s="96" t="inlineStr">
        <is>
          <t>22GP</t>
        </is>
      </c>
      <c r="F47" s="96" t="inlineStr">
        <is>
          <t>SD</t>
        </is>
      </c>
      <c r="G47" s="96" t="inlineStr">
        <is>
          <t>THBKK</t>
        </is>
      </c>
      <c r="H47" s="96" t="inlineStr">
        <is>
          <t>THBKK</t>
        </is>
      </c>
      <c r="I47" s="96" t="inlineStr">
        <is>
          <t>KRINC</t>
        </is>
      </c>
      <c r="J47" s="96" t="inlineStr">
        <is>
          <t>KRINC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BKK02</t>
        </is>
      </c>
      <c r="O47" s="96" t="inlineStr">
        <is>
          <t>BKK</t>
        </is>
      </c>
      <c r="P47" s="96" t="inlineStr">
        <is>
          <t>TH</t>
        </is>
      </c>
      <c r="Q47" s="96" t="inlineStr">
        <is>
          <t>HASLS22261000141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NTX</t>
        </is>
      </c>
      <c r="U47" s="97" t="n"/>
      <c r="V47" s="96" t="inlineStr">
        <is>
          <t>K0120021</t>
        </is>
      </c>
      <c r="W47" s="96" t="inlineStr">
        <is>
          <t>CELESTIAL XPRESS LOGISTICS</t>
        </is>
      </c>
      <c r="X47" s="96" t="inlineStr">
        <is>
          <t>VFD</t>
        </is>
      </c>
      <c r="Y47" s="96" t="inlineStr">
        <is>
          <t>BEL SHIPPING CO., LTD.</t>
        </is>
      </c>
      <c r="Z47" s="96" t="inlineStr">
        <is>
          <t>BEL SHIPPING CO., LTD.</t>
        </is>
      </c>
      <c r="AA47" s="97" t="n">
        <v>13080.4</v>
      </c>
      <c r="AB47" s="96" t="inlineStr">
        <is>
          <t>BKK02</t>
        </is>
      </c>
      <c r="AC47" s="96" t="inlineStr">
        <is>
          <t>INC07</t>
        </is>
      </c>
    </row>
    <row r="48" ht="12" customHeight="1">
      <c r="A48" s="96" t="inlineStr">
        <is>
          <t>SKRU9602893</t>
        </is>
      </c>
      <c r="B48" s="161" t="inlineStr">
        <is>
          <t>2026-10-11</t>
        </is>
      </c>
      <c r="C48" s="96" t="inlineStr">
        <is>
          <t>DJCF</t>
        </is>
      </c>
      <c r="D48" s="96" t="inlineStr">
        <is>
          <t>0152N</t>
        </is>
      </c>
      <c r="E48" s="96" t="inlineStr">
        <is>
          <t>45RE</t>
        </is>
      </c>
      <c r="F48" s="96" t="inlineStr">
        <is>
          <t>SD</t>
        </is>
      </c>
      <c r="G48" s="96" t="inlineStr">
        <is>
          <t>THBKK</t>
        </is>
      </c>
      <c r="H48" s="96" t="inlineStr">
        <is>
          <t>THBKK</t>
        </is>
      </c>
      <c r="I48" s="96" t="inlineStr">
        <is>
          <t>VNSGN</t>
        </is>
      </c>
      <c r="J48" s="96" t="inlineStr">
        <is>
          <t>VNSGN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BKK02</t>
        </is>
      </c>
      <c r="O48" s="96" t="inlineStr">
        <is>
          <t>BKK</t>
        </is>
      </c>
      <c r="P48" s="96" t="inlineStr">
        <is>
          <t>TH</t>
        </is>
      </c>
      <c r="Q48" s="96" t="inlineStr">
        <is>
          <t>HASLS22260901381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NTX</t>
        </is>
      </c>
      <c r="U48" s="97" t="n"/>
      <c r="V48" s="96" t="inlineStr">
        <is>
          <t>K0120025</t>
        </is>
      </c>
      <c r="W48" s="96" t="inlineStr">
        <is>
          <t>FIBS LOGISTICS CO., LTD.</t>
        </is>
      </c>
      <c r="X48" s="96" t="inlineStr">
        <is>
          <t>VFD</t>
        </is>
      </c>
      <c r="Y48" s="96" t="inlineStr">
        <is>
          <t>CARRY ALL LOGISTICS VIETNAM</t>
        </is>
      </c>
      <c r="Z48" s="96" t="inlineStr">
        <is>
          <t>CARRY ALL LOGISTICS VIETNAM</t>
        </is>
      </c>
      <c r="AA48" s="97" t="n">
        <v>26428.82</v>
      </c>
      <c r="AB48" s="96" t="inlineStr">
        <is>
          <t>BKK02</t>
        </is>
      </c>
      <c r="AC48" s="96" t="inlineStr">
        <is>
          <t>SGN03</t>
        </is>
      </c>
    </row>
    <row r="49" ht="12" customHeight="1">
      <c r="A49" s="96" t="inlineStr">
        <is>
          <t>TCKU2824258</t>
        </is>
      </c>
      <c r="B49" s="161" t="inlineStr">
        <is>
          <t>2026-10-11</t>
        </is>
      </c>
      <c r="C49" s="96" t="inlineStr">
        <is>
          <t>DJCF</t>
        </is>
      </c>
      <c r="D49" s="96" t="inlineStr">
        <is>
          <t>0152N</t>
        </is>
      </c>
      <c r="E49" s="96" t="inlineStr">
        <is>
          <t>22GP</t>
        </is>
      </c>
      <c r="F49" s="96" t="inlineStr">
        <is>
          <t>SD</t>
        </is>
      </c>
      <c r="G49" s="96" t="inlineStr">
        <is>
          <t>THBKK</t>
        </is>
      </c>
      <c r="H49" s="96" t="inlineStr">
        <is>
          <t>THBKK</t>
        </is>
      </c>
      <c r="I49" s="96" t="inlineStr">
        <is>
          <t>VNSGN</t>
        </is>
      </c>
      <c r="J49" s="96" t="inlineStr">
        <is>
          <t>VNSGN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BKK02</t>
        </is>
      </c>
      <c r="O49" s="96" t="inlineStr">
        <is>
          <t>BKK</t>
        </is>
      </c>
      <c r="P49" s="96" t="inlineStr">
        <is>
          <t>TH</t>
        </is>
      </c>
      <c r="Q49" s="96" t="inlineStr">
        <is>
          <t>HASLS22260801939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NTX</t>
        </is>
      </c>
      <c r="U49" s="97" t="n"/>
      <c r="V49" s="96" t="inlineStr">
        <is>
          <t>K0120021</t>
        </is>
      </c>
      <c r="W49" s="96" t="inlineStr">
        <is>
          <t>QUANTERM LOGISTICS (THAILAND)</t>
        </is>
      </c>
      <c r="X49" s="96" t="inlineStr">
        <is>
          <t>VFD</t>
        </is>
      </c>
      <c r="Y49" s="96" t="inlineStr">
        <is>
          <t>QUANTERM LOGISTICS VIETNAM CO.,LTD</t>
        </is>
      </c>
      <c r="Z49" s="96" t="inlineStr">
        <is>
          <t>QUANTERM LOGISTICS VIETNAM CO.,LTD</t>
        </is>
      </c>
      <c r="AA49" s="97" t="n">
        <v>25015.68</v>
      </c>
      <c r="AB49" s="96" t="inlineStr">
        <is>
          <t>BKK02</t>
        </is>
      </c>
      <c r="AC49" s="96" t="inlineStr">
        <is>
          <t>SGN03</t>
        </is>
      </c>
    </row>
    <row r="50" ht="12" customHeight="1">
      <c r="A50" s="96" t="inlineStr">
        <is>
          <t>TGCU2400350</t>
        </is>
      </c>
      <c r="B50" s="161" t="inlineStr">
        <is>
          <t>2026-10-11</t>
        </is>
      </c>
      <c r="C50" s="96" t="inlineStr">
        <is>
          <t>DJCF</t>
        </is>
      </c>
      <c r="D50" s="96" t="inlineStr">
        <is>
          <t>0152N</t>
        </is>
      </c>
      <c r="E50" s="96" t="inlineStr">
        <is>
          <t>22GP</t>
        </is>
      </c>
      <c r="F50" s="96" t="inlineStr">
        <is>
          <t>SD</t>
        </is>
      </c>
      <c r="G50" s="96" t="inlineStr">
        <is>
          <t>THBKK</t>
        </is>
      </c>
      <c r="H50" s="96" t="inlineStr">
        <is>
          <t>THBKK</t>
        </is>
      </c>
      <c r="I50" s="96" t="inlineStr">
        <is>
          <t>VNSGN</t>
        </is>
      </c>
      <c r="J50" s="96" t="inlineStr">
        <is>
          <t>VNSGN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BKK02</t>
        </is>
      </c>
      <c r="O50" s="96" t="inlineStr">
        <is>
          <t>BKK</t>
        </is>
      </c>
      <c r="P50" s="96" t="inlineStr">
        <is>
          <t>TH</t>
        </is>
      </c>
      <c r="Q50" s="96" t="inlineStr">
        <is>
          <t>HASLS22261000097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NTX</t>
        </is>
      </c>
      <c r="U50" s="97" t="n"/>
      <c r="V50" s="96" t="inlineStr">
        <is>
          <t>K0120021</t>
        </is>
      </c>
      <c r="W50" s="96" t="inlineStr">
        <is>
          <t>CHIA TAI SEEDS CO.,LTD.</t>
        </is>
      </c>
      <c r="X50" s="96" t="inlineStr">
        <is>
          <t>VFD</t>
        </is>
      </c>
      <c r="Y50" s="96" t="inlineStr">
        <is>
          <t>BRANCH OF CHIA TAI (VIET NAM)</t>
        </is>
      </c>
      <c r="Z50" s="96" t="inlineStr">
        <is>
          <t>BRANCH OF CHIA TAI (VIET NAM)</t>
        </is>
      </c>
      <c r="AA50" s="97" t="n">
        <v>3193.84</v>
      </c>
      <c r="AB50" s="96" t="inlineStr">
        <is>
          <t>BKK02</t>
        </is>
      </c>
      <c r="AC50" s="96" t="inlineStr">
        <is>
          <t>SGN03</t>
        </is>
      </c>
    </row>
    <row r="51" ht="12" customHeight="1">
      <c r="A51" s="96" t="inlineStr">
        <is>
          <t>TGCU2422616</t>
        </is>
      </c>
      <c r="B51" s="161" t="inlineStr">
        <is>
          <t>2026-10-11</t>
        </is>
      </c>
      <c r="C51" s="96" t="inlineStr">
        <is>
          <t>DJCF</t>
        </is>
      </c>
      <c r="D51" s="96" t="inlineStr">
        <is>
          <t>0152N</t>
        </is>
      </c>
      <c r="E51" s="96" t="inlineStr">
        <is>
          <t>22GP</t>
        </is>
      </c>
      <c r="F51" s="96" t="inlineStr">
        <is>
          <t>SD</t>
        </is>
      </c>
      <c r="G51" s="96" t="inlineStr">
        <is>
          <t>THBKK</t>
        </is>
      </c>
      <c r="H51" s="96" t="inlineStr">
        <is>
          <t>THBKK</t>
        </is>
      </c>
      <c r="I51" s="96" t="inlineStr">
        <is>
          <t>VNSGN</t>
        </is>
      </c>
      <c r="J51" s="96" t="inlineStr">
        <is>
          <t>VNSGN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BKK02</t>
        </is>
      </c>
      <c r="O51" s="96" t="inlineStr">
        <is>
          <t>BKK</t>
        </is>
      </c>
      <c r="P51" s="96" t="inlineStr">
        <is>
          <t>TH</t>
        </is>
      </c>
      <c r="Q51" s="96" t="inlineStr">
        <is>
          <t>HASLS22261000287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NTX</t>
        </is>
      </c>
      <c r="U51" s="97" t="n"/>
      <c r="V51" s="96" t="inlineStr">
        <is>
          <t>K0120021</t>
        </is>
      </c>
      <c r="W51" s="96" t="inlineStr">
        <is>
          <t>H &amp; FRIENDS GTL (THAILAND) CO.,LTD.</t>
        </is>
      </c>
      <c r="X51" s="96" t="inlineStr">
        <is>
          <t>VFD</t>
        </is>
      </c>
      <c r="Y51" s="96" t="inlineStr">
        <is>
          <t>TAX CODE 0310195581#</t>
        </is>
      </c>
      <c r="Z51" s="96" t="inlineStr">
        <is>
          <t>SAME AS CONSIGNEE</t>
        </is>
      </c>
      <c r="AA51" s="97" t="n">
        <v>2400</v>
      </c>
      <c r="AB51" s="96" t="inlineStr">
        <is>
          <t>BKK02</t>
        </is>
      </c>
      <c r="AC51" s="96" t="inlineStr">
        <is>
          <t>SGN03</t>
        </is>
      </c>
    </row>
    <row r="52" ht="12" customHeight="1">
      <c r="A52" s="96" t="inlineStr">
        <is>
          <t>TGCU2423130</t>
        </is>
      </c>
      <c r="B52" s="161" t="inlineStr">
        <is>
          <t>2026-10-11</t>
        </is>
      </c>
      <c r="C52" s="96" t="inlineStr">
        <is>
          <t>DJCF</t>
        </is>
      </c>
      <c r="D52" s="96" t="inlineStr">
        <is>
          <t>0152N</t>
        </is>
      </c>
      <c r="E52" s="96" t="inlineStr">
        <is>
          <t>22GP</t>
        </is>
      </c>
      <c r="F52" s="96" t="inlineStr">
        <is>
          <t>SD</t>
        </is>
      </c>
      <c r="G52" s="96" t="inlineStr">
        <is>
          <t>THBKK</t>
        </is>
      </c>
      <c r="H52" s="96" t="inlineStr">
        <is>
          <t>THBKK</t>
        </is>
      </c>
      <c r="I52" s="96" t="inlineStr">
        <is>
          <t>KRINC</t>
        </is>
      </c>
      <c r="J52" s="96" t="inlineStr">
        <is>
          <t>KRINC</t>
        </is>
      </c>
      <c r="K52" s="96" t="inlineStr">
        <is>
          <t>F</t>
        </is>
      </c>
      <c r="L52" s="96" t="inlineStr">
        <is>
          <t>ONE</t>
        </is>
      </c>
      <c r="M52" s="96" t="inlineStr">
        <is>
          <t>VFL</t>
        </is>
      </c>
      <c r="N52" s="96" t="inlineStr">
        <is>
          <t>BKK02</t>
        </is>
      </c>
      <c r="O52" s="96" t="inlineStr">
        <is>
          <t>BKK</t>
        </is>
      </c>
      <c r="P52" s="96" t="inlineStr">
        <is>
          <t>TH</t>
        </is>
      </c>
      <c r="Q52" s="96" t="inlineStr">
        <is>
          <t>HASLS22260801972</t>
        </is>
      </c>
      <c r="R52" s="96" t="inlineStr">
        <is>
          <t>N</t>
        </is>
      </c>
      <c r="S52" s="96" t="inlineStr">
        <is>
          <t>N</t>
        </is>
      </c>
      <c r="T52" s="96" t="inlineStr">
        <is>
          <t>NTX</t>
        </is>
      </c>
      <c r="U52" s="97" t="n"/>
      <c r="V52" s="96" t="inlineStr">
        <is>
          <t>K0120021</t>
        </is>
      </c>
      <c r="W52" s="96" t="inlineStr">
        <is>
          <t>ECO LOGISTICS (THAILAND) CO.,LTD</t>
        </is>
      </c>
      <c r="X52" s="96" t="inlineStr">
        <is>
          <t>VFD</t>
        </is>
      </c>
      <c r="Y52" s="96" t="inlineStr">
        <is>
          <t>ST SHIPPING CO.,LTD.</t>
        </is>
      </c>
      <c r="Z52" s="96" t="inlineStr">
        <is>
          <t>ST SHIPPING CO.,LTD.</t>
        </is>
      </c>
      <c r="AA52" s="97" t="n">
        <v>4657</v>
      </c>
      <c r="AB52" s="96" t="inlineStr">
        <is>
          <t>BKK02</t>
        </is>
      </c>
      <c r="AC52" s="96" t="inlineStr">
        <is>
          <t>INC07</t>
        </is>
      </c>
    </row>
    <row r="53" ht="12" customHeight="1">
      <c r="A53" s="96" t="n"/>
      <c r="B53" s="161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7" t="n"/>
      <c r="V53" s="96" t="n"/>
      <c r="W53" s="96" t="n"/>
      <c r="X53" s="96" t="n"/>
      <c r="Y53" s="96" t="n"/>
      <c r="Z53" s="96" t="n"/>
      <c r="AA53" s="97" t="n">
        <v>658929.6</v>
      </c>
      <c r="AB53" s="96" t="n"/>
      <c r="AC53" s="96" t="n"/>
    </row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41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HASLS22261000287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NTX</t>
        </is>
      </c>
      <c r="M2" s="96" t="inlineStr">
        <is>
          <t>DJCF</t>
        </is>
      </c>
      <c r="N2" s="96" t="inlineStr">
        <is>
          <t>0152N</t>
        </is>
      </c>
      <c r="O2" s="96" t="inlineStr">
        <is>
          <t>THBKK</t>
        </is>
      </c>
      <c r="P2" s="96" t="inlineStr">
        <is>
          <t>BKK02</t>
        </is>
      </c>
      <c r="Q2" s="96" t="inlineStr">
        <is>
          <t>IA</t>
        </is>
      </c>
      <c r="R2" s="161" t="inlineStr">
        <is>
          <t>2026-10-11</t>
        </is>
      </c>
      <c r="S2" s="96" t="inlineStr">
        <is>
          <t>VNSGN</t>
        </is>
      </c>
      <c r="T2" s="96" t="inlineStr">
        <is>
          <t>SGN03</t>
        </is>
      </c>
      <c r="U2" s="96" t="inlineStr">
        <is>
          <t>VNSGN</t>
        </is>
      </c>
      <c r="V2" s="161" t="inlineStr">
        <is>
          <t>2026-10-13</t>
        </is>
      </c>
      <c r="W2" s="96" t="inlineStr">
        <is>
          <t>IA</t>
        </is>
      </c>
      <c r="X2" s="97" t="n"/>
      <c r="Y2" s="97" t="n"/>
      <c r="Z2" s="97" t="n"/>
      <c r="AA2" s="96" t="inlineStr">
        <is>
          <t>H &amp; FRIENDS GTL (THAILAND) CO., LTD.</t>
        </is>
      </c>
      <c r="AB2" s="96" t="inlineStr">
        <is>
          <t>TE CONNECTIVITY MANUFACTURING (THAILAND) CO., LTD.</t>
        </is>
      </c>
      <c r="AC2" s="163" t="n">
        <v>2400</v>
      </c>
      <c r="AD2" s="163" t="n">
        <v>4600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CON</t>
        </is>
      </c>
      <c r="AI2" s="97" t="n"/>
      <c r="AJ2" s="97" t="n"/>
      <c r="AK2" s="97" t="n"/>
      <c r="AL2" s="97" t="n"/>
      <c r="AM2" s="96" t="inlineStr">
        <is>
          <t>TBKK47</t>
        </is>
      </c>
      <c r="AN2" s="96" t="inlineStr">
        <is>
          <t>Tarn(Supaporn)</t>
        </is>
      </c>
      <c r="AO2" s="96" t="inlineStr">
        <is>
          <t>RAW MATERIAL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 xml:space="preserve">Pickup : 2026-10-08, Return : 2026-10-09 // CLS TIME 09/10 @23.59 
 </t>
        </is>
      </c>
      <c r="BA2" s="97" t="inlineStr">
        <is>
          <t>FM 1X40HC DD 07/10 
CFM BY P'KUNG DD 06/10 REQ GOOD GRADE CNTR, CLEAN CNTR, NO SMELL CNTR, NO DMG CNTR / MASTER PRE-PAID</t>
        </is>
      </c>
      <c r="BB2" s="96" t="inlineStr">
        <is>
          <t>P</t>
        </is>
      </c>
      <c r="BC2" s="161" t="inlineStr">
        <is>
          <t>2026-10-05</t>
        </is>
      </c>
      <c r="BD2" s="161" t="inlineStr">
        <is>
          <t>2026-10-07</t>
        </is>
      </c>
      <c r="BE2" s="96" t="inlineStr">
        <is>
          <t>Y</t>
        </is>
      </c>
      <c r="BF2" s="96" t="inlineStr">
        <is>
          <t>RAW MATERIAL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BKK27</t>
        </is>
      </c>
      <c r="BL2" s="161" t="inlineStr">
        <is>
          <t>2026-10-08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BKK02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bkksea@hnfriends.com</t>
        </is>
      </c>
      <c r="CJ2" s="96" t="inlineStr">
        <is>
          <t>H &amp; FRIENDS GTL (THAILAND) CO.,LTD.</t>
        </is>
      </c>
      <c r="CK2" s="96" t="inlineStr">
        <is>
          <t>TAX CODE 0310195581#</t>
        </is>
      </c>
      <c r="CL2" s="96" t="inlineStr">
        <is>
          <t>SAME AS CONSIGNEE</t>
        </is>
      </c>
      <c r="CM2" s="97" t="n"/>
      <c r="CN2" s="96" t="inlineStr">
        <is>
          <t>202610081700</t>
        </is>
      </c>
      <c r="CO2" s="96" t="inlineStr">
        <is>
          <t>202610091700</t>
        </is>
      </c>
      <c r="CP2" s="97" t="n"/>
      <c r="CQ2" s="96" t="inlineStr">
        <is>
          <t>S22-2210012</t>
        </is>
      </c>
      <c r="CR2" s="96" t="inlineStr">
        <is>
          <t>THTIK5</t>
        </is>
      </c>
      <c r="CS2" s="96" t="inlineStr">
        <is>
          <t>H &amp; FRIENDS GTL (THAILAND) CO., LTD.</t>
        </is>
      </c>
      <c r="CT2" s="96" t="inlineStr">
        <is>
          <t>N</t>
        </is>
      </c>
      <c r="CU2" s="97" t="n"/>
      <c r="CV2" s="97" t="n"/>
      <c r="CW2" s="161" t="inlineStr">
        <is>
          <t>2026-10-11</t>
        </is>
      </c>
      <c r="CX2" s="97" t="inlineStr">
        <is>
          <t>854430</t>
        </is>
      </c>
      <c r="CY2" s="156" t="n"/>
    </row>
    <row r="3" ht="12" customHeight="1">
      <c r="A3" s="116" t="inlineStr">
        <is>
          <t>HASLS22260900835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NTX</t>
        </is>
      </c>
      <c r="M3" s="96" t="inlineStr">
        <is>
          <t>DJCF</t>
        </is>
      </c>
      <c r="N3" s="96" t="inlineStr">
        <is>
          <t>0152N</t>
        </is>
      </c>
      <c r="O3" s="96" t="inlineStr">
        <is>
          <t>THBKK</t>
        </is>
      </c>
      <c r="P3" s="96" t="inlineStr">
        <is>
          <t>BKK02</t>
        </is>
      </c>
      <c r="Q3" s="96" t="inlineStr">
        <is>
          <t>IA</t>
        </is>
      </c>
      <c r="R3" s="161" t="inlineStr">
        <is>
          <t>2026-10-11</t>
        </is>
      </c>
      <c r="S3" s="96" t="inlineStr">
        <is>
          <t>VNSGN</t>
        </is>
      </c>
      <c r="T3" s="96" t="inlineStr">
        <is>
          <t>SGN03</t>
        </is>
      </c>
      <c r="U3" s="96" t="inlineStr">
        <is>
          <t>VNSGN</t>
        </is>
      </c>
      <c r="V3" s="161" t="inlineStr">
        <is>
          <t>2026-10-13</t>
        </is>
      </c>
      <c r="W3" s="96" t="inlineStr">
        <is>
          <t>IA</t>
        </is>
      </c>
      <c r="X3" s="97" t="n"/>
      <c r="Y3" s="97" t="n"/>
      <c r="Z3" s="97" t="n"/>
      <c r="AA3" s="96" t="inlineStr">
        <is>
          <t>YAMATO UNYU (THAILAND) CO., LTD.</t>
        </is>
      </c>
      <c r="AB3" s="96" t="inlineStr">
        <is>
          <t>LOGTHAI-OROTEX CO,LTD</t>
        </is>
      </c>
      <c r="AC3" s="163" t="n">
        <v>5451.56</v>
      </c>
      <c r="AD3" s="163" t="n">
        <v>7651.56</v>
      </c>
      <c r="AE3" s="96" t="inlineStr">
        <is>
          <t>OK</t>
        </is>
      </c>
      <c r="AF3" s="96" t="n"/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TH0011</t>
        </is>
      </c>
      <c r="AN3" s="96" t="inlineStr">
        <is>
          <t>Nannaapust Sukporntaweewat</t>
        </is>
      </c>
      <c r="AO3" s="96" t="inlineStr">
        <is>
          <t>DAMPER &amp; MATERIAL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Pickup : 2026-10-05, Return : 2026-10-06</t>
        </is>
      </c>
      <c r="BA3" s="97" t="inlineStr">
        <is>
          <t>FM SWBT 2616N 10/09SURRENDERED BL</t>
        </is>
      </c>
      <c r="BB3" s="96" t="inlineStr">
        <is>
          <t>P</t>
        </is>
      </c>
      <c r="BC3" s="161" t="inlineStr">
        <is>
          <t>2026-09-10</t>
        </is>
      </c>
      <c r="BD3" s="161" t="inlineStr">
        <is>
          <t>2026-09-30</t>
        </is>
      </c>
      <c r="BE3" s="96" t="inlineStr">
        <is>
          <t>Y</t>
        </is>
      </c>
      <c r="BF3" s="96" t="inlineStr">
        <is>
          <t>RUBBER PARTS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BKK25</t>
        </is>
      </c>
      <c r="BL3" s="161" t="inlineStr">
        <is>
          <t>2026-10-05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BKK02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seaexport@yamatothai.com</t>
        </is>
      </c>
      <c r="CJ3" s="96" t="inlineStr">
        <is>
          <t>YAMATO UNYU (THAILAND) CO.,LTD.</t>
        </is>
      </c>
      <c r="CK3" s="96" t="inlineStr">
        <is>
          <t>YAMATO LOGISTICS VIETNAM CO.,LTD -</t>
        </is>
      </c>
      <c r="CL3" s="96" t="inlineStr">
        <is>
          <t>YAMATO LOGISTICS VIETNAM CO.,LTD -</t>
        </is>
      </c>
      <c r="CM3" s="97" t="n"/>
      <c r="CN3" s="96" t="inlineStr">
        <is>
          <t>202610081700</t>
        </is>
      </c>
      <c r="CO3" s="96" t="inlineStr">
        <is>
          <t>202610091700</t>
        </is>
      </c>
      <c r="CP3" s="97" t="n"/>
      <c r="CQ3" s="96" t="inlineStr">
        <is>
          <t>S22-2503020</t>
        </is>
      </c>
      <c r="CR3" s="96" t="inlineStr">
        <is>
          <t>TH02EE</t>
        </is>
      </c>
      <c r="CS3" s="96" t="inlineStr">
        <is>
          <t>YAMATO UNYU (THAILAND) CO., LTD.</t>
        </is>
      </c>
      <c r="CT3" s="96" t="inlineStr">
        <is>
          <t>N</t>
        </is>
      </c>
      <c r="CU3" s="97" t="n"/>
      <c r="CV3" s="97" t="n"/>
      <c r="CW3" s="161" t="inlineStr">
        <is>
          <t>2026-10-10</t>
        </is>
      </c>
      <c r="CX3" s="97" t="inlineStr">
        <is>
          <t>400690</t>
        </is>
      </c>
      <c r="CY3" s="183" t="n"/>
    </row>
    <row r="4" ht="12" customHeight="1">
      <c r="A4" s="116" t="inlineStr">
        <is>
          <t>HASLS22260901147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NTX</t>
        </is>
      </c>
      <c r="M4" s="96" t="inlineStr">
        <is>
          <t>DJCF</t>
        </is>
      </c>
      <c r="N4" s="96" t="inlineStr">
        <is>
          <t>0152N</t>
        </is>
      </c>
      <c r="O4" s="96" t="inlineStr">
        <is>
          <t>THBKK</t>
        </is>
      </c>
      <c r="P4" s="96" t="inlineStr">
        <is>
          <t>BKK02</t>
        </is>
      </c>
      <c r="Q4" s="96" t="inlineStr">
        <is>
          <t>IA</t>
        </is>
      </c>
      <c r="R4" s="161" t="inlineStr">
        <is>
          <t>2026-10-11</t>
        </is>
      </c>
      <c r="S4" s="96" t="inlineStr">
        <is>
          <t>VNSGN</t>
        </is>
      </c>
      <c r="T4" s="96" t="inlineStr">
        <is>
          <t>SGN03</t>
        </is>
      </c>
      <c r="U4" s="96" t="inlineStr">
        <is>
          <t>VNSGN</t>
        </is>
      </c>
      <c r="V4" s="161" t="inlineStr">
        <is>
          <t>2026-10-13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BILLION LOGISTICS CO., LTD.</t>
        </is>
      </c>
      <c r="AB4" s="96" t="inlineStr">
        <is>
          <t>NEWLY WEDS FOODS (THAILAND) LIMITED</t>
        </is>
      </c>
      <c r="AC4" s="163" t="n">
        <v>4951.4</v>
      </c>
      <c r="AD4" s="163" t="n">
        <v>7151.4</v>
      </c>
      <c r="AE4" s="96" t="inlineStr">
        <is>
          <t>OK</t>
        </is>
      </c>
      <c r="AF4" s="96" t="n"/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TBKK55</t>
        </is>
      </c>
      <c r="AN4" s="96" t="inlineStr">
        <is>
          <t>Vilaiporn</t>
        </is>
      </c>
      <c r="AO4" s="96" t="inlineStr">
        <is>
          <t>FOOD STUFF (PREDUST, GARLIC &amp; HERB)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>Pickup : 2026-10-06, Return : 2026-10-07</t>
        </is>
      </c>
      <c r="BA4" s="97" t="n"/>
      <c r="BB4" s="96" t="inlineStr">
        <is>
          <t>P</t>
        </is>
      </c>
      <c r="BC4" s="161" t="inlineStr">
        <is>
          <t>2026-09-14</t>
        </is>
      </c>
      <c r="BD4" s="161" t="inlineStr">
        <is>
          <t>2026-10-08</t>
        </is>
      </c>
      <c r="BE4" s="96" t="inlineStr">
        <is>
          <t>Y</t>
        </is>
      </c>
      <c r="BF4" s="96" t="inlineStr">
        <is>
          <t>FOODSTUFF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BKK27</t>
        </is>
      </c>
      <c r="BL4" s="161" t="inlineStr">
        <is>
          <t>2026-10-06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BKK02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booking@bl.co.th</t>
        </is>
      </c>
      <c r="CJ4" s="96" t="inlineStr">
        <is>
          <t>NEWLY WEDS FOODS (THAILAND) LIMITED</t>
        </is>
      </c>
      <c r="CK4" s="96" t="inlineStr">
        <is>
          <t>VINH HOAN CORPORATION</t>
        </is>
      </c>
      <c r="CL4" s="96" t="inlineStr">
        <is>
          <t>VINH HOAN CORPORATION</t>
        </is>
      </c>
      <c r="CM4" s="97" t="n"/>
      <c r="CN4" s="96" t="inlineStr">
        <is>
          <t>202610081700</t>
        </is>
      </c>
      <c r="CO4" s="96" t="inlineStr">
        <is>
          <t>202610091700</t>
        </is>
      </c>
      <c r="CP4" s="97" t="n"/>
      <c r="CQ4" s="96" t="inlineStr">
        <is>
          <t>S19-2210016</t>
        </is>
      </c>
      <c r="CR4" s="96" t="inlineStr">
        <is>
          <t>BB1715</t>
        </is>
      </c>
      <c r="CS4" s="96" t="inlineStr">
        <is>
          <t>BILLION LOGISTICS CO., LTD.</t>
        </is>
      </c>
      <c r="CT4" s="96" t="inlineStr">
        <is>
          <t>N</t>
        </is>
      </c>
      <c r="CU4" s="97" t="n"/>
      <c r="CV4" s="97" t="n"/>
      <c r="CW4" s="161" t="inlineStr">
        <is>
          <t>2026-10-11</t>
        </is>
      </c>
      <c r="CX4" s="97" t="inlineStr">
        <is>
          <t>190190</t>
        </is>
      </c>
      <c r="CY4" s="183" t="n"/>
    </row>
    <row r="5" ht="12" customHeight="1">
      <c r="A5" s="116" t="inlineStr">
        <is>
          <t>HASLS22260900303</t>
        </is>
      </c>
      <c r="B5" s="96" t="inlineStr">
        <is>
          <t>20'x1</t>
        </is>
      </c>
      <c r="C5" s="97" t="n">
        <v>0</v>
      </c>
      <c r="D5" s="97" t="n">
        <v>0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NTX</t>
        </is>
      </c>
      <c r="M5" s="96" t="inlineStr">
        <is>
          <t>DJCF</t>
        </is>
      </c>
      <c r="N5" s="96" t="inlineStr">
        <is>
          <t>0152N</t>
        </is>
      </c>
      <c r="O5" s="96" t="inlineStr">
        <is>
          <t>THBKK</t>
        </is>
      </c>
      <c r="P5" s="96" t="inlineStr">
        <is>
          <t>BKK02</t>
        </is>
      </c>
      <c r="Q5" s="96" t="inlineStr">
        <is>
          <t>IA</t>
        </is>
      </c>
      <c r="R5" s="161" t="inlineStr">
        <is>
          <t>2026-10-11</t>
        </is>
      </c>
      <c r="S5" s="96" t="inlineStr">
        <is>
          <t>KRINC</t>
        </is>
      </c>
      <c r="T5" s="96" t="inlineStr">
        <is>
          <t>INC07</t>
        </is>
      </c>
      <c r="U5" s="96" t="inlineStr">
        <is>
          <t>KRINC</t>
        </is>
      </c>
      <c r="V5" s="161" t="inlineStr">
        <is>
          <t>2026-10-19</t>
        </is>
      </c>
      <c r="W5" s="96" t="inlineStr">
        <is>
          <t>KR</t>
        </is>
      </c>
      <c r="X5" s="97" t="n"/>
      <c r="Y5" s="97" t="n"/>
      <c r="Z5" s="97" t="n"/>
      <c r="AA5" s="96" t="inlineStr">
        <is>
          <t>CELESTIAL XPRESS LOGISTICS (THAILAND) CO., LTD.</t>
        </is>
      </c>
      <c r="AB5" s="96" t="inlineStr">
        <is>
          <t>CHOTIWAT MANUFACTURING PUBLIC COMPANY LIMITED</t>
        </is>
      </c>
      <c r="AC5" s="163" t="n">
        <v>13858</v>
      </c>
      <c r="AD5" s="163" t="n">
        <v>16058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CHK</t>
        </is>
      </c>
      <c r="AI5" s="97" t="n"/>
      <c r="AJ5" s="97" t="inlineStr">
        <is>
          <t>UNITHAI CONTAINER TERMINAL CFS</t>
        </is>
      </c>
      <c r="AK5" s="97" t="n"/>
      <c r="AL5" s="97" t="n"/>
      <c r="AM5" s="96" t="inlineStr">
        <is>
          <t>H2602</t>
        </is>
      </c>
      <c r="AN5" s="96" t="inlineStr">
        <is>
          <t>Kim jaewon</t>
        </is>
      </c>
      <c r="AO5" s="96" t="inlineStr">
        <is>
          <t>PET FOOD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>STUFFING @UNITHAI DD.09/10/26 *CLS TIME CFS DD.09/10/26 - 17:00HRS.*</t>
        </is>
      </c>
      <c r="BA5" s="97" t="inlineStr">
        <is>
          <t xml:space="preserve">FM KUS 2616N CFM BY K.TEDDY DD 30/09 
FM 2X20'GP DD 02/10 </t>
        </is>
      </c>
      <c r="BB5" s="96" t="inlineStr">
        <is>
          <t>C</t>
        </is>
      </c>
      <c r="BC5" s="161" t="inlineStr">
        <is>
          <t>2026-09-03</t>
        </is>
      </c>
      <c r="BD5" s="161" t="inlineStr">
        <is>
          <t>2026-10-08</t>
        </is>
      </c>
      <c r="BE5" s="96" t="inlineStr">
        <is>
          <t>Y</t>
        </is>
      </c>
      <c r="BF5" s="96" t="inlineStr">
        <is>
          <t>PET FOOD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BKK02</t>
        </is>
      </c>
      <c r="BL5" s="161" t="inlineStr">
        <is>
          <t>2026-10-09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BKK02</t>
        </is>
      </c>
      <c r="CD5" s="97" t="n"/>
      <c r="CE5" s="97" t="n"/>
      <c r="CF5" s="96" t="inlineStr">
        <is>
          <t>0 Teu</t>
        </is>
      </c>
      <c r="CG5" s="96" t="inlineStr">
        <is>
          <t>CFS/CY</t>
        </is>
      </c>
      <c r="CH5" s="97" t="n"/>
      <c r="CI5" s="96" t="inlineStr">
        <is>
          <t>sea-exp4@c-xpress.com</t>
        </is>
      </c>
      <c r="CJ5" s="96" t="inlineStr">
        <is>
          <t>CELESTIAL XPRESS LOGISTICS</t>
        </is>
      </c>
      <c r="CK5" s="96" t="inlineStr">
        <is>
          <t>BEL SHIPPING CO., LTD.</t>
        </is>
      </c>
      <c r="CL5" s="96" t="inlineStr">
        <is>
          <t>BEL SHIPPING CO., LTD.</t>
        </is>
      </c>
      <c r="CM5" s="97" t="n"/>
      <c r="CN5" s="96" t="inlineStr">
        <is>
          <t>202610081700</t>
        </is>
      </c>
      <c r="CO5" s="96" t="inlineStr">
        <is>
          <t>202610091700</t>
        </is>
      </c>
      <c r="CP5" s="97" t="n"/>
      <c r="CQ5" s="96" t="inlineStr">
        <is>
          <t>K01-2303131</t>
        </is>
      </c>
      <c r="CR5" s="96" t="inlineStr">
        <is>
          <t>THTIN4</t>
        </is>
      </c>
      <c r="CS5" s="96" t="inlineStr">
        <is>
          <t>CELESTIAL XPRESS LOGISTICS (THAILAND) CO., LTD.</t>
        </is>
      </c>
      <c r="CT5" s="96" t="inlineStr">
        <is>
          <t>N</t>
        </is>
      </c>
      <c r="CU5" s="97" t="n"/>
      <c r="CV5" s="97" t="n"/>
      <c r="CW5" s="161" t="inlineStr">
        <is>
          <t>2026-10-11</t>
        </is>
      </c>
      <c r="CX5" s="97" t="n"/>
      <c r="CY5" s="183" t="n"/>
    </row>
    <row r="6" ht="12" customHeight="1">
      <c r="A6" s="116" t="inlineStr">
        <is>
          <t>HASLS22260902782</t>
        </is>
      </c>
      <c r="B6" s="96" t="inlineStr">
        <is>
          <t>20'x1</t>
        </is>
      </c>
      <c r="C6" s="97" t="n">
        <v>0</v>
      </c>
      <c r="D6" s="97" t="n">
        <v>0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NTX</t>
        </is>
      </c>
      <c r="M6" s="96" t="inlineStr">
        <is>
          <t>DJCF</t>
        </is>
      </c>
      <c r="N6" s="96" t="inlineStr">
        <is>
          <t>0152N</t>
        </is>
      </c>
      <c r="O6" s="96" t="inlineStr">
        <is>
          <t>THBKK</t>
        </is>
      </c>
      <c r="P6" s="96" t="inlineStr">
        <is>
          <t>BKK02</t>
        </is>
      </c>
      <c r="Q6" s="96" t="inlineStr">
        <is>
          <t>IA</t>
        </is>
      </c>
      <c r="R6" s="161" t="inlineStr">
        <is>
          <t>2026-10-11</t>
        </is>
      </c>
      <c r="S6" s="96" t="inlineStr">
        <is>
          <t>VNSGN</t>
        </is>
      </c>
      <c r="T6" s="96" t="inlineStr">
        <is>
          <t>SGN03</t>
        </is>
      </c>
      <c r="U6" s="96" t="inlineStr">
        <is>
          <t>VNSGN</t>
        </is>
      </c>
      <c r="V6" s="161" t="inlineStr">
        <is>
          <t>2026-10-13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KNS PLUS LOGISTICS (THAILAND) CO., LTD.</t>
        </is>
      </c>
      <c r="AB6" s="96" t="inlineStr">
        <is>
          <t xml:space="preserve">NEO AGRO BUSINESS CO.,LTD. </t>
        </is>
      </c>
      <c r="AC6" s="163" t="n">
        <v>3943.04</v>
      </c>
      <c r="AD6" s="163" t="n">
        <v>6143.04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inlineStr">
        <is>
          <t>UNITHAI CONTAINER TERMINAL CFS</t>
        </is>
      </c>
      <c r="AK6" s="97" t="n"/>
      <c r="AL6" s="97" t="n"/>
      <c r="AM6" s="96" t="inlineStr">
        <is>
          <t>TH0031</t>
        </is>
      </c>
      <c r="AN6" s="96" t="inlineStr">
        <is>
          <t>Pattarapong Saengthong</t>
        </is>
      </c>
      <c r="AO6" s="96" t="inlineStr">
        <is>
          <t>MEDICAL EQUIPMENT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>STUFFING @UNITHAI DD.09/10/26 *CLS TIME CFS DD.09/10/26 - 17:00HRS.*</t>
        </is>
      </c>
      <c r="BA6" s="97" t="inlineStr">
        <is>
          <t>CFS at Unithai: 09/10/2026</t>
        </is>
      </c>
      <c r="BB6" s="96" t="inlineStr">
        <is>
          <t>P</t>
        </is>
      </c>
      <c r="BC6" s="161" t="inlineStr">
        <is>
          <t>2026-09-30</t>
        </is>
      </c>
      <c r="BD6" s="161" t="inlineStr">
        <is>
          <t>2026-10-09</t>
        </is>
      </c>
      <c r="BE6" s="96" t="inlineStr">
        <is>
          <t>Y</t>
        </is>
      </c>
      <c r="BF6" s="96" t="inlineStr">
        <is>
          <t>MEDICAL EQUIPMENT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BKK02</t>
        </is>
      </c>
      <c r="BL6" s="161" t="inlineStr">
        <is>
          <t>2026-10-09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BKK02</t>
        </is>
      </c>
      <c r="CD6" s="97" t="n"/>
      <c r="CE6" s="97" t="n"/>
      <c r="CF6" s="96" t="inlineStr">
        <is>
          <t>0 Teu</t>
        </is>
      </c>
      <c r="CG6" s="96" t="inlineStr">
        <is>
          <t>CFS/CY</t>
        </is>
      </c>
      <c r="CH6" s="97" t="n"/>
      <c r="CI6" s="96" t="inlineStr">
        <is>
          <t>info@knsplus-logs.com</t>
        </is>
      </c>
      <c r="CJ6" s="96" t="inlineStr">
        <is>
          <t>NEO AGRO BUSINESS CO.,LTD.</t>
        </is>
      </c>
      <c r="CK6" s="96" t="inlineStr">
        <is>
          <t>MINH AN CO.,LTD.</t>
        </is>
      </c>
      <c r="CL6" s="96" t="inlineStr">
        <is>
          <t>MINH AN CO.,LTD.</t>
        </is>
      </c>
      <c r="CM6" s="97" t="n"/>
      <c r="CN6" s="96" t="inlineStr">
        <is>
          <t>202610081700</t>
        </is>
      </c>
      <c r="CO6" s="96" t="inlineStr">
        <is>
          <t>202610091700</t>
        </is>
      </c>
      <c r="CP6" s="97" t="n"/>
      <c r="CQ6" s="96" t="inlineStr">
        <is>
          <t>S22-2607008</t>
        </is>
      </c>
      <c r="CR6" s="96" t="inlineStr">
        <is>
          <t>THTZKC</t>
        </is>
      </c>
      <c r="CS6" s="96" t="inlineStr">
        <is>
          <t>KNS PLUS LOGISTICS (THAILAND) CO., LTD.</t>
        </is>
      </c>
      <c r="CT6" s="96" t="inlineStr">
        <is>
          <t>N</t>
        </is>
      </c>
      <c r="CU6" s="97" t="n"/>
      <c r="CV6" s="97" t="n"/>
      <c r="CW6" s="161" t="inlineStr">
        <is>
          <t>2026-10-11</t>
        </is>
      </c>
      <c r="CX6" s="97" t="inlineStr">
        <is>
          <t>300510</t>
        </is>
      </c>
      <c r="CY6" s="183" t="n"/>
    </row>
    <row r="7" ht="12" customHeight="1">
      <c r="A7" s="116" t="inlineStr">
        <is>
          <t>HASLS22261000118</t>
        </is>
      </c>
      <c r="B7" s="96" t="inlineStr">
        <is>
          <t>20'x1</t>
        </is>
      </c>
      <c r="C7" s="97" t="n">
        <v>0</v>
      </c>
      <c r="D7" s="97" t="n">
        <v>0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NTX</t>
        </is>
      </c>
      <c r="M7" s="96" t="inlineStr">
        <is>
          <t>DJCF</t>
        </is>
      </c>
      <c r="N7" s="96" t="inlineStr">
        <is>
          <t>0152N</t>
        </is>
      </c>
      <c r="O7" s="96" t="inlineStr">
        <is>
          <t>THBKK</t>
        </is>
      </c>
      <c r="P7" s="96" t="inlineStr">
        <is>
          <t>BKK02</t>
        </is>
      </c>
      <c r="Q7" s="96" t="inlineStr">
        <is>
          <t>IA</t>
        </is>
      </c>
      <c r="R7" s="161" t="inlineStr">
        <is>
          <t>2026-10-11</t>
        </is>
      </c>
      <c r="S7" s="96" t="inlineStr">
        <is>
          <t>VNSGN</t>
        </is>
      </c>
      <c r="T7" s="96" t="inlineStr">
        <is>
          <t>SGN03</t>
        </is>
      </c>
      <c r="U7" s="96" t="inlineStr">
        <is>
          <t>VNSGN</t>
        </is>
      </c>
      <c r="V7" s="161" t="inlineStr">
        <is>
          <t>2026-10-13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MASS PORT LOGISTICS CO., LTD.</t>
        </is>
      </c>
      <c r="AB7" s="96" t="inlineStr">
        <is>
          <t>SIAM MACHINERY AND EQUIPMENT CO., LTD.</t>
        </is>
      </c>
      <c r="AC7" s="163" t="n">
        <v>9376</v>
      </c>
      <c r="AD7" s="163" t="n">
        <v>11576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n"/>
      <c r="AJ7" s="97" t="inlineStr">
        <is>
          <t>UNITHAI CONTAINER TERMINAL CFS</t>
        </is>
      </c>
      <c r="AK7" s="97" t="n"/>
      <c r="AL7" s="97" t="n"/>
      <c r="AM7" s="96" t="inlineStr">
        <is>
          <t>TH0031</t>
        </is>
      </c>
      <c r="AN7" s="96" t="inlineStr">
        <is>
          <t>Pattarapong Saengthong</t>
        </is>
      </c>
      <c r="AO7" s="96" t="inlineStr">
        <is>
          <t>DUCTILE CAST IRON ROLLS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STUFFING @UNITHAI DD.09/10/26 *CLS TIME CFS DD.09/10/26 - 17:00HRS.*</t>
        </is>
      </c>
      <c r="BA7" s="97" t="n"/>
      <c r="BB7" s="96" t="inlineStr">
        <is>
          <t>P</t>
        </is>
      </c>
      <c r="BC7" s="161" t="inlineStr">
        <is>
          <t>2026-10-02</t>
        </is>
      </c>
      <c r="BD7" s="161" t="inlineStr">
        <is>
          <t>2026-10-09</t>
        </is>
      </c>
      <c r="BE7" s="96" t="inlineStr">
        <is>
          <t>Y</t>
        </is>
      </c>
      <c r="BF7" s="96" t="inlineStr">
        <is>
          <t>DUCTILE CAST IRON ROLLS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BKK02</t>
        </is>
      </c>
      <c r="BL7" s="161" t="inlineStr">
        <is>
          <t>2026-10-09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BKK02</t>
        </is>
      </c>
      <c r="CD7" s="97" t="n"/>
      <c r="CE7" s="97" t="n"/>
      <c r="CF7" s="96" t="inlineStr">
        <is>
          <t>0 Teu</t>
        </is>
      </c>
      <c r="CG7" s="96" t="inlineStr">
        <is>
          <t>CFS/CY</t>
        </is>
      </c>
      <c r="CH7" s="97" t="n"/>
      <c r="CI7" s="96" t="inlineStr">
        <is>
          <t>operation@massport.co.th</t>
        </is>
      </c>
      <c r="CJ7" s="96" t="inlineStr">
        <is>
          <t>SIAM MACHINERY AND</t>
        </is>
      </c>
      <c r="CK7" s="96" t="inlineStr">
        <is>
          <t>VINA KYOEI STEEL COMPANY LTD.</t>
        </is>
      </c>
      <c r="CL7" s="96" t="inlineStr">
        <is>
          <t>VINA KYOEI STEEL COMPANY LTD.</t>
        </is>
      </c>
      <c r="CM7" s="97" t="n"/>
      <c r="CN7" s="96" t="inlineStr">
        <is>
          <t>202610081700</t>
        </is>
      </c>
      <c r="CO7" s="96" t="inlineStr">
        <is>
          <t>202610091700</t>
        </is>
      </c>
      <c r="CP7" s="97" t="n"/>
      <c r="CQ7" s="96" t="inlineStr">
        <is>
          <t>S22-2603016</t>
        </is>
      </c>
      <c r="CR7" s="96" t="inlineStr">
        <is>
          <t>TH03WX</t>
        </is>
      </c>
      <c r="CS7" s="96" t="inlineStr">
        <is>
          <t>MASS PORT LOGISTICS CO., LTD.</t>
        </is>
      </c>
      <c r="CT7" s="96" t="inlineStr">
        <is>
          <t>N</t>
        </is>
      </c>
      <c r="CU7" s="97" t="n"/>
      <c r="CV7" s="97" t="n"/>
      <c r="CW7" s="161" t="inlineStr">
        <is>
          <t>2026-10-11</t>
        </is>
      </c>
      <c r="CX7" s="97" t="inlineStr">
        <is>
          <t>845530</t>
        </is>
      </c>
      <c r="CY7" s="183" t="n"/>
    </row>
    <row r="8" ht="12" customHeight="1">
      <c r="A8" s="116" t="inlineStr">
        <is>
          <t>HASLS22261000056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NTX</t>
        </is>
      </c>
      <c r="M8" s="96" t="inlineStr">
        <is>
          <t>DJCF</t>
        </is>
      </c>
      <c r="N8" s="96" t="inlineStr">
        <is>
          <t>0152N</t>
        </is>
      </c>
      <c r="O8" s="96" t="inlineStr">
        <is>
          <t>THBKK</t>
        </is>
      </c>
      <c r="P8" s="96" t="inlineStr">
        <is>
          <t>BKK02</t>
        </is>
      </c>
      <c r="Q8" s="96" t="inlineStr">
        <is>
          <t>IA</t>
        </is>
      </c>
      <c r="R8" s="161" t="inlineStr">
        <is>
          <t>2026-10-11</t>
        </is>
      </c>
      <c r="S8" s="96" t="inlineStr">
        <is>
          <t>VNSGN</t>
        </is>
      </c>
      <c r="T8" s="96" t="inlineStr">
        <is>
          <t>SGN03</t>
        </is>
      </c>
      <c r="U8" s="96" t="inlineStr">
        <is>
          <t>VNSGN</t>
        </is>
      </c>
      <c r="V8" s="161" t="inlineStr">
        <is>
          <t>2026-10-13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YUSEN LOGISTICS (THAILAND) CO., LTD.</t>
        </is>
      </c>
      <c r="AB8" s="96" t="inlineStr">
        <is>
          <t>KANG YONG ELECTRIC PUBLIC COMPANY LIMITED</t>
        </is>
      </c>
      <c r="AC8" s="163" t="n">
        <v>961.0700000000001</v>
      </c>
      <c r="AD8" s="163" t="n">
        <v>3161.07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TBKK55</t>
        </is>
      </c>
      <c r="AN8" s="96" t="inlineStr">
        <is>
          <t>Vilaiporn</t>
        </is>
      </c>
      <c r="AO8" s="96" t="inlineStr">
        <is>
          <t>PART FOR "MITSUBISHI ELECTRIC"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Pickup : 2026-10-08, Return : 2026-10-08</t>
        </is>
      </c>
      <c r="BA8" s="97" t="inlineStr">
        <is>
          <t>Good dry and clean container</t>
        </is>
      </c>
      <c r="BB8" s="96" t="inlineStr">
        <is>
          <t>P</t>
        </is>
      </c>
      <c r="BC8" s="161" t="inlineStr">
        <is>
          <t>2026-10-01</t>
        </is>
      </c>
      <c r="BD8" s="161" t="inlineStr">
        <is>
          <t>2026-10-08</t>
        </is>
      </c>
      <c r="BE8" s="96" t="inlineStr">
        <is>
          <t>Y</t>
        </is>
      </c>
      <c r="BF8" s="96" t="inlineStr">
        <is>
          <t>PART FOR "MITSUBISHI ELECTRIC"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BKK27</t>
        </is>
      </c>
      <c r="BL8" s="161" t="inlineStr">
        <is>
          <t>2026-10-08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BKK02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amornthep.n@th.yusen-logistics.com</t>
        </is>
      </c>
      <c r="CJ8" s="96" t="inlineStr">
        <is>
          <t>YUSEN LOGISTICS (THAILAND) CO., LTD</t>
        </is>
      </c>
      <c r="CK8" s="96" t="inlineStr">
        <is>
          <t>YUSEN LOGISTICS (VIETNAM) CO., LTD</t>
        </is>
      </c>
      <c r="CL8" s="96" t="inlineStr">
        <is>
          <t>YUSEN LOGISTICS (VIETNAM) CO., LTD</t>
        </is>
      </c>
      <c r="CM8" s="97" t="n"/>
      <c r="CN8" s="96" t="inlineStr">
        <is>
          <t>202610081700</t>
        </is>
      </c>
      <c r="CO8" s="96" t="inlineStr">
        <is>
          <t>202610091700</t>
        </is>
      </c>
      <c r="CP8" s="97" t="n"/>
      <c r="CQ8" s="96" t="inlineStr">
        <is>
          <t>S19-2112038</t>
        </is>
      </c>
      <c r="CR8" s="96" t="inlineStr">
        <is>
          <t>TH03TL</t>
        </is>
      </c>
      <c r="CS8" s="96" t="inlineStr">
        <is>
          <t>YUSEN LOGISTICS (THAILAND) CO., LTD.</t>
        </is>
      </c>
      <c r="CT8" s="96" t="inlineStr">
        <is>
          <t>N</t>
        </is>
      </c>
      <c r="CU8" s="97" t="n"/>
      <c r="CV8" s="97" t="n"/>
      <c r="CW8" s="161" t="inlineStr">
        <is>
          <t>2026-10-11</t>
        </is>
      </c>
      <c r="CX8" s="97" t="inlineStr">
        <is>
          <t>392690</t>
        </is>
      </c>
      <c r="CY8" s="183" t="n"/>
    </row>
    <row r="9" ht="12" customHeight="1">
      <c r="A9" s="116" t="inlineStr">
        <is>
          <t>HASLS22260901791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NTX</t>
        </is>
      </c>
      <c r="M9" s="96" t="inlineStr">
        <is>
          <t>DJCF</t>
        </is>
      </c>
      <c r="N9" s="96" t="inlineStr">
        <is>
          <t>0152N</t>
        </is>
      </c>
      <c r="O9" s="96" t="inlineStr">
        <is>
          <t>THBKK</t>
        </is>
      </c>
      <c r="P9" s="96" t="inlineStr">
        <is>
          <t>BKK02</t>
        </is>
      </c>
      <c r="Q9" s="96" t="inlineStr">
        <is>
          <t>IA</t>
        </is>
      </c>
      <c r="R9" s="161" t="inlineStr">
        <is>
          <t>2026-10-11</t>
        </is>
      </c>
      <c r="S9" s="96" t="inlineStr">
        <is>
          <t>VNSGN</t>
        </is>
      </c>
      <c r="T9" s="96" t="inlineStr">
        <is>
          <t>SGN03</t>
        </is>
      </c>
      <c r="U9" s="96" t="inlineStr">
        <is>
          <t>VNSGN</t>
        </is>
      </c>
      <c r="V9" s="161" t="inlineStr">
        <is>
          <t>2026-10-13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ACCORD PILOT LOGISTICS (THAILAND) CO., LTD.</t>
        </is>
      </c>
      <c r="AB9" s="96" t="inlineStr">
        <is>
          <t>JIRAKORN CO., LTD.</t>
        </is>
      </c>
      <c r="AC9" s="163" t="n">
        <v>20341.5</v>
      </c>
      <c r="AD9" s="163" t="n">
        <v>22541.5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TBKK19</t>
        </is>
      </c>
      <c r="AN9" s="96" t="inlineStr">
        <is>
          <t>Kanokporn</t>
        </is>
      </c>
      <c r="AO9" s="96" t="inlineStr">
        <is>
          <t>MP-2(FOOD ADDITIVE)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Pickup : 2026-10-06, Return : 2026-10-06</t>
        </is>
      </c>
      <c r="BA9" s="97" t="inlineStr">
        <is>
          <t xml:space="preserve">SHIPPER :JIRAKORN CO., LTD.CY-RTN : 06/10/2026HS CODE; 38249970VOL. 1X20’DCREQUEST GOOD &amp; CLEAN CONTAINER </t>
        </is>
      </c>
      <c r="BB9" s="96" t="inlineStr">
        <is>
          <t>P</t>
        </is>
      </c>
      <c r="BC9" s="161" t="inlineStr">
        <is>
          <t>2026-09-21</t>
        </is>
      </c>
      <c r="BD9" s="161" t="inlineStr">
        <is>
          <t>2026-10-09</t>
        </is>
      </c>
      <c r="BE9" s="96" t="inlineStr">
        <is>
          <t>Y</t>
        </is>
      </c>
      <c r="BF9" s="96" t="inlineStr">
        <is>
          <t>FOOD ADDITIVE,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BKK27</t>
        </is>
      </c>
      <c r="BL9" s="161" t="inlineStr">
        <is>
          <t>2026-10-06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BKK02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patamaporn@pilot.co.th;ploypailin@accord.pilot.co.th</t>
        </is>
      </c>
      <c r="CJ9" s="96" t="inlineStr">
        <is>
          <t>ACCORD PILOT LOGISTICS (THAILAND)</t>
        </is>
      </c>
      <c r="CK9" s="96" t="inlineStr">
        <is>
          <t>CJ LOGISTICS VINA CO., LTD</t>
        </is>
      </c>
      <c r="CL9" s="96" t="inlineStr">
        <is>
          <t>CJ LOGISTICS VINA CO., LTD</t>
        </is>
      </c>
      <c r="CM9" s="97" t="n"/>
      <c r="CN9" s="96" t="inlineStr">
        <is>
          <t>202610081700</t>
        </is>
      </c>
      <c r="CO9" s="96" t="inlineStr">
        <is>
          <t>202610091700</t>
        </is>
      </c>
      <c r="CP9" s="97" t="n"/>
      <c r="CQ9" s="96" t="inlineStr">
        <is>
          <t>S19-2308037</t>
        </is>
      </c>
      <c r="CR9" s="96" t="inlineStr">
        <is>
          <t>THTIPI</t>
        </is>
      </c>
      <c r="CS9" s="96" t="inlineStr">
        <is>
          <t>ACCORD PILOT LOGISTICS (THAILAND) CO., LTD.</t>
        </is>
      </c>
      <c r="CT9" s="96" t="inlineStr">
        <is>
          <t>N</t>
        </is>
      </c>
      <c r="CU9" s="97" t="n"/>
      <c r="CV9" s="97" t="n"/>
      <c r="CW9" s="161" t="inlineStr">
        <is>
          <t>2026-10-10</t>
        </is>
      </c>
      <c r="CX9" s="97" t="inlineStr">
        <is>
          <t>382499</t>
        </is>
      </c>
      <c r="CY9" s="183" t="n"/>
    </row>
    <row r="10" ht="12" customHeight="1">
      <c r="A10" s="116" t="inlineStr">
        <is>
          <t>HASLS22260901191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NTX</t>
        </is>
      </c>
      <c r="M10" s="96" t="inlineStr">
        <is>
          <t>DJCF</t>
        </is>
      </c>
      <c r="N10" s="96" t="inlineStr">
        <is>
          <t>0152N</t>
        </is>
      </c>
      <c r="O10" s="96" t="inlineStr">
        <is>
          <t>THBKK</t>
        </is>
      </c>
      <c r="P10" s="96" t="inlineStr">
        <is>
          <t>BKK02</t>
        </is>
      </c>
      <c r="Q10" s="96" t="inlineStr">
        <is>
          <t>IA</t>
        </is>
      </c>
      <c r="R10" s="161" t="inlineStr">
        <is>
          <t>2026-10-11</t>
        </is>
      </c>
      <c r="S10" s="96" t="inlineStr">
        <is>
          <t>KRINC</t>
        </is>
      </c>
      <c r="T10" s="96" t="inlineStr">
        <is>
          <t>INC07</t>
        </is>
      </c>
      <c r="U10" s="96" t="inlineStr">
        <is>
          <t>KRINC</t>
        </is>
      </c>
      <c r="V10" s="161" t="inlineStr">
        <is>
          <t>2026-10-19</t>
        </is>
      </c>
      <c r="W10" s="96" t="inlineStr">
        <is>
          <t>KR</t>
        </is>
      </c>
      <c r="X10" s="97" t="n"/>
      <c r="Y10" s="97" t="n"/>
      <c r="Z10" s="97" t="n"/>
      <c r="AA10" s="96" t="inlineStr">
        <is>
          <t>CELESTIAL XPRESS LOGISTICS (THAILAND) CO., LTD.</t>
        </is>
      </c>
      <c r="AB10" s="96" t="inlineStr">
        <is>
          <t>I-TAIL CORPORATION PUBLIC COMPANY LIMITED</t>
        </is>
      </c>
      <c r="AC10" s="163" t="n">
        <v>11816</v>
      </c>
      <c r="AD10" s="163" t="n">
        <v>14016</v>
      </c>
      <c r="AE10" s="96" t="inlineStr">
        <is>
          <t>OK</t>
        </is>
      </c>
      <c r="AF10" s="96" t="inlineStr">
        <is>
          <t>SR</t>
        </is>
      </c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H2602</t>
        </is>
      </c>
      <c r="AN10" s="96" t="inlineStr">
        <is>
          <t>Kim jaewon</t>
        </is>
      </c>
      <c r="AO10" s="96" t="inlineStr">
        <is>
          <t>PET FOOD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Pickup : 2026-10-05, Return : 2026-10-06</t>
        </is>
      </c>
      <c r="BA10" s="97" t="n"/>
      <c r="BB10" s="96" t="inlineStr">
        <is>
          <t>C</t>
        </is>
      </c>
      <c r="BC10" s="161" t="inlineStr">
        <is>
          <t>2026-09-15</t>
        </is>
      </c>
      <c r="BD10" s="161" t="inlineStr">
        <is>
          <t>2026-10-09</t>
        </is>
      </c>
      <c r="BE10" s="96" t="inlineStr">
        <is>
          <t>Y</t>
        </is>
      </c>
      <c r="BF10" s="96" t="inlineStr">
        <is>
          <t>PET FOOD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BKK25</t>
        </is>
      </c>
      <c r="BL10" s="161" t="inlineStr">
        <is>
          <t>2026-10-05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BKK02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sea-exp3@c-xpress.com</t>
        </is>
      </c>
      <c r="CJ10" s="96" t="inlineStr">
        <is>
          <t>CELESTIAL XPRESS LOGISTICS</t>
        </is>
      </c>
      <c r="CK10" s="96" t="inlineStr">
        <is>
          <t>BEL SHIPPING CO., LTD.</t>
        </is>
      </c>
      <c r="CL10" s="96" t="inlineStr">
        <is>
          <t>BEL SHIPPING CO., LTD.</t>
        </is>
      </c>
      <c r="CM10" s="97" t="n"/>
      <c r="CN10" s="96" t="inlineStr">
        <is>
          <t>202610081700</t>
        </is>
      </c>
      <c r="CO10" s="96" t="inlineStr">
        <is>
          <t>202610091700</t>
        </is>
      </c>
      <c r="CP10" s="97" t="n"/>
      <c r="CQ10" s="96" t="inlineStr">
        <is>
          <t>K01-2303131</t>
        </is>
      </c>
      <c r="CR10" s="96" t="inlineStr">
        <is>
          <t>THTIN4</t>
        </is>
      </c>
      <c r="CS10" s="96" t="inlineStr">
        <is>
          <t>CELESTIAL XPRESS LOGISTICS (THAILAND) CO., LTD.</t>
        </is>
      </c>
      <c r="CT10" s="96" t="inlineStr">
        <is>
          <t>N</t>
        </is>
      </c>
      <c r="CU10" s="97" t="n"/>
      <c r="CV10" s="97" t="n"/>
      <c r="CW10" s="161" t="inlineStr">
        <is>
          <t>2026-10-10</t>
        </is>
      </c>
      <c r="CX10" s="97" t="n"/>
      <c r="CY10" s="183" t="n"/>
    </row>
    <row r="11" ht="12" customHeight="1">
      <c r="A11" s="116" t="inlineStr">
        <is>
          <t>HASLS22260901835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NTX</t>
        </is>
      </c>
      <c r="M11" s="96" t="inlineStr">
        <is>
          <t>DJCF</t>
        </is>
      </c>
      <c r="N11" s="96" t="inlineStr">
        <is>
          <t>0152N</t>
        </is>
      </c>
      <c r="O11" s="96" t="inlineStr">
        <is>
          <t>THBKK</t>
        </is>
      </c>
      <c r="P11" s="96" t="inlineStr">
        <is>
          <t>BKK02</t>
        </is>
      </c>
      <c r="Q11" s="96" t="inlineStr">
        <is>
          <t>IA</t>
        </is>
      </c>
      <c r="R11" s="161" t="inlineStr">
        <is>
          <t>2026-10-11</t>
        </is>
      </c>
      <c r="S11" s="96" t="inlineStr">
        <is>
          <t>VNSGN</t>
        </is>
      </c>
      <c r="T11" s="96" t="inlineStr">
        <is>
          <t>SGN03</t>
        </is>
      </c>
      <c r="U11" s="96" t="inlineStr">
        <is>
          <t>VNSGN</t>
        </is>
      </c>
      <c r="V11" s="161" t="inlineStr">
        <is>
          <t>2026-10-13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ACCORD PILOT LOGISTICS (THAILAND) CO., LTD.</t>
        </is>
      </c>
      <c r="AB11" s="96" t="inlineStr">
        <is>
          <t>JIRAKORN CO., LTD.</t>
        </is>
      </c>
      <c r="AC11" s="163" t="n">
        <v>20281.6</v>
      </c>
      <c r="AD11" s="163" t="n">
        <v>22481.6</v>
      </c>
      <c r="AE11" s="96" t="inlineStr">
        <is>
          <t>OK</t>
        </is>
      </c>
      <c r="AF11" s="96" t="inlineStr">
        <is>
          <t>SR</t>
        </is>
      </c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TBKK19</t>
        </is>
      </c>
      <c r="AN11" s="96" t="inlineStr">
        <is>
          <t>Kanokporn</t>
        </is>
      </c>
      <c r="AO11" s="96" t="inlineStr">
        <is>
          <t>FOOD ADDITIVE (SODIUM METABISULFITE)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>Pickup : 2026-10-05, Return : 2026-10-05 (1ST RTN DD: 06/10/26 WO/RENT)</t>
        </is>
      </c>
      <c r="BA11" s="97" t="inlineStr">
        <is>
          <t xml:space="preserve">SHIPPER : JIRAKORN CO., LTD.CY-RTN : 5/10/2026HS CODE; 38249970VOL. 1X20’DCREQUEST GOOD &amp; CLEAN CONTAINER </t>
        </is>
      </c>
      <c r="BB11" s="96" t="inlineStr">
        <is>
          <t>P</t>
        </is>
      </c>
      <c r="BC11" s="161" t="inlineStr">
        <is>
          <t>2026-09-21</t>
        </is>
      </c>
      <c r="BD11" s="161" t="inlineStr">
        <is>
          <t>2026-10-09</t>
        </is>
      </c>
      <c r="BE11" s="96" t="inlineStr">
        <is>
          <t>Y</t>
        </is>
      </c>
      <c r="BF11" s="96" t="inlineStr">
        <is>
          <t>FOOD ADDITIVE,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BKK27</t>
        </is>
      </c>
      <c r="BL11" s="161" t="inlineStr">
        <is>
          <t>2026-10-05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BKK02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patamaporn@pilot.co.th;ploypailin@accord.pilot.co.th</t>
        </is>
      </c>
      <c r="CJ11" s="96" t="inlineStr">
        <is>
          <t>ACCORD PILOT LOGISTICS (THAILAND)</t>
        </is>
      </c>
      <c r="CK11" s="96" t="inlineStr">
        <is>
          <t>CJ LOGISTICS VINA CO., LTD</t>
        </is>
      </c>
      <c r="CL11" s="96" t="inlineStr">
        <is>
          <t>CJ LOGISTICS VINA CO., LTD</t>
        </is>
      </c>
      <c r="CM11" s="97" t="n"/>
      <c r="CN11" s="96" t="inlineStr">
        <is>
          <t>202610081700</t>
        </is>
      </c>
      <c r="CO11" s="96" t="inlineStr">
        <is>
          <t>202610091700</t>
        </is>
      </c>
      <c r="CP11" s="97" t="n"/>
      <c r="CQ11" s="96" t="inlineStr">
        <is>
          <t>S19-2308037</t>
        </is>
      </c>
      <c r="CR11" s="96" t="inlineStr">
        <is>
          <t>THTIPI</t>
        </is>
      </c>
      <c r="CS11" s="96" t="inlineStr">
        <is>
          <t>ACCORD PILOT LOGISTICS (THAILAND) CO., LTD.</t>
        </is>
      </c>
      <c r="CT11" s="96" t="inlineStr">
        <is>
          <t>N</t>
        </is>
      </c>
      <c r="CU11" s="97" t="n"/>
      <c r="CV11" s="97" t="n"/>
      <c r="CW11" s="161" t="inlineStr">
        <is>
          <t>2026-10-10</t>
        </is>
      </c>
      <c r="CX11" s="97" t="inlineStr">
        <is>
          <t>283210</t>
        </is>
      </c>
      <c r="CY11" s="183" t="n"/>
    </row>
    <row r="12" ht="12" customHeight="1">
      <c r="A12" s="116" t="inlineStr">
        <is>
          <t>HASLS22261000097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NTX</t>
        </is>
      </c>
      <c r="M12" s="96" t="inlineStr">
        <is>
          <t>DJCF</t>
        </is>
      </c>
      <c r="N12" s="96" t="inlineStr">
        <is>
          <t>0152N</t>
        </is>
      </c>
      <c r="O12" s="96" t="inlineStr">
        <is>
          <t>THBKK</t>
        </is>
      </c>
      <c r="P12" s="96" t="inlineStr">
        <is>
          <t>BKK02</t>
        </is>
      </c>
      <c r="Q12" s="96" t="inlineStr">
        <is>
          <t>IA</t>
        </is>
      </c>
      <c r="R12" s="161" t="inlineStr">
        <is>
          <t>2026-10-11</t>
        </is>
      </c>
      <c r="S12" s="96" t="inlineStr">
        <is>
          <t>VNSGN</t>
        </is>
      </c>
      <c r="T12" s="96" t="inlineStr">
        <is>
          <t>SGN03</t>
        </is>
      </c>
      <c r="U12" s="96" t="inlineStr">
        <is>
          <t>VNSGN</t>
        </is>
      </c>
      <c r="V12" s="161" t="inlineStr">
        <is>
          <t>2026-10-13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RTN LOGISTICS CO., LTD.</t>
        </is>
      </c>
      <c r="AB12" s="96" t="inlineStr">
        <is>
          <t>CHIA TAI SEEDS CO., LTD.</t>
        </is>
      </c>
      <c r="AC12" s="163" t="n">
        <v>3193.84</v>
      </c>
      <c r="AD12" s="163" t="n">
        <v>5393.84</v>
      </c>
      <c r="AE12" s="96" t="inlineStr">
        <is>
          <t>OK</t>
        </is>
      </c>
      <c r="AF12" s="96" t="n"/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TBKK97</t>
        </is>
      </c>
      <c r="AN12" s="96" t="inlineStr">
        <is>
          <t>Arunphat W. (Aiw)</t>
        </is>
      </c>
      <c r="AO12" s="96" t="inlineStr">
        <is>
          <t>VEGETABLE SEEDS FOR SOWING PURPOSE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Pickup : 2026-10-08, Return : 2026-10-09</t>
        </is>
      </c>
      <c r="BA12" s="97" t="inlineStr">
        <is>
          <t>SI DD.5/10/26</t>
        </is>
      </c>
      <c r="BB12" s="96" t="inlineStr">
        <is>
          <t>P</t>
        </is>
      </c>
      <c r="BC12" s="161" t="inlineStr">
        <is>
          <t>2026-10-01</t>
        </is>
      </c>
      <c r="BD12" s="161" t="inlineStr">
        <is>
          <t>2026-10-05</t>
        </is>
      </c>
      <c r="BE12" s="96" t="inlineStr">
        <is>
          <t>Y</t>
        </is>
      </c>
      <c r="BF12" s="96" t="inlineStr">
        <is>
          <t>VEGETABLE SEEDS FOR SOWING PURPOSE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BKK27</t>
        </is>
      </c>
      <c r="BL12" s="161" t="inlineStr">
        <is>
          <t>2026-10-08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BKK02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bdd@rtnlogistics.co.th</t>
        </is>
      </c>
      <c r="CJ12" s="96" t="inlineStr">
        <is>
          <t>CHIA TAI SEEDS CO.,LTD.</t>
        </is>
      </c>
      <c r="CK12" s="96" t="inlineStr">
        <is>
          <t>BRANCH OF CHIA TAI (VIET NAM)</t>
        </is>
      </c>
      <c r="CL12" s="96" t="inlineStr">
        <is>
          <t>BRANCH OF CHIA TAI (VIET NAM)</t>
        </is>
      </c>
      <c r="CM12" s="97" t="n"/>
      <c r="CN12" s="96" t="inlineStr">
        <is>
          <t>202610081700</t>
        </is>
      </c>
      <c r="CO12" s="96" t="inlineStr">
        <is>
          <t>202610091700</t>
        </is>
      </c>
      <c r="CP12" s="97" t="n"/>
      <c r="CQ12" s="96" t="inlineStr">
        <is>
          <t>S22-2301038</t>
        </is>
      </c>
      <c r="CR12" s="96" t="inlineStr">
        <is>
          <t>TH037L</t>
        </is>
      </c>
      <c r="CS12" s="96" t="inlineStr">
        <is>
          <t>RTN LOGISTICS CO., LTD.</t>
        </is>
      </c>
      <c r="CT12" s="96" t="inlineStr">
        <is>
          <t>N</t>
        </is>
      </c>
      <c r="CU12" s="97" t="n"/>
      <c r="CV12" s="97" t="n"/>
      <c r="CW12" s="161" t="inlineStr">
        <is>
          <t>2026-10-11</t>
        </is>
      </c>
      <c r="CX12" s="97" t="inlineStr">
        <is>
          <t>120991</t>
        </is>
      </c>
      <c r="CY12" s="183" t="n"/>
    </row>
    <row r="13" ht="12" customHeight="1">
      <c r="A13" s="116" t="inlineStr">
        <is>
          <t>HASLS22260801972</t>
        </is>
      </c>
      <c r="B13" s="96" t="inlineStr">
        <is>
          <t>20'x1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NTX</t>
        </is>
      </c>
      <c r="M13" s="96" t="inlineStr">
        <is>
          <t>DJCF</t>
        </is>
      </c>
      <c r="N13" s="96" t="inlineStr">
        <is>
          <t>0152N</t>
        </is>
      </c>
      <c r="O13" s="96" t="inlineStr">
        <is>
          <t>THBKK</t>
        </is>
      </c>
      <c r="P13" s="96" t="inlineStr">
        <is>
          <t>BKK02</t>
        </is>
      </c>
      <c r="Q13" s="96" t="inlineStr">
        <is>
          <t>IA</t>
        </is>
      </c>
      <c r="R13" s="161" t="inlineStr">
        <is>
          <t>2026-10-11</t>
        </is>
      </c>
      <c r="S13" s="96" t="inlineStr">
        <is>
          <t>KRINC</t>
        </is>
      </c>
      <c r="T13" s="96" t="inlineStr">
        <is>
          <t>INC07</t>
        </is>
      </c>
      <c r="U13" s="96" t="inlineStr">
        <is>
          <t>KRINC</t>
        </is>
      </c>
      <c r="V13" s="161" t="inlineStr">
        <is>
          <t>2026-10-19</t>
        </is>
      </c>
      <c r="W13" s="96" t="inlineStr">
        <is>
          <t>KR</t>
        </is>
      </c>
      <c r="X13" s="97" t="n"/>
      <c r="Y13" s="97" t="n"/>
      <c r="Z13" s="97" t="n"/>
      <c r="AA13" s="96" t="inlineStr">
        <is>
          <t>ECO LOGISTICS (THAILAND) CO., LTD.</t>
        </is>
      </c>
      <c r="AB13" s="96" t="inlineStr">
        <is>
          <t>ASIAN HONDA MOTOR CO., LTD.</t>
        </is>
      </c>
      <c r="AC13" s="163" t="n">
        <v>4657</v>
      </c>
      <c r="AD13" s="163" t="n">
        <v>6857</v>
      </c>
      <c r="AE13" s="96" t="inlineStr">
        <is>
          <t>OK</t>
        </is>
      </c>
      <c r="AF13" s="96" t="inlineStr">
        <is>
          <t>SR</t>
        </is>
      </c>
      <c r="AG13" s="97" t="n"/>
      <c r="AH13" s="96" t="inlineStr">
        <is>
          <t>CON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S1951</t>
        </is>
      </c>
      <c r="AN13" s="96" t="inlineStr">
        <is>
          <t>Lee suk hyun</t>
        </is>
      </c>
      <c r="AO13" s="96" t="inlineStr">
        <is>
          <t>SPARK IGNITION ENGINE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 xml:space="preserve">Pickup : 2026-10-07, Return : 2026-10-07 
 </t>
        </is>
      </c>
      <c r="BA13" s="97" t="inlineStr">
        <is>
          <t>container grade A</t>
        </is>
      </c>
      <c r="BB13" s="96" t="inlineStr">
        <is>
          <t>C</t>
        </is>
      </c>
      <c r="BC13" s="161" t="inlineStr">
        <is>
          <t>2026-08-24</t>
        </is>
      </c>
      <c r="BD13" s="161" t="inlineStr">
        <is>
          <t>2026-10-08</t>
        </is>
      </c>
      <c r="BE13" s="96" t="inlineStr">
        <is>
          <t>Y</t>
        </is>
      </c>
      <c r="BF13" s="96" t="inlineStr">
        <is>
          <t>AUTO PART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BKK25</t>
        </is>
      </c>
      <c r="BL13" s="161" t="inlineStr">
        <is>
          <t>2026-10-07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inlineStr">
        <is>
          <t>Y</t>
        </is>
      </c>
      <c r="CB13" s="97" t="n"/>
      <c r="CC13" s="96" t="inlineStr">
        <is>
          <t>BKK02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punika@ecosiam.com</t>
        </is>
      </c>
      <c r="CJ13" s="96" t="inlineStr">
        <is>
          <t>ECO LOGISTICS (THAILAND) CO.,LTD</t>
        </is>
      </c>
      <c r="CK13" s="96" t="inlineStr">
        <is>
          <t>ST SHIPPING CO.,LTD.</t>
        </is>
      </c>
      <c r="CL13" s="96" t="inlineStr">
        <is>
          <t>ST SHIPPING CO.,LTD.</t>
        </is>
      </c>
      <c r="CM13" s="97" t="n"/>
      <c r="CN13" s="96" t="inlineStr">
        <is>
          <t>202610081700</t>
        </is>
      </c>
      <c r="CO13" s="96" t="inlineStr">
        <is>
          <t>202610091700</t>
        </is>
      </c>
      <c r="CP13" s="97" t="n"/>
      <c r="CQ13" s="96" t="inlineStr">
        <is>
          <t>K01-2108092</t>
        </is>
      </c>
      <c r="CR13" s="96" t="inlineStr">
        <is>
          <t>BB0962</t>
        </is>
      </c>
      <c r="CS13" s="96" t="inlineStr">
        <is>
          <t>ECO LOGISTICS (THAILAND) CO., LTD.</t>
        </is>
      </c>
      <c r="CT13" s="96" t="inlineStr">
        <is>
          <t>N</t>
        </is>
      </c>
      <c r="CU13" s="97" t="n"/>
      <c r="CV13" s="97" t="n"/>
      <c r="CW13" s="161" t="inlineStr">
        <is>
          <t>2026-10-11</t>
        </is>
      </c>
      <c r="CX13" s="97" t="n"/>
      <c r="CY13" s="183" t="n"/>
    </row>
    <row r="14" ht="12" customHeight="1">
      <c r="A14" s="116" t="inlineStr">
        <is>
          <t>HASLS22261000264</t>
        </is>
      </c>
      <c r="B14" s="96" t="inlineStr">
        <is>
          <t>20'x1</t>
        </is>
      </c>
      <c r="C14" s="97" t="n">
        <v>0</v>
      </c>
      <c r="D14" s="97" t="n">
        <v>0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NTX</t>
        </is>
      </c>
      <c r="M14" s="96" t="inlineStr">
        <is>
          <t>DJCF</t>
        </is>
      </c>
      <c r="N14" s="96" t="inlineStr">
        <is>
          <t>0152N</t>
        </is>
      </c>
      <c r="O14" s="96" t="inlineStr">
        <is>
          <t>THBKK</t>
        </is>
      </c>
      <c r="P14" s="96" t="inlineStr">
        <is>
          <t>BKK02</t>
        </is>
      </c>
      <c r="Q14" s="96" t="inlineStr">
        <is>
          <t>IA</t>
        </is>
      </c>
      <c r="R14" s="161" t="inlineStr">
        <is>
          <t>2026-10-11</t>
        </is>
      </c>
      <c r="S14" s="96" t="inlineStr">
        <is>
          <t>KRINC</t>
        </is>
      </c>
      <c r="T14" s="96" t="inlineStr">
        <is>
          <t>INC07</t>
        </is>
      </c>
      <c r="U14" s="96" t="inlineStr">
        <is>
          <t>KRINC</t>
        </is>
      </c>
      <c r="V14" s="161" t="inlineStr">
        <is>
          <t>2026-10-19</t>
        </is>
      </c>
      <c r="W14" s="96" t="inlineStr">
        <is>
          <t>KR</t>
        </is>
      </c>
      <c r="X14" s="97" t="n"/>
      <c r="Y14" s="97" t="n"/>
      <c r="Z14" s="97" t="n"/>
      <c r="AA14" s="96" t="inlineStr">
        <is>
          <t>C.H. ROBINSON FREIGHT SERVICES (THAILAND) LIMITED</t>
        </is>
      </c>
      <c r="AB14" s="96" t="inlineStr">
        <is>
          <t>IPD PACKAGING LTD.</t>
        </is>
      </c>
      <c r="AC14" s="163" t="n">
        <v>1800</v>
      </c>
      <c r="AD14" s="163" t="n">
        <v>4000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inlineStr">
        <is>
          <t>UNITHAI CONTAINER TERMINAL CFS</t>
        </is>
      </c>
      <c r="AK14" s="97" t="n"/>
      <c r="AL14" s="97" t="n"/>
      <c r="AM14" s="96" t="inlineStr">
        <is>
          <t>TH0011</t>
        </is>
      </c>
      <c r="AN14" s="96" t="inlineStr">
        <is>
          <t>Nannaapust Sukporntaweewat</t>
        </is>
      </c>
      <c r="AO14" s="96" t="inlineStr">
        <is>
          <t>BRAND EMPTY JEWELRY BOXES/ HS CODE: 4202.99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STUFFING AT UNITHAI DD.08/10/2026 
CLS TIME DD.09/10/2026 @ 17.00 *1ST CFS DD.08/10/2026*</t>
        </is>
      </c>
      <c r="BA14" s="97" t="inlineStr">
        <is>
          <t>SEA WAYBILL FREIGHT PREPAID PLS SEND DRAFT BL TO GF-OPS-AS-TH-BKK-OX-NONUSA@CHROBINSON.COM</t>
        </is>
      </c>
      <c r="BB14" s="96" t="inlineStr">
        <is>
          <t>P</t>
        </is>
      </c>
      <c r="BC14" s="161" t="inlineStr">
        <is>
          <t>2026-10-05</t>
        </is>
      </c>
      <c r="BD14" s="161" t="inlineStr">
        <is>
          <t>2026-10-06</t>
        </is>
      </c>
      <c r="BE14" s="96" t="inlineStr">
        <is>
          <t>Y</t>
        </is>
      </c>
      <c r="BF14" s="96" t="inlineStr">
        <is>
          <t>EMPTY JEWELRY BOXES / HS. 420299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BKK02</t>
        </is>
      </c>
      <c r="BL14" s="161" t="inlineStr">
        <is>
          <t>2026-10-08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BKK02</t>
        </is>
      </c>
      <c r="CD14" s="97" t="n"/>
      <c r="CE14" s="97" t="n"/>
      <c r="CF14" s="96" t="inlineStr">
        <is>
          <t>0 Teu</t>
        </is>
      </c>
      <c r="CG14" s="96" t="inlineStr">
        <is>
          <t>CFS/CY</t>
        </is>
      </c>
      <c r="CH14" s="97" t="n"/>
      <c r="CI14" s="96" t="inlineStr">
        <is>
          <t>gf-ops-as-th-bkk-ox-nonusa@chrobinson.com</t>
        </is>
      </c>
      <c r="CJ14" s="96" t="inlineStr">
        <is>
          <t>C.H. ROBINSON FREIGHT SERVICES</t>
        </is>
      </c>
      <c r="CK14" s="96" t="inlineStr">
        <is>
          <t>C.H. ROBINSON FREIGHT</t>
        </is>
      </c>
      <c r="CL14" s="96" t="inlineStr">
        <is>
          <t>C.H. ROBINSON FREIGHT</t>
        </is>
      </c>
      <c r="CM14" s="97" t="n"/>
      <c r="CN14" s="96" t="inlineStr">
        <is>
          <t>202610081700</t>
        </is>
      </c>
      <c r="CO14" s="96" t="inlineStr">
        <is>
          <t>202610091700</t>
        </is>
      </c>
      <c r="CP14" s="97" t="n"/>
      <c r="CQ14" s="96" t="inlineStr">
        <is>
          <t>S22-2310003</t>
        </is>
      </c>
      <c r="CR14" s="96" t="inlineStr">
        <is>
          <t>THTI0X</t>
        </is>
      </c>
      <c r="CS14" s="96" t="inlineStr">
        <is>
          <t>C.H. ROBINSON FREIGHT SERVICES (THAILAND) LIMITED</t>
        </is>
      </c>
      <c r="CT14" s="96" t="inlineStr">
        <is>
          <t>N</t>
        </is>
      </c>
      <c r="CU14" s="97" t="n"/>
      <c r="CV14" s="97" t="n"/>
      <c r="CW14" s="161" t="inlineStr">
        <is>
          <t>2026-10-11</t>
        </is>
      </c>
      <c r="CX14" s="97" t="n"/>
      <c r="CY14" s="183" t="n"/>
    </row>
    <row r="15" ht="12" customHeight="1">
      <c r="A15" s="116" t="inlineStr">
        <is>
          <t>HASLS22260901354</t>
        </is>
      </c>
      <c r="B15" s="96" t="inlineStr">
        <is>
          <t>20'x1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1</v>
      </c>
      <c r="H15" s="97" t="n">
        <v>0</v>
      </c>
      <c r="I15" s="97" t="n">
        <v>0</v>
      </c>
      <c r="J15" s="97" t="n">
        <v>1</v>
      </c>
      <c r="K15" s="96" t="inlineStr">
        <is>
          <t>N</t>
        </is>
      </c>
      <c r="L15" s="96" t="inlineStr">
        <is>
          <t>NTX</t>
        </is>
      </c>
      <c r="M15" s="96" t="inlineStr">
        <is>
          <t>DJCF</t>
        </is>
      </c>
      <c r="N15" s="96" t="inlineStr">
        <is>
          <t>0152N</t>
        </is>
      </c>
      <c r="O15" s="96" t="inlineStr">
        <is>
          <t>THBKK</t>
        </is>
      </c>
      <c r="P15" s="96" t="inlineStr">
        <is>
          <t>BKK02</t>
        </is>
      </c>
      <c r="Q15" s="96" t="inlineStr">
        <is>
          <t>IA</t>
        </is>
      </c>
      <c r="R15" s="161" t="inlineStr">
        <is>
          <t>2026-10-11</t>
        </is>
      </c>
      <c r="S15" s="96" t="inlineStr">
        <is>
          <t>KRINC</t>
        </is>
      </c>
      <c r="T15" s="96" t="inlineStr">
        <is>
          <t>INC07</t>
        </is>
      </c>
      <c r="U15" s="96" t="inlineStr">
        <is>
          <t>KRINC</t>
        </is>
      </c>
      <c r="V15" s="161" t="inlineStr">
        <is>
          <t>2026-10-19</t>
        </is>
      </c>
      <c r="W15" s="96" t="inlineStr">
        <is>
          <t>KR</t>
        </is>
      </c>
      <c r="X15" s="97" t="n"/>
      <c r="Y15" s="97" t="n"/>
      <c r="Z15" s="97" t="n"/>
      <c r="AA15" s="96" t="inlineStr">
        <is>
          <t>KORCHINA FREIGHT (THAILAND) CO., LTD.</t>
        </is>
      </c>
      <c r="AB15" s="96" t="inlineStr">
        <is>
          <t>ORIENTAL FOODS LIMITED PARTNERSHIP</t>
        </is>
      </c>
      <c r="AC15" s="163" t="n">
        <v>18200</v>
      </c>
      <c r="AD15" s="163" t="n">
        <v>20400</v>
      </c>
      <c r="AE15" s="96" t="inlineStr">
        <is>
          <t>OK</t>
        </is>
      </c>
      <c r="AF15" s="96" t="inlineStr">
        <is>
          <t>SR</t>
        </is>
      </c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TH0031</t>
        </is>
      </c>
      <c r="AN15" s="96" t="inlineStr">
        <is>
          <t>Pattarapong Saengthong</t>
        </is>
      </c>
      <c r="AO15" s="96" t="inlineStr">
        <is>
          <t>RICE STICK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>Pickup : 2026-10-07, Return : 2026-10-08
CLS TIME DD.10/10/20206 @12.00</t>
        </is>
      </c>
      <c r="BA15" s="97" t="inlineStr">
        <is>
          <t xml:space="preserve">NOT CHANGE VSL MAINTAIN VSL DJCF 0152N </t>
        </is>
      </c>
      <c r="BB15" s="96" t="inlineStr">
        <is>
          <t>P</t>
        </is>
      </c>
      <c r="BC15" s="161" t="inlineStr">
        <is>
          <t>2026-09-16</t>
        </is>
      </c>
      <c r="BD15" s="161" t="inlineStr">
        <is>
          <t>2026-10-09</t>
        </is>
      </c>
      <c r="BE15" s="96" t="inlineStr">
        <is>
          <t>Y</t>
        </is>
      </c>
      <c r="BF15" s="96" t="inlineStr">
        <is>
          <t>RICE STICK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BKK25</t>
        </is>
      </c>
      <c r="BL15" s="161" t="inlineStr">
        <is>
          <t>2026-10-07</t>
        </is>
      </c>
      <c r="BM15" s="127" t="n"/>
      <c r="BN15" s="127" t="n">
        <v>1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BKK02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seaexport4@korchina.co.th;seaexport2@korchina.co.th;seaexport@korchina.co.th;seaexport3@korchina.co.th</t>
        </is>
      </c>
      <c r="CJ15" s="96" t="inlineStr">
        <is>
          <t>KORCHINA FREIGHT(THAILAND)CO.,LTD.</t>
        </is>
      </c>
      <c r="CK15" s="96" t="inlineStr">
        <is>
          <t>PARKS WAY CO.,LTD.</t>
        </is>
      </c>
      <c r="CL15" s="96" t="inlineStr">
        <is>
          <t>PARKS WAY CO.,LTD.</t>
        </is>
      </c>
      <c r="CM15" s="97" t="n"/>
      <c r="CN15" s="96" t="inlineStr">
        <is>
          <t>202610081700</t>
        </is>
      </c>
      <c r="CO15" s="96" t="inlineStr">
        <is>
          <t>202610091700</t>
        </is>
      </c>
      <c r="CP15" s="97" t="n"/>
      <c r="CQ15" s="96" t="inlineStr">
        <is>
          <t>S22-2308041</t>
        </is>
      </c>
      <c r="CR15" s="96" t="inlineStr">
        <is>
          <t>THTKT0</t>
        </is>
      </c>
      <c r="CS15" s="96" t="inlineStr">
        <is>
          <t>KORCHINA FREIGHT (THAILAND) CO., LTD.</t>
        </is>
      </c>
      <c r="CT15" s="96" t="inlineStr">
        <is>
          <t>N</t>
        </is>
      </c>
      <c r="CU15" s="97" t="n"/>
      <c r="CV15" s="97" t="n"/>
      <c r="CW15" s="161" t="inlineStr">
        <is>
          <t>2026-10-11</t>
        </is>
      </c>
      <c r="CX15" s="97" t="n"/>
      <c r="CY15" s="183" t="n"/>
    </row>
    <row r="16" ht="12" customHeight="1">
      <c r="A16" s="116" t="inlineStr">
        <is>
          <t>HASLS22260902065</t>
        </is>
      </c>
      <c r="B16" s="96" t="inlineStr">
        <is>
          <t>20'x1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NTX</t>
        </is>
      </c>
      <c r="M16" s="96" t="inlineStr">
        <is>
          <t>DJCF</t>
        </is>
      </c>
      <c r="N16" s="96" t="inlineStr">
        <is>
          <t>0152N</t>
        </is>
      </c>
      <c r="O16" s="96" t="inlineStr">
        <is>
          <t>THBKK</t>
        </is>
      </c>
      <c r="P16" s="96" t="inlineStr">
        <is>
          <t>BKK02</t>
        </is>
      </c>
      <c r="Q16" s="96" t="inlineStr">
        <is>
          <t>IA</t>
        </is>
      </c>
      <c r="R16" s="161" t="inlineStr">
        <is>
          <t>2026-10-11</t>
        </is>
      </c>
      <c r="S16" s="96" t="inlineStr">
        <is>
          <t>KRINC</t>
        </is>
      </c>
      <c r="T16" s="96" t="inlineStr">
        <is>
          <t>INC07</t>
        </is>
      </c>
      <c r="U16" s="96" t="inlineStr">
        <is>
          <t>KRINC</t>
        </is>
      </c>
      <c r="V16" s="161" t="inlineStr">
        <is>
          <t>2026-10-19</t>
        </is>
      </c>
      <c r="W16" s="96" t="inlineStr">
        <is>
          <t>KR</t>
        </is>
      </c>
      <c r="X16" s="97" t="n"/>
      <c r="Y16" s="97" t="n"/>
      <c r="Z16" s="97" t="n"/>
      <c r="AA16" s="96" t="inlineStr">
        <is>
          <t>CPS SHIPPING &amp; LOGISTICS CO., LTD.</t>
        </is>
      </c>
      <c r="AB16" s="96" t="inlineStr">
        <is>
          <t>THE BEAN LATEX THAL CO.,LTD</t>
        </is>
      </c>
      <c r="AC16" s="163" t="n">
        <v>2592</v>
      </c>
      <c r="AD16" s="163" t="n">
        <v>4792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TBKK97</t>
        </is>
      </c>
      <c r="AN16" s="96" t="inlineStr">
        <is>
          <t>Arunphat W. (Aiw)</t>
        </is>
      </c>
      <c r="AO16" s="96" t="inlineStr">
        <is>
          <t>NATURAL LATEX FOAM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>Pickup : 2026-10-07, Return : 2026-10-07</t>
        </is>
      </c>
      <c r="BA16" s="97" t="inlineStr">
        <is>
          <t>P'KUNG CFM 23/09Request container no smell no damage.</t>
        </is>
      </c>
      <c r="BB16" s="96" t="inlineStr">
        <is>
          <t>P</t>
        </is>
      </c>
      <c r="BC16" s="161" t="inlineStr">
        <is>
          <t>2026-09-22</t>
        </is>
      </c>
      <c r="BD16" s="161" t="inlineStr">
        <is>
          <t>2026-10-06</t>
        </is>
      </c>
      <c r="BE16" s="96" t="inlineStr">
        <is>
          <t>Y</t>
        </is>
      </c>
      <c r="BF16" s="96" t="inlineStr">
        <is>
          <t>NATURAL LATEX FOAM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BKK27</t>
        </is>
      </c>
      <c r="BL16" s="161" t="inlineStr">
        <is>
          <t>2026-10-07</t>
        </is>
      </c>
      <c r="BM16" s="127" t="n"/>
      <c r="BN16" s="127" t="n">
        <v>1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BKK02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bdgroup@cpsl.co.th</t>
        </is>
      </c>
      <c r="CJ16" s="96" t="inlineStr">
        <is>
          <t>CPS SHIPPING &amp; LOGISTICS CO., LTD.</t>
        </is>
      </c>
      <c r="CK16" s="96" t="inlineStr">
        <is>
          <t>HANAREUM SHIPPING &amp; AIR CO., LTD</t>
        </is>
      </c>
      <c r="CL16" s="96" t="inlineStr">
        <is>
          <t>HANAREUM SHIPPING &amp; AIR CO., LTD</t>
        </is>
      </c>
      <c r="CM16" s="97" t="n"/>
      <c r="CN16" s="96" t="inlineStr">
        <is>
          <t>202610081700</t>
        </is>
      </c>
      <c r="CO16" s="96" t="inlineStr">
        <is>
          <t>202610091700</t>
        </is>
      </c>
      <c r="CP16" s="97" t="n"/>
      <c r="CQ16" s="96" t="inlineStr">
        <is>
          <t>S22-2512008</t>
        </is>
      </c>
      <c r="CR16" s="96" t="inlineStr">
        <is>
          <t>THTKTD</t>
        </is>
      </c>
      <c r="CS16" s="96" t="inlineStr">
        <is>
          <t>CPS SHIPPING &amp; LOGISTICS CO., LTD.</t>
        </is>
      </c>
      <c r="CT16" s="96" t="inlineStr">
        <is>
          <t>N</t>
        </is>
      </c>
      <c r="CU16" s="97" t="n"/>
      <c r="CV16" s="97" t="n"/>
      <c r="CW16" s="161" t="inlineStr">
        <is>
          <t>2026-10-10</t>
        </is>
      </c>
      <c r="CX16" s="97" t="n"/>
      <c r="CY16" s="183" t="n"/>
    </row>
    <row r="17" ht="12" customHeight="1">
      <c r="A17" s="116" t="inlineStr">
        <is>
          <t>HASLS22260900960</t>
        </is>
      </c>
      <c r="B17" s="96" t="inlineStr">
        <is>
          <t>20'x1</t>
        </is>
      </c>
      <c r="C17" s="97" t="n">
        <v>1</v>
      </c>
      <c r="D17" s="97" t="n">
        <v>1</v>
      </c>
      <c r="E17" s="97" t="n"/>
      <c r="F17" s="97" t="n">
        <v>0</v>
      </c>
      <c r="G17" s="97" t="n">
        <v>1</v>
      </c>
      <c r="H17" s="97" t="n">
        <v>0</v>
      </c>
      <c r="I17" s="97" t="n">
        <v>0</v>
      </c>
      <c r="J17" s="97" t="n">
        <v>1</v>
      </c>
      <c r="K17" s="96" t="inlineStr">
        <is>
          <t>N</t>
        </is>
      </c>
      <c r="L17" s="96" t="inlineStr">
        <is>
          <t>NTX</t>
        </is>
      </c>
      <c r="M17" s="96" t="inlineStr">
        <is>
          <t>DJCF</t>
        </is>
      </c>
      <c r="N17" s="96" t="inlineStr">
        <is>
          <t>0152N</t>
        </is>
      </c>
      <c r="O17" s="96" t="inlineStr">
        <is>
          <t>THBKK</t>
        </is>
      </c>
      <c r="P17" s="96" t="inlineStr">
        <is>
          <t>BKK02</t>
        </is>
      </c>
      <c r="Q17" s="96" t="inlineStr">
        <is>
          <t>IA</t>
        </is>
      </c>
      <c r="R17" s="161" t="inlineStr">
        <is>
          <t>2026-10-11</t>
        </is>
      </c>
      <c r="S17" s="96" t="inlineStr">
        <is>
          <t>VNSGN</t>
        </is>
      </c>
      <c r="T17" s="96" t="inlineStr">
        <is>
          <t>SGN03</t>
        </is>
      </c>
      <c r="U17" s="96" t="inlineStr">
        <is>
          <t>VNSGN</t>
        </is>
      </c>
      <c r="V17" s="161" t="inlineStr">
        <is>
          <t>2026-10-13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INITIAL FREIGHT CO., LTD.</t>
        </is>
      </c>
      <c r="AB17" s="96" t="inlineStr">
        <is>
          <t>THAI SIN RUBBER INDUSTRY CO., LTD.</t>
        </is>
      </c>
      <c r="AC17" s="163" t="n">
        <v>4608.83</v>
      </c>
      <c r="AD17" s="163" t="n">
        <v>6808.83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TBKK55</t>
        </is>
      </c>
      <c r="AN17" s="96" t="inlineStr">
        <is>
          <t>Vilaiporn</t>
        </is>
      </c>
      <c r="AO17" s="96" t="inlineStr">
        <is>
          <t>TIRE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Pickup : 2026-10-06, Return : 2026-10-07</t>
        </is>
      </c>
      <c r="BA17" s="97" t="inlineStr">
        <is>
          <t>FM SWSP 2609N 17/09</t>
        </is>
      </c>
      <c r="BB17" s="96" t="inlineStr">
        <is>
          <t>P</t>
        </is>
      </c>
      <c r="BC17" s="161" t="inlineStr">
        <is>
          <t>2026-09-11</t>
        </is>
      </c>
      <c r="BD17" s="161" t="inlineStr">
        <is>
          <t>2026-10-09</t>
        </is>
      </c>
      <c r="BE17" s="96" t="inlineStr">
        <is>
          <t>Y</t>
        </is>
      </c>
      <c r="BF17" s="96" t="inlineStr">
        <is>
          <t>MOTORCYCLE TYRES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BKK25</t>
        </is>
      </c>
      <c r="BL17" s="161" t="inlineStr">
        <is>
          <t>2026-10-06</t>
        </is>
      </c>
      <c r="BM17" s="127" t="n"/>
      <c r="BN17" s="127" t="n">
        <v>1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BKK02</t>
        </is>
      </c>
      <c r="CD17" s="97" t="n"/>
      <c r="CE17" s="97" t="inlineStr">
        <is>
          <t>CHECK</t>
        </is>
      </c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doc@initialfreight.com</t>
        </is>
      </c>
      <c r="CJ17" s="96" t="inlineStr">
        <is>
          <t>INITIAL FREIGHT CO.,LTD.</t>
        </is>
      </c>
      <c r="CK17" s="96" t="inlineStr">
        <is>
          <t>BEE LOGISTICS CORPORATION</t>
        </is>
      </c>
      <c r="CL17" s="96" t="inlineStr">
        <is>
          <t>BEE LOGISTICS CORPORATION</t>
        </is>
      </c>
      <c r="CM17" s="97" t="n"/>
      <c r="CN17" s="96" t="inlineStr">
        <is>
          <t>202610081700</t>
        </is>
      </c>
      <c r="CO17" s="96" t="inlineStr">
        <is>
          <t>202610091700</t>
        </is>
      </c>
      <c r="CP17" s="97" t="n"/>
      <c r="CQ17" s="96" t="inlineStr">
        <is>
          <t>S19-2211022</t>
        </is>
      </c>
      <c r="CR17" s="96" t="inlineStr">
        <is>
          <t>TH04HH</t>
        </is>
      </c>
      <c r="CS17" s="96" t="inlineStr">
        <is>
          <t>INITIAL FREIGHT CO., LTD.</t>
        </is>
      </c>
      <c r="CT17" s="96" t="inlineStr">
        <is>
          <t>N</t>
        </is>
      </c>
      <c r="CU17" s="97" t="n"/>
      <c r="CV17" s="97" t="n"/>
      <c r="CW17" s="161" t="inlineStr">
        <is>
          <t>2026-10-11</t>
        </is>
      </c>
      <c r="CX17" s="97" t="inlineStr">
        <is>
          <t>401140</t>
        </is>
      </c>
      <c r="CY17" s="183" t="n"/>
    </row>
    <row r="18" ht="12" customHeight="1">
      <c r="A18" s="116" t="inlineStr">
        <is>
          <t>HASLS22261000197</t>
        </is>
      </c>
      <c r="B18" s="96" t="inlineStr">
        <is>
          <t>20'x1</t>
        </is>
      </c>
      <c r="C18" s="97" t="n">
        <v>1</v>
      </c>
      <c r="D18" s="97" t="n">
        <v>1</v>
      </c>
      <c r="E18" s="97" t="n"/>
      <c r="F18" s="97" t="n">
        <v>0</v>
      </c>
      <c r="G18" s="97" t="n">
        <v>1</v>
      </c>
      <c r="H18" s="97" t="n">
        <v>0</v>
      </c>
      <c r="I18" s="97" t="n">
        <v>0</v>
      </c>
      <c r="J18" s="97" t="n">
        <v>1</v>
      </c>
      <c r="K18" s="96" t="inlineStr">
        <is>
          <t>N</t>
        </is>
      </c>
      <c r="L18" s="96" t="inlineStr">
        <is>
          <t>NTX</t>
        </is>
      </c>
      <c r="M18" s="96" t="inlineStr">
        <is>
          <t>DJCF</t>
        </is>
      </c>
      <c r="N18" s="96" t="inlineStr">
        <is>
          <t>0152N</t>
        </is>
      </c>
      <c r="O18" s="96" t="inlineStr">
        <is>
          <t>THBKK</t>
        </is>
      </c>
      <c r="P18" s="96" t="inlineStr">
        <is>
          <t>BKK02</t>
        </is>
      </c>
      <c r="Q18" s="96" t="inlineStr">
        <is>
          <t>IA</t>
        </is>
      </c>
      <c r="R18" s="161" t="inlineStr">
        <is>
          <t>2026-10-11</t>
        </is>
      </c>
      <c r="S18" s="96" t="inlineStr">
        <is>
          <t>VNSGN</t>
        </is>
      </c>
      <c r="T18" s="96" t="inlineStr">
        <is>
          <t>SGN03</t>
        </is>
      </c>
      <c r="U18" s="96" t="inlineStr">
        <is>
          <t>VNSGN</t>
        </is>
      </c>
      <c r="V18" s="161" t="inlineStr">
        <is>
          <t>2026-10-13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SCANWELL LOGISTICS (THAILAND) CO., LTD.</t>
        </is>
      </c>
      <c r="AB18" s="96" t="inlineStr">
        <is>
          <t>FOOD GRAVITY CO.,LTD.</t>
        </is>
      </c>
      <c r="AC18" s="163" t="n">
        <v>10465.86</v>
      </c>
      <c r="AD18" s="163" t="n">
        <v>12665.86</v>
      </c>
      <c r="AE18" s="96" t="inlineStr">
        <is>
          <t>OK</t>
        </is>
      </c>
      <c r="AF18" s="96" t="inlineStr">
        <is>
          <t>SR</t>
        </is>
      </c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TH0042</t>
        </is>
      </c>
      <c r="AN18" s="96" t="inlineStr">
        <is>
          <t>Sukunpoj Damrongying</t>
        </is>
      </c>
      <c r="AO18" s="96" t="inlineStr">
        <is>
          <t>FLAVOURED SYRUP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>Pickup : 2026-10-06, Return : 2026-10-07</t>
        </is>
      </c>
      <c r="BA18" s="97" t="inlineStr">
        <is>
          <t>S/FOOD GRAVITY CO.,LTD. Pickup : 2026-10-06,Return : 2026-10-07- REQ Freetime at POD :  Please apply 21 DEM + 7 DET free time - REQ WAIVE SURRENDER BL- REQUEST FOOD GRADE CONTAINER, DRY AND CLEAN CONTAINER</t>
        </is>
      </c>
      <c r="BB18" s="96" t="inlineStr">
        <is>
          <t>P</t>
        </is>
      </c>
      <c r="BC18" s="161" t="inlineStr">
        <is>
          <t>2026-10-02</t>
        </is>
      </c>
      <c r="BD18" s="161" t="inlineStr">
        <is>
          <t>2026-10-02</t>
        </is>
      </c>
      <c r="BE18" s="96" t="inlineStr">
        <is>
          <t>Y</t>
        </is>
      </c>
      <c r="BF18" s="96" t="inlineStr">
        <is>
          <t>FLAVOURED SYRUP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BKK27</t>
        </is>
      </c>
      <c r="BL18" s="161" t="inlineStr">
        <is>
          <t>2026-10-06</t>
        </is>
      </c>
      <c r="BM18" s="127" t="n"/>
      <c r="BN18" s="127" t="n">
        <v>1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BKK02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jiraprapapang@scanwell.com</t>
        </is>
      </c>
      <c r="CJ18" s="96" t="inlineStr">
        <is>
          <t>SCANWELL LOGISTICS (THAILAND)</t>
        </is>
      </c>
      <c r="CK18" s="96" t="inlineStr">
        <is>
          <t>#0102705312-001#SCANWELL LOGISTICS</t>
        </is>
      </c>
      <c r="CL18" s="96" t="inlineStr">
        <is>
          <t>#0102705312-001#SCANWELL LOGISTICS</t>
        </is>
      </c>
      <c r="CM18" s="97" t="n"/>
      <c r="CN18" s="96" t="inlineStr">
        <is>
          <t>202610081700</t>
        </is>
      </c>
      <c r="CO18" s="96" t="inlineStr">
        <is>
          <t>202610091700</t>
        </is>
      </c>
      <c r="CP18" s="97" t="n"/>
      <c r="CQ18" s="96" t="inlineStr">
        <is>
          <t>S22-2306006</t>
        </is>
      </c>
      <c r="CR18" s="96" t="inlineStr">
        <is>
          <t>BB0720</t>
        </is>
      </c>
      <c r="CS18" s="96" t="inlineStr">
        <is>
          <t>SCANWELL LOGISTICS (THAILAND) CO., LTD.</t>
        </is>
      </c>
      <c r="CT18" s="96" t="inlineStr">
        <is>
          <t>N</t>
        </is>
      </c>
      <c r="CU18" s="97" t="n"/>
      <c r="CV18" s="97" t="n"/>
      <c r="CW18" s="161" t="inlineStr">
        <is>
          <t>2026-10-11</t>
        </is>
      </c>
      <c r="CX18" s="97" t="inlineStr">
        <is>
          <t>210690</t>
        </is>
      </c>
      <c r="CY18" s="183" t="n"/>
    </row>
    <row r="19" ht="12" customHeight="1">
      <c r="A19" s="116" t="inlineStr">
        <is>
          <t>HASLS22260902672</t>
        </is>
      </c>
      <c r="B19" s="96" t="inlineStr">
        <is>
          <t>20'x1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1</v>
      </c>
      <c r="H19" s="97" t="n">
        <v>0</v>
      </c>
      <c r="I19" s="97" t="n">
        <v>0</v>
      </c>
      <c r="J19" s="97" t="n">
        <v>1</v>
      </c>
      <c r="K19" s="96" t="inlineStr">
        <is>
          <t>N</t>
        </is>
      </c>
      <c r="L19" s="96" t="inlineStr">
        <is>
          <t>NTX</t>
        </is>
      </c>
      <c r="M19" s="96" t="inlineStr">
        <is>
          <t>DJCF</t>
        </is>
      </c>
      <c r="N19" s="96" t="inlineStr">
        <is>
          <t>0152N</t>
        </is>
      </c>
      <c r="O19" s="96" t="inlineStr">
        <is>
          <t>THBKK</t>
        </is>
      </c>
      <c r="P19" s="96" t="inlineStr">
        <is>
          <t>BKK02</t>
        </is>
      </c>
      <c r="Q19" s="96" t="inlineStr">
        <is>
          <t>IA</t>
        </is>
      </c>
      <c r="R19" s="161" t="inlineStr">
        <is>
          <t>2026-10-11</t>
        </is>
      </c>
      <c r="S19" s="96" t="inlineStr">
        <is>
          <t>RUVVO</t>
        </is>
      </c>
      <c r="T19" s="96" t="inlineStr">
        <is>
          <t>VVO01</t>
        </is>
      </c>
      <c r="U19" s="96" t="inlineStr">
        <is>
          <t>RUVVO</t>
        </is>
      </c>
      <c r="V19" s="161" t="inlineStr">
        <is>
          <t>2026-10-28</t>
        </is>
      </c>
      <c r="W19" s="96" t="inlineStr">
        <is>
          <t>RU</t>
        </is>
      </c>
      <c r="X19" s="97" t="n"/>
      <c r="Y19" s="97" t="inlineStr">
        <is>
          <t>PUS05</t>
        </is>
      </c>
      <c r="Z19" s="97" t="inlineStr">
        <is>
          <t>KRPUS</t>
        </is>
      </c>
      <c r="AA19" s="96" t="inlineStr">
        <is>
          <t>FREIGHT LINKS EXPRESS (THAILAND) CO., LTD.</t>
        </is>
      </c>
      <c r="AB19" s="96" t="inlineStr">
        <is>
          <t>SPK MOTORPARTS CO., LTD.</t>
        </is>
      </c>
      <c r="AC19" s="163" t="n">
        <v>5266.8</v>
      </c>
      <c r="AD19" s="163" t="n">
        <v>7466.8</v>
      </c>
      <c r="AE19" s="96" t="inlineStr">
        <is>
          <t>OK</t>
        </is>
      </c>
      <c r="AF19" s="96" t="inlineStr">
        <is>
          <t>SR</t>
        </is>
      </c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TBKK28</t>
        </is>
      </c>
      <c r="AN19" s="96" t="inlineStr">
        <is>
          <t>Nustsireerach</t>
        </is>
      </c>
      <c r="AO19" s="96" t="inlineStr">
        <is>
          <t>AUTO PART</t>
        </is>
      </c>
      <c r="AP19" s="96" t="inlineStr">
        <is>
          <t>T/S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>DJCF/0152N/10/22[FIX] Pickup : 2026-10-06, Return : 2026-10-07</t>
        </is>
      </c>
      <c r="BA19" s="97" t="inlineStr">
        <is>
          <t>ACTUAL SHIPPER : SPK MOTORPARTS CO., LTD.CY : 06/10 // RTN : 07/10</t>
        </is>
      </c>
      <c r="BB19" s="96" t="inlineStr">
        <is>
          <t>P</t>
        </is>
      </c>
      <c r="BC19" s="161" t="inlineStr">
        <is>
          <t>2026-09-29</t>
        </is>
      </c>
      <c r="BD19" s="161" t="inlineStr">
        <is>
          <t>2026-10-08</t>
        </is>
      </c>
      <c r="BE19" s="96" t="inlineStr">
        <is>
          <t>Y</t>
        </is>
      </c>
      <c r="BF19" s="96" t="inlineStr">
        <is>
          <t>AUTO PART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BKK27</t>
        </is>
      </c>
      <c r="BL19" s="161" t="inlineStr">
        <is>
          <t>2026-10-06</t>
        </is>
      </c>
      <c r="BM19" s="127" t="n"/>
      <c r="BN19" s="127" t="n">
        <v>1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>
        <v>4</v>
      </c>
      <c r="CA19" s="96" t="inlineStr">
        <is>
          <t>Y</t>
        </is>
      </c>
      <c r="CB19" s="97" t="n"/>
      <c r="CC19" s="96" t="inlineStr">
        <is>
          <t>BKK02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inlineStr">
        <is>
          <t>POL: THBKK [DJCF/0152N]; T/S(1st): KRPUS [SDTR/2630N]; POD: RUVVO [/]</t>
        </is>
      </c>
      <c r="CI19" s="96" t="inlineStr">
        <is>
          <t>oversea@freightlinks.co.th</t>
        </is>
      </c>
      <c r="CJ19" s="96" t="inlineStr">
        <is>
          <t>SPK MOTORPARTS CO., LTD.</t>
        </is>
      </c>
      <c r="CK19" s="96" t="inlineStr">
        <is>
          <t>MEGATEX TRADING CO LTD</t>
        </is>
      </c>
      <c r="CL19" s="96" t="inlineStr">
        <is>
          <t>LLC "TIS LOGISTIC"</t>
        </is>
      </c>
      <c r="CM19" s="97" t="n"/>
      <c r="CN19" s="96" t="inlineStr">
        <is>
          <t>202610081700</t>
        </is>
      </c>
      <c r="CO19" s="96" t="inlineStr">
        <is>
          <t>202610091700</t>
        </is>
      </c>
      <c r="CP19" s="97" t="n"/>
      <c r="CQ19" s="96" t="inlineStr">
        <is>
          <t>S19-2308006</t>
        </is>
      </c>
      <c r="CR19" s="96" t="inlineStr">
        <is>
          <t>TH05MY</t>
        </is>
      </c>
      <c r="CS19" s="96" t="inlineStr">
        <is>
          <t>FREIGHT LINKS EXPRESS (THAILAND) CO., LTD.</t>
        </is>
      </c>
      <c r="CT19" s="96" t="inlineStr">
        <is>
          <t>N</t>
        </is>
      </c>
      <c r="CU19" s="97" t="n"/>
      <c r="CV19" s="97" t="n"/>
      <c r="CW19" s="161" t="inlineStr">
        <is>
          <t>2026-10-11</t>
        </is>
      </c>
      <c r="CX19" s="97" t="inlineStr">
        <is>
          <t>848410</t>
        </is>
      </c>
      <c r="CY19" s="183" t="n"/>
    </row>
    <row r="20" ht="12" customHeight="1">
      <c r="A20" s="116" t="inlineStr">
        <is>
          <t>HASLS22260901078</t>
        </is>
      </c>
      <c r="B20" s="96" t="inlineStr">
        <is>
          <t>20'x1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1</v>
      </c>
      <c r="H20" s="97" t="n">
        <v>0</v>
      </c>
      <c r="I20" s="97" t="n">
        <v>0</v>
      </c>
      <c r="J20" s="97" t="n">
        <v>1</v>
      </c>
      <c r="K20" s="96" t="inlineStr">
        <is>
          <t>N</t>
        </is>
      </c>
      <c r="L20" s="96" t="inlineStr">
        <is>
          <t>NTX</t>
        </is>
      </c>
      <c r="M20" s="96" t="inlineStr">
        <is>
          <t>DJCF</t>
        </is>
      </c>
      <c r="N20" s="96" t="inlineStr">
        <is>
          <t>0152N</t>
        </is>
      </c>
      <c r="O20" s="96" t="inlineStr">
        <is>
          <t>THBKK</t>
        </is>
      </c>
      <c r="P20" s="96" t="inlineStr">
        <is>
          <t>BKK02</t>
        </is>
      </c>
      <c r="Q20" s="96" t="inlineStr">
        <is>
          <t>IA</t>
        </is>
      </c>
      <c r="R20" s="161" t="inlineStr">
        <is>
          <t>2026-10-11</t>
        </is>
      </c>
      <c r="S20" s="96" t="inlineStr">
        <is>
          <t>VNSGN</t>
        </is>
      </c>
      <c r="T20" s="96" t="inlineStr">
        <is>
          <t>SGN03</t>
        </is>
      </c>
      <c r="U20" s="96" t="inlineStr">
        <is>
          <t>VNSGN</t>
        </is>
      </c>
      <c r="V20" s="161" t="inlineStr">
        <is>
          <t>2026-10-13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EAST-LINK CORPORATION CO., LTD.</t>
        </is>
      </c>
      <c r="AB20" s="96" t="inlineStr">
        <is>
          <t>SIAM FUKOKU CO.,LTD.</t>
        </is>
      </c>
      <c r="AC20" s="163" t="n">
        <v>2433.32</v>
      </c>
      <c r="AD20" s="163" t="n">
        <v>4633.32</v>
      </c>
      <c r="AE20" s="96" t="inlineStr">
        <is>
          <t>OK</t>
        </is>
      </c>
      <c r="AF20" s="96" t="inlineStr">
        <is>
          <t>SR</t>
        </is>
      </c>
      <c r="AG20" s="97" t="n"/>
      <c r="AH20" s="96" t="inlineStr">
        <is>
          <t>CON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TBKK13</t>
        </is>
      </c>
      <c r="AN20" s="96" t="inlineStr">
        <is>
          <t>Dharaporn</t>
        </is>
      </c>
      <c r="AO20" s="96" t="inlineStr">
        <is>
          <t>BLADE RUBBER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>Pickup : 2026-10-08, Return : 2026-10-09
CLS TIME DD.10/10/2026 @ 12.00</t>
        </is>
      </c>
      <c r="BA20" s="97" t="inlineStr">
        <is>
          <t>FM 1X40HQ 02/10RQS CLEAN &amp; GOOD CONTAINER CONDITION.</t>
        </is>
      </c>
      <c r="BB20" s="96" t="inlineStr">
        <is>
          <t>C</t>
        </is>
      </c>
      <c r="BC20" s="161" t="inlineStr">
        <is>
          <t>2026-09-14</t>
        </is>
      </c>
      <c r="BD20" s="161" t="inlineStr">
        <is>
          <t>2026-10-09</t>
        </is>
      </c>
      <c r="BE20" s="96" t="inlineStr">
        <is>
          <t>Y</t>
        </is>
      </c>
      <c r="BF20" s="96" t="inlineStr">
        <is>
          <t>BLADE RUBBER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BKK25</t>
        </is>
      </c>
      <c r="BL20" s="161" t="inlineStr">
        <is>
          <t>2026-10-08</t>
        </is>
      </c>
      <c r="BM20" s="127" t="n"/>
      <c r="BN20" s="127" t="n">
        <v>1</v>
      </c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BKK02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rockwell@eastlink-group.com</t>
        </is>
      </c>
      <c r="CJ20" s="96" t="inlineStr">
        <is>
          <t>EAST-LINK CORPORATION CO. , LTD.</t>
        </is>
      </c>
      <c r="CK20" s="96" t="inlineStr">
        <is>
          <t>BEE LOGISTICS CORP - HANOI BRANCH</t>
        </is>
      </c>
      <c r="CL20" s="96" t="inlineStr">
        <is>
          <t>BEE LOGISTICS CORP - HANOI BRANCH</t>
        </is>
      </c>
      <c r="CM20" s="97" t="n"/>
      <c r="CN20" s="96" t="inlineStr">
        <is>
          <t>202610081700</t>
        </is>
      </c>
      <c r="CO20" s="96" t="inlineStr">
        <is>
          <t>202610091700</t>
        </is>
      </c>
      <c r="CP20" s="97" t="n"/>
      <c r="CQ20" s="96" t="inlineStr">
        <is>
          <t>S22-2308019</t>
        </is>
      </c>
      <c r="CR20" s="96" t="inlineStr">
        <is>
          <t>TH03OT</t>
        </is>
      </c>
      <c r="CS20" s="96" t="inlineStr">
        <is>
          <t>EAST-LINK CORPORATION CO., LTD.</t>
        </is>
      </c>
      <c r="CT20" s="96" t="inlineStr">
        <is>
          <t>N</t>
        </is>
      </c>
      <c r="CU20" s="97" t="n"/>
      <c r="CV20" s="97" t="n"/>
      <c r="CW20" s="161" t="inlineStr">
        <is>
          <t>2026-10-11</t>
        </is>
      </c>
      <c r="CX20" s="97" t="inlineStr">
        <is>
          <t>401699</t>
        </is>
      </c>
      <c r="CY20" s="183" t="n"/>
    </row>
    <row r="21" ht="12" customHeight="1">
      <c r="A21" s="116" t="inlineStr">
        <is>
          <t>HASLS22261000141</t>
        </is>
      </c>
      <c r="B21" s="96" t="inlineStr">
        <is>
          <t>20'x1</t>
        </is>
      </c>
      <c r="C21" s="97" t="n">
        <v>0</v>
      </c>
      <c r="D21" s="97" t="n">
        <v>0</v>
      </c>
      <c r="E21" s="97" t="n"/>
      <c r="F21" s="97" t="n">
        <v>0</v>
      </c>
      <c r="G21" s="97" t="n">
        <v>1</v>
      </c>
      <c r="H21" s="97" t="n">
        <v>0</v>
      </c>
      <c r="I21" s="97" t="n">
        <v>0</v>
      </c>
      <c r="J21" s="97" t="n">
        <v>1</v>
      </c>
      <c r="K21" s="96" t="inlineStr">
        <is>
          <t>N</t>
        </is>
      </c>
      <c r="L21" s="96" t="inlineStr">
        <is>
          <t>NTX</t>
        </is>
      </c>
      <c r="M21" s="96" t="inlineStr">
        <is>
          <t>DJCF</t>
        </is>
      </c>
      <c r="N21" s="96" t="inlineStr">
        <is>
          <t>0152N</t>
        </is>
      </c>
      <c r="O21" s="96" t="inlineStr">
        <is>
          <t>THBKK</t>
        </is>
      </c>
      <c r="P21" s="96" t="inlineStr">
        <is>
          <t>BKK02</t>
        </is>
      </c>
      <c r="Q21" s="96" t="inlineStr">
        <is>
          <t>IA</t>
        </is>
      </c>
      <c r="R21" s="161" t="inlineStr">
        <is>
          <t>2026-10-11</t>
        </is>
      </c>
      <c r="S21" s="96" t="inlineStr">
        <is>
          <t>KRINC</t>
        </is>
      </c>
      <c r="T21" s="96" t="inlineStr">
        <is>
          <t>INC07</t>
        </is>
      </c>
      <c r="U21" s="96" t="inlineStr">
        <is>
          <t>KRINC</t>
        </is>
      </c>
      <c r="V21" s="161" t="inlineStr">
        <is>
          <t>2026-10-19</t>
        </is>
      </c>
      <c r="W21" s="96" t="inlineStr">
        <is>
          <t>KR</t>
        </is>
      </c>
      <c r="X21" s="97" t="n"/>
      <c r="Y21" s="97" t="n"/>
      <c r="Z21" s="97" t="n"/>
      <c r="AA21" s="96" t="inlineStr">
        <is>
          <t>CELESTIAL XPRESS LOGISTICS (THAILAND) CO., LTD.</t>
        </is>
      </c>
      <c r="AB21" s="96" t="inlineStr">
        <is>
          <t>UNICORD PUBLIC COMPANY LIMITED</t>
        </is>
      </c>
      <c r="AC21" s="163" t="n">
        <v>13080.4</v>
      </c>
      <c r="AD21" s="163" t="n">
        <v>15280.4</v>
      </c>
      <c r="AE21" s="96" t="inlineStr">
        <is>
          <t>OK</t>
        </is>
      </c>
      <c r="AF21" s="96" t="inlineStr">
        <is>
          <t>SR</t>
        </is>
      </c>
      <c r="AG21" s="97" t="n"/>
      <c r="AH21" s="96" t="inlineStr">
        <is>
          <t>CHK</t>
        </is>
      </c>
      <c r="AI21" s="97" t="n"/>
      <c r="AJ21" s="97" t="inlineStr">
        <is>
          <t>UNITHAI CONTAINER TERMINAL CFS</t>
        </is>
      </c>
      <c r="AK21" s="97" t="n"/>
      <c r="AL21" s="97" t="n"/>
      <c r="AM21" s="96" t="inlineStr">
        <is>
          <t>H2602</t>
        </is>
      </c>
      <c r="AN21" s="96" t="inlineStr">
        <is>
          <t>Kim jaewon</t>
        </is>
      </c>
      <c r="AO21" s="96" t="inlineStr">
        <is>
          <t>CANNED GOOD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>STUFFING @UNITHAI DD.09/10/26 *CLS TIME CFS DD.09/10/26 - 17:00HRS.*</t>
        </is>
      </c>
      <c r="BA21" s="97" t="inlineStr">
        <is>
          <t>1X20'GP SPLIT FM HASLS22260900303 DD 02/10 DUSE SPACE  HASLS22260900303</t>
        </is>
      </c>
      <c r="BB21" s="96" t="inlineStr">
        <is>
          <t>C</t>
        </is>
      </c>
      <c r="BC21" s="161" t="inlineStr">
        <is>
          <t>2026-10-02</t>
        </is>
      </c>
      <c r="BD21" s="161" t="inlineStr">
        <is>
          <t>2026-10-08</t>
        </is>
      </c>
      <c r="BE21" s="96" t="inlineStr">
        <is>
          <t>Y</t>
        </is>
      </c>
      <c r="BF21" s="96" t="inlineStr">
        <is>
          <t>CANNED GOOD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BKK02</t>
        </is>
      </c>
      <c r="BL21" s="161" t="inlineStr">
        <is>
          <t>2026-10-09</t>
        </is>
      </c>
      <c r="BM21" s="127" t="n"/>
      <c r="BN21" s="127" t="n">
        <v>1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BKK02</t>
        </is>
      </c>
      <c r="CD21" s="97" t="n"/>
      <c r="CE21" s="97" t="n"/>
      <c r="CF21" s="96" t="inlineStr">
        <is>
          <t>0 Teu</t>
        </is>
      </c>
      <c r="CG21" s="96" t="inlineStr">
        <is>
          <t>CFS/CY</t>
        </is>
      </c>
      <c r="CH21" s="97" t="n"/>
      <c r="CI21" s="96" t="inlineStr">
        <is>
          <t>export@c-xpress.com</t>
        </is>
      </c>
      <c r="CJ21" s="96" t="inlineStr">
        <is>
          <t>CELESTIAL XPRESS LOGISTICS</t>
        </is>
      </c>
      <c r="CK21" s="96" t="inlineStr">
        <is>
          <t>BEL SHIPPING CO., LTD.</t>
        </is>
      </c>
      <c r="CL21" s="96" t="inlineStr">
        <is>
          <t>BEL SHIPPING CO., LTD.</t>
        </is>
      </c>
      <c r="CM21" s="97" t="n"/>
      <c r="CN21" s="96" t="inlineStr">
        <is>
          <t>202610081700</t>
        </is>
      </c>
      <c r="CO21" s="96" t="inlineStr">
        <is>
          <t>202610091700</t>
        </is>
      </c>
      <c r="CP21" s="97" t="n"/>
      <c r="CQ21" s="96" t="inlineStr">
        <is>
          <t>K01-2303131</t>
        </is>
      </c>
      <c r="CR21" s="96" t="inlineStr">
        <is>
          <t>THTIN4</t>
        </is>
      </c>
      <c r="CS21" s="96" t="inlineStr">
        <is>
          <t>CELESTIAL XPRESS LOGISTICS (THAILAND) CO., LTD.</t>
        </is>
      </c>
      <c r="CT21" s="96" t="inlineStr">
        <is>
          <t>N</t>
        </is>
      </c>
      <c r="CU21" s="97" t="n"/>
      <c r="CV21" s="97" t="n"/>
      <c r="CW21" s="161" t="inlineStr">
        <is>
          <t>2026-10-11</t>
        </is>
      </c>
      <c r="CX21" s="97" t="n"/>
      <c r="CY21" s="183" t="n"/>
    </row>
    <row r="22" ht="12" customHeight="1">
      <c r="A22" s="116" t="inlineStr">
        <is>
          <t>HASLS22260801939</t>
        </is>
      </c>
      <c r="B22" s="96" t="inlineStr">
        <is>
          <t>20'x2</t>
        </is>
      </c>
      <c r="C22" s="97" t="n">
        <v>2</v>
      </c>
      <c r="D22" s="97" t="n">
        <v>2</v>
      </c>
      <c r="E22" s="97" t="n"/>
      <c r="F22" s="97" t="n">
        <v>0</v>
      </c>
      <c r="G22" s="97" t="n">
        <v>2</v>
      </c>
      <c r="H22" s="97" t="n">
        <v>0</v>
      </c>
      <c r="I22" s="97" t="n">
        <v>0</v>
      </c>
      <c r="J22" s="97" t="n">
        <v>2</v>
      </c>
      <c r="K22" s="96" t="inlineStr">
        <is>
          <t>N</t>
        </is>
      </c>
      <c r="L22" s="96" t="inlineStr">
        <is>
          <t>NTX</t>
        </is>
      </c>
      <c r="M22" s="96" t="inlineStr">
        <is>
          <t>DJCF</t>
        </is>
      </c>
      <c r="N22" s="96" t="inlineStr">
        <is>
          <t>0152N</t>
        </is>
      </c>
      <c r="O22" s="96" t="inlineStr">
        <is>
          <t>THBKK</t>
        </is>
      </c>
      <c r="P22" s="96" t="inlineStr">
        <is>
          <t>BKK02</t>
        </is>
      </c>
      <c r="Q22" s="96" t="inlineStr">
        <is>
          <t>IA</t>
        </is>
      </c>
      <c r="R22" s="161" t="inlineStr">
        <is>
          <t>2026-10-11</t>
        </is>
      </c>
      <c r="S22" s="96" t="inlineStr">
        <is>
          <t>VNSGN</t>
        </is>
      </c>
      <c r="T22" s="96" t="inlineStr">
        <is>
          <t>SGN03</t>
        </is>
      </c>
      <c r="U22" s="96" t="inlineStr">
        <is>
          <t>VNSGN</t>
        </is>
      </c>
      <c r="V22" s="161" t="inlineStr">
        <is>
          <t>2026-10-13</t>
        </is>
      </c>
      <c r="W22" s="96" t="inlineStr">
        <is>
          <t>IA</t>
        </is>
      </c>
      <c r="X22" s="97" t="n"/>
      <c r="Y22" s="97" t="n"/>
      <c r="Z22" s="97" t="n"/>
      <c r="AA22" s="96" t="inlineStr">
        <is>
          <t>QUANTERM LOGISTICS (THAILAND) CO., LTD.</t>
        </is>
      </c>
      <c r="AB22" s="96" t="inlineStr">
        <is>
          <t>THAI GYPSUM PRODUCTS PCL.</t>
        </is>
      </c>
      <c r="AC22" s="163" t="n">
        <v>50031.36</v>
      </c>
      <c r="AD22" s="163" t="n">
        <v>54431.36</v>
      </c>
      <c r="AE22" s="96" t="inlineStr">
        <is>
          <t>OK</t>
        </is>
      </c>
      <c r="AF22" s="96" t="inlineStr">
        <is>
          <t>SR</t>
        </is>
      </c>
      <c r="AG22" s="97" t="n"/>
      <c r="AH22" s="96" t="inlineStr">
        <is>
          <t>CHK</t>
        </is>
      </c>
      <c r="AI22" s="97" t="n"/>
      <c r="AJ22" s="97" t="n"/>
      <c r="AK22" s="97" t="n"/>
      <c r="AL22" s="97" t="n"/>
      <c r="AM22" s="96" t="inlineStr">
        <is>
          <t>TBKK97</t>
        </is>
      </c>
      <c r="AN22" s="96" t="inlineStr">
        <is>
          <t>Arunphat W. (Aiw)</t>
        </is>
      </c>
      <c r="AO22" s="96" t="inlineStr">
        <is>
          <t>GYPSUM PLASTER - 25202090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>Pickup : 2026-09-29, Return : 2026-10-01  [1ST RETURN CNTR DD.01/10/2026 WITHOUT RENT]</t>
        </is>
      </c>
      <c r="BA22" s="97" t="inlineStr">
        <is>
          <t>RQST CHANGE VSL NAME FM SWSP 2609N BY HA DD.28/09
HS. CODE:252020</t>
        </is>
      </c>
      <c r="BB22" s="96" t="inlineStr">
        <is>
          <t>P</t>
        </is>
      </c>
      <c r="BC22" s="161" t="inlineStr">
        <is>
          <t>2026-08-24</t>
        </is>
      </c>
      <c r="BD22" s="161" t="inlineStr">
        <is>
          <t>2026-10-09</t>
        </is>
      </c>
      <c r="BE22" s="96" t="inlineStr">
        <is>
          <t>Y</t>
        </is>
      </c>
      <c r="BF22" s="96" t="inlineStr">
        <is>
          <t>GYPSUM PLASTER - 25202090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BKK27</t>
        </is>
      </c>
      <c r="BL22" s="161" t="inlineStr">
        <is>
          <t>2026-09-29</t>
        </is>
      </c>
      <c r="BM22" s="127" t="n"/>
      <c r="BN22" s="127" t="n">
        <v>2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BKK02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cs@quanterm.co.th;alpha@quanterm.co.th</t>
        </is>
      </c>
      <c r="CJ22" s="96" t="inlineStr">
        <is>
          <t>QUANTERM LOGISTICS (THAILAND)</t>
        </is>
      </c>
      <c r="CK22" s="96" t="inlineStr">
        <is>
          <t>QUANTERM LOGISTICS VIETNAM CO.,LTD</t>
        </is>
      </c>
      <c r="CL22" s="96" t="inlineStr">
        <is>
          <t>QUANTERM LOGISTICS VIETNAM CO.,LTD</t>
        </is>
      </c>
      <c r="CM22" s="97" t="n"/>
      <c r="CN22" s="96" t="inlineStr">
        <is>
          <t>202610081700</t>
        </is>
      </c>
      <c r="CO22" s="96" t="inlineStr">
        <is>
          <t>202610091700</t>
        </is>
      </c>
      <c r="CP22" s="97" t="n"/>
      <c r="CQ22" s="96" t="inlineStr">
        <is>
          <t>S22-2608010</t>
        </is>
      </c>
      <c r="CR22" s="96" t="inlineStr">
        <is>
          <t>THTYD6</t>
        </is>
      </c>
      <c r="CS22" s="96" t="inlineStr">
        <is>
          <t>QUANTERM LOGISTICS (THAILAND) CO., LTD.</t>
        </is>
      </c>
      <c r="CT22" s="96" t="inlineStr">
        <is>
          <t>N</t>
        </is>
      </c>
      <c r="CU22" s="97" t="n"/>
      <c r="CV22" s="97" t="n"/>
      <c r="CW22" s="161" t="inlineStr">
        <is>
          <t>2026-10-11</t>
        </is>
      </c>
      <c r="CX22" s="97" t="inlineStr">
        <is>
          <t>252020</t>
        </is>
      </c>
      <c r="CY22" s="183" t="n"/>
    </row>
    <row r="23" ht="12" customHeight="1">
      <c r="A23" s="116" t="inlineStr">
        <is>
          <t>HASLS22260900445</t>
        </is>
      </c>
      <c r="B23" s="96" t="inlineStr">
        <is>
          <t>20'x2</t>
        </is>
      </c>
      <c r="C23" s="97" t="n">
        <v>2</v>
      </c>
      <c r="D23" s="97" t="n">
        <v>2</v>
      </c>
      <c r="E23" s="97" t="n"/>
      <c r="F23" s="97" t="n">
        <v>0</v>
      </c>
      <c r="G23" s="97" t="n">
        <v>2</v>
      </c>
      <c r="H23" s="97" t="n">
        <v>0</v>
      </c>
      <c r="I23" s="97" t="n">
        <v>0</v>
      </c>
      <c r="J23" s="97" t="n">
        <v>2</v>
      </c>
      <c r="K23" s="96" t="inlineStr">
        <is>
          <t>N</t>
        </is>
      </c>
      <c r="L23" s="96" t="inlineStr">
        <is>
          <t>NTX</t>
        </is>
      </c>
      <c r="M23" s="96" t="inlineStr">
        <is>
          <t>DJCF</t>
        </is>
      </c>
      <c r="N23" s="96" t="inlineStr">
        <is>
          <t>0152N</t>
        </is>
      </c>
      <c r="O23" s="96" t="inlineStr">
        <is>
          <t>THBKK</t>
        </is>
      </c>
      <c r="P23" s="96" t="inlineStr">
        <is>
          <t>BKK02</t>
        </is>
      </c>
      <c r="Q23" s="96" t="inlineStr">
        <is>
          <t>IA</t>
        </is>
      </c>
      <c r="R23" s="161" t="inlineStr">
        <is>
          <t>2026-10-11</t>
        </is>
      </c>
      <c r="S23" s="96" t="inlineStr">
        <is>
          <t>JPSMZ</t>
        </is>
      </c>
      <c r="T23" s="96" t="inlineStr">
        <is>
          <t>SMZ01</t>
        </is>
      </c>
      <c r="U23" s="96" t="inlineStr">
        <is>
          <t>JPSMZ</t>
        </is>
      </c>
      <c r="V23" s="161" t="inlineStr">
        <is>
          <t>2026-10-30</t>
        </is>
      </c>
      <c r="W23" s="96" t="inlineStr">
        <is>
          <t>JP</t>
        </is>
      </c>
      <c r="X23" s="97" t="n"/>
      <c r="Y23" s="97" t="inlineStr">
        <is>
          <t>PUS05</t>
        </is>
      </c>
      <c r="Z23" s="97" t="inlineStr">
        <is>
          <t>KRPUS</t>
        </is>
      </c>
      <c r="AA23" s="96" t="inlineStr">
        <is>
          <t>BANGKOK STARCH INDUSTRIAL CO., LTD.</t>
        </is>
      </c>
      <c r="AB23" s="96" t="inlineStr">
        <is>
          <t>BANGKOK STARCH INDUSTRIAL CO., LTD.</t>
        </is>
      </c>
      <c r="AC23" s="163" t="n">
        <v>27472</v>
      </c>
      <c r="AD23" s="163" t="n">
        <v>31872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CHK</t>
        </is>
      </c>
      <c r="AI23" s="97" t="n"/>
      <c r="AJ23" s="97" t="n"/>
      <c r="AK23" s="97" t="n"/>
      <c r="AL23" s="97" t="n"/>
      <c r="AM23" s="96" t="inlineStr">
        <is>
          <t>TBKK55</t>
        </is>
      </c>
      <c r="AN23" s="96" t="inlineStr">
        <is>
          <t>Vilaiporn</t>
        </is>
      </c>
      <c r="AO23" s="96" t="inlineStr">
        <is>
          <t>MODIFIED TAPIOCA  STARCH (BKK-9403)  (ALPHA CROSS-LINKED TAPIOCA STARCH)</t>
        </is>
      </c>
      <c r="AP23" s="96" t="inlineStr">
        <is>
          <t>T/S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>Pickup : 2026-10-08, Return : 2026-10-09 
CLS TIME DD.09/10/2026 @ 2359</t>
        </is>
      </c>
      <c r="BA23" s="97" t="inlineStr">
        <is>
          <t>FM SWSR 2611N BY HAL DD.05/10CONTAINER : PLS. RELEASE CTNR FOOD GRADE CONDITION ( FOR LOADING FOODS ) ONLY.</t>
        </is>
      </c>
      <c r="BB23" s="96" t="inlineStr">
        <is>
          <t>P</t>
        </is>
      </c>
      <c r="BC23" s="161" t="inlineStr">
        <is>
          <t>2026-09-04</t>
        </is>
      </c>
      <c r="BD23" s="161" t="inlineStr">
        <is>
          <t>2026-10-09</t>
        </is>
      </c>
      <c r="BE23" s="96" t="inlineStr">
        <is>
          <t>Y</t>
        </is>
      </c>
      <c r="BF23" s="96" t="inlineStr">
        <is>
          <t xml:space="preserve">STARCH 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BKK27</t>
        </is>
      </c>
      <c r="BL23" s="161" t="inlineStr">
        <is>
          <t>2026-10-08</t>
        </is>
      </c>
      <c r="BM23" s="127" t="n"/>
      <c r="BN23" s="127" t="n">
        <v>2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>
        <v>6</v>
      </c>
      <c r="CA23" s="96" t="inlineStr">
        <is>
          <t>Y</t>
        </is>
      </c>
      <c r="CB23" s="97" t="n"/>
      <c r="CC23" s="96" t="inlineStr">
        <is>
          <t>BKK02</t>
        </is>
      </c>
      <c r="CD23" s="97" t="n"/>
      <c r="CE23" s="97" t="inlineStr">
        <is>
          <t>CHECK</t>
        </is>
      </c>
      <c r="CF23" s="96" t="inlineStr">
        <is>
          <t>0 Teu</t>
        </is>
      </c>
      <c r="CG23" s="96" t="inlineStr">
        <is>
          <t>CY/CY</t>
        </is>
      </c>
      <c r="CH23" s="97" t="inlineStr">
        <is>
          <t>POL: THBKK [DJCF/0152N]; T/S(1st): KRPUS [PCSS/2635E]; POD: JPSMZ [/]</t>
        </is>
      </c>
      <c r="CI23" s="96" t="inlineStr">
        <is>
          <t>logistic_export@bkkstarch.com</t>
        </is>
      </c>
      <c r="CJ23" s="96" t="inlineStr">
        <is>
          <t>BANGKOK STARCH INDUSTRIAL</t>
        </is>
      </c>
      <c r="CK23" s="96" t="inlineStr">
        <is>
          <t>TO ORDER OF SHIPPER</t>
        </is>
      </c>
      <c r="CL23" s="96" t="inlineStr">
        <is>
          <t>TOKAI DENPUN</t>
        </is>
      </c>
      <c r="CM23" s="97" t="n"/>
      <c r="CN23" s="96" t="inlineStr">
        <is>
          <t>202610081700</t>
        </is>
      </c>
      <c r="CO23" s="96" t="inlineStr">
        <is>
          <t>202610091700</t>
        </is>
      </c>
      <c r="CP23" s="97" t="n"/>
      <c r="CQ23" s="96" t="inlineStr">
        <is>
          <t>S19-2112022</t>
        </is>
      </c>
      <c r="CR23" s="96" t="inlineStr">
        <is>
          <t>BB0406</t>
        </is>
      </c>
      <c r="CS23" s="96" t="inlineStr">
        <is>
          <t>BANGKOK STARCH INDUSTRIAL CO., LTD.</t>
        </is>
      </c>
      <c r="CT23" s="96" t="inlineStr">
        <is>
          <t>N</t>
        </is>
      </c>
      <c r="CU23" s="97" t="n"/>
      <c r="CV23" s="97" t="n"/>
      <c r="CW23" s="161" t="inlineStr">
        <is>
          <t>2026-10-11</t>
        </is>
      </c>
      <c r="CX23" s="97" t="inlineStr">
        <is>
          <t>350510</t>
        </is>
      </c>
      <c r="CY23" s="183" t="n"/>
    </row>
    <row r="24" ht="12" customHeight="1">
      <c r="A24" s="116" t="inlineStr">
        <is>
          <t>HASLS22260901854</t>
        </is>
      </c>
      <c r="B24" s="96" t="inlineStr">
        <is>
          <t>20'x4</t>
        </is>
      </c>
      <c r="C24" s="97" t="n">
        <v>4</v>
      </c>
      <c r="D24" s="97" t="n">
        <v>4</v>
      </c>
      <c r="E24" s="97" t="n"/>
      <c r="F24" s="97" t="n">
        <v>0</v>
      </c>
      <c r="G24" s="97" t="n">
        <v>4</v>
      </c>
      <c r="H24" s="97" t="n">
        <v>0</v>
      </c>
      <c r="I24" s="97" t="n">
        <v>0</v>
      </c>
      <c r="J24" s="97" t="n">
        <v>4</v>
      </c>
      <c r="K24" s="96" t="inlineStr">
        <is>
          <t>N</t>
        </is>
      </c>
      <c r="L24" s="96" t="inlineStr">
        <is>
          <t>NTX</t>
        </is>
      </c>
      <c r="M24" s="96" t="inlineStr">
        <is>
          <t>DJCF</t>
        </is>
      </c>
      <c r="N24" s="96" t="inlineStr">
        <is>
          <t>0152N</t>
        </is>
      </c>
      <c r="O24" s="96" t="inlineStr">
        <is>
          <t>THBKK</t>
        </is>
      </c>
      <c r="P24" s="96" t="inlineStr">
        <is>
          <t>BKK02</t>
        </is>
      </c>
      <c r="Q24" s="96" t="inlineStr">
        <is>
          <t>IA</t>
        </is>
      </c>
      <c r="R24" s="161" t="inlineStr">
        <is>
          <t>2026-10-11</t>
        </is>
      </c>
      <c r="S24" s="96" t="inlineStr">
        <is>
          <t>VNSGN</t>
        </is>
      </c>
      <c r="T24" s="96" t="inlineStr">
        <is>
          <t>SGN03</t>
        </is>
      </c>
      <c r="U24" s="96" t="inlineStr">
        <is>
          <t>VNSGN</t>
        </is>
      </c>
      <c r="V24" s="161" t="inlineStr">
        <is>
          <t>2026-10-13</t>
        </is>
      </c>
      <c r="W24" s="96" t="inlineStr">
        <is>
          <t>IA</t>
        </is>
      </c>
      <c r="X24" s="97" t="n"/>
      <c r="Y24" s="97" t="n"/>
      <c r="Z24" s="97" t="n"/>
      <c r="AA24" s="96" t="inlineStr">
        <is>
          <t>CAPRICORN LOGISTICS CO., LTD.</t>
        </is>
      </c>
      <c r="AB24" s="96" t="inlineStr">
        <is>
          <t>THAI GYPSUM PRODUCTS PCL.</t>
        </is>
      </c>
      <c r="AC24" s="163" t="n">
        <v>99040</v>
      </c>
      <c r="AD24" s="163" t="n">
        <v>107840</v>
      </c>
      <c r="AE24" s="96" t="inlineStr">
        <is>
          <t>OK</t>
        </is>
      </c>
      <c r="AF24" s="96" t="n"/>
      <c r="AG24" s="97" t="n"/>
      <c r="AH24" s="96" t="inlineStr">
        <is>
          <t>CHK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TH0042</t>
        </is>
      </c>
      <c r="AN24" s="96" t="inlineStr">
        <is>
          <t>Sukunpoj Damrongying</t>
        </is>
      </c>
      <c r="AO24" s="96" t="inlineStr">
        <is>
          <t>GYPSUM PLASTER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n"/>
      <c r="AZ24" s="96" t="inlineStr">
        <is>
          <t>Pickup : 2026-10-05, Return : 2026-10-06 (1ST RTN DD: 07/10/26 WO/RENT)</t>
        </is>
      </c>
      <c r="BA24" s="97" t="inlineStr">
        <is>
          <t xml:space="preserve">FM SHPR Thai Gypsum Products PCL / FM COMM. ELECTRIC STOVE / FM 1X40'HQ DD 22/09 
FM SHPR SIRICHAROEN ELECTRIC CO.,LTD. / FM COMM. ELECTRIC STOVE DD 23/09 </t>
        </is>
      </c>
      <c r="BB24" s="96" t="inlineStr">
        <is>
          <t>P</t>
        </is>
      </c>
      <c r="BC24" s="161" t="inlineStr">
        <is>
          <t>2026-09-21</t>
        </is>
      </c>
      <c r="BD24" s="161" t="inlineStr">
        <is>
          <t>2026-10-08</t>
        </is>
      </c>
      <c r="BE24" s="96" t="inlineStr">
        <is>
          <t>Y</t>
        </is>
      </c>
      <c r="BF24" s="96" t="inlineStr">
        <is>
          <t xml:space="preserve">GYPSUM PLASTER 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BKK27</t>
        </is>
      </c>
      <c r="BL24" s="161" t="inlineStr">
        <is>
          <t>2026-10-05</t>
        </is>
      </c>
      <c r="BM24" s="127" t="n"/>
      <c r="BN24" s="127" t="n">
        <v>4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BKK02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bkk@capricornlogistics.co.th</t>
        </is>
      </c>
      <c r="CJ24" s="96" t="inlineStr">
        <is>
          <t>CAPRICORN LOGISTICS CO.,LTD.</t>
        </is>
      </c>
      <c r="CK24" s="96" t="inlineStr">
        <is>
          <t>BLUE OCEAN INTERNATIONAL</t>
        </is>
      </c>
      <c r="CL24" s="96" t="inlineStr">
        <is>
          <t>BLUE OCEAN INTERNATIONAL</t>
        </is>
      </c>
      <c r="CM24" s="97" t="n"/>
      <c r="CN24" s="96" t="inlineStr">
        <is>
          <t>202610081700</t>
        </is>
      </c>
      <c r="CO24" s="96" t="inlineStr">
        <is>
          <t>202610091700</t>
        </is>
      </c>
      <c r="CP24" s="97" t="n"/>
      <c r="CQ24" s="96" t="inlineStr">
        <is>
          <t>S22-2511002</t>
        </is>
      </c>
      <c r="CR24" s="96" t="inlineStr">
        <is>
          <t>TH045C</t>
        </is>
      </c>
      <c r="CS24" s="96" t="inlineStr">
        <is>
          <t>CAPRICORN LOGISTICS CO., LTD.</t>
        </is>
      </c>
      <c r="CT24" s="96" t="inlineStr">
        <is>
          <t>N</t>
        </is>
      </c>
      <c r="CU24" s="97" t="n"/>
      <c r="CV24" s="97" t="n"/>
      <c r="CW24" s="161" t="inlineStr">
        <is>
          <t>2026-10-11</t>
        </is>
      </c>
      <c r="CX24" s="97" t="inlineStr">
        <is>
          <t>252020</t>
        </is>
      </c>
      <c r="CY24" s="183" t="n"/>
    </row>
    <row r="25" ht="12" customHeight="1">
      <c r="A25" s="116" t="inlineStr">
        <is>
          <t>HASLS22260801526</t>
        </is>
      </c>
      <c r="B25" s="96" t="inlineStr">
        <is>
          <t>40Hx1</t>
        </is>
      </c>
      <c r="C25" s="97" t="n">
        <v>1</v>
      </c>
      <c r="D25" s="97" t="n">
        <v>1</v>
      </c>
      <c r="E25" s="97" t="n"/>
      <c r="F25" s="97" t="n">
        <v>0</v>
      </c>
      <c r="G25" s="97" t="n">
        <v>0</v>
      </c>
      <c r="H25" s="97" t="n">
        <v>0</v>
      </c>
      <c r="I25" s="97" t="n">
        <v>1</v>
      </c>
      <c r="J25" s="97" t="n">
        <v>2</v>
      </c>
      <c r="K25" s="96" t="inlineStr">
        <is>
          <t>N</t>
        </is>
      </c>
      <c r="L25" s="96" t="inlineStr">
        <is>
          <t>NTX</t>
        </is>
      </c>
      <c r="M25" s="96" t="inlineStr">
        <is>
          <t>DJCF</t>
        </is>
      </c>
      <c r="N25" s="96" t="inlineStr">
        <is>
          <t>0152N</t>
        </is>
      </c>
      <c r="O25" s="96" t="inlineStr">
        <is>
          <t>THBKK</t>
        </is>
      </c>
      <c r="P25" s="96" t="inlineStr">
        <is>
          <t>BKK02</t>
        </is>
      </c>
      <c r="Q25" s="96" t="inlineStr">
        <is>
          <t>IA</t>
        </is>
      </c>
      <c r="R25" s="161" t="inlineStr">
        <is>
          <t>2026-10-11</t>
        </is>
      </c>
      <c r="S25" s="96" t="inlineStr">
        <is>
          <t>VNSGN</t>
        </is>
      </c>
      <c r="T25" s="96" t="inlineStr">
        <is>
          <t>SGN03</t>
        </is>
      </c>
      <c r="U25" s="96" t="inlineStr">
        <is>
          <t>VNSGN</t>
        </is>
      </c>
      <c r="V25" s="161" t="inlineStr">
        <is>
          <t>2026-10-13</t>
        </is>
      </c>
      <c r="W25" s="96" t="inlineStr">
        <is>
          <t>IA</t>
        </is>
      </c>
      <c r="X25" s="97" t="n"/>
      <c r="Y25" s="97" t="n"/>
      <c r="Z25" s="97" t="n"/>
      <c r="AA25" s="96" t="inlineStr">
        <is>
          <t>NIMBLE LOGISTICS CO., LTD.</t>
        </is>
      </c>
      <c r="AB25" s="96" t="inlineStr">
        <is>
          <t>WELLGROW GLASS INDUSTRY CO., LTD.</t>
        </is>
      </c>
      <c r="AC25" s="163" t="n">
        <v>21503</v>
      </c>
      <c r="AD25" s="163" t="n">
        <v>25503</v>
      </c>
      <c r="AE25" s="96" t="inlineStr">
        <is>
          <t>OK</t>
        </is>
      </c>
      <c r="AF25" s="96" t="inlineStr">
        <is>
          <t>SR</t>
        </is>
      </c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TBKK55</t>
        </is>
      </c>
      <c r="AN25" s="96" t="inlineStr">
        <is>
          <t>Vilaiporn</t>
        </is>
      </c>
      <c r="AO25" s="96" t="inlineStr">
        <is>
          <t>GLASS BOTTLE</t>
        </is>
      </c>
      <c r="AP25" s="96" t="inlineStr">
        <is>
          <t>Normal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>Pickup : 2026-10-07, Return : 2026-10-08</t>
        </is>
      </c>
      <c r="BA25" s="97" t="n"/>
      <c r="BB25" s="96" t="inlineStr">
        <is>
          <t>P</t>
        </is>
      </c>
      <c r="BC25" s="161" t="inlineStr">
        <is>
          <t>2026-08-19</t>
        </is>
      </c>
      <c r="BD25" s="161" t="inlineStr">
        <is>
          <t>2026-10-09</t>
        </is>
      </c>
      <c r="BE25" s="96" t="inlineStr">
        <is>
          <t>Y</t>
        </is>
      </c>
      <c r="BF25" s="96" t="inlineStr">
        <is>
          <t>GLASS BOTTLE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BKK27</t>
        </is>
      </c>
      <c r="BL25" s="161" t="inlineStr">
        <is>
          <t>2026-10-07</t>
        </is>
      </c>
      <c r="BM25" s="127" t="n"/>
      <c r="BN25" s="127" t="n"/>
      <c r="BO25" s="127" t="n"/>
      <c r="BP25" s="127" t="n">
        <v>1</v>
      </c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inlineStr">
        <is>
          <t>Y</t>
        </is>
      </c>
      <c r="CB25" s="97" t="n"/>
      <c r="CC25" s="96" t="inlineStr">
        <is>
          <t>BKK02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cs@nimble-logistics.com</t>
        </is>
      </c>
      <c r="CJ25" s="96" t="inlineStr">
        <is>
          <t>NIMBLE LOGISTICS CO.,LTD.</t>
        </is>
      </c>
      <c r="CK25" s="96" t="inlineStr">
        <is>
          <t>TNC VINA CO.,LTD</t>
        </is>
      </c>
      <c r="CL25" s="96" t="inlineStr">
        <is>
          <t>TNC VINA CO.,LTD</t>
        </is>
      </c>
      <c r="CM25" s="97" t="n"/>
      <c r="CN25" s="96" t="inlineStr">
        <is>
          <t>202610081700</t>
        </is>
      </c>
      <c r="CO25" s="96" t="inlineStr">
        <is>
          <t>202610091700</t>
        </is>
      </c>
      <c r="CP25" s="97" t="n"/>
      <c r="CQ25" s="96" t="inlineStr">
        <is>
          <t>S19-1910187</t>
        </is>
      </c>
      <c r="CR25" s="96" t="inlineStr">
        <is>
          <t>THTH1Q</t>
        </is>
      </c>
      <c r="CS25" s="96" t="inlineStr">
        <is>
          <t>NIMBLE LOGISTICS CO., LTD.</t>
        </is>
      </c>
      <c r="CT25" s="96" t="inlineStr">
        <is>
          <t>N</t>
        </is>
      </c>
      <c r="CU25" s="97" t="n"/>
      <c r="CV25" s="97" t="n"/>
      <c r="CW25" s="161" t="inlineStr">
        <is>
          <t>2026-10-10</t>
        </is>
      </c>
      <c r="CX25" s="97" t="inlineStr">
        <is>
          <t>701090</t>
        </is>
      </c>
      <c r="CY25" s="183" t="n"/>
    </row>
    <row r="26" ht="12" customHeight="1">
      <c r="A26" s="116" t="inlineStr">
        <is>
          <t>HASLS22261000463</t>
        </is>
      </c>
      <c r="B26" s="96" t="inlineStr">
        <is>
          <t>40Hx1</t>
        </is>
      </c>
      <c r="C26" s="97" t="n">
        <v>1</v>
      </c>
      <c r="D26" s="97" t="n">
        <v>1</v>
      </c>
      <c r="E26" s="97" t="n"/>
      <c r="F26" s="97" t="n">
        <v>0</v>
      </c>
      <c r="G26" s="97" t="n">
        <v>0</v>
      </c>
      <c r="H26" s="97" t="n">
        <v>0</v>
      </c>
      <c r="I26" s="97" t="n">
        <v>1</v>
      </c>
      <c r="J26" s="97" t="n">
        <v>2</v>
      </c>
      <c r="K26" s="96" t="inlineStr">
        <is>
          <t>N</t>
        </is>
      </c>
      <c r="L26" s="96" t="inlineStr">
        <is>
          <t>NTX</t>
        </is>
      </c>
      <c r="M26" s="96" t="inlineStr">
        <is>
          <t>DJCF</t>
        </is>
      </c>
      <c r="N26" s="96" t="inlineStr">
        <is>
          <t>0152N</t>
        </is>
      </c>
      <c r="O26" s="96" t="inlineStr">
        <is>
          <t>THBKK</t>
        </is>
      </c>
      <c r="P26" s="96" t="inlineStr">
        <is>
          <t>BKK02</t>
        </is>
      </c>
      <c r="Q26" s="96" t="inlineStr">
        <is>
          <t>IA</t>
        </is>
      </c>
      <c r="R26" s="161" t="inlineStr">
        <is>
          <t>2026-10-11</t>
        </is>
      </c>
      <c r="S26" s="96" t="inlineStr">
        <is>
          <t>KRINC</t>
        </is>
      </c>
      <c r="T26" s="96" t="inlineStr">
        <is>
          <t>INC07</t>
        </is>
      </c>
      <c r="U26" s="96" t="inlineStr">
        <is>
          <t>KRINC</t>
        </is>
      </c>
      <c r="V26" s="161" t="inlineStr">
        <is>
          <t>2026-10-19</t>
        </is>
      </c>
      <c r="W26" s="96" t="inlineStr">
        <is>
          <t>KR</t>
        </is>
      </c>
      <c r="X26" s="97" t="n"/>
      <c r="Y26" s="97" t="n"/>
      <c r="Z26" s="97" t="n"/>
      <c r="AA26" s="96" t="inlineStr">
        <is>
          <t>H &amp; FRIENDS GTL (THAILAND) CO., LTD.</t>
        </is>
      </c>
      <c r="AB26" s="96" t="inlineStr">
        <is>
          <t>AUTOLIV (THAILAND) LIMITED</t>
        </is>
      </c>
      <c r="AC26" s="163" t="n">
        <v>17303.8</v>
      </c>
      <c r="AD26" s="163" t="n">
        <v>21303.8</v>
      </c>
      <c r="AE26" s="96" t="inlineStr">
        <is>
          <t>OK</t>
        </is>
      </c>
      <c r="AF26" s="96" t="inlineStr">
        <is>
          <t>SR</t>
        </is>
      </c>
      <c r="AG26" s="97" t="n"/>
      <c r="AH26" s="96" t="inlineStr">
        <is>
          <t>CON</t>
        </is>
      </c>
      <c r="AI26" s="97" t="n"/>
      <c r="AJ26" s="97" t="n"/>
      <c r="AK26" s="97" t="n"/>
      <c r="AL26" s="97" t="n"/>
      <c r="AM26" s="96" t="inlineStr">
        <is>
          <t>TBKK47</t>
        </is>
      </c>
      <c r="AN26" s="96" t="inlineStr">
        <is>
          <t>Tarn(Supaporn)</t>
        </is>
      </c>
      <c r="AO26" s="96" t="inlineStr">
        <is>
          <t>RETRACTOR PRETENSIONER SEATBELT</t>
        </is>
      </c>
      <c r="AP26" s="96" t="inlineStr">
        <is>
          <t>Normal</t>
        </is>
      </c>
      <c r="AQ26" s="97" t="inlineStr">
        <is>
          <t>3268/9--</t>
        </is>
      </c>
      <c r="AR26" s="97" t="inlineStr">
        <is>
          <t xml:space="preserve">45GPx1 </t>
        </is>
      </c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n"/>
      <c r="AZ26" s="96" t="inlineStr">
        <is>
          <t>APPROVAL BY MR.LEE SEONG HYEOK DD.07/10/2026  **DG45GPx1 (CLS 9 / UN 3268)**
Pickup : 2026-10-09, Return : 2026-10-09
CLS TIME DD.09/10/2026 @ 23.59</t>
        </is>
      </c>
      <c r="BA26" s="97" t="inlineStr">
        <is>
          <t>REQUEST CONTAINER CLEAN &amp; NO SMEL</t>
        </is>
      </c>
      <c r="BB26" s="96" t="inlineStr">
        <is>
          <t>P</t>
        </is>
      </c>
      <c r="BC26" s="161" t="inlineStr">
        <is>
          <t>2026-10-06</t>
        </is>
      </c>
      <c r="BD26" s="161" t="inlineStr">
        <is>
          <t>2026-10-09</t>
        </is>
      </c>
      <c r="BE26" s="96" t="inlineStr">
        <is>
          <t>Y</t>
        </is>
      </c>
      <c r="BF26" s="96" t="inlineStr">
        <is>
          <t>SEAT BELT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BKK27</t>
        </is>
      </c>
      <c r="BL26" s="161" t="inlineStr">
        <is>
          <t>2026-10-09</t>
        </is>
      </c>
      <c r="BM26" s="127" t="n"/>
      <c r="BN26" s="127" t="n"/>
      <c r="BO26" s="127" t="n"/>
      <c r="BP26" s="127" t="n">
        <v>1</v>
      </c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/>
      <c r="CA26" s="96" t="inlineStr">
        <is>
          <t>Y</t>
        </is>
      </c>
      <c r="CB26" s="97" t="n"/>
      <c r="CC26" s="96" t="inlineStr">
        <is>
          <t>BKK02</t>
        </is>
      </c>
      <c r="CD26" s="97" t="n"/>
      <c r="CE26" s="97" t="n"/>
      <c r="CF26" s="96" t="inlineStr">
        <is>
          <t>9 Class x 2 Teu (Approval),</t>
        </is>
      </c>
      <c r="CG26" s="96" t="inlineStr">
        <is>
          <t>CY/CY</t>
        </is>
      </c>
      <c r="CH26" s="97" t="n"/>
      <c r="CI26" s="96" t="inlineStr">
        <is>
          <t>bkksea@hnfriends.com</t>
        </is>
      </c>
      <c r="CJ26" s="96" t="inlineStr">
        <is>
          <t>H &amp; FRIENDS GTL (THAILAND) CO.,LTD.</t>
        </is>
      </c>
      <c r="CK26" s="96" t="inlineStr">
        <is>
          <t>KWAY LOGIS CO.,LTD.</t>
        </is>
      </c>
      <c r="CL26" s="96" t="inlineStr">
        <is>
          <t>KWAY LOGIS CO.,LTD.</t>
        </is>
      </c>
      <c r="CM26" s="97" t="n"/>
      <c r="CN26" s="96" t="inlineStr">
        <is>
          <t>202610081700</t>
        </is>
      </c>
      <c r="CO26" s="96" t="inlineStr">
        <is>
          <t>202610091700</t>
        </is>
      </c>
      <c r="CP26" s="97" t="inlineStr">
        <is>
          <t>45GP x1: DG(UNNo.:3268/ Class:9)</t>
        </is>
      </c>
      <c r="CQ26" s="96" t="inlineStr">
        <is>
          <t>S19-1911051</t>
        </is>
      </c>
      <c r="CR26" s="96" t="inlineStr">
        <is>
          <t>THTIK5</t>
        </is>
      </c>
      <c r="CS26" s="96" t="inlineStr">
        <is>
          <t>H &amp; FRIENDS GTL (THAILAND) CO., LTD.</t>
        </is>
      </c>
      <c r="CT26" s="96" t="inlineStr">
        <is>
          <t>N</t>
        </is>
      </c>
      <c r="CU26" s="97" t="n"/>
      <c r="CV26" s="97" t="n"/>
      <c r="CW26" s="161" t="inlineStr">
        <is>
          <t>2026-10-11</t>
        </is>
      </c>
      <c r="CX26" s="97" t="n"/>
      <c r="CY26" s="183" t="n"/>
    </row>
    <row r="27" ht="12" customHeight="1">
      <c r="A27" s="116" t="inlineStr">
        <is>
          <t>HASLS22260901754</t>
        </is>
      </c>
      <c r="B27" s="96" t="inlineStr">
        <is>
          <t>40Hx1</t>
        </is>
      </c>
      <c r="C27" s="97" t="n">
        <v>0</v>
      </c>
      <c r="D27" s="97" t="n">
        <v>0</v>
      </c>
      <c r="E27" s="97" t="n"/>
      <c r="F27" s="97" t="n">
        <v>0</v>
      </c>
      <c r="G27" s="97" t="n">
        <v>0</v>
      </c>
      <c r="H27" s="97" t="n">
        <v>0</v>
      </c>
      <c r="I27" s="97" t="n">
        <v>1</v>
      </c>
      <c r="J27" s="97" t="n">
        <v>2</v>
      </c>
      <c r="K27" s="96" t="inlineStr">
        <is>
          <t>N</t>
        </is>
      </c>
      <c r="L27" s="96" t="inlineStr">
        <is>
          <t>NTX</t>
        </is>
      </c>
      <c r="M27" s="96" t="inlineStr">
        <is>
          <t>DJCF</t>
        </is>
      </c>
      <c r="N27" s="96" t="inlineStr">
        <is>
          <t>0152N</t>
        </is>
      </c>
      <c r="O27" s="96" t="inlineStr">
        <is>
          <t>THBKK</t>
        </is>
      </c>
      <c r="P27" s="96" t="inlineStr">
        <is>
          <t>BKK02</t>
        </is>
      </c>
      <c r="Q27" s="96" t="inlineStr">
        <is>
          <t>IA</t>
        </is>
      </c>
      <c r="R27" s="161" t="inlineStr">
        <is>
          <t>2026-10-11</t>
        </is>
      </c>
      <c r="S27" s="96" t="inlineStr">
        <is>
          <t>VNSGN</t>
        </is>
      </c>
      <c r="T27" s="96" t="inlineStr">
        <is>
          <t>SGN03</t>
        </is>
      </c>
      <c r="U27" s="96" t="inlineStr">
        <is>
          <t>VNSGN</t>
        </is>
      </c>
      <c r="V27" s="161" t="inlineStr">
        <is>
          <t>2026-10-13</t>
        </is>
      </c>
      <c r="W27" s="96" t="inlineStr">
        <is>
          <t>IA</t>
        </is>
      </c>
      <c r="X27" s="97" t="n"/>
      <c r="Y27" s="97" t="n"/>
      <c r="Z27" s="97" t="n"/>
      <c r="AA27" s="96" t="inlineStr">
        <is>
          <t>PROFREIGHT INTERNATIONAL CO., LTD.</t>
        </is>
      </c>
      <c r="AB27" s="96" t="inlineStr">
        <is>
          <t>SIAM BROTHERS CORP.,LTD.</t>
        </is>
      </c>
      <c r="AC27" s="163" t="n">
        <v>16901.3</v>
      </c>
      <c r="AD27" s="163" t="n">
        <v>20901.3</v>
      </c>
      <c r="AE27" s="96" t="inlineStr">
        <is>
          <t>OK</t>
        </is>
      </c>
      <c r="AF27" s="96" t="inlineStr">
        <is>
          <t>SR</t>
        </is>
      </c>
      <c r="AG27" s="97" t="n"/>
      <c r="AH27" s="96" t="inlineStr">
        <is>
          <t>CHK</t>
        </is>
      </c>
      <c r="AI27" s="97" t="n"/>
      <c r="AJ27" s="97" t="inlineStr">
        <is>
          <t>UNITHAI CONTAINER TERMINAL CFS</t>
        </is>
      </c>
      <c r="AK27" s="97" t="n"/>
      <c r="AL27" s="97" t="n"/>
      <c r="AM27" s="96" t="inlineStr">
        <is>
          <t>TBKK28</t>
        </is>
      </c>
      <c r="AN27" s="96" t="inlineStr">
        <is>
          <t>Nustsireerach</t>
        </is>
      </c>
      <c r="AO27" s="96" t="inlineStr">
        <is>
          <t>FISHING NETS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n"/>
      <c r="AZ27" s="96" t="inlineStr">
        <is>
          <t xml:space="preserve">STUFFING CARGO @UNITHAI DD.09/10/26 CLS TIME CFS DD.09/10/26 - 17:00HRS.
 </t>
        </is>
      </c>
      <c r="BA27" s="97" t="inlineStr">
        <is>
          <t>S/SIAM BROTHERS CORP.,LTD. ; HS.CODE: 5608.11.00 &amp; 5607.49.00 ; STUFFING AT UNITHAI ON 9/10/2026REQ: GOOD &amp; CLEAN CONTAINER,NO LEAK,NO RUST,NO SMELL,NO BURR,NOT WET,GOOD FLOOR.</t>
        </is>
      </c>
      <c r="BB27" s="96" t="inlineStr">
        <is>
          <t>P</t>
        </is>
      </c>
      <c r="BC27" s="161" t="inlineStr">
        <is>
          <t>2026-09-19</t>
        </is>
      </c>
      <c r="BD27" s="161" t="inlineStr">
        <is>
          <t>2026-10-09</t>
        </is>
      </c>
      <c r="BE27" s="96" t="inlineStr">
        <is>
          <t>Y</t>
        </is>
      </c>
      <c r="BF27" s="96" t="inlineStr">
        <is>
          <t>FISHING NETS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BKK02</t>
        </is>
      </c>
      <c r="BL27" s="161" t="inlineStr">
        <is>
          <t>2026-10-09</t>
        </is>
      </c>
      <c r="BM27" s="127" t="n"/>
      <c r="BN27" s="127" t="n"/>
      <c r="BO27" s="127" t="n"/>
      <c r="BP27" s="127" t="n">
        <v>1</v>
      </c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BKK02</t>
        </is>
      </c>
      <c r="CD27" s="97" t="n"/>
      <c r="CE27" s="97" t="n"/>
      <c r="CF27" s="96" t="inlineStr">
        <is>
          <t>0 Teu</t>
        </is>
      </c>
      <c r="CG27" s="96" t="inlineStr">
        <is>
          <t>CFS/CY</t>
        </is>
      </c>
      <c r="CH27" s="97" t="n"/>
      <c r="CI27" s="96" t="inlineStr">
        <is>
          <t>cs_team@profrtgroup.com</t>
        </is>
      </c>
      <c r="CJ27" s="96" t="inlineStr">
        <is>
          <t>SIAM BROTHERS CORP.,LTD.</t>
        </is>
      </c>
      <c r="CK27" s="96" t="inlineStr">
        <is>
          <t>THAI VIET NET JOINT STOCK COMPANY</t>
        </is>
      </c>
      <c r="CL27" s="96" t="inlineStr">
        <is>
          <t>THAI VIET NET JOINT STOCK COMPANY</t>
        </is>
      </c>
      <c r="CM27" s="97" t="n"/>
      <c r="CN27" s="96" t="inlineStr">
        <is>
          <t>202610081700</t>
        </is>
      </c>
      <c r="CO27" s="96" t="inlineStr">
        <is>
          <t>202610091700</t>
        </is>
      </c>
      <c r="CP27" s="97" t="n"/>
      <c r="CQ27" s="96" t="inlineStr">
        <is>
          <t>S19-2606005</t>
        </is>
      </c>
      <c r="CR27" s="96" t="inlineStr">
        <is>
          <t>BB0617</t>
        </is>
      </c>
      <c r="CS27" s="96" t="inlineStr">
        <is>
          <t>PROFREIGHT INTERNATIONAL CO., LTD.</t>
        </is>
      </c>
      <c r="CT27" s="96" t="inlineStr">
        <is>
          <t>N</t>
        </is>
      </c>
      <c r="CU27" s="97" t="n"/>
      <c r="CV27" s="97" t="n"/>
      <c r="CW27" s="161" t="inlineStr">
        <is>
          <t>2026-10-11</t>
        </is>
      </c>
      <c r="CX27" s="97" t="inlineStr">
        <is>
          <t>560811</t>
        </is>
      </c>
      <c r="CY27" s="183" t="n"/>
    </row>
    <row r="28" ht="12" customHeight="1">
      <c r="A28" s="116" t="inlineStr">
        <is>
          <t>HASLS22260901039</t>
        </is>
      </c>
      <c r="B28" s="96" t="inlineStr">
        <is>
          <t>40Hx1</t>
        </is>
      </c>
      <c r="C28" s="97" t="n">
        <v>1</v>
      </c>
      <c r="D28" s="97" t="n">
        <v>1</v>
      </c>
      <c r="E28" s="97" t="n"/>
      <c r="F28" s="97" t="n">
        <v>0</v>
      </c>
      <c r="G28" s="97" t="n">
        <v>0</v>
      </c>
      <c r="H28" s="97" t="n">
        <v>0</v>
      </c>
      <c r="I28" s="97" t="n">
        <v>1</v>
      </c>
      <c r="J28" s="97" t="n">
        <v>2</v>
      </c>
      <c r="K28" s="96" t="inlineStr">
        <is>
          <t>N</t>
        </is>
      </c>
      <c r="L28" s="96" t="inlineStr">
        <is>
          <t>NTX</t>
        </is>
      </c>
      <c r="M28" s="96" t="inlineStr">
        <is>
          <t>DJCF</t>
        </is>
      </c>
      <c r="N28" s="96" t="inlineStr">
        <is>
          <t>0152N</t>
        </is>
      </c>
      <c r="O28" s="96" t="inlineStr">
        <is>
          <t>THBKK</t>
        </is>
      </c>
      <c r="P28" s="96" t="inlineStr">
        <is>
          <t>BKK02</t>
        </is>
      </c>
      <c r="Q28" s="96" t="inlineStr">
        <is>
          <t>IA</t>
        </is>
      </c>
      <c r="R28" s="161" t="inlineStr">
        <is>
          <t>2026-10-11</t>
        </is>
      </c>
      <c r="S28" s="96" t="inlineStr">
        <is>
          <t>JPMYJ</t>
        </is>
      </c>
      <c r="T28" s="96" t="inlineStr">
        <is>
          <t>MYJ01</t>
        </is>
      </c>
      <c r="U28" s="96" t="inlineStr">
        <is>
          <t>JPMYJ</t>
        </is>
      </c>
      <c r="V28" s="161" t="inlineStr">
        <is>
          <t>2026-10-27</t>
        </is>
      </c>
      <c r="W28" s="96" t="inlineStr">
        <is>
          <t>JP</t>
        </is>
      </c>
      <c r="X28" s="97" t="n"/>
      <c r="Y28" s="97" t="inlineStr">
        <is>
          <t>PUS05</t>
        </is>
      </c>
      <c r="Z28" s="97" t="inlineStr">
        <is>
          <t>KRPUS</t>
        </is>
      </c>
      <c r="AA28" s="96" t="inlineStr">
        <is>
          <t>C.P. INTERTRADE CO., LTD.</t>
        </is>
      </c>
      <c r="AB28" s="96" t="inlineStr">
        <is>
          <t>PERFECT COMPANION GROUP CO., LTD.</t>
        </is>
      </c>
      <c r="AC28" s="163" t="n">
        <v>18986.7</v>
      </c>
      <c r="AD28" s="163" t="n">
        <v>22986.7</v>
      </c>
      <c r="AE28" s="96" t="inlineStr">
        <is>
          <t>OK</t>
        </is>
      </c>
      <c r="AF28" s="96" t="inlineStr">
        <is>
          <t>SR</t>
        </is>
      </c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JTYO45</t>
        </is>
      </c>
      <c r="AN28" s="96" t="inlineStr">
        <is>
          <t>OH JEONGSEOK</t>
        </is>
      </c>
      <c r="AO28" s="96" t="inlineStr">
        <is>
          <t>PET FOOD</t>
        </is>
      </c>
      <c r="AP28" s="96" t="inlineStr">
        <is>
          <t>T/S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n"/>
      <c r="AZ28" s="96" t="inlineStr">
        <is>
          <t>Pickup : 2026-10-03, Return : 2026-10-05</t>
        </is>
      </c>
      <c r="BA28" s="97" t="inlineStr">
        <is>
          <t>26/PCG14132    |  SC NO.J01-2111041(Please inform us if the vessel is delayed.)</t>
        </is>
      </c>
      <c r="BB28" s="96" t="inlineStr">
        <is>
          <t>C</t>
        </is>
      </c>
      <c r="BC28" s="161" t="inlineStr">
        <is>
          <t>2026-09-13</t>
        </is>
      </c>
      <c r="BD28" s="161" t="inlineStr">
        <is>
          <t>2026-10-09</t>
        </is>
      </c>
      <c r="BE28" s="96" t="inlineStr">
        <is>
          <t>Y</t>
        </is>
      </c>
      <c r="BF28" s="96" t="inlineStr">
        <is>
          <t>PET FOOD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BKK27</t>
        </is>
      </c>
      <c r="BL28" s="161" t="inlineStr">
        <is>
          <t>2026-10-03</t>
        </is>
      </c>
      <c r="BM28" s="127" t="n"/>
      <c r="BN28" s="127" t="n"/>
      <c r="BO28" s="127" t="n"/>
      <c r="BP28" s="127" t="n">
        <v>1</v>
      </c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>
        <v>2</v>
      </c>
      <c r="CA28" s="96" t="inlineStr">
        <is>
          <t>Y</t>
        </is>
      </c>
      <c r="CB28" s="97" t="n"/>
      <c r="CC28" s="96" t="inlineStr">
        <is>
          <t>BKK02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inlineStr">
        <is>
          <t>POL: THBKK [DJCF/0152N]; T/S(1st): KRPUS [PCBS/2643E]; POD: JPMYJ [/]</t>
        </is>
      </c>
      <c r="CI28" s="96" t="inlineStr">
        <is>
          <t>nuttanicha.pat@cpintertrade.com</t>
        </is>
      </c>
      <c r="CJ28" s="96" t="inlineStr">
        <is>
          <t>PERFECT COMPANION GROUP CO., LTD.</t>
        </is>
      </c>
      <c r="CK28" s="96" t="inlineStr">
        <is>
          <t>DCM CO.,LTD.</t>
        </is>
      </c>
      <c r="CL28" s="96" t="inlineStr">
        <is>
          <t>DCM CO.,LTD.</t>
        </is>
      </c>
      <c r="CM28" s="97" t="n"/>
      <c r="CN28" s="96" t="inlineStr">
        <is>
          <t>202610081700</t>
        </is>
      </c>
      <c r="CO28" s="96" t="inlineStr">
        <is>
          <t>202610091700</t>
        </is>
      </c>
      <c r="CP28" s="97" t="n"/>
      <c r="CQ28" s="96" t="inlineStr">
        <is>
          <t>J01-2111041</t>
        </is>
      </c>
      <c r="CR28" s="96" t="inlineStr">
        <is>
          <t>THTQ0T</t>
        </is>
      </c>
      <c r="CS28" s="96" t="inlineStr">
        <is>
          <t>C.P. INTERTRADE CO., LTD.</t>
        </is>
      </c>
      <c r="CT28" s="96" t="inlineStr">
        <is>
          <t>N</t>
        </is>
      </c>
      <c r="CU28" s="97" t="n"/>
      <c r="CV28" s="97" t="n"/>
      <c r="CW28" s="161" t="inlineStr">
        <is>
          <t>2026-10-11</t>
        </is>
      </c>
      <c r="CX28" s="97" t="inlineStr">
        <is>
          <t>230910</t>
        </is>
      </c>
      <c r="CY28" s="183" t="n"/>
    </row>
    <row r="29" ht="12" customHeight="1">
      <c r="A29" s="116" t="inlineStr">
        <is>
          <t>HASLS22261000007</t>
        </is>
      </c>
      <c r="B29" s="96" t="inlineStr">
        <is>
          <t>40Hx1</t>
        </is>
      </c>
      <c r="C29" s="97" t="n">
        <v>1</v>
      </c>
      <c r="D29" s="97" t="n">
        <v>1</v>
      </c>
      <c r="E29" s="97" t="n"/>
      <c r="F29" s="97" t="n">
        <v>0</v>
      </c>
      <c r="G29" s="97" t="n">
        <v>0</v>
      </c>
      <c r="H29" s="97" t="n">
        <v>0</v>
      </c>
      <c r="I29" s="97" t="n">
        <v>1</v>
      </c>
      <c r="J29" s="97" t="n">
        <v>2</v>
      </c>
      <c r="K29" s="96" t="inlineStr">
        <is>
          <t>N</t>
        </is>
      </c>
      <c r="L29" s="96" t="inlineStr">
        <is>
          <t>NTX</t>
        </is>
      </c>
      <c r="M29" s="96" t="inlineStr">
        <is>
          <t>DJCF</t>
        </is>
      </c>
      <c r="N29" s="96" t="inlineStr">
        <is>
          <t>0152N</t>
        </is>
      </c>
      <c r="O29" s="96" t="inlineStr">
        <is>
          <t>THBKK</t>
        </is>
      </c>
      <c r="P29" s="96" t="inlineStr">
        <is>
          <t>BKK02</t>
        </is>
      </c>
      <c r="Q29" s="96" t="inlineStr">
        <is>
          <t>IA</t>
        </is>
      </c>
      <c r="R29" s="161" t="inlineStr">
        <is>
          <t>2026-10-11</t>
        </is>
      </c>
      <c r="S29" s="96" t="inlineStr">
        <is>
          <t>VNSGN</t>
        </is>
      </c>
      <c r="T29" s="96" t="inlineStr">
        <is>
          <t>SGN03</t>
        </is>
      </c>
      <c r="U29" s="96" t="inlineStr">
        <is>
          <t>VNSGN</t>
        </is>
      </c>
      <c r="V29" s="161" t="inlineStr">
        <is>
          <t>2026-10-13</t>
        </is>
      </c>
      <c r="W29" s="96" t="inlineStr">
        <is>
          <t>IA</t>
        </is>
      </c>
      <c r="X29" s="97" t="n"/>
      <c r="Y29" s="97" t="n"/>
      <c r="Z29" s="97" t="n"/>
      <c r="AA29" s="96" t="inlineStr">
        <is>
          <t>SDS-ACUTECH CO., LTD.</t>
        </is>
      </c>
      <c r="AB29" s="96" t="inlineStr">
        <is>
          <t>APEX CIRCUIT (THAILAND) CO., LTD.</t>
        </is>
      </c>
      <c r="AC29" s="163" t="n">
        <v>7976.87</v>
      </c>
      <c r="AD29" s="163" t="n">
        <v>11976.87</v>
      </c>
      <c r="AE29" s="96" t="inlineStr">
        <is>
          <t>OK</t>
        </is>
      </c>
      <c r="AF29" s="96" t="n"/>
      <c r="AG29" s="97" t="n"/>
      <c r="AH29" s="96" t="inlineStr">
        <is>
          <t>CHK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390011</t>
        </is>
      </c>
      <c r="AN29" s="96" t="inlineStr">
        <is>
          <t>LEE SEUNG MIN</t>
        </is>
      </c>
      <c r="AO29" s="96" t="inlineStr">
        <is>
          <t>PRINTED CIRCUIT BOARD "NO BRAND"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n"/>
      <c r="AZ29" s="96" t="inlineStr">
        <is>
          <t xml:space="preserve">Pickup : 2026-10-05, Return : 2026-10-07 </t>
        </is>
      </c>
      <c r="BA29" s="97" t="n"/>
      <c r="BB29" s="96" t="inlineStr">
        <is>
          <t>C</t>
        </is>
      </c>
      <c r="BC29" s="161" t="inlineStr">
        <is>
          <t>2026-10-01</t>
        </is>
      </c>
      <c r="BD29" s="161" t="inlineStr">
        <is>
          <t>2026-10-09</t>
        </is>
      </c>
      <c r="BE29" s="96" t="inlineStr">
        <is>
          <t>Y</t>
        </is>
      </c>
      <c r="BF29" s="96" t="inlineStr">
        <is>
          <t>PRINTED CIRCUIT BOARD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BKK27</t>
        </is>
      </c>
      <c r="BL29" s="161" t="inlineStr">
        <is>
          <t>2026-10-05</t>
        </is>
      </c>
      <c r="BM29" s="127" t="n"/>
      <c r="BN29" s="127" t="n"/>
      <c r="BO29" s="127" t="n"/>
      <c r="BP29" s="127" t="n">
        <v>1</v>
      </c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inlineStr">
        <is>
          <t>Y</t>
        </is>
      </c>
      <c r="CB29" s="97" t="n"/>
      <c r="CC29" s="96" t="inlineStr">
        <is>
          <t>BKK02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sapanna.t@partner.samsung.com;cello-expth@partner.samsung.com</t>
        </is>
      </c>
      <c r="CJ29" s="96" t="inlineStr">
        <is>
          <t>APEX CIRCUIT (THAILAND) CO.,LTD.</t>
        </is>
      </c>
      <c r="CK29" s="96" t="inlineStr">
        <is>
          <t>SAMSUNG ELECTRONICS HCMC CE COMPLEX</t>
        </is>
      </c>
      <c r="CL29" s="96" t="inlineStr">
        <is>
          <t>SAMSUNG SDS VIETNAM CO., LTD -</t>
        </is>
      </c>
      <c r="CM29" s="97" t="n"/>
      <c r="CN29" s="96" t="inlineStr">
        <is>
          <t>202610081700</t>
        </is>
      </c>
      <c r="CO29" s="96" t="inlineStr">
        <is>
          <t>202610091700</t>
        </is>
      </c>
      <c r="CP29" s="97" t="n"/>
      <c r="CQ29" s="96" t="inlineStr">
        <is>
          <t>SDS2026GMT</t>
        </is>
      </c>
      <c r="CR29" s="96" t="inlineStr">
        <is>
          <t>THTIER</t>
        </is>
      </c>
      <c r="CS29" s="96" t="inlineStr">
        <is>
          <t>SDS-ACUTECH CO., LTD.</t>
        </is>
      </c>
      <c r="CT29" s="96" t="inlineStr">
        <is>
          <t>N</t>
        </is>
      </c>
      <c r="CU29" s="97" t="n"/>
      <c r="CV29" s="97" t="n"/>
      <c r="CW29" s="161" t="inlineStr">
        <is>
          <t>2026-10-11</t>
        </is>
      </c>
      <c r="CX29" s="97" t="inlineStr">
        <is>
          <t>853400</t>
        </is>
      </c>
      <c r="CY29" s="183" t="n"/>
    </row>
    <row r="30" ht="12" customHeight="1">
      <c r="A30" s="116" t="inlineStr">
        <is>
          <t>HASLS22261000179</t>
        </is>
      </c>
      <c r="B30" s="96" t="inlineStr">
        <is>
          <t>40Hx2</t>
        </is>
      </c>
      <c r="C30" s="97" t="n">
        <v>2</v>
      </c>
      <c r="D30" s="97" t="n">
        <v>2</v>
      </c>
      <c r="E30" s="97" t="n"/>
      <c r="F30" s="97" t="n">
        <v>0</v>
      </c>
      <c r="G30" s="97" t="n">
        <v>0</v>
      </c>
      <c r="H30" s="97" t="n">
        <v>0</v>
      </c>
      <c r="I30" s="97" t="n">
        <v>2</v>
      </c>
      <c r="J30" s="97" t="n">
        <v>4</v>
      </c>
      <c r="K30" s="96" t="inlineStr">
        <is>
          <t>N</t>
        </is>
      </c>
      <c r="L30" s="96" t="inlineStr">
        <is>
          <t>NTX</t>
        </is>
      </c>
      <c r="M30" s="96" t="inlineStr">
        <is>
          <t>DJCF</t>
        </is>
      </c>
      <c r="N30" s="96" t="inlineStr">
        <is>
          <t>0152N</t>
        </is>
      </c>
      <c r="O30" s="96" t="inlineStr">
        <is>
          <t>THBKK</t>
        </is>
      </c>
      <c r="P30" s="96" t="inlineStr">
        <is>
          <t>BKK02</t>
        </is>
      </c>
      <c r="Q30" s="96" t="inlineStr">
        <is>
          <t>IA</t>
        </is>
      </c>
      <c r="R30" s="161" t="inlineStr">
        <is>
          <t>2026-10-11</t>
        </is>
      </c>
      <c r="S30" s="96" t="inlineStr">
        <is>
          <t>VNSGN</t>
        </is>
      </c>
      <c r="T30" s="96" t="inlineStr">
        <is>
          <t>SGN03</t>
        </is>
      </c>
      <c r="U30" s="96" t="inlineStr">
        <is>
          <t>VNSGN</t>
        </is>
      </c>
      <c r="V30" s="161" t="inlineStr">
        <is>
          <t>2026-10-13</t>
        </is>
      </c>
      <c r="W30" s="96" t="inlineStr">
        <is>
          <t>IA</t>
        </is>
      </c>
      <c r="X30" s="97" t="n"/>
      <c r="Y30" s="97" t="n"/>
      <c r="Z30" s="97" t="n"/>
      <c r="AA30" s="96" t="inlineStr">
        <is>
          <t>KORCHINA FREIGHT (THAILAND) CO., LTD.</t>
        </is>
      </c>
      <c r="AB30" s="96" t="inlineStr">
        <is>
          <t>OTANI RADIAL CO., LTD.</t>
        </is>
      </c>
      <c r="AC30" s="163" t="n">
        <v>13908.68</v>
      </c>
      <c r="AD30" s="163" t="n">
        <v>21908.68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CHK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A1029</t>
        </is>
      </c>
      <c r="AN30" s="96" t="inlineStr">
        <is>
          <t>LEE HWA DONG</t>
        </is>
      </c>
      <c r="AO30" s="96" t="inlineStr">
        <is>
          <t>SPOOLS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n"/>
      <c r="AZ30" s="96" t="inlineStr">
        <is>
          <t xml:space="preserve">Pickup : 2026-10-07, Return : 2026-10-08 </t>
        </is>
      </c>
      <c r="BA30" s="97" t="n"/>
      <c r="BB30" s="96" t="inlineStr">
        <is>
          <t>C</t>
        </is>
      </c>
      <c r="BC30" s="161" t="inlineStr">
        <is>
          <t>2026-10-02</t>
        </is>
      </c>
      <c r="BD30" s="161" t="inlineStr">
        <is>
          <t>2026-10-08</t>
        </is>
      </c>
      <c r="BE30" s="96" t="inlineStr">
        <is>
          <t>Y</t>
        </is>
      </c>
      <c r="BF30" s="96" t="inlineStr">
        <is>
          <t>SPOOLS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BKK27</t>
        </is>
      </c>
      <c r="BL30" s="161" t="inlineStr">
        <is>
          <t>2026-10-07</t>
        </is>
      </c>
      <c r="BM30" s="127" t="n"/>
      <c r="BN30" s="127" t="n"/>
      <c r="BO30" s="127" t="n"/>
      <c r="BP30" s="127" t="n">
        <v>2</v>
      </c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BKK02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seaexport@korchina.co.th;seaexport4@korchina.co.th;seaexport2@korchina.co.th</t>
        </is>
      </c>
      <c r="CJ30" s="96" t="inlineStr">
        <is>
          <t>KORCHINA FREIGHT (THAILAND) CO.,LTD</t>
        </is>
      </c>
      <c r="CK30" s="96" t="inlineStr">
        <is>
          <t>HS HYOSUNG GLOBAL LOGISTICS VINA</t>
        </is>
      </c>
      <c r="CL30" s="96" t="inlineStr">
        <is>
          <t>HS HYOSUNG GLOBAL LOGISTICS VINA</t>
        </is>
      </c>
      <c r="CM30" s="97" t="n"/>
      <c r="CN30" s="96" t="inlineStr">
        <is>
          <t>202610081700</t>
        </is>
      </c>
      <c r="CO30" s="96" t="inlineStr">
        <is>
          <t>202610091700</t>
        </is>
      </c>
      <c r="CP30" s="97" t="n"/>
      <c r="CQ30" s="96" t="inlineStr">
        <is>
          <t>A1XZT-22018</t>
        </is>
      </c>
      <c r="CR30" s="96" t="inlineStr">
        <is>
          <t>THTKT0</t>
        </is>
      </c>
      <c r="CS30" s="96" t="inlineStr">
        <is>
          <t>KORCHINA FREIGHT (THAILAND) CO., LTD.</t>
        </is>
      </c>
      <c r="CT30" s="96" t="inlineStr">
        <is>
          <t>N</t>
        </is>
      </c>
      <c r="CU30" s="97" t="n"/>
      <c r="CV30" s="97" t="n"/>
      <c r="CW30" s="161" t="inlineStr">
        <is>
          <t>2026-10-11</t>
        </is>
      </c>
      <c r="CX30" s="97" t="inlineStr">
        <is>
          <t>732690</t>
        </is>
      </c>
      <c r="CY30" s="183" t="n"/>
    </row>
    <row r="31" ht="12" customHeight="1">
      <c r="A31" s="116" t="inlineStr">
        <is>
          <t>HASLS22260902379</t>
        </is>
      </c>
      <c r="B31" s="96" t="inlineStr">
        <is>
          <t>40Hx3</t>
        </is>
      </c>
      <c r="C31" s="97" t="n">
        <v>3</v>
      </c>
      <c r="D31" s="97" t="n">
        <v>3</v>
      </c>
      <c r="E31" s="97" t="n"/>
      <c r="F31" s="97" t="n">
        <v>0</v>
      </c>
      <c r="G31" s="97" t="n">
        <v>0</v>
      </c>
      <c r="H31" s="97" t="n">
        <v>0</v>
      </c>
      <c r="I31" s="97" t="n">
        <v>3</v>
      </c>
      <c r="J31" s="97" t="n">
        <v>6</v>
      </c>
      <c r="K31" s="96" t="inlineStr">
        <is>
          <t>N</t>
        </is>
      </c>
      <c r="L31" s="96" t="inlineStr">
        <is>
          <t>NTX</t>
        </is>
      </c>
      <c r="M31" s="96" t="inlineStr">
        <is>
          <t>DJCF</t>
        </is>
      </c>
      <c r="N31" s="96" t="inlineStr">
        <is>
          <t>0152N</t>
        </is>
      </c>
      <c r="O31" s="96" t="inlineStr">
        <is>
          <t>THBKK</t>
        </is>
      </c>
      <c r="P31" s="96" t="inlineStr">
        <is>
          <t>BKK02</t>
        </is>
      </c>
      <c r="Q31" s="96" t="inlineStr">
        <is>
          <t>IA</t>
        </is>
      </c>
      <c r="R31" s="161" t="inlineStr">
        <is>
          <t>2026-10-11</t>
        </is>
      </c>
      <c r="S31" s="96" t="inlineStr">
        <is>
          <t>VNSGN</t>
        </is>
      </c>
      <c r="T31" s="96" t="inlineStr">
        <is>
          <t>SGN03</t>
        </is>
      </c>
      <c r="U31" s="96" t="inlineStr">
        <is>
          <t>VNSGN</t>
        </is>
      </c>
      <c r="V31" s="161" t="inlineStr">
        <is>
          <t>2026-10-13</t>
        </is>
      </c>
      <c r="W31" s="96" t="inlineStr">
        <is>
          <t>IA</t>
        </is>
      </c>
      <c r="X31" s="97" t="n"/>
      <c r="Y31" s="97" t="n"/>
      <c r="Z31" s="97" t="n"/>
      <c r="AA31" s="96" t="inlineStr">
        <is>
          <t>ACCORD PILOT LOGISTICS (THAILAND) CO., LTD.</t>
        </is>
      </c>
      <c r="AB31" s="96" t="inlineStr">
        <is>
          <t>ASIAN-PACIFIC CAN CO., LTD.</t>
        </is>
      </c>
      <c r="AC31" s="163" t="n">
        <v>22565.26</v>
      </c>
      <c r="AD31" s="163" t="n">
        <v>34565.26</v>
      </c>
      <c r="AE31" s="96" t="inlineStr">
        <is>
          <t>OK</t>
        </is>
      </c>
      <c r="AF31" s="96" t="inlineStr">
        <is>
          <t>SR</t>
        </is>
      </c>
      <c r="AG31" s="97" t="n"/>
      <c r="AH31" s="96" t="inlineStr">
        <is>
          <t>CHK</t>
        </is>
      </c>
      <c r="AI31" s="97" t="n"/>
      <c r="AJ31" s="97" t="n"/>
      <c r="AK31" s="97" t="n"/>
      <c r="AL31" s="97" t="n"/>
      <c r="AM31" s="96" t="inlineStr">
        <is>
          <t>VSGN33</t>
        </is>
      </c>
      <c r="AN31" s="96" t="inlineStr">
        <is>
          <t>Nguyen Van Nam</t>
        </is>
      </c>
      <c r="AO31" s="96" t="inlineStr">
        <is>
          <t>EMPTY CAN</t>
        </is>
      </c>
      <c r="AP31" s="96" t="inlineStr">
        <is>
          <t>Normal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n"/>
      <c r="AZ31" s="96" t="inlineStr">
        <is>
          <t>Pickup : 2026-10-07, Return : 2026-10-08</t>
        </is>
      </c>
      <c r="BA31" s="97" t="inlineStr">
        <is>
          <t>P'TARN ACCEPTED DD 28/09 
 CY:07/10/26 BKK RE: 08/10/26 VOL: 3X40'HC HS CODE: 731021 S/C S21-2301141 ATTN: NUTTY SAI PO: 26IM-0042(2ND SHIPT)</t>
        </is>
      </c>
      <c r="BB31" s="96" t="inlineStr">
        <is>
          <t>C</t>
        </is>
      </c>
      <c r="BC31" s="161" t="inlineStr">
        <is>
          <t>2026-09-25</t>
        </is>
      </c>
      <c r="BD31" s="161" t="inlineStr">
        <is>
          <t>2026-10-09</t>
        </is>
      </c>
      <c r="BE31" s="96" t="inlineStr">
        <is>
          <t>Y</t>
        </is>
      </c>
      <c r="BF31" s="96" t="inlineStr">
        <is>
          <t>EMPTY CAN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BKK27</t>
        </is>
      </c>
      <c r="BL31" s="161" t="inlineStr">
        <is>
          <t>2026-10-07</t>
        </is>
      </c>
      <c r="BM31" s="127" t="n"/>
      <c r="BN31" s="127" t="n"/>
      <c r="BO31" s="127" t="n"/>
      <c r="BP31" s="127" t="n">
        <v>3</v>
      </c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/>
      <c r="CA31" s="96" t="inlineStr">
        <is>
          <t>Y</t>
        </is>
      </c>
      <c r="CB31" s="97" t="n"/>
      <c r="CC31" s="96" t="inlineStr">
        <is>
          <t>BKK02</t>
        </is>
      </c>
      <c r="CD31" s="97" t="n"/>
      <c r="CE31" s="97" t="inlineStr">
        <is>
          <t>CHECK</t>
        </is>
      </c>
      <c r="CF31" s="96" t="inlineStr">
        <is>
          <t>0 Teu</t>
        </is>
      </c>
      <c r="CG31" s="96" t="inlineStr">
        <is>
          <t>CY/CY</t>
        </is>
      </c>
      <c r="CH31" s="97" t="n"/>
      <c r="CI31" s="96" t="inlineStr">
        <is>
          <t>nutthakan@pilot.co.th</t>
        </is>
      </c>
      <c r="CJ31" s="96" t="inlineStr">
        <is>
          <t>ACCORD PILOT LOGISTICS (THAILAND)</t>
        </is>
      </c>
      <c r="CK31" s="96" t="inlineStr">
        <is>
          <t>THINH PHAT LOGISTICS TRADING</t>
        </is>
      </c>
      <c r="CL31" s="96" t="inlineStr">
        <is>
          <t>THINH PHAT LOGISTICS TRADING</t>
        </is>
      </c>
      <c r="CM31" s="97" t="n"/>
      <c r="CN31" s="96" t="inlineStr">
        <is>
          <t>202610081700</t>
        </is>
      </c>
      <c r="CO31" s="96" t="inlineStr">
        <is>
          <t>202610091700</t>
        </is>
      </c>
      <c r="CP31" s="97" t="n"/>
      <c r="CQ31" s="96" t="inlineStr">
        <is>
          <t>S21-2301141</t>
        </is>
      </c>
      <c r="CR31" s="96" t="inlineStr">
        <is>
          <t>THTIPI</t>
        </is>
      </c>
      <c r="CS31" s="96" t="inlineStr">
        <is>
          <t>ACCORD PILOT LOGISTICS (THAILAND) CO., LTD.</t>
        </is>
      </c>
      <c r="CT31" s="96" t="inlineStr">
        <is>
          <t>N</t>
        </is>
      </c>
      <c r="CU31" s="97" t="n"/>
      <c r="CV31" s="97" t="n"/>
      <c r="CW31" s="161" t="inlineStr">
        <is>
          <t>2026-10-11</t>
        </is>
      </c>
      <c r="CX31" s="97" t="inlineStr">
        <is>
          <t>731021</t>
        </is>
      </c>
      <c r="CY31" s="183" t="n"/>
    </row>
    <row r="32" ht="12" customHeight="1">
      <c r="A32" s="116" t="inlineStr">
        <is>
          <t>HASLS22260901037</t>
        </is>
      </c>
      <c r="B32" s="96" t="inlineStr">
        <is>
          <t>40Hx4</t>
        </is>
      </c>
      <c r="C32" s="97" t="n">
        <v>4</v>
      </c>
      <c r="D32" s="97" t="n">
        <v>4</v>
      </c>
      <c r="E32" s="97" t="n"/>
      <c r="F32" s="97" t="n">
        <v>0</v>
      </c>
      <c r="G32" s="97" t="n">
        <v>0</v>
      </c>
      <c r="H32" s="97" t="n">
        <v>0</v>
      </c>
      <c r="I32" s="97" t="n">
        <v>4</v>
      </c>
      <c r="J32" s="97" t="n">
        <v>8</v>
      </c>
      <c r="K32" s="96" t="inlineStr">
        <is>
          <t>N</t>
        </is>
      </c>
      <c r="L32" s="96" t="inlineStr">
        <is>
          <t>NTX</t>
        </is>
      </c>
      <c r="M32" s="96" t="inlineStr">
        <is>
          <t>DJCF</t>
        </is>
      </c>
      <c r="N32" s="96" t="inlineStr">
        <is>
          <t>0152N</t>
        </is>
      </c>
      <c r="O32" s="96" t="inlineStr">
        <is>
          <t>THBKK</t>
        </is>
      </c>
      <c r="P32" s="96" t="inlineStr">
        <is>
          <t>BKK02</t>
        </is>
      </c>
      <c r="Q32" s="96" t="inlineStr">
        <is>
          <t>IA</t>
        </is>
      </c>
      <c r="R32" s="161" t="inlineStr">
        <is>
          <t>2026-10-11</t>
        </is>
      </c>
      <c r="S32" s="96" t="inlineStr">
        <is>
          <t>VNSGN</t>
        </is>
      </c>
      <c r="T32" s="96" t="inlineStr">
        <is>
          <t>SGN03</t>
        </is>
      </c>
      <c r="U32" s="96" t="inlineStr">
        <is>
          <t>VNSGN</t>
        </is>
      </c>
      <c r="V32" s="161" t="inlineStr">
        <is>
          <t>2026-10-13</t>
        </is>
      </c>
      <c r="W32" s="96" t="inlineStr">
        <is>
          <t>IA</t>
        </is>
      </c>
      <c r="X32" s="97" t="n"/>
      <c r="Y32" s="97" t="n"/>
      <c r="Z32" s="97" t="n"/>
      <c r="AA32" s="96" t="inlineStr">
        <is>
          <t>PISIA INTERFREIGHT CO.,LTD.</t>
        </is>
      </c>
      <c r="AB32" s="96" t="inlineStr">
        <is>
          <t>KANGWAL POLYESTER CO., LTD.</t>
        </is>
      </c>
      <c r="AC32" s="163" t="n">
        <v>100691.2</v>
      </c>
      <c r="AD32" s="163" t="n">
        <v>116691.2</v>
      </c>
      <c r="AE32" s="96" t="inlineStr">
        <is>
          <t>OK</t>
        </is>
      </c>
      <c r="AF32" s="96" t="n"/>
      <c r="AG32" s="97" t="n"/>
      <c r="AH32" s="96" t="inlineStr">
        <is>
          <t>CHK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TH0011</t>
        </is>
      </c>
      <c r="AN32" s="96" t="inlineStr">
        <is>
          <t>Nannaapust Sukporntaweewat</t>
        </is>
      </c>
      <c r="AO32" s="96" t="inlineStr">
        <is>
          <t>POLYESTER STAPLE FIBER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N</t>
        </is>
      </c>
      <c r="AY32" s="97" t="n"/>
      <c r="AZ32" s="96" t="inlineStr">
        <is>
          <t>Pickup : 2026-10-06, Return : 2026-10-07</t>
        </is>
      </c>
      <c r="BA32" s="97" t="inlineStr">
        <is>
          <t xml:space="preserve">MAINTAIN DJCF 0152N DD 29/09 
 </t>
        </is>
      </c>
      <c r="BB32" s="96" t="inlineStr">
        <is>
          <t>P</t>
        </is>
      </c>
      <c r="BC32" s="161" t="inlineStr">
        <is>
          <t>2026-09-13</t>
        </is>
      </c>
      <c r="BD32" s="161" t="inlineStr">
        <is>
          <t>2026-10-07</t>
        </is>
      </c>
      <c r="BE32" s="96" t="inlineStr">
        <is>
          <t>Y</t>
        </is>
      </c>
      <c r="BF32" s="96" t="inlineStr">
        <is>
          <t>POLYESTER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BKK25</t>
        </is>
      </c>
      <c r="BL32" s="161" t="inlineStr">
        <is>
          <t>2026-10-06</t>
        </is>
      </c>
      <c r="BM32" s="127" t="n"/>
      <c r="BN32" s="127" t="n"/>
      <c r="BO32" s="127" t="n"/>
      <c r="BP32" s="127" t="n">
        <v>4</v>
      </c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BKK02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thanaroj.pisia@gmail.com</t>
        </is>
      </c>
      <c r="CJ32" s="96" t="inlineStr">
        <is>
          <t>KANGWAL POLYESTER CO., LTD.</t>
        </is>
      </c>
      <c r="CK32" s="96" t="inlineStr">
        <is>
          <t>TO ORDER OF VIETNAM INTERNATIONAL</t>
        </is>
      </c>
      <c r="CL32" s="96" t="inlineStr">
        <is>
          <t>VIET THANG CORPORATION (VICOTEX)</t>
        </is>
      </c>
      <c r="CM32" s="97" t="n"/>
      <c r="CN32" s="96" t="inlineStr">
        <is>
          <t>202610081700</t>
        </is>
      </c>
      <c r="CO32" s="96" t="inlineStr">
        <is>
          <t>202610091700</t>
        </is>
      </c>
      <c r="CP32" s="97" t="n"/>
      <c r="CQ32" s="96" t="inlineStr">
        <is>
          <t>S22-2408026</t>
        </is>
      </c>
      <c r="CR32" s="96" t="inlineStr">
        <is>
          <t>THTOSA</t>
        </is>
      </c>
      <c r="CS32" s="96" t="inlineStr">
        <is>
          <t>PISIA INTERFREIGHT CO.,LTD.</t>
        </is>
      </c>
      <c r="CT32" s="96" t="inlineStr">
        <is>
          <t>N</t>
        </is>
      </c>
      <c r="CU32" s="97" t="n"/>
      <c r="CV32" s="97" t="n"/>
      <c r="CW32" s="161" t="inlineStr">
        <is>
          <t>2026-10-10</t>
        </is>
      </c>
      <c r="CX32" s="97" t="inlineStr">
        <is>
          <t>550320</t>
        </is>
      </c>
      <c r="CY32" s="183" t="n"/>
    </row>
    <row r="33" ht="12" customHeight="1">
      <c r="A33" s="116" t="inlineStr">
        <is>
          <t>HASLS22260902221</t>
        </is>
      </c>
      <c r="B33" s="96" t="inlineStr">
        <is>
          <t>40Hx5</t>
        </is>
      </c>
      <c r="C33" s="97" t="n">
        <v>5</v>
      </c>
      <c r="D33" s="97" t="n">
        <v>5</v>
      </c>
      <c r="E33" s="97" t="n"/>
      <c r="F33" s="97" t="n">
        <v>0</v>
      </c>
      <c r="G33" s="97" t="n">
        <v>0</v>
      </c>
      <c r="H33" s="97" t="n">
        <v>0</v>
      </c>
      <c r="I33" s="97" t="n">
        <v>5</v>
      </c>
      <c r="J33" s="97" t="n">
        <v>10</v>
      </c>
      <c r="K33" s="96" t="inlineStr">
        <is>
          <t>N</t>
        </is>
      </c>
      <c r="L33" s="96" t="inlineStr">
        <is>
          <t>NTX</t>
        </is>
      </c>
      <c r="M33" s="96" t="inlineStr">
        <is>
          <t>DJCF</t>
        </is>
      </c>
      <c r="N33" s="96" t="inlineStr">
        <is>
          <t>0152N</t>
        </is>
      </c>
      <c r="O33" s="96" t="inlineStr">
        <is>
          <t>THBKK</t>
        </is>
      </c>
      <c r="P33" s="96" t="inlineStr">
        <is>
          <t>BKK02</t>
        </is>
      </c>
      <c r="Q33" s="96" t="inlineStr">
        <is>
          <t>IA</t>
        </is>
      </c>
      <c r="R33" s="161" t="inlineStr">
        <is>
          <t>2026-10-11</t>
        </is>
      </c>
      <c r="S33" s="96" t="inlineStr">
        <is>
          <t>VNSGN</t>
        </is>
      </c>
      <c r="T33" s="96" t="inlineStr">
        <is>
          <t>SGN03</t>
        </is>
      </c>
      <c r="U33" s="96" t="inlineStr">
        <is>
          <t>VNSGN</t>
        </is>
      </c>
      <c r="V33" s="161" t="inlineStr">
        <is>
          <t>2026-10-13</t>
        </is>
      </c>
      <c r="W33" s="96" t="inlineStr">
        <is>
          <t>IA</t>
        </is>
      </c>
      <c r="X33" s="97" t="n"/>
      <c r="Y33" s="97" t="n"/>
      <c r="Z33" s="97" t="n"/>
      <c r="AA33" s="96" t="inlineStr">
        <is>
          <t>CAPRICORN LOGISTICS CO., LTD.</t>
        </is>
      </c>
      <c r="AB33" s="96" t="inlineStr">
        <is>
          <t>SWAN INDUSTRIES (THAILAND) LTD.</t>
        </is>
      </c>
      <c r="AC33" s="163" t="n">
        <v>26352.65</v>
      </c>
      <c r="AD33" s="163" t="n">
        <v>46352.65</v>
      </c>
      <c r="AE33" s="96" t="inlineStr">
        <is>
          <t>OK</t>
        </is>
      </c>
      <c r="AF33" s="96" t="n"/>
      <c r="AG33" s="97" t="n"/>
      <c r="AH33" s="96" t="inlineStr">
        <is>
          <t>CHK</t>
        </is>
      </c>
      <c r="AI33" s="97" t="n"/>
      <c r="AJ33" s="97" t="n"/>
      <c r="AK33" s="97" t="n"/>
      <c r="AL33" s="97" t="n"/>
      <c r="AM33" s="96" t="inlineStr">
        <is>
          <t>VSGN21</t>
        </is>
      </c>
      <c r="AN33" s="96" t="inlineStr">
        <is>
          <t>Nguyen Xuan Toan</t>
        </is>
      </c>
      <c r="AO33" s="96" t="inlineStr">
        <is>
          <t>EMPTY CAN (FOOD CAN)</t>
        </is>
      </c>
      <c r="AP33" s="96" t="inlineStr">
        <is>
          <t>Normal</t>
        </is>
      </c>
      <c r="AQ33" s="97" t="n"/>
      <c r="AR33" s="97" t="n"/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n"/>
      <c r="AZ33" s="96" t="inlineStr">
        <is>
          <t xml:space="preserve">Pickup : 2026-10-06, Return : 2026-10-07 
CLS TIME DD.09/10/2026 @ 23.59 </t>
        </is>
      </c>
      <c r="BA33" s="97" t="n"/>
      <c r="BB33" s="96" t="inlineStr">
        <is>
          <t>C</t>
        </is>
      </c>
      <c r="BC33" s="161" t="inlineStr">
        <is>
          <t>2026-09-23</t>
        </is>
      </c>
      <c r="BD33" s="161" t="inlineStr">
        <is>
          <t>2026-10-08</t>
        </is>
      </c>
      <c r="BE33" s="96" t="inlineStr">
        <is>
          <t>Y</t>
        </is>
      </c>
      <c r="BF33" s="96" t="inlineStr">
        <is>
          <t>EMPTY CAN (FOOD CAN)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BKK27</t>
        </is>
      </c>
      <c r="BL33" s="161" t="inlineStr">
        <is>
          <t>2026-10-06</t>
        </is>
      </c>
      <c r="BM33" s="127" t="n"/>
      <c r="BN33" s="127" t="n"/>
      <c r="BO33" s="127" t="n"/>
      <c r="BP33" s="127" t="n">
        <v>5</v>
      </c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/>
      <c r="CA33" s="96" t="inlineStr">
        <is>
          <t>Y</t>
        </is>
      </c>
      <c r="CB33" s="97" t="n"/>
      <c r="CC33" s="96" t="inlineStr">
        <is>
          <t>BKK02</t>
        </is>
      </c>
      <c r="CD33" s="97" t="n"/>
      <c r="CE33" s="97" t="inlineStr">
        <is>
          <t>CHECK</t>
        </is>
      </c>
      <c r="CF33" s="96" t="inlineStr">
        <is>
          <t>0 Teu</t>
        </is>
      </c>
      <c r="CG33" s="96" t="inlineStr">
        <is>
          <t>CY/CY</t>
        </is>
      </c>
      <c r="CH33" s="97" t="n"/>
      <c r="CI33" s="96" t="inlineStr">
        <is>
          <t>bkk@capricornlogistics.co.th</t>
        </is>
      </c>
      <c r="CJ33" s="96" t="inlineStr">
        <is>
          <t>CAPRICORN LOGISTICS CO.,LTD.</t>
        </is>
      </c>
      <c r="CK33" s="96" t="inlineStr">
        <is>
          <t>GIA NGUYEN INT'L LOGISTICS CO., LTD</t>
        </is>
      </c>
      <c r="CL33" s="96" t="inlineStr">
        <is>
          <t>GIA NGUYEN INT'L LOGISTICS CO., LTD</t>
        </is>
      </c>
      <c r="CM33" s="97" t="n"/>
      <c r="CN33" s="96" t="inlineStr">
        <is>
          <t>202610081700</t>
        </is>
      </c>
      <c r="CO33" s="96" t="inlineStr">
        <is>
          <t>202610091700</t>
        </is>
      </c>
      <c r="CP33" s="97" t="n"/>
      <c r="CQ33" s="96" t="inlineStr">
        <is>
          <t>S21-2209099</t>
        </is>
      </c>
      <c r="CR33" s="96" t="inlineStr">
        <is>
          <t>TH045C</t>
        </is>
      </c>
      <c r="CS33" s="96" t="inlineStr">
        <is>
          <t>CAPRICORN LOGISTICS CO., LTD.</t>
        </is>
      </c>
      <c r="CT33" s="96" t="inlineStr">
        <is>
          <t>N</t>
        </is>
      </c>
      <c r="CU33" s="97" t="n"/>
      <c r="CV33" s="97" t="n"/>
      <c r="CW33" s="161" t="inlineStr">
        <is>
          <t>2026-10-11</t>
        </is>
      </c>
      <c r="CX33" s="97" t="inlineStr">
        <is>
          <t>731021</t>
        </is>
      </c>
      <c r="CY33" s="183" t="n"/>
    </row>
    <row r="34" ht="12" customHeight="1">
      <c r="A34" s="116" t="inlineStr">
        <is>
          <t>HASLS22260901042</t>
        </is>
      </c>
      <c r="B34" s="96" t="inlineStr">
        <is>
          <t>R40Hx1</t>
        </is>
      </c>
      <c r="C34" s="97" t="n">
        <v>1</v>
      </c>
      <c r="D34" s="97" t="n">
        <v>1</v>
      </c>
      <c r="E34" s="97" t="n"/>
      <c r="F34" s="97" t="n">
        <v>0</v>
      </c>
      <c r="G34" s="97" t="n">
        <v>0</v>
      </c>
      <c r="H34" s="97" t="n">
        <v>0</v>
      </c>
      <c r="I34" s="97" t="n">
        <v>1</v>
      </c>
      <c r="J34" s="97" t="n">
        <v>2</v>
      </c>
      <c r="K34" s="96" t="inlineStr">
        <is>
          <t>N</t>
        </is>
      </c>
      <c r="L34" s="96" t="inlineStr">
        <is>
          <t>NTX</t>
        </is>
      </c>
      <c r="M34" s="96" t="inlineStr">
        <is>
          <t>DJCF</t>
        </is>
      </c>
      <c r="N34" s="96" t="inlineStr">
        <is>
          <t>0152N</t>
        </is>
      </c>
      <c r="O34" s="96" t="inlineStr">
        <is>
          <t>THBKK</t>
        </is>
      </c>
      <c r="P34" s="96" t="inlineStr">
        <is>
          <t>BKK02</t>
        </is>
      </c>
      <c r="Q34" s="96" t="inlineStr">
        <is>
          <t>IA</t>
        </is>
      </c>
      <c r="R34" s="161" t="inlineStr">
        <is>
          <t>2026-10-11</t>
        </is>
      </c>
      <c r="S34" s="96" t="inlineStr">
        <is>
          <t>KRPUS</t>
        </is>
      </c>
      <c r="T34" s="96" t="inlineStr">
        <is>
          <t>PUS05</t>
        </is>
      </c>
      <c r="U34" s="96" t="inlineStr">
        <is>
          <t>KRPUS</t>
        </is>
      </c>
      <c r="V34" s="161" t="inlineStr">
        <is>
          <t>2026-10-22</t>
        </is>
      </c>
      <c r="W34" s="96" t="inlineStr">
        <is>
          <t>KR</t>
        </is>
      </c>
      <c r="X34" s="97" t="n"/>
      <c r="Y34" s="97" t="n"/>
      <c r="Z34" s="97" t="n"/>
      <c r="AA34" s="96" t="inlineStr">
        <is>
          <t>THAI UNION MANUFACTURING CO., LTD.</t>
        </is>
      </c>
      <c r="AB34" s="96" t="inlineStr">
        <is>
          <t>THAI UNION MANUFACTURING CO., LTD.</t>
        </is>
      </c>
      <c r="AC34" s="163" t="n">
        <v>24968.4</v>
      </c>
      <c r="AD34" s="163" t="n">
        <v>28968.4</v>
      </c>
      <c r="AE34" s="96" t="inlineStr">
        <is>
          <t>OK</t>
        </is>
      </c>
      <c r="AF34" s="96" t="n"/>
      <c r="AG34" s="97" t="n"/>
      <c r="AH34" s="96" t="inlineStr">
        <is>
          <t>CHK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TBKK28</t>
        </is>
      </c>
      <c r="AN34" s="96" t="inlineStr">
        <is>
          <t>Nustsireerach</t>
        </is>
      </c>
      <c r="AO34" s="96" t="inlineStr">
        <is>
          <t>FROZEN RAW BREADED VANNAMEI SHRIMP PATTY</t>
        </is>
      </c>
      <c r="AP34" s="96" t="inlineStr">
        <is>
          <t>Normal</t>
        </is>
      </c>
      <c r="AQ34" s="97" t="n"/>
      <c r="AR34" s="97" t="n"/>
      <c r="AS34" s="97" t="inlineStr">
        <is>
          <t>RF// MIN:-20.0 MAX:-20.0 [COVER:CLOSE]</t>
        </is>
      </c>
      <c r="AT34" s="97" t="inlineStr">
        <is>
          <t xml:space="preserve">45REx1 </t>
        </is>
      </c>
      <c r="AU34" s="97" t="n"/>
      <c r="AV34" s="97" t="n"/>
      <c r="AW34" s="97" t="n">
        <v>0</v>
      </c>
      <c r="AX34" s="96" t="inlineStr">
        <is>
          <t>N</t>
        </is>
      </c>
      <c r="AY34" s="97" t="n"/>
      <c r="AZ34" s="96" t="inlineStr">
        <is>
          <t xml:space="preserve">Pickup : 2026-10-06, Return : 2026-10-07 RF45REx1 (Temp -20.0 / Vent Close) 
 CLS TIME : 09/10/2026 @12.00 </t>
        </is>
      </c>
      <c r="BA34" s="97" t="inlineStr">
        <is>
          <t>RQST containers that are not more than 7 years old for this shipment.</t>
        </is>
      </c>
      <c r="BB34" s="96" t="inlineStr">
        <is>
          <t>P</t>
        </is>
      </c>
      <c r="BC34" s="161" t="inlineStr">
        <is>
          <t>2026-09-14</t>
        </is>
      </c>
      <c r="BD34" s="161" t="inlineStr">
        <is>
          <t>2026-10-07</t>
        </is>
      </c>
      <c r="BE34" s="96" t="inlineStr">
        <is>
          <t>Y</t>
        </is>
      </c>
      <c r="BF34" s="96" t="inlineStr">
        <is>
          <t>FROZEN SHRIMP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BKK27</t>
        </is>
      </c>
      <c r="BL34" s="161" t="inlineStr">
        <is>
          <t>2026-10-06</t>
        </is>
      </c>
      <c r="BM34" s="127" t="n"/>
      <c r="BN34" s="127" t="n"/>
      <c r="BO34" s="127" t="n"/>
      <c r="BP34" s="127" t="n"/>
      <c r="BQ34" s="127" t="n"/>
      <c r="BR34" s="127" t="n">
        <v>1</v>
      </c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/>
      <c r="CA34" s="96" t="inlineStr">
        <is>
          <t>Y</t>
        </is>
      </c>
      <c r="CB34" s="97" t="n"/>
      <c r="CC34" s="96" t="inlineStr">
        <is>
          <t>BKK02</t>
        </is>
      </c>
      <c r="CD34" s="97" t="n"/>
      <c r="CE34" s="97" t="n"/>
      <c r="CF34" s="96" t="inlineStr">
        <is>
          <t>0 Teu</t>
        </is>
      </c>
      <c r="CG34" s="96" t="inlineStr">
        <is>
          <t>CY/CY</t>
        </is>
      </c>
      <c r="CH34" s="97" t="n"/>
      <c r="CI34" s="96" t="inlineStr">
        <is>
          <t>areeya.homhual@thaiunion.com</t>
        </is>
      </c>
      <c r="CJ34" s="96" t="inlineStr">
        <is>
          <t>THAI UNION GROUP PUBLIC COMPANY</t>
        </is>
      </c>
      <c r="CK34" s="96" t="inlineStr">
        <is>
          <t>BKR CO.,LTD.</t>
        </is>
      </c>
      <c r="CL34" s="96" t="inlineStr">
        <is>
          <t>BKR CO.,LTD.</t>
        </is>
      </c>
      <c r="CM34" s="97" t="n"/>
      <c r="CN34" s="96" t="inlineStr">
        <is>
          <t>202610081700</t>
        </is>
      </c>
      <c r="CO34" s="96" t="inlineStr">
        <is>
          <t>202610091700</t>
        </is>
      </c>
      <c r="CP34" s="97" t="inlineStr">
        <is>
          <t>45RE x1: RF(Temp:-20.0' / Cover:CLOSE)</t>
        </is>
      </c>
      <c r="CQ34" s="96" t="inlineStr">
        <is>
          <t>S19-2308013</t>
        </is>
      </c>
      <c r="CR34" s="96" t="inlineStr">
        <is>
          <t>THTQ2R</t>
        </is>
      </c>
      <c r="CS34" s="96" t="inlineStr">
        <is>
          <t>THAI UNION MANUFACTURING CO., LTD.</t>
        </is>
      </c>
      <c r="CT34" s="96" t="inlineStr">
        <is>
          <t>N</t>
        </is>
      </c>
      <c r="CU34" s="97" t="n"/>
      <c r="CV34" s="97" t="n"/>
      <c r="CW34" s="161" t="inlineStr">
        <is>
          <t>2026-10-10</t>
        </is>
      </c>
      <c r="CX34" s="97" t="n"/>
      <c r="CY34" s="183" t="n"/>
    </row>
    <row r="35" ht="12" customHeight="1">
      <c r="A35" s="116" t="inlineStr">
        <is>
          <t>HASLS22260902719</t>
        </is>
      </c>
      <c r="B35" s="96" t="inlineStr">
        <is>
          <t>R40Hx1</t>
        </is>
      </c>
      <c r="C35" s="97" t="n">
        <v>1</v>
      </c>
      <c r="D35" s="97" t="n">
        <v>1</v>
      </c>
      <c r="E35" s="97" t="n"/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NTX</t>
        </is>
      </c>
      <c r="M35" s="96" t="inlineStr">
        <is>
          <t>DJCF</t>
        </is>
      </c>
      <c r="N35" s="96" t="inlineStr">
        <is>
          <t>0152N</t>
        </is>
      </c>
      <c r="O35" s="96" t="inlineStr">
        <is>
          <t>THBKK</t>
        </is>
      </c>
      <c r="P35" s="96" t="inlineStr">
        <is>
          <t>BKK02</t>
        </is>
      </c>
      <c r="Q35" s="96" t="inlineStr">
        <is>
          <t>IA</t>
        </is>
      </c>
      <c r="R35" s="161" t="inlineStr">
        <is>
          <t>2026-10-11</t>
        </is>
      </c>
      <c r="S35" s="96" t="inlineStr">
        <is>
          <t>VNSGN</t>
        </is>
      </c>
      <c r="T35" s="96" t="inlineStr">
        <is>
          <t>SGN03</t>
        </is>
      </c>
      <c r="U35" s="96" t="inlineStr">
        <is>
          <t>VNSGN</t>
        </is>
      </c>
      <c r="V35" s="161" t="inlineStr">
        <is>
          <t>2026-10-13</t>
        </is>
      </c>
      <c r="W35" s="96" t="inlineStr">
        <is>
          <t>IA</t>
        </is>
      </c>
      <c r="X35" s="97" t="n"/>
      <c r="Y35" s="97" t="n"/>
      <c r="Z35" s="97" t="n"/>
      <c r="AA35" s="96" t="inlineStr">
        <is>
          <t>YUSEN LOGISTICS (THAILAND) CO., LTD.</t>
        </is>
      </c>
      <c r="AB35" s="96" t="inlineStr">
        <is>
          <t xml:space="preserve">DAIICHI SANKYO (THAILAND) CO., LTD  </t>
        </is>
      </c>
      <c r="AC35" s="163" t="n">
        <v>1949</v>
      </c>
      <c r="AD35" s="163" t="n">
        <v>5949</v>
      </c>
      <c r="AE35" s="96" t="inlineStr">
        <is>
          <t>OK</t>
        </is>
      </c>
      <c r="AF35" s="96" t="n"/>
      <c r="AG35" s="97" t="n"/>
      <c r="AH35" s="96" t="inlineStr">
        <is>
          <t>CHK</t>
        </is>
      </c>
      <c r="AI35" s="97" t="n"/>
      <c r="AJ35" s="97" t="n"/>
      <c r="AK35" s="97" t="n"/>
      <c r="AL35" s="97" t="n"/>
      <c r="AM35" s="96" t="inlineStr">
        <is>
          <t>TBKK55</t>
        </is>
      </c>
      <c r="AN35" s="96" t="inlineStr">
        <is>
          <t>Vilaiporn</t>
        </is>
      </c>
      <c r="AO35" s="96" t="inlineStr">
        <is>
          <t>CRAVIT</t>
        </is>
      </c>
      <c r="AP35" s="96" t="inlineStr">
        <is>
          <t>Normal</t>
        </is>
      </c>
      <c r="AQ35" s="97" t="n"/>
      <c r="AR35" s="97" t="n"/>
      <c r="AS35" s="97" t="inlineStr">
        <is>
          <t>RF// MIN:+15.0 MAX:+15.0 [COVER:CLOSE]</t>
        </is>
      </c>
      <c r="AT35" s="97" t="inlineStr">
        <is>
          <t xml:space="preserve">45REx1 </t>
        </is>
      </c>
      <c r="AU35" s="97" t="n"/>
      <c r="AV35" s="97" t="n"/>
      <c r="AW35" s="97" t="n">
        <v>0</v>
      </c>
      <c r="AX35" s="96" t="inlineStr">
        <is>
          <t>N</t>
        </is>
      </c>
      <c r="AY35" s="97" t="n"/>
      <c r="AZ35" s="96" t="inlineStr">
        <is>
          <t>Pickup : 2026-10-08, Return : 2026-10-08 (Temp +15.0 / Vent Close) *PRECOOL*
CLS TIME 09/10/26 @23.59 COST PRECOOL = 1,200 BAHT</t>
        </is>
      </c>
      <c r="BA35" s="97" t="inlineStr">
        <is>
          <t xml:space="preserve"> COST PRECOOL = 1,200 BAHT</t>
        </is>
      </c>
      <c r="BB35" s="96" t="inlineStr">
        <is>
          <t>P</t>
        </is>
      </c>
      <c r="BC35" s="161" t="inlineStr">
        <is>
          <t>2026-09-29</t>
        </is>
      </c>
      <c r="BD35" s="161" t="inlineStr">
        <is>
          <t>2026-10-09</t>
        </is>
      </c>
      <c r="BE35" s="96" t="inlineStr">
        <is>
          <t>Y</t>
        </is>
      </c>
      <c r="BF35" s="96" t="inlineStr">
        <is>
          <t>CRAVIT</t>
        </is>
      </c>
      <c r="BG35" s="96" t="inlineStr">
        <is>
          <t>Line</t>
        </is>
      </c>
      <c r="BH35" s="96" t="inlineStr">
        <is>
          <t>S22</t>
        </is>
      </c>
      <c r="BI35" s="97" t="n"/>
      <c r="BJ35" s="97" t="n"/>
      <c r="BK35" s="96" t="inlineStr">
        <is>
          <t>BKK27</t>
        </is>
      </c>
      <c r="BL35" s="161" t="inlineStr">
        <is>
          <t>2026-10-08</t>
        </is>
      </c>
      <c r="BM35" s="127" t="n"/>
      <c r="BN35" s="127" t="n"/>
      <c r="BO35" s="127" t="n"/>
      <c r="BP35" s="127" t="n"/>
      <c r="BQ35" s="127" t="n"/>
      <c r="BR35" s="127" t="n">
        <v>1</v>
      </c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/>
      <c r="CA35" s="96" t="inlineStr">
        <is>
          <t>Y</t>
        </is>
      </c>
      <c r="CB35" s="97" t="n"/>
      <c r="CC35" s="96" t="inlineStr">
        <is>
          <t>BKK02</t>
        </is>
      </c>
      <c r="CD35" s="97" t="n"/>
      <c r="CE35" s="97" t="inlineStr">
        <is>
          <t>CHECK</t>
        </is>
      </c>
      <c r="CF35" s="96" t="inlineStr">
        <is>
          <t>0 Teu</t>
        </is>
      </c>
      <c r="CG35" s="96" t="inlineStr">
        <is>
          <t>CY/CY</t>
        </is>
      </c>
      <c r="CH35" s="97" t="n"/>
      <c r="CI35" s="96" t="inlineStr">
        <is>
          <t>panu.s@th.yusen-logistics.com</t>
        </is>
      </c>
      <c r="CJ35" s="96" t="inlineStr">
        <is>
          <t>YUSEN LOGISTICS (THAILAND) CO., LTD</t>
        </is>
      </c>
      <c r="CK35" s="96" t="inlineStr">
        <is>
          <t>YUSEN LOGISTICS (VIETNAM) CO., LTD.</t>
        </is>
      </c>
      <c r="CL35" s="96" t="inlineStr">
        <is>
          <t>YUSEN LOGISTICS (VIETNAM) CO., LTD.</t>
        </is>
      </c>
      <c r="CM35" s="97" t="n"/>
      <c r="CN35" s="96" t="inlineStr">
        <is>
          <t>202610081700</t>
        </is>
      </c>
      <c r="CO35" s="96" t="inlineStr">
        <is>
          <t>202610091700</t>
        </is>
      </c>
      <c r="CP35" s="97" t="inlineStr">
        <is>
          <t>45RE x1: RF(Temp:+15.0' / Cover:CLOSE)</t>
        </is>
      </c>
      <c r="CQ35" s="96" t="inlineStr">
        <is>
          <t>S19-2112038</t>
        </is>
      </c>
      <c r="CR35" s="96" t="inlineStr">
        <is>
          <t>TH03TL</t>
        </is>
      </c>
      <c r="CS35" s="96" t="inlineStr">
        <is>
          <t>YUSEN LOGISTICS (THAILAND) CO., LTD.</t>
        </is>
      </c>
      <c r="CT35" s="96" t="inlineStr">
        <is>
          <t>N</t>
        </is>
      </c>
      <c r="CU35" s="97" t="n"/>
      <c r="CV35" s="97" t="n"/>
      <c r="CW35" s="161" t="inlineStr">
        <is>
          <t>2026-10-11</t>
        </is>
      </c>
      <c r="CX35" s="97" t="inlineStr">
        <is>
          <t>300420</t>
        </is>
      </c>
      <c r="CY35" s="183" t="n"/>
    </row>
    <row r="36" ht="12" customHeight="1">
      <c r="A36" s="116" t="inlineStr">
        <is>
          <t>HASLS22260901487</t>
        </is>
      </c>
      <c r="B36" s="96" t="inlineStr">
        <is>
          <t>R40Hx1</t>
        </is>
      </c>
      <c r="C36" s="97" t="n">
        <v>1</v>
      </c>
      <c r="D36" s="97" t="n">
        <v>1</v>
      </c>
      <c r="E36" s="97" t="n"/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NTX</t>
        </is>
      </c>
      <c r="M36" s="96" t="inlineStr">
        <is>
          <t>DJCF</t>
        </is>
      </c>
      <c r="N36" s="96" t="inlineStr">
        <is>
          <t>0152N</t>
        </is>
      </c>
      <c r="O36" s="96" t="inlineStr">
        <is>
          <t>THBKK</t>
        </is>
      </c>
      <c r="P36" s="96" t="inlineStr">
        <is>
          <t>BKK02</t>
        </is>
      </c>
      <c r="Q36" s="96" t="inlineStr">
        <is>
          <t>IA</t>
        </is>
      </c>
      <c r="R36" s="161" t="inlineStr">
        <is>
          <t>2026-10-11</t>
        </is>
      </c>
      <c r="S36" s="96" t="inlineStr">
        <is>
          <t>VNSGN</t>
        </is>
      </c>
      <c r="T36" s="96" t="inlineStr">
        <is>
          <t>SGN03</t>
        </is>
      </c>
      <c r="U36" s="96" t="inlineStr">
        <is>
          <t>VNSGN</t>
        </is>
      </c>
      <c r="V36" s="161" t="inlineStr">
        <is>
          <t>2026-10-13</t>
        </is>
      </c>
      <c r="W36" s="96" t="inlineStr">
        <is>
          <t>IA</t>
        </is>
      </c>
      <c r="X36" s="97" t="n"/>
      <c r="Y36" s="97" t="n"/>
      <c r="Z36" s="97" t="n"/>
      <c r="AA36" s="96" t="inlineStr">
        <is>
          <t>OPENSEA CARGO SERVICE CO., LTD.</t>
        </is>
      </c>
      <c r="AB36" s="96" t="inlineStr">
        <is>
          <t>KCG CORPORATION PUBLIC COMPANY LIMITED</t>
        </is>
      </c>
      <c r="AC36" s="163" t="n">
        <v>24063</v>
      </c>
      <c r="AD36" s="163" t="n">
        <v>28063</v>
      </c>
      <c r="AE36" s="96" t="inlineStr">
        <is>
          <t>OK</t>
        </is>
      </c>
      <c r="AF36" s="96" t="n"/>
      <c r="AG36" s="97" t="n"/>
      <c r="AH36" s="96" t="inlineStr">
        <is>
          <t>CHK</t>
        </is>
      </c>
      <c r="AI36" s="97" t="n"/>
      <c r="AJ36" s="97" t="n"/>
      <c r="AK36" s="97" t="n"/>
      <c r="AL36" s="97" t="n"/>
      <c r="AM36" s="96" t="inlineStr">
        <is>
          <t>TH0042</t>
        </is>
      </c>
      <c r="AN36" s="96" t="inlineStr">
        <is>
          <t>Sukunpoj Damrongying</t>
        </is>
      </c>
      <c r="AO36" s="96" t="inlineStr">
        <is>
          <t>MARGARINE VARIOUS FLAVOURED</t>
        </is>
      </c>
      <c r="AP36" s="96" t="inlineStr">
        <is>
          <t>Normal</t>
        </is>
      </c>
      <c r="AQ36" s="97" t="n"/>
      <c r="AR36" s="97" t="n"/>
      <c r="AS36" s="97" t="inlineStr">
        <is>
          <t>RF// MIN:+0.0 MAX:+0.0 [COVER:CLOSE]</t>
        </is>
      </c>
      <c r="AT36" s="97" t="inlineStr">
        <is>
          <t xml:space="preserve">45REx1 </t>
        </is>
      </c>
      <c r="AU36" s="97" t="n"/>
      <c r="AV36" s="97" t="n"/>
      <c r="AW36" s="97" t="n">
        <v>0</v>
      </c>
      <c r="AX36" s="96" t="inlineStr">
        <is>
          <t>N</t>
        </is>
      </c>
      <c r="AY36" s="97" t="n"/>
      <c r="AZ36" s="96" t="inlineStr">
        <is>
          <t>Pickup : 2026-10-08, Return : 2026-10-08 (Temp +0.0 / Vent Close) *PRECOOL*
CLS TIME 09/10/26 @23.59 COST PRECOOL = 1,200 BAHT</t>
        </is>
      </c>
      <c r="BA36" s="97" t="inlineStr">
        <is>
          <t xml:space="preserve">SI DD.6/10/26
COST PRECOOL = 1,200 BAHT
</t>
        </is>
      </c>
      <c r="BB36" s="96" t="inlineStr">
        <is>
          <t>P</t>
        </is>
      </c>
      <c r="BC36" s="161" t="inlineStr">
        <is>
          <t>2026-09-17</t>
        </is>
      </c>
      <c r="BD36" s="161" t="inlineStr">
        <is>
          <t>2026-10-09</t>
        </is>
      </c>
      <c r="BE36" s="96" t="inlineStr">
        <is>
          <t>Y</t>
        </is>
      </c>
      <c r="BF36" s="96" t="inlineStr">
        <is>
          <t>CHEESE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BKK27</t>
        </is>
      </c>
      <c r="BL36" s="161" t="inlineStr">
        <is>
          <t>2026-10-08</t>
        </is>
      </c>
      <c r="BM36" s="127" t="n"/>
      <c r="BN36" s="127" t="n"/>
      <c r="BO36" s="127" t="n"/>
      <c r="BP36" s="127" t="n"/>
      <c r="BQ36" s="127" t="n"/>
      <c r="BR36" s="127" t="n">
        <v>1</v>
      </c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/>
      <c r="CA36" s="96" t="inlineStr">
        <is>
          <t>Y</t>
        </is>
      </c>
      <c r="CB36" s="97" t="n"/>
      <c r="CC36" s="96" t="inlineStr">
        <is>
          <t>BKK02</t>
        </is>
      </c>
      <c r="CD36" s="97" t="n"/>
      <c r="CE36" s="97" t="n"/>
      <c r="CF36" s="96" t="inlineStr">
        <is>
          <t>0 Teu</t>
        </is>
      </c>
      <c r="CG36" s="96" t="inlineStr">
        <is>
          <t>CY/CY</t>
        </is>
      </c>
      <c r="CH36" s="97" t="n"/>
      <c r="CI36" s="96" t="inlineStr">
        <is>
          <t>CONTACT1OPENSEA@GMAIL.COMCO.TH</t>
        </is>
      </c>
      <c r="CJ36" s="96" t="inlineStr">
        <is>
          <t>OPENSEA CARGO SERVICE CO.,LTD.</t>
        </is>
      </c>
      <c r="CK36" s="96" t="inlineStr">
        <is>
          <t>TAN TIEN PHAT IMPORT EXPORT &amp;</t>
        </is>
      </c>
      <c r="CL36" s="96" t="inlineStr">
        <is>
          <t>TAN TIEN PHAT IMPORT EXPORT &amp;</t>
        </is>
      </c>
      <c r="CM36" s="97" t="n"/>
      <c r="CN36" s="96" t="inlineStr">
        <is>
          <t>202610081700</t>
        </is>
      </c>
      <c r="CO36" s="96" t="inlineStr">
        <is>
          <t>202610091700</t>
        </is>
      </c>
      <c r="CP36" s="97" t="inlineStr">
        <is>
          <t>45RE x1: RF(Temp:+0.0' / Cover:CLOSE)</t>
        </is>
      </c>
      <c r="CQ36" s="96" t="inlineStr">
        <is>
          <t>S22-2301041</t>
        </is>
      </c>
      <c r="CR36" s="96" t="inlineStr">
        <is>
          <t>BB1735</t>
        </is>
      </c>
      <c r="CS36" s="96" t="inlineStr">
        <is>
          <t>OPENSEA CARGO SERVICE CO., LTD.</t>
        </is>
      </c>
      <c r="CT36" s="96" t="inlineStr">
        <is>
          <t>N</t>
        </is>
      </c>
      <c r="CU36" s="97" t="n"/>
      <c r="CV36" s="97" t="n"/>
      <c r="CW36" s="161" t="inlineStr">
        <is>
          <t>2026-10-11</t>
        </is>
      </c>
      <c r="CX36" s="97" t="inlineStr">
        <is>
          <t>151710</t>
        </is>
      </c>
      <c r="CY36" s="183" t="n"/>
    </row>
    <row r="37" ht="12" customHeight="1">
      <c r="A37" s="116" t="inlineStr">
        <is>
          <t>HASLS22260901381</t>
        </is>
      </c>
      <c r="B37" s="96" t="inlineStr">
        <is>
          <t>R40Hx1</t>
        </is>
      </c>
      <c r="C37" s="97" t="n">
        <v>1</v>
      </c>
      <c r="D37" s="97" t="n">
        <v>1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NTX</t>
        </is>
      </c>
      <c r="M37" s="96" t="inlineStr">
        <is>
          <t>DJCF</t>
        </is>
      </c>
      <c r="N37" s="96" t="inlineStr">
        <is>
          <t>0152N</t>
        </is>
      </c>
      <c r="O37" s="96" t="inlineStr">
        <is>
          <t>THBKK</t>
        </is>
      </c>
      <c r="P37" s="96" t="inlineStr">
        <is>
          <t>BKK02</t>
        </is>
      </c>
      <c r="Q37" s="96" t="inlineStr">
        <is>
          <t>IA</t>
        </is>
      </c>
      <c r="R37" s="161" t="inlineStr">
        <is>
          <t>2026-10-11</t>
        </is>
      </c>
      <c r="S37" s="96" t="inlineStr">
        <is>
          <t>VNSGN</t>
        </is>
      </c>
      <c r="T37" s="96" t="inlineStr">
        <is>
          <t>SGN03</t>
        </is>
      </c>
      <c r="U37" s="96" t="inlineStr">
        <is>
          <t>VNSGN</t>
        </is>
      </c>
      <c r="V37" s="161" t="inlineStr">
        <is>
          <t>2026-10-13</t>
        </is>
      </c>
      <c r="W37" s="96" t="inlineStr">
        <is>
          <t>IA</t>
        </is>
      </c>
      <c r="X37" s="97" t="n"/>
      <c r="Y37" s="97" t="n"/>
      <c r="Z37" s="97" t="n"/>
      <c r="AA37" s="96" t="inlineStr">
        <is>
          <t>FIBS LOGISTICS CO., LTD.</t>
        </is>
      </c>
      <c r="AB37" s="96" t="inlineStr">
        <is>
          <t>KIBUN (THAILAND) CO., LTD.</t>
        </is>
      </c>
      <c r="AC37" s="163" t="n">
        <v>26428.82</v>
      </c>
      <c r="AD37" s="163" t="n">
        <v>30428.82</v>
      </c>
      <c r="AE37" s="96" t="inlineStr">
        <is>
          <t>OK</t>
        </is>
      </c>
      <c r="AF37" s="96" t="inlineStr">
        <is>
          <t>SR</t>
        </is>
      </c>
      <c r="AG37" s="97" t="n"/>
      <c r="AH37" s="96" t="inlineStr">
        <is>
          <t>CON</t>
        </is>
      </c>
      <c r="AI37" s="97" t="n"/>
      <c r="AJ37" s="97" t="n"/>
      <c r="AK37" s="97" t="n"/>
      <c r="AL37" s="97" t="n"/>
      <c r="AM37" s="96" t="inlineStr">
        <is>
          <t>TH0011</t>
        </is>
      </c>
      <c r="AN37" s="96" t="inlineStr">
        <is>
          <t>Nannaapust Sukporntaweewat</t>
        </is>
      </c>
      <c r="AO37" s="96" t="inlineStr">
        <is>
          <t>FROZEN IMITATION CRAB MEAT</t>
        </is>
      </c>
      <c r="AP37" s="96" t="inlineStr">
        <is>
          <t>Normal</t>
        </is>
      </c>
      <c r="AQ37" s="97" t="n"/>
      <c r="AR37" s="97" t="n"/>
      <c r="AS37" s="97" t="inlineStr">
        <is>
          <t>RF// MIN:-20.0 MAX:-20.0 [COVER:CLOSE]</t>
        </is>
      </c>
      <c r="AT37" s="97" t="inlineStr">
        <is>
          <t xml:space="preserve">45REx1 </t>
        </is>
      </c>
      <c r="AU37" s="97" t="n"/>
      <c r="AV37" s="97" t="n"/>
      <c r="AW37" s="97" t="n">
        <v>0</v>
      </c>
      <c r="AX37" s="96" t="inlineStr">
        <is>
          <t>N</t>
        </is>
      </c>
      <c r="AY37" s="97" t="n"/>
      <c r="AZ37" s="96" t="inlineStr">
        <is>
          <t xml:space="preserve">Pickup : 2026-10-07, Return : 2026-10-08 RF45REx1 (Temp -20.0 / Vent Close)  
CLS TIME : 09/10/2026 @23.59 </t>
        </is>
      </c>
      <c r="BA37" s="97" t="inlineStr">
        <is>
          <t xml:space="preserve">REQUEST CLEAN CONTAINER AND GOOD CONDITIONPLEASE EXTEND CLOSING TO 09/10/2026 @ 12.00 HRS.NO PRE-COOL / TEMP -20Hs code no.160420.99 </t>
        </is>
      </c>
      <c r="BB37" s="96" t="inlineStr">
        <is>
          <t>P</t>
        </is>
      </c>
      <c r="BC37" s="161" t="inlineStr">
        <is>
          <t>2026-09-16</t>
        </is>
      </c>
      <c r="BD37" s="161" t="inlineStr">
        <is>
          <t>2026-10-09</t>
        </is>
      </c>
      <c r="BE37" s="96" t="inlineStr">
        <is>
          <t>Y</t>
        </is>
      </c>
      <c r="BF37" s="96" t="inlineStr">
        <is>
          <t>FROZEN IMITATION CRAB MEAT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BKK27</t>
        </is>
      </c>
      <c r="BL37" s="161" t="inlineStr">
        <is>
          <t>2026-10-07</t>
        </is>
      </c>
      <c r="BM37" s="127" t="n"/>
      <c r="BN37" s="127" t="n"/>
      <c r="BO37" s="127" t="n"/>
      <c r="BP37" s="127" t="n"/>
      <c r="BQ37" s="127" t="n"/>
      <c r="BR37" s="127" t="n">
        <v>1</v>
      </c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inlineStr">
        <is>
          <t>Y</t>
        </is>
      </c>
      <c r="CB37" s="97" t="n"/>
      <c r="CC37" s="96" t="inlineStr">
        <is>
          <t>BKK02</t>
        </is>
      </c>
      <c r="CD37" s="97" t="n"/>
      <c r="CE37" s="97" t="n"/>
      <c r="CF37" s="96" t="inlineStr">
        <is>
          <t>0 Teu</t>
        </is>
      </c>
      <c r="CG37" s="96" t="inlineStr">
        <is>
          <t>CY/CY</t>
        </is>
      </c>
      <c r="CH37" s="97" t="n"/>
      <c r="CI37" s="96" t="inlineStr">
        <is>
          <t>opsbkk@fibs-logistics.com</t>
        </is>
      </c>
      <c r="CJ37" s="96" t="inlineStr">
        <is>
          <t>FIBS LOGISTICS CO., LTD.</t>
        </is>
      </c>
      <c r="CK37" s="96" t="inlineStr">
        <is>
          <t>CARRY ALL LOGISTICS VIETNAM</t>
        </is>
      </c>
      <c r="CL37" s="96" t="inlineStr">
        <is>
          <t>CARRY ALL LOGISTICS VIETNAM</t>
        </is>
      </c>
      <c r="CM37" s="97" t="n"/>
      <c r="CN37" s="96" t="inlineStr">
        <is>
          <t>202610081700</t>
        </is>
      </c>
      <c r="CO37" s="96" t="inlineStr">
        <is>
          <t>202610091700</t>
        </is>
      </c>
      <c r="CP37" s="97" t="inlineStr">
        <is>
          <t>45RE x1: RF(Temp:-20.0' / Cover:CLOSE)</t>
        </is>
      </c>
      <c r="CQ37" s="96" t="inlineStr">
        <is>
          <t>S19-2109016</t>
        </is>
      </c>
      <c r="CR37" s="96" t="inlineStr">
        <is>
          <t>THTOKN</t>
        </is>
      </c>
      <c r="CS37" s="96" t="inlineStr">
        <is>
          <t>FIBS LOGISTICS CO., LTD.</t>
        </is>
      </c>
      <c r="CT37" s="96" t="inlineStr">
        <is>
          <t>N</t>
        </is>
      </c>
      <c r="CU37" s="97" t="n"/>
      <c r="CV37" s="97" t="n"/>
      <c r="CW37" s="161" t="inlineStr">
        <is>
          <t>2026-10-10</t>
        </is>
      </c>
      <c r="CX37" s="97" t="inlineStr">
        <is>
          <t>160420</t>
        </is>
      </c>
      <c r="CY37" s="183" t="n"/>
    </row>
    <row r="38" ht="12" customHeight="1">
      <c r="A38" s="116" t="inlineStr">
        <is>
          <t xml:space="preserve">TOTAL </t>
        </is>
      </c>
      <c r="B38" s="96" t="inlineStr">
        <is>
          <t>1</t>
        </is>
      </c>
      <c r="C38" s="97" t="n"/>
      <c r="D38" s="97" t="n"/>
      <c r="E38" s="97" t="n"/>
      <c r="F38" s="97" t="n">
        <v>0</v>
      </c>
      <c r="G38" s="97" t="n">
        <v>28</v>
      </c>
      <c r="H38" s="97" t="n">
        <v>0</v>
      </c>
      <c r="I38" s="97" t="n">
        <v>23</v>
      </c>
      <c r="J38" s="97" t="n">
        <v>74</v>
      </c>
      <c r="K38" s="96" t="n"/>
      <c r="L38" s="96" t="n"/>
      <c r="M38" s="96" t="n"/>
      <c r="N38" s="96" t="n"/>
      <c r="O38" s="96" t="n"/>
      <c r="P38" s="96" t="n"/>
      <c r="Q38" s="96" t="n"/>
      <c r="R38" s="161" t="n"/>
      <c r="S38" s="96" t="n"/>
      <c r="T38" s="96" t="n"/>
      <c r="U38" s="96" t="n"/>
      <c r="V38" s="161" t="n"/>
      <c r="W38" s="96" t="n"/>
      <c r="X38" s="97" t="n"/>
      <c r="Y38" s="97" t="n"/>
      <c r="Z38" s="97" t="n"/>
      <c r="AA38" s="96" t="n"/>
      <c r="AB38" s="96" t="n"/>
      <c r="AC38" s="163" t="n">
        <v>659820.26</v>
      </c>
      <c r="AD38" s="163" t="n">
        <v>813420.26</v>
      </c>
      <c r="AE38" s="96" t="n"/>
      <c r="AF38" s="96" t="n"/>
      <c r="AG38" s="97" t="n"/>
      <c r="AH38" s="96" t="n"/>
      <c r="AI38" s="97" t="n"/>
      <c r="AJ38" s="97" t="n"/>
      <c r="AK38" s="97" t="n"/>
      <c r="AL38" s="97" t="n"/>
      <c r="AM38" s="96" t="n"/>
      <c r="AN38" s="96" t="n"/>
      <c r="AO38" s="96" t="n"/>
      <c r="AP38" s="96" t="n"/>
      <c r="AQ38" s="97" t="n"/>
      <c r="AR38" s="97" t="n"/>
      <c r="AS38" s="97" t="n"/>
      <c r="AT38" s="97" t="n"/>
      <c r="AU38" s="97" t="n"/>
      <c r="AV38" s="97" t="n"/>
      <c r="AW38" s="97" t="n"/>
      <c r="AX38" s="96" t="n"/>
      <c r="AY38" s="97" t="n"/>
      <c r="AZ38" s="96" t="n"/>
      <c r="BA38" s="97" t="n"/>
      <c r="BB38" s="96" t="n"/>
      <c r="BC38" s="161" t="n"/>
      <c r="BD38" s="161" t="n"/>
      <c r="BE38" s="96" t="n"/>
      <c r="BF38" s="96" t="n"/>
      <c r="BG38" s="96" t="n"/>
      <c r="BH38" s="96" t="n"/>
      <c r="BI38" s="97" t="n"/>
      <c r="BJ38" s="97" t="n"/>
      <c r="BK38" s="96" t="n"/>
      <c r="BL38" s="161" t="n"/>
      <c r="BM38" s="127" t="n">
        <v>0</v>
      </c>
      <c r="BN38" s="127" t="n">
        <v>28</v>
      </c>
      <c r="BO38" s="127" t="n">
        <v>0</v>
      </c>
      <c r="BP38" s="127" t="n">
        <v>19</v>
      </c>
      <c r="BQ38" s="127" t="n">
        <v>0</v>
      </c>
      <c r="BR38" s="127" t="n">
        <v>4</v>
      </c>
      <c r="BS38" s="127" t="n">
        <v>0</v>
      </c>
      <c r="BT38" s="127" t="n">
        <v>0</v>
      </c>
      <c r="BU38" s="127" t="n">
        <v>0</v>
      </c>
      <c r="BV38" s="127" t="n">
        <v>0</v>
      </c>
      <c r="BW38" s="127" t="n">
        <v>0</v>
      </c>
      <c r="BX38" s="127" t="n">
        <v>0</v>
      </c>
      <c r="BY38" s="96" t="n"/>
      <c r="BZ38" s="97" t="n"/>
      <c r="CA38" s="96" t="n"/>
      <c r="CB38" s="97" t="n"/>
      <c r="CC38" s="96" t="n"/>
      <c r="CD38" s="97" t="n"/>
      <c r="CE38" s="97" t="n"/>
      <c r="CF38" s="96" t="n"/>
      <c r="CG38" s="96" t="n"/>
      <c r="CH38" s="97" t="n"/>
      <c r="CI38" s="96" t="n"/>
      <c r="CJ38" s="96" t="n"/>
      <c r="CK38" s="96" t="n"/>
      <c r="CL38" s="96" t="n"/>
      <c r="CM38" s="97" t="n"/>
      <c r="CN38" s="96" t="n"/>
      <c r="CO38" s="96" t="n"/>
      <c r="CP38" s="97" t="n"/>
      <c r="CQ38" s="96" t="n"/>
      <c r="CR38" s="96" t="n"/>
      <c r="CS38" s="96" t="n"/>
      <c r="CT38" s="96" t="n"/>
      <c r="CU38" s="97" t="n"/>
      <c r="CV38" s="97" t="n"/>
      <c r="CW38" s="161" t="n"/>
      <c r="CX38" s="97" t="n"/>
      <c r="CY38" s="183" t="n"/>
    </row>
    <row r="39" ht="12" customHeight="1">
      <c r="A39" s="116" t="inlineStr">
        <is>
          <t xml:space="preserve">COC </t>
        </is>
      </c>
      <c r="B39" s="96" t="inlineStr">
        <is>
          <t>4</t>
        </is>
      </c>
      <c r="C39" s="97" t="n"/>
      <c r="D39" s="97" t="n"/>
      <c r="E39" s="97" t="n"/>
      <c r="F39" s="97" t="n">
        <v>0</v>
      </c>
      <c r="G39" s="97" t="n">
        <v>28</v>
      </c>
      <c r="H39" s="97" t="n">
        <v>0</v>
      </c>
      <c r="I39" s="97" t="n">
        <v>23</v>
      </c>
      <c r="J39" s="97" t="n">
        <v>74</v>
      </c>
      <c r="K39" s="96" t="n"/>
      <c r="L39" s="96" t="n"/>
      <c r="M39" s="96" t="n"/>
      <c r="N39" s="96" t="n"/>
      <c r="O39" s="96" t="n"/>
      <c r="P39" s="96" t="n"/>
      <c r="Q39" s="96" t="n"/>
      <c r="R39" s="161" t="n"/>
      <c r="S39" s="96" t="n"/>
      <c r="T39" s="96" t="n"/>
      <c r="U39" s="96" t="n"/>
      <c r="V39" s="161" t="n"/>
      <c r="W39" s="96" t="n"/>
      <c r="X39" s="97" t="n"/>
      <c r="Y39" s="97" t="n"/>
      <c r="Z39" s="97" t="n"/>
      <c r="AA39" s="96" t="n"/>
      <c r="AB39" s="96" t="n"/>
      <c r="AC39" s="163" t="n"/>
      <c r="AD39" s="163" t="n"/>
      <c r="AE39" s="96" t="n"/>
      <c r="AF39" s="96" t="n"/>
      <c r="AG39" s="97" t="n"/>
      <c r="AH39" s="96" t="n"/>
      <c r="AI39" s="97" t="n"/>
      <c r="AJ39" s="97" t="n"/>
      <c r="AK39" s="97" t="n"/>
      <c r="AL39" s="97" t="n"/>
      <c r="AM39" s="96" t="n"/>
      <c r="AN39" s="96" t="n"/>
      <c r="AO39" s="96" t="n"/>
      <c r="AP39" s="96" t="n"/>
      <c r="AQ39" s="97" t="n"/>
      <c r="AR39" s="97" t="n"/>
      <c r="AS39" s="97" t="n"/>
      <c r="AT39" s="97" t="n"/>
      <c r="AU39" s="97" t="n"/>
      <c r="AV39" s="97" t="n"/>
      <c r="AW39" s="97" t="n"/>
      <c r="AX39" s="96" t="n"/>
      <c r="AY39" s="97" t="n"/>
      <c r="AZ39" s="96" t="n"/>
      <c r="BA39" s="97" t="n"/>
      <c r="BB39" s="96" t="n"/>
      <c r="BC39" s="161" t="n"/>
      <c r="BD39" s="161" t="n"/>
      <c r="BE39" s="96" t="n"/>
      <c r="BF39" s="96" t="n"/>
      <c r="BG39" s="96" t="n"/>
      <c r="BH39" s="96" t="n"/>
      <c r="BI39" s="97" t="n"/>
      <c r="BJ39" s="97" t="n"/>
      <c r="BK39" s="96" t="n"/>
      <c r="BL39" s="161" t="n"/>
      <c r="BM39" s="127" t="n"/>
      <c r="BN39" s="127" t="n"/>
      <c r="BO39" s="127" t="n"/>
      <c r="BP39" s="127" t="n"/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n"/>
      <c r="BZ39" s="97" t="n"/>
      <c r="CA39" s="96" t="n"/>
      <c r="CB39" s="97" t="n"/>
      <c r="CC39" s="96" t="n"/>
      <c r="CD39" s="97" t="n"/>
      <c r="CE39" s="97" t="n"/>
      <c r="CF39" s="96" t="n"/>
      <c r="CG39" s="96" t="n"/>
      <c r="CH39" s="97" t="n"/>
      <c r="CI39" s="96" t="n"/>
      <c r="CJ39" s="96" t="n"/>
      <c r="CK39" s="96" t="n"/>
      <c r="CL39" s="96" t="n"/>
      <c r="CM39" s="97" t="n"/>
      <c r="CN39" s="96" t="n"/>
      <c r="CO39" s="96" t="n"/>
      <c r="CP39" s="97" t="n"/>
      <c r="CQ39" s="96" t="n"/>
      <c r="CR39" s="96" t="n"/>
      <c r="CS39" s="96" t="n"/>
      <c r="CT39" s="96" t="n"/>
      <c r="CU39" s="97" t="n"/>
      <c r="CV39" s="97" t="n"/>
      <c r="CW39" s="161" t="n"/>
      <c r="CX39" s="97" t="n"/>
      <c r="CY39" s="183" t="n"/>
    </row>
    <row r="40" ht="12" customHeight="1">
      <c r="A40" s="116" t="inlineStr">
        <is>
          <t xml:space="preserve">SOC </t>
        </is>
      </c>
      <c r="B40" s="96" t="inlineStr">
        <is>
          <t>0</t>
        </is>
      </c>
      <c r="C40" s="97" t="n"/>
      <c r="D40" s="97" t="n"/>
      <c r="E40" s="97" t="n"/>
      <c r="F40" s="97" t="n">
        <v>0</v>
      </c>
      <c r="G40" s="97" t="n">
        <v>0</v>
      </c>
      <c r="H40" s="97" t="n">
        <v>0</v>
      </c>
      <c r="I40" s="97" t="n">
        <v>0</v>
      </c>
      <c r="J40" s="97" t="n">
        <v>0</v>
      </c>
      <c r="K40" s="96" t="n"/>
      <c r="L40" s="96" t="n"/>
      <c r="M40" s="96" t="n"/>
      <c r="N40" s="96" t="n"/>
      <c r="O40" s="96" t="n"/>
      <c r="P40" s="96" t="n"/>
      <c r="Q40" s="96" t="n"/>
      <c r="R40" s="161" t="n"/>
      <c r="S40" s="96" t="n"/>
      <c r="T40" s="96" t="n"/>
      <c r="U40" s="96" t="n"/>
      <c r="V40" s="161" t="n"/>
      <c r="W40" s="96" t="n"/>
      <c r="X40" s="97" t="n"/>
      <c r="Y40" s="97" t="n"/>
      <c r="Z40" s="97" t="n"/>
      <c r="AA40" s="96" t="n"/>
      <c r="AB40" s="96" t="n"/>
      <c r="AC40" s="163" t="n"/>
      <c r="AD40" s="163" t="n"/>
      <c r="AE40" s="96" t="n"/>
      <c r="AF40" s="96" t="n"/>
      <c r="AG40" s="97" t="n"/>
      <c r="AH40" s="96" t="n"/>
      <c r="AI40" s="97" t="n"/>
      <c r="AJ40" s="97" t="n"/>
      <c r="AK40" s="97" t="n"/>
      <c r="AL40" s="97" t="n"/>
      <c r="AM40" s="96" t="n"/>
      <c r="AN40" s="96" t="n"/>
      <c r="AO40" s="96" t="n"/>
      <c r="AP40" s="96" t="n"/>
      <c r="AQ40" s="97" t="n"/>
      <c r="AR40" s="97" t="n"/>
      <c r="AS40" s="97" t="n"/>
      <c r="AT40" s="97" t="n"/>
      <c r="AU40" s="97" t="n"/>
      <c r="AV40" s="97" t="n"/>
      <c r="AW40" s="97" t="n"/>
      <c r="AX40" s="96" t="n"/>
      <c r="AY40" s="97" t="n"/>
      <c r="AZ40" s="96" t="n"/>
      <c r="BA40" s="97" t="n"/>
      <c r="BB40" s="96" t="n"/>
      <c r="BC40" s="161" t="n"/>
      <c r="BD40" s="161" t="n"/>
      <c r="BE40" s="96" t="n"/>
      <c r="BF40" s="96" t="n"/>
      <c r="BG40" s="96" t="n"/>
      <c r="BH40" s="96" t="n"/>
      <c r="BI40" s="97" t="n"/>
      <c r="BJ40" s="97" t="n"/>
      <c r="BK40" s="96" t="n"/>
      <c r="BL40" s="161" t="n"/>
      <c r="BM40" s="127" t="n"/>
      <c r="BN40" s="127" t="n"/>
      <c r="BO40" s="127" t="n"/>
      <c r="BP40" s="127" t="n"/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n"/>
      <c r="BZ40" s="97" t="n"/>
      <c r="CA40" s="96" t="n"/>
      <c r="CB40" s="97" t="n"/>
      <c r="CC40" s="96" t="n"/>
      <c r="CD40" s="97" t="n"/>
      <c r="CE40" s="97" t="n"/>
      <c r="CF40" s="96" t="n"/>
      <c r="CG40" s="96" t="n"/>
      <c r="CH40" s="97" t="n"/>
      <c r="CI40" s="96" t="n"/>
      <c r="CJ40" s="96" t="n"/>
      <c r="CK40" s="96" t="n"/>
      <c r="CL40" s="96" t="n"/>
      <c r="CM40" s="97" t="n"/>
      <c r="CN40" s="96" t="n"/>
      <c r="CO40" s="96" t="n"/>
      <c r="CP40" s="97" t="n"/>
      <c r="CQ40" s="96" t="n"/>
      <c r="CR40" s="96" t="n"/>
      <c r="CS40" s="96" t="n"/>
      <c r="CT40" s="96" t="n"/>
      <c r="CU40" s="97" t="n"/>
      <c r="CV40" s="97" t="n"/>
      <c r="CW40" s="161" t="n"/>
      <c r="CX40" s="97" t="n"/>
      <c r="CY40" s="183" t="n"/>
    </row>
    <row r="41" ht="12" customHeight="1">
      <c r="A41" s="116" t="inlineStr">
        <is>
          <t>36</t>
        </is>
      </c>
      <c r="B41" s="96" t="inlineStr">
        <is>
          <t>51</t>
        </is>
      </c>
      <c r="C41" s="97" t="n"/>
      <c r="D41" s="97" t="n"/>
      <c r="E41" s="97" t="n"/>
      <c r="F41" s="97" t="n"/>
      <c r="G41" s="97" t="n"/>
      <c r="H41" s="97" t="n"/>
      <c r="I41" s="97" t="n"/>
      <c r="J41" s="97" t="n"/>
      <c r="K41" s="96" t="n"/>
      <c r="L41" s="96" t="n"/>
      <c r="M41" s="96" t="n"/>
      <c r="N41" s="96" t="n"/>
      <c r="O41" s="96" t="n"/>
      <c r="P41" s="96" t="n"/>
      <c r="Q41" s="96" t="n"/>
      <c r="R41" s="161" t="n"/>
      <c r="S41" s="96" t="n"/>
      <c r="T41" s="96" t="n"/>
      <c r="U41" s="96" t="n"/>
      <c r="V41" s="161" t="n"/>
      <c r="W41" s="96" t="n"/>
      <c r="X41" s="97" t="n"/>
      <c r="Y41" s="97" t="n"/>
      <c r="Z41" s="97" t="n"/>
      <c r="AA41" s="96" t="n"/>
      <c r="AB41" s="96" t="n"/>
      <c r="AC41" s="163" t="n"/>
      <c r="AD41" s="163" t="n"/>
      <c r="AE41" s="96" t="n"/>
      <c r="AF41" s="96" t="n"/>
      <c r="AG41" s="97" t="n"/>
      <c r="AH41" s="96" t="n"/>
      <c r="AI41" s="97" t="n"/>
      <c r="AJ41" s="97" t="n"/>
      <c r="AK41" s="97" t="n"/>
      <c r="AL41" s="97" t="n"/>
      <c r="AM41" s="96" t="n"/>
      <c r="AN41" s="96" t="n"/>
      <c r="AO41" s="96" t="n"/>
      <c r="AP41" s="96" t="n"/>
      <c r="AQ41" s="97" t="n"/>
      <c r="AR41" s="97" t="n"/>
      <c r="AS41" s="97" t="n"/>
      <c r="AT41" s="97" t="n"/>
      <c r="AU41" s="97" t="n"/>
      <c r="AV41" s="97" t="n"/>
      <c r="AW41" s="97" t="n"/>
      <c r="AX41" s="96" t="n"/>
      <c r="AY41" s="97" t="n"/>
      <c r="AZ41" s="96" t="n"/>
      <c r="BA41" s="97" t="n"/>
      <c r="BB41" s="96" t="n"/>
      <c r="BC41" s="161" t="n"/>
      <c r="BD41" s="161" t="n"/>
      <c r="BE41" s="96" t="n"/>
      <c r="BF41" s="96" t="n"/>
      <c r="BG41" s="96" t="n"/>
      <c r="BH41" s="96" t="n"/>
      <c r="BI41" s="97" t="n"/>
      <c r="BJ41" s="97" t="n"/>
      <c r="BK41" s="96" t="n"/>
      <c r="BL41" s="161" t="n"/>
      <c r="BM41" s="127" t="n"/>
      <c r="BN41" s="127" t="n"/>
      <c r="BO41" s="127" t="n"/>
      <c r="BP41" s="127" t="n"/>
      <c r="BQ41" s="127" t="n"/>
      <c r="BR41" s="127" t="n"/>
      <c r="BS41" s="127" t="n"/>
      <c r="BT41" s="127" t="n"/>
      <c r="BU41" s="127" t="n"/>
      <c r="BV41" s="127" t="n"/>
      <c r="BW41" s="127" t="n"/>
      <c r="BX41" s="127" t="n"/>
      <c r="BY41" s="96" t="n"/>
      <c r="BZ41" s="97" t="n"/>
      <c r="CA41" s="96" t="n"/>
      <c r="CB41" s="97" t="n"/>
      <c r="CC41" s="96" t="n"/>
      <c r="CD41" s="97" t="n"/>
      <c r="CE41" s="97" t="n"/>
      <c r="CF41" s="96" t="n"/>
      <c r="CG41" s="96" t="n"/>
      <c r="CH41" s="97" t="n"/>
      <c r="CI41" s="96" t="n"/>
      <c r="CJ41" s="96" t="n"/>
      <c r="CK41" s="96" t="n"/>
      <c r="CL41" s="96" t="n"/>
      <c r="CM41" s="97" t="n"/>
      <c r="CN41" s="96" t="n"/>
      <c r="CO41" s="96" t="n"/>
      <c r="CP41" s="97" t="n"/>
      <c r="CQ41" s="96" t="n"/>
      <c r="CR41" s="96" t="n"/>
      <c r="CS41" s="96" t="n"/>
      <c r="CT41" s="96" t="n"/>
      <c r="CU41" s="97" t="n"/>
      <c r="CV41" s="97" t="n"/>
      <c r="CW41" s="161" t="n"/>
      <c r="CX41" s="97" t="n"/>
      <c r="CY41" s="183" t="n"/>
    </row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FBIU5086896</t>
        </is>
      </c>
      <c r="B2" s="108" t="inlineStr">
        <is>
          <t>BKK02</t>
        </is>
      </c>
      <c r="C2" s="108" t="inlineStr">
        <is>
          <t>IFE</t>
        </is>
      </c>
      <c r="D2" s="172" t="inlineStr">
        <is>
          <t>2026-10-08</t>
        </is>
      </c>
      <c r="E2" s="173" t="inlineStr">
        <is>
          <t>0515</t>
        </is>
      </c>
      <c r="F2" s="96" t="inlineStr">
        <is>
          <t>HASLS22260901042</t>
        </is>
      </c>
      <c r="G2" s="96" t="inlineStr">
        <is>
          <t>THAI UNION MANUFACTURING CO., LTD.</t>
        </is>
      </c>
      <c r="H2" s="111" t="inlineStr">
        <is>
          <t>45RE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HASLS22260901042</t>
        </is>
      </c>
      <c r="N2" s="96" t="inlineStr">
        <is>
          <t xml:space="preserve">R40Hx1 </t>
        </is>
      </c>
      <c r="O2" s="111" t="inlineStr">
        <is>
          <t>2021</t>
        </is>
      </c>
      <c r="P2" s="111" t="inlineStr">
        <is>
          <t>CARRIER</t>
        </is>
      </c>
      <c r="Q2" s="111" t="inlineStr">
        <is>
          <t>69NT40-561-503</t>
        </is>
      </c>
      <c r="R2" s="96" t="inlineStr">
        <is>
          <t>DJCF</t>
        </is>
      </c>
      <c r="S2" s="96" t="inlineStr">
        <is>
          <t>0152N</t>
        </is>
      </c>
      <c r="T2" s="96" t="inlineStr">
        <is>
          <t>BKK02</t>
        </is>
      </c>
      <c r="U2" s="96" t="inlineStr">
        <is>
          <t>THBKK</t>
        </is>
      </c>
      <c r="V2" s="161" t="inlineStr">
        <is>
          <t>2026-10-11</t>
        </is>
      </c>
      <c r="W2" s="96" t="inlineStr">
        <is>
          <t>KRPUS</t>
        </is>
      </c>
      <c r="X2" s="161" t="inlineStr">
        <is>
          <t>2026-10-22</t>
        </is>
      </c>
      <c r="Y2" s="97" t="n"/>
      <c r="Z2" s="97" t="n"/>
      <c r="AA2" s="97" t="n"/>
      <c r="AB2" s="97" t="n"/>
      <c r="AC2" s="97" t="n"/>
      <c r="AD2" s="161" t="inlineStr">
        <is>
          <t>2026-10-08</t>
        </is>
      </c>
      <c r="AE2" s="174" t="inlineStr">
        <is>
          <t>0800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BKR CO.,LTD.</t>
        </is>
      </c>
      <c r="AK2" s="130" t="n"/>
    </row>
    <row r="3" ht="12" customHeight="1">
      <c r="A3" s="108" t="inlineStr">
        <is>
          <t>FBIU5089690</t>
        </is>
      </c>
      <c r="B3" s="108" t="inlineStr">
        <is>
          <t>BKK02</t>
        </is>
      </c>
      <c r="C3" s="108" t="inlineStr">
        <is>
          <t>IFE</t>
        </is>
      </c>
      <c r="D3" s="172" t="inlineStr">
        <is>
          <t>2026-10-08</t>
        </is>
      </c>
      <c r="E3" s="173" t="inlineStr">
        <is>
          <t>2107</t>
        </is>
      </c>
      <c r="F3" s="96" t="inlineStr">
        <is>
          <t>HASLS22260901487</t>
        </is>
      </c>
      <c r="G3" s="96" t="inlineStr">
        <is>
          <t>OPENSEA CARGO SERVICE CO., LTD.</t>
        </is>
      </c>
      <c r="H3" s="111" t="inlineStr">
        <is>
          <t>45RE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HASLS22260901487</t>
        </is>
      </c>
      <c r="N3" s="96" t="inlineStr">
        <is>
          <t xml:space="preserve">R40Hx1 </t>
        </is>
      </c>
      <c r="O3" s="111" t="inlineStr">
        <is>
          <t>2021</t>
        </is>
      </c>
      <c r="P3" s="111" t="inlineStr">
        <is>
          <t>CARRIER</t>
        </is>
      </c>
      <c r="Q3" s="111" t="inlineStr">
        <is>
          <t>Primeline</t>
        </is>
      </c>
      <c r="R3" s="96" t="inlineStr">
        <is>
          <t>DJCF</t>
        </is>
      </c>
      <c r="S3" s="96" t="inlineStr">
        <is>
          <t>0152N</t>
        </is>
      </c>
      <c r="T3" s="96" t="inlineStr">
        <is>
          <t>BKK02</t>
        </is>
      </c>
      <c r="U3" s="96" t="inlineStr">
        <is>
          <t>THBKK</t>
        </is>
      </c>
      <c r="V3" s="161" t="inlineStr">
        <is>
          <t>2026-10-11</t>
        </is>
      </c>
      <c r="W3" s="96" t="inlineStr">
        <is>
          <t>VNSGN</t>
        </is>
      </c>
      <c r="X3" s="161" t="inlineStr">
        <is>
          <t>2026-10-13</t>
        </is>
      </c>
      <c r="Y3" s="97" t="n"/>
      <c r="Z3" s="97" t="n"/>
      <c r="AA3" s="97" t="n"/>
      <c r="AB3" s="97" t="n"/>
      <c r="AC3" s="97" t="n"/>
      <c r="AD3" s="161" t="inlineStr">
        <is>
          <t>2026-10-09</t>
        </is>
      </c>
      <c r="AE3" s="174" t="inlineStr">
        <is>
          <t>0000</t>
        </is>
      </c>
      <c r="AF3" s="96" t="inlineStr">
        <is>
          <t>EDI2</t>
        </is>
      </c>
      <c r="AG3" s="97" t="n"/>
      <c r="AH3" s="97" t="n"/>
      <c r="AI3" s="97" t="inlineStr">
        <is>
          <t>VAVWKC</t>
        </is>
      </c>
      <c r="AJ3" s="96" t="inlineStr">
        <is>
          <t>TAN TIEN PHAT IMPORT EXPORT &amp;</t>
        </is>
      </c>
      <c r="AK3" s="130" t="n"/>
    </row>
    <row r="4" ht="12" customHeight="1">
      <c r="A4" s="108" t="inlineStr">
        <is>
          <t>FSCU5888803</t>
        </is>
      </c>
      <c r="B4" s="108" t="inlineStr">
        <is>
          <t>BKK02</t>
        </is>
      </c>
      <c r="C4" s="108" t="inlineStr">
        <is>
          <t>IFE</t>
        </is>
      </c>
      <c r="D4" s="172" t="inlineStr">
        <is>
          <t>2026-10-08</t>
        </is>
      </c>
      <c r="E4" s="173" t="inlineStr">
        <is>
          <t>1609</t>
        </is>
      </c>
      <c r="F4" s="96" t="inlineStr">
        <is>
          <t>HASLS22260902719</t>
        </is>
      </c>
      <c r="G4" s="96" t="inlineStr">
        <is>
          <t>YUSEN LOGISTICS (THAILAND) CO., LTD.</t>
        </is>
      </c>
      <c r="H4" s="111" t="inlineStr">
        <is>
          <t>45RE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HASLS22260902719</t>
        </is>
      </c>
      <c r="N4" s="96" t="inlineStr">
        <is>
          <t xml:space="preserve">R40Hx1 </t>
        </is>
      </c>
      <c r="O4" s="111" t="inlineStr">
        <is>
          <t>2020</t>
        </is>
      </c>
      <c r="P4" s="111" t="inlineStr">
        <is>
          <t>CARRIER</t>
        </is>
      </c>
      <c r="Q4" s="111" t="inlineStr">
        <is>
          <t>69NT40-561-500</t>
        </is>
      </c>
      <c r="R4" s="96" t="inlineStr">
        <is>
          <t>DJCF</t>
        </is>
      </c>
      <c r="S4" s="96" t="inlineStr">
        <is>
          <t>0152N</t>
        </is>
      </c>
      <c r="T4" s="96" t="inlineStr">
        <is>
          <t>BKK02</t>
        </is>
      </c>
      <c r="U4" s="96" t="inlineStr">
        <is>
          <t>THBKK</t>
        </is>
      </c>
      <c r="V4" s="161" t="inlineStr">
        <is>
          <t>2026-10-11</t>
        </is>
      </c>
      <c r="W4" s="96" t="inlineStr">
        <is>
          <t>VNSGN</t>
        </is>
      </c>
      <c r="X4" s="161" t="inlineStr">
        <is>
          <t>2026-10-13</t>
        </is>
      </c>
      <c r="Y4" s="97" t="n"/>
      <c r="Z4" s="97" t="n"/>
      <c r="AA4" s="97" t="n"/>
      <c r="AB4" s="97" t="n"/>
      <c r="AC4" s="97" t="n"/>
      <c r="AD4" s="161" t="inlineStr">
        <is>
          <t>2026-10-08</t>
        </is>
      </c>
      <c r="AE4" s="174" t="inlineStr">
        <is>
          <t>1900</t>
        </is>
      </c>
      <c r="AF4" s="96" t="inlineStr">
        <is>
          <t>EDI2</t>
        </is>
      </c>
      <c r="AG4" s="97" t="n"/>
      <c r="AH4" s="97" t="n"/>
      <c r="AI4" s="97" t="inlineStr">
        <is>
          <t>VAVC4O</t>
        </is>
      </c>
      <c r="AJ4" s="96" t="inlineStr">
        <is>
          <t>YUSEN LOGISTICS (VIETNAM) CO., LTD.</t>
        </is>
      </c>
      <c r="AK4" s="130" t="n"/>
    </row>
    <row r="5" ht="12" customHeight="1">
      <c r="A5" s="108" t="inlineStr">
        <is>
          <t>HALU2027547</t>
        </is>
      </c>
      <c r="B5" s="108" t="inlineStr">
        <is>
          <t>BKK02</t>
        </is>
      </c>
      <c r="C5" s="108" t="inlineStr">
        <is>
          <t>IFE</t>
        </is>
      </c>
      <c r="D5" s="172" t="inlineStr">
        <is>
          <t>2026-10-01</t>
        </is>
      </c>
      <c r="E5" s="173" t="inlineStr">
        <is>
          <t>1334</t>
        </is>
      </c>
      <c r="F5" s="96" t="inlineStr">
        <is>
          <t>HASLS22260801939</t>
        </is>
      </c>
      <c r="G5" s="96" t="inlineStr">
        <is>
          <t>QUANTERM LOGISTICS (THAILAND) CO., LTD.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HASLS22260801939</t>
        </is>
      </c>
      <c r="N5" s="96" t="inlineStr">
        <is>
          <t xml:space="preserve">20'x2 </t>
        </is>
      </c>
      <c r="O5" s="111" t="inlineStr">
        <is>
          <t>2013</t>
        </is>
      </c>
      <c r="P5" s="111" t="n"/>
      <c r="Q5" s="111" t="n"/>
      <c r="R5" s="96" t="inlineStr">
        <is>
          <t>DJCF</t>
        </is>
      </c>
      <c r="S5" s="96" t="inlineStr">
        <is>
          <t>0152N</t>
        </is>
      </c>
      <c r="T5" s="96" t="inlineStr">
        <is>
          <t>BKK02</t>
        </is>
      </c>
      <c r="U5" s="96" t="inlineStr">
        <is>
          <t>THBKK</t>
        </is>
      </c>
      <c r="V5" s="161" t="inlineStr">
        <is>
          <t>2026-10-11</t>
        </is>
      </c>
      <c r="W5" s="96" t="inlineStr">
        <is>
          <t>VNSGN</t>
        </is>
      </c>
      <c r="X5" s="161" t="inlineStr">
        <is>
          <t>2026-10-13</t>
        </is>
      </c>
      <c r="Y5" s="97" t="n"/>
      <c r="Z5" s="97" t="n"/>
      <c r="AA5" s="97" t="n"/>
      <c r="AB5" s="97" t="n"/>
      <c r="AC5" s="97" t="n"/>
      <c r="AD5" s="161" t="inlineStr">
        <is>
          <t>2026-10-01</t>
        </is>
      </c>
      <c r="AE5" s="174" t="inlineStr">
        <is>
          <t>1600</t>
        </is>
      </c>
      <c r="AF5" s="96" t="inlineStr">
        <is>
          <t>EDI2</t>
        </is>
      </c>
      <c r="AG5" s="97" t="n"/>
      <c r="AH5" s="97" t="n"/>
      <c r="AI5" s="97" t="inlineStr">
        <is>
          <t>VAVC84</t>
        </is>
      </c>
      <c r="AJ5" s="96" t="inlineStr">
        <is>
          <t>QUANTERM LOGISTICS VIETNAM CO.,LTD</t>
        </is>
      </c>
      <c r="AK5" s="130" t="n"/>
    </row>
    <row r="6" ht="12" customHeight="1">
      <c r="A6" s="108" t="inlineStr">
        <is>
          <t>HALU2042515</t>
        </is>
      </c>
      <c r="B6" s="108" t="inlineStr">
        <is>
          <t>BKK02</t>
        </is>
      </c>
      <c r="C6" s="108" t="inlineStr">
        <is>
          <t>IFE</t>
        </is>
      </c>
      <c r="D6" s="172" t="inlineStr">
        <is>
          <t>2026-10-07</t>
        </is>
      </c>
      <c r="E6" s="173" t="inlineStr">
        <is>
          <t>1628</t>
        </is>
      </c>
      <c r="F6" s="96" t="inlineStr">
        <is>
          <t>HASLS22260902672</t>
        </is>
      </c>
      <c r="G6" s="96" t="inlineStr">
        <is>
          <t>FREIGHT LINKS EXPRESS (THAILAND) CO., LTD.</t>
        </is>
      </c>
      <c r="H6" s="111" t="inlineStr">
        <is>
          <t>22GP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HASLS22260902672</t>
        </is>
      </c>
      <c r="N6" s="96" t="inlineStr">
        <is>
          <t xml:space="preserve">20'x1 </t>
        </is>
      </c>
      <c r="O6" s="111" t="inlineStr">
        <is>
          <t>2018</t>
        </is>
      </c>
      <c r="P6" s="111" t="n"/>
      <c r="Q6" s="111" t="n"/>
      <c r="R6" s="96" t="inlineStr">
        <is>
          <t>DJCF</t>
        </is>
      </c>
      <c r="S6" s="96" t="inlineStr">
        <is>
          <t>0152N</t>
        </is>
      </c>
      <c r="T6" s="96" t="inlineStr">
        <is>
          <t>BKK02</t>
        </is>
      </c>
      <c r="U6" s="96" t="inlineStr">
        <is>
          <t>THBKK</t>
        </is>
      </c>
      <c r="V6" s="161" t="inlineStr">
        <is>
          <t>2026-10-11</t>
        </is>
      </c>
      <c r="W6" s="96" t="inlineStr">
        <is>
          <t>RUVVO</t>
        </is>
      </c>
      <c r="X6" s="161" t="inlineStr">
        <is>
          <t>2026-10-22</t>
        </is>
      </c>
      <c r="Y6" s="97" t="n"/>
      <c r="Z6" s="97" t="n"/>
      <c r="AA6" s="97" t="n"/>
      <c r="AB6" s="97" t="n"/>
      <c r="AC6" s="97" t="n"/>
      <c r="AD6" s="161" t="inlineStr">
        <is>
          <t>2026-10-07</t>
        </is>
      </c>
      <c r="AE6" s="174" t="inlineStr">
        <is>
          <t>1901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MEGATEX TRADING CO LTD</t>
        </is>
      </c>
      <c r="AK6" s="130" t="n"/>
    </row>
    <row r="7" ht="12" customHeight="1">
      <c r="A7" s="108" t="inlineStr">
        <is>
          <t>HALU2078462</t>
        </is>
      </c>
      <c r="B7" s="108" t="inlineStr">
        <is>
          <t>BKK02</t>
        </is>
      </c>
      <c r="C7" s="108" t="inlineStr">
        <is>
          <t>IFE</t>
        </is>
      </c>
      <c r="D7" s="172" t="inlineStr">
        <is>
          <t>2026-10-06</t>
        </is>
      </c>
      <c r="E7" s="173" t="inlineStr">
        <is>
          <t>1215</t>
        </is>
      </c>
      <c r="F7" s="96" t="inlineStr">
        <is>
          <t>HASLS22260901854</t>
        </is>
      </c>
      <c r="G7" s="96" t="inlineStr">
        <is>
          <t>CAPRICORN LOGISTICS CO., LTD.</t>
        </is>
      </c>
      <c r="H7" s="111" t="inlineStr">
        <is>
          <t>22GP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HASLS22260901854</t>
        </is>
      </c>
      <c r="N7" s="96" t="inlineStr">
        <is>
          <t xml:space="preserve">20'x4 </t>
        </is>
      </c>
      <c r="O7" s="111" t="inlineStr">
        <is>
          <t>2015</t>
        </is>
      </c>
      <c r="P7" s="111" t="n"/>
      <c r="Q7" s="111" t="n"/>
      <c r="R7" s="96" t="inlineStr">
        <is>
          <t>DJCF</t>
        </is>
      </c>
      <c r="S7" s="96" t="inlineStr">
        <is>
          <t>0152N</t>
        </is>
      </c>
      <c r="T7" s="96" t="inlineStr">
        <is>
          <t>BKK02</t>
        </is>
      </c>
      <c r="U7" s="96" t="inlineStr">
        <is>
          <t>THBKK</t>
        </is>
      </c>
      <c r="V7" s="161" t="inlineStr">
        <is>
          <t>2026-10-11</t>
        </is>
      </c>
      <c r="W7" s="96" t="inlineStr">
        <is>
          <t>VNSGN</t>
        </is>
      </c>
      <c r="X7" s="161" t="inlineStr">
        <is>
          <t>2026-10-13</t>
        </is>
      </c>
      <c r="Y7" s="97" t="n"/>
      <c r="Z7" s="97" t="n"/>
      <c r="AA7" s="97" t="n"/>
      <c r="AB7" s="97" t="n"/>
      <c r="AC7" s="97" t="n"/>
      <c r="AD7" s="161" t="inlineStr">
        <is>
          <t>2026-10-06</t>
        </is>
      </c>
      <c r="AE7" s="174" t="inlineStr">
        <is>
          <t>1501</t>
        </is>
      </c>
      <c r="AF7" s="96" t="inlineStr">
        <is>
          <t>EDI2</t>
        </is>
      </c>
      <c r="AG7" s="97" t="n"/>
      <c r="AH7" s="97" t="n"/>
      <c r="AI7" s="97" t="inlineStr">
        <is>
          <t>VAVWCG</t>
        </is>
      </c>
      <c r="AJ7" s="96" t="inlineStr">
        <is>
          <t>BLUE OCEAN INTERNATIONAL</t>
        </is>
      </c>
      <c r="AK7" s="130" t="n"/>
    </row>
    <row r="8" ht="12" customHeight="1">
      <c r="A8" s="108" t="inlineStr">
        <is>
          <t>HALU2308375</t>
        </is>
      </c>
      <c r="B8" s="108" t="inlineStr">
        <is>
          <t>BKK02</t>
        </is>
      </c>
      <c r="C8" s="108" t="inlineStr">
        <is>
          <t>IFE</t>
        </is>
      </c>
      <c r="D8" s="172" t="inlineStr">
        <is>
          <t>2026-10-07</t>
        </is>
      </c>
      <c r="E8" s="173" t="inlineStr">
        <is>
          <t>1427</t>
        </is>
      </c>
      <c r="F8" s="96" t="inlineStr">
        <is>
          <t>HASLS22260900960</t>
        </is>
      </c>
      <c r="G8" s="96" t="inlineStr">
        <is>
          <t>INITIAL FREIGHT CO., LTD.</t>
        </is>
      </c>
      <c r="H8" s="111" t="inlineStr">
        <is>
          <t>22GP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HASLS22260900960</t>
        </is>
      </c>
      <c r="N8" s="96" t="inlineStr">
        <is>
          <t xml:space="preserve">20'x1 </t>
        </is>
      </c>
      <c r="O8" s="111" t="inlineStr">
        <is>
          <t>2023</t>
        </is>
      </c>
      <c r="P8" s="111" t="n"/>
      <c r="Q8" s="111" t="n"/>
      <c r="R8" s="96" t="inlineStr">
        <is>
          <t>DJCF</t>
        </is>
      </c>
      <c r="S8" s="96" t="inlineStr">
        <is>
          <t>0152N</t>
        </is>
      </c>
      <c r="T8" s="96" t="inlineStr">
        <is>
          <t>BKK02</t>
        </is>
      </c>
      <c r="U8" s="96" t="inlineStr">
        <is>
          <t>THBKK</t>
        </is>
      </c>
      <c r="V8" s="161" t="inlineStr">
        <is>
          <t>2026-10-11</t>
        </is>
      </c>
      <c r="W8" s="96" t="inlineStr">
        <is>
          <t>VNSGN</t>
        </is>
      </c>
      <c r="X8" s="161" t="inlineStr">
        <is>
          <t>2026-10-13</t>
        </is>
      </c>
      <c r="Y8" s="97" t="n"/>
      <c r="Z8" s="97" t="n"/>
      <c r="AA8" s="97" t="n"/>
      <c r="AB8" s="97" t="n"/>
      <c r="AC8" s="97" t="n"/>
      <c r="AD8" s="161" t="inlineStr">
        <is>
          <t>2026-10-07</t>
        </is>
      </c>
      <c r="AE8" s="174" t="inlineStr">
        <is>
          <t>1701</t>
        </is>
      </c>
      <c r="AF8" s="96" t="inlineStr">
        <is>
          <t>EDI2</t>
        </is>
      </c>
      <c r="AG8" s="97" t="n"/>
      <c r="AH8" s="97" t="n"/>
      <c r="AI8" s="97" t="inlineStr">
        <is>
          <t>VAVCI6</t>
        </is>
      </c>
      <c r="AJ8" s="96" t="inlineStr">
        <is>
          <t>BEE LOGISTICS CORPORATION</t>
        </is>
      </c>
      <c r="AK8" s="130" t="n"/>
    </row>
    <row r="9" ht="12" customHeight="1">
      <c r="A9" s="108" t="inlineStr">
        <is>
          <t>HALU2401699</t>
        </is>
      </c>
      <c r="B9" s="108" t="inlineStr">
        <is>
          <t>BKK02</t>
        </is>
      </c>
      <c r="C9" s="108" t="inlineStr">
        <is>
          <t>IFE</t>
        </is>
      </c>
      <c r="D9" s="172" t="inlineStr">
        <is>
          <t>2026-10-07</t>
        </is>
      </c>
      <c r="E9" s="173" t="inlineStr">
        <is>
          <t>1309</t>
        </is>
      </c>
      <c r="F9" s="96" t="inlineStr">
        <is>
          <t>HASLS22261000197</t>
        </is>
      </c>
      <c r="G9" s="96" t="inlineStr">
        <is>
          <t>SCANWELL LOGISTICS (THAILAND) CO., LTD.</t>
        </is>
      </c>
      <c r="H9" s="111" t="inlineStr">
        <is>
          <t>22GP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HASLS22261000197</t>
        </is>
      </c>
      <c r="N9" s="96" t="inlineStr">
        <is>
          <t xml:space="preserve">20'x1 </t>
        </is>
      </c>
      <c r="O9" s="111" t="inlineStr">
        <is>
          <t>2024</t>
        </is>
      </c>
      <c r="P9" s="111" t="n"/>
      <c r="Q9" s="111" t="n"/>
      <c r="R9" s="96" t="inlineStr">
        <is>
          <t>DJCF</t>
        </is>
      </c>
      <c r="S9" s="96" t="inlineStr">
        <is>
          <t>0152N</t>
        </is>
      </c>
      <c r="T9" s="96" t="inlineStr">
        <is>
          <t>BKK02</t>
        </is>
      </c>
      <c r="U9" s="96" t="inlineStr">
        <is>
          <t>THBKK</t>
        </is>
      </c>
      <c r="V9" s="161" t="inlineStr">
        <is>
          <t>2026-10-11</t>
        </is>
      </c>
      <c r="W9" s="96" t="inlineStr">
        <is>
          <t>VNSGN</t>
        </is>
      </c>
      <c r="X9" s="161" t="inlineStr">
        <is>
          <t>2026-10-13</t>
        </is>
      </c>
      <c r="Y9" s="97" t="n"/>
      <c r="Z9" s="97" t="n"/>
      <c r="AA9" s="97" t="n"/>
      <c r="AB9" s="97" t="n"/>
      <c r="AC9" s="97" t="n"/>
      <c r="AD9" s="161" t="inlineStr">
        <is>
          <t>2026-10-07</t>
        </is>
      </c>
      <c r="AE9" s="174" t="inlineStr">
        <is>
          <t>1601</t>
        </is>
      </c>
      <c r="AF9" s="96" t="inlineStr">
        <is>
          <t>EDI2</t>
        </is>
      </c>
      <c r="AG9" s="97" t="n"/>
      <c r="AH9" s="97" t="n"/>
      <c r="AI9" s="97" t="inlineStr">
        <is>
          <t>VAVO50</t>
        </is>
      </c>
      <c r="AJ9" s="96" t="inlineStr">
        <is>
          <t>#0102705312-001#SCANWELL LOGISTICS</t>
        </is>
      </c>
      <c r="AK9" s="130" t="n"/>
    </row>
    <row r="10" ht="12" customHeight="1">
      <c r="A10" s="108" t="inlineStr">
        <is>
          <t>HALU2415060</t>
        </is>
      </c>
      <c r="B10" s="108" t="inlineStr">
        <is>
          <t>BKK02</t>
        </is>
      </c>
      <c r="C10" s="108" t="inlineStr">
        <is>
          <t>IFE</t>
        </is>
      </c>
      <c r="D10" s="172" t="inlineStr">
        <is>
          <t>2026-10-09</t>
        </is>
      </c>
      <c r="E10" s="173" t="inlineStr">
        <is>
          <t>2142</t>
        </is>
      </c>
      <c r="F10" s="96" t="inlineStr">
        <is>
          <t>HASLS22260900445</t>
        </is>
      </c>
      <c r="G10" s="96" t="inlineStr">
        <is>
          <t>BANGKOK STARCH INDUSTRIAL CO., LTD.</t>
        </is>
      </c>
      <c r="H10" s="111" t="inlineStr">
        <is>
          <t>22GP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HASLS22260900445</t>
        </is>
      </c>
      <c r="N10" s="96" t="inlineStr">
        <is>
          <t xml:space="preserve">20'x2 </t>
        </is>
      </c>
      <c r="O10" s="111" t="inlineStr">
        <is>
          <t>2024</t>
        </is>
      </c>
      <c r="P10" s="111" t="n"/>
      <c r="Q10" s="111" t="n"/>
      <c r="R10" s="96" t="inlineStr">
        <is>
          <t>DJCF</t>
        </is>
      </c>
      <c r="S10" s="96" t="inlineStr">
        <is>
          <t>0152N</t>
        </is>
      </c>
      <c r="T10" s="96" t="inlineStr">
        <is>
          <t>BKK02</t>
        </is>
      </c>
      <c r="U10" s="96" t="inlineStr">
        <is>
          <t>THBKK</t>
        </is>
      </c>
      <c r="V10" s="161" t="inlineStr">
        <is>
          <t>2026-10-11</t>
        </is>
      </c>
      <c r="W10" s="96" t="inlineStr">
        <is>
          <t>JPSMZ</t>
        </is>
      </c>
      <c r="X10" s="161" t="inlineStr">
        <is>
          <t>2026-10-22</t>
        </is>
      </c>
      <c r="Y10" s="97" t="n"/>
      <c r="Z10" s="97" t="n"/>
      <c r="AA10" s="97" t="n"/>
      <c r="AB10" s="97" t="n"/>
      <c r="AC10" s="97" t="n"/>
      <c r="AD10" s="161" t="inlineStr">
        <is>
          <t>2026-10-10</t>
        </is>
      </c>
      <c r="AE10" s="174" t="inlineStr">
        <is>
          <t>0001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TO ORDER OF SHIPPER</t>
        </is>
      </c>
      <c r="AK10" s="130" t="n"/>
    </row>
    <row r="11" ht="12" customHeight="1">
      <c r="A11" s="108" t="inlineStr">
        <is>
          <t>HALU2422114</t>
        </is>
      </c>
      <c r="B11" s="108" t="inlineStr">
        <is>
          <t>BKK02</t>
        </is>
      </c>
      <c r="C11" s="108" t="inlineStr">
        <is>
          <t>IFW</t>
        </is>
      </c>
      <c r="D11" s="172" t="inlineStr">
        <is>
          <t>2026-10-09</t>
        </is>
      </c>
      <c r="E11" s="173" t="inlineStr">
        <is>
          <t>1839</t>
        </is>
      </c>
      <c r="F11" s="96" t="inlineStr">
        <is>
          <t>HASLS22260902782</t>
        </is>
      </c>
      <c r="G11" s="96" t="inlineStr">
        <is>
          <t>KNS PLUS LOGISTICS (THAILAND) CO., LTD.</t>
        </is>
      </c>
      <c r="H11" s="111" t="inlineStr">
        <is>
          <t>22GP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HASLS22260902782</t>
        </is>
      </c>
      <c r="N11" s="96" t="inlineStr">
        <is>
          <t xml:space="preserve">20'x1 </t>
        </is>
      </c>
      <c r="O11" s="111" t="inlineStr">
        <is>
          <t>2024</t>
        </is>
      </c>
      <c r="P11" s="111" t="n"/>
      <c r="Q11" s="111" t="n"/>
      <c r="R11" s="96" t="n"/>
      <c r="S11" s="96" t="n"/>
      <c r="T11" s="96" t="inlineStr">
        <is>
          <t>BKK02</t>
        </is>
      </c>
      <c r="U11" s="96" t="inlineStr">
        <is>
          <t>THBKK</t>
        </is>
      </c>
      <c r="V11" s="161" t="inlineStr">
        <is>
          <t>2026-10-11</t>
        </is>
      </c>
      <c r="W11" s="96" t="inlineStr">
        <is>
          <t>VNSGN</t>
        </is>
      </c>
      <c r="X11" s="161" t="inlineStr">
        <is>
          <t>2026-10-13</t>
        </is>
      </c>
      <c r="Y11" s="97" t="n"/>
      <c r="Z11" s="97" t="n"/>
      <c r="AA11" s="97" t="n"/>
      <c r="AB11" s="97" t="n"/>
      <c r="AC11" s="97" t="n"/>
      <c r="AD11" s="161" t="inlineStr">
        <is>
          <t>2026-10-09</t>
        </is>
      </c>
      <c r="AE11" s="174" t="inlineStr">
        <is>
          <t>2101</t>
        </is>
      </c>
      <c r="AF11" s="96" t="inlineStr">
        <is>
          <t>EDI2</t>
        </is>
      </c>
      <c r="AG11" s="97" t="n"/>
      <c r="AH11" s="97" t="n"/>
      <c r="AI11" s="97" t="inlineStr">
        <is>
          <t>VAVJ6M</t>
        </is>
      </c>
      <c r="AJ11" s="96" t="inlineStr">
        <is>
          <t>MINH AN CO.,LTD.</t>
        </is>
      </c>
      <c r="AK11" s="130" t="n"/>
    </row>
    <row r="12" ht="12" customHeight="1">
      <c r="A12" s="108" t="inlineStr">
        <is>
          <t>HALU2465395</t>
        </is>
      </c>
      <c r="B12" s="108" t="inlineStr">
        <is>
          <t>BKK02</t>
        </is>
      </c>
      <c r="C12" s="108" t="inlineStr">
        <is>
          <t>IFE</t>
        </is>
      </c>
      <c r="D12" s="172" t="inlineStr">
        <is>
          <t>2026-10-05</t>
        </is>
      </c>
      <c r="E12" s="173" t="inlineStr">
        <is>
          <t>1701</t>
        </is>
      </c>
      <c r="F12" s="96" t="inlineStr">
        <is>
          <t>HASLS22260901835</t>
        </is>
      </c>
      <c r="G12" s="96" t="inlineStr">
        <is>
          <t>ACCORD PILOT LOGISTICS (THAILAND) CO., LTD.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HASLS22260901835</t>
        </is>
      </c>
      <c r="N12" s="96" t="inlineStr">
        <is>
          <t xml:space="preserve">20'x1 </t>
        </is>
      </c>
      <c r="O12" s="111" t="inlineStr">
        <is>
          <t>2024</t>
        </is>
      </c>
      <c r="P12" s="111" t="n"/>
      <c r="Q12" s="111" t="n"/>
      <c r="R12" s="96" t="inlineStr">
        <is>
          <t>DJCF</t>
        </is>
      </c>
      <c r="S12" s="96" t="inlineStr">
        <is>
          <t>0152N</t>
        </is>
      </c>
      <c r="T12" s="96" t="inlineStr">
        <is>
          <t>BKK02</t>
        </is>
      </c>
      <c r="U12" s="96" t="inlineStr">
        <is>
          <t>THBKK</t>
        </is>
      </c>
      <c r="V12" s="161" t="inlineStr">
        <is>
          <t>2026-10-11</t>
        </is>
      </c>
      <c r="W12" s="96" t="inlineStr">
        <is>
          <t>VNSGN</t>
        </is>
      </c>
      <c r="X12" s="161" t="inlineStr">
        <is>
          <t>2026-10-13</t>
        </is>
      </c>
      <c r="Y12" s="97" t="n"/>
      <c r="Z12" s="97" t="n"/>
      <c r="AA12" s="97" t="n"/>
      <c r="AB12" s="97" t="n"/>
      <c r="AC12" s="97" t="n"/>
      <c r="AD12" s="161" t="inlineStr">
        <is>
          <t>2026-10-05</t>
        </is>
      </c>
      <c r="AE12" s="174" t="inlineStr">
        <is>
          <t>2001</t>
        </is>
      </c>
      <c r="AF12" s="96" t="inlineStr">
        <is>
          <t>EDI2</t>
        </is>
      </c>
      <c r="AG12" s="97" t="n"/>
      <c r="AH12" s="97" t="n"/>
      <c r="AI12" s="97" t="inlineStr">
        <is>
          <t>VAVDAL</t>
        </is>
      </c>
      <c r="AJ12" s="96" t="inlineStr">
        <is>
          <t>CJ LOGISTICS VINA CO., LTD</t>
        </is>
      </c>
      <c r="AK12" s="130" t="n"/>
    </row>
    <row r="13" ht="12" customHeight="1">
      <c r="A13" s="108" t="inlineStr">
        <is>
          <t>HALU2515120</t>
        </is>
      </c>
      <c r="B13" s="108" t="inlineStr">
        <is>
          <t>BKK02</t>
        </is>
      </c>
      <c r="C13" s="108" t="inlineStr">
        <is>
          <t>IFE</t>
        </is>
      </c>
      <c r="D13" s="172" t="inlineStr">
        <is>
          <t>2026-10-06</t>
        </is>
      </c>
      <c r="E13" s="173" t="inlineStr">
        <is>
          <t>1553</t>
        </is>
      </c>
      <c r="F13" s="96" t="inlineStr">
        <is>
          <t>HASLS22260901791</t>
        </is>
      </c>
      <c r="G13" s="96" t="inlineStr">
        <is>
          <t>ACCORD PILOT LOGISTICS (THAILAND) CO., LTD.</t>
        </is>
      </c>
      <c r="H13" s="111" t="inlineStr">
        <is>
          <t>22GP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HASLS22260901791</t>
        </is>
      </c>
      <c r="N13" s="96" t="inlineStr">
        <is>
          <t xml:space="preserve">20'x1 </t>
        </is>
      </c>
      <c r="O13" s="111" t="inlineStr">
        <is>
          <t>2025</t>
        </is>
      </c>
      <c r="P13" s="111" t="n"/>
      <c r="Q13" s="111" t="n"/>
      <c r="R13" s="96" t="inlineStr">
        <is>
          <t>DJCF</t>
        </is>
      </c>
      <c r="S13" s="96" t="inlineStr">
        <is>
          <t>0152N</t>
        </is>
      </c>
      <c r="T13" s="96" t="inlineStr">
        <is>
          <t>BKK02</t>
        </is>
      </c>
      <c r="U13" s="96" t="inlineStr">
        <is>
          <t>THBKK</t>
        </is>
      </c>
      <c r="V13" s="161" t="inlineStr">
        <is>
          <t>2026-10-11</t>
        </is>
      </c>
      <c r="W13" s="96" t="inlineStr">
        <is>
          <t>VNSGN</t>
        </is>
      </c>
      <c r="X13" s="161" t="inlineStr">
        <is>
          <t>2026-10-13</t>
        </is>
      </c>
      <c r="Y13" s="97" t="n"/>
      <c r="Z13" s="97" t="n"/>
      <c r="AA13" s="97" t="n"/>
      <c r="AB13" s="97" t="n"/>
      <c r="AC13" s="97" t="n"/>
      <c r="AD13" s="161" t="inlineStr">
        <is>
          <t>2026-10-06</t>
        </is>
      </c>
      <c r="AE13" s="174" t="inlineStr">
        <is>
          <t>1801</t>
        </is>
      </c>
      <c r="AF13" s="96" t="inlineStr">
        <is>
          <t>EDI2</t>
        </is>
      </c>
      <c r="AG13" s="97" t="n"/>
      <c r="AH13" s="97" t="n"/>
      <c r="AI13" s="97" t="inlineStr">
        <is>
          <t>VAVDAL</t>
        </is>
      </c>
      <c r="AJ13" s="96" t="inlineStr">
        <is>
          <t>CJ LOGISTICS VINA CO., LTD</t>
        </is>
      </c>
      <c r="AK13" s="130" t="n"/>
    </row>
    <row r="14" ht="12" customHeight="1">
      <c r="A14" s="108" t="inlineStr">
        <is>
          <t>HALU2538906</t>
        </is>
      </c>
      <c r="B14" s="108" t="inlineStr">
        <is>
          <t>BKK02</t>
        </is>
      </c>
      <c r="C14" s="108" t="inlineStr">
        <is>
          <t>IFE</t>
        </is>
      </c>
      <c r="D14" s="172" t="inlineStr">
        <is>
          <t>2026-10-07</t>
        </is>
      </c>
      <c r="E14" s="173" t="inlineStr">
        <is>
          <t>1624</t>
        </is>
      </c>
      <c r="F14" s="96" t="inlineStr">
        <is>
          <t>HASLS22260901147</t>
        </is>
      </c>
      <c r="G14" s="96" t="inlineStr">
        <is>
          <t>BILLION LOGISTICS CO., LTD.</t>
        </is>
      </c>
      <c r="H14" s="111" t="inlineStr">
        <is>
          <t>22GP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HASLS22260901147</t>
        </is>
      </c>
      <c r="N14" s="96" t="inlineStr">
        <is>
          <t xml:space="preserve">20'x1 </t>
        </is>
      </c>
      <c r="O14" s="111" t="inlineStr">
        <is>
          <t>2025</t>
        </is>
      </c>
      <c r="P14" s="111" t="n"/>
      <c r="Q14" s="111" t="n"/>
      <c r="R14" s="96" t="inlineStr">
        <is>
          <t>DJCF</t>
        </is>
      </c>
      <c r="S14" s="96" t="inlineStr">
        <is>
          <t>0152N</t>
        </is>
      </c>
      <c r="T14" s="96" t="inlineStr">
        <is>
          <t>BKK02</t>
        </is>
      </c>
      <c r="U14" s="96" t="inlineStr">
        <is>
          <t>THBKK</t>
        </is>
      </c>
      <c r="V14" s="161" t="inlineStr">
        <is>
          <t>2026-10-11</t>
        </is>
      </c>
      <c r="W14" s="96" t="inlineStr">
        <is>
          <t>VNSGN</t>
        </is>
      </c>
      <c r="X14" s="161" t="inlineStr">
        <is>
          <t>2026-10-13</t>
        </is>
      </c>
      <c r="Y14" s="97" t="n"/>
      <c r="Z14" s="97" t="n"/>
      <c r="AA14" s="97" t="n"/>
      <c r="AB14" s="97" t="n"/>
      <c r="AC14" s="97" t="n"/>
      <c r="AD14" s="161" t="inlineStr">
        <is>
          <t>2026-10-07</t>
        </is>
      </c>
      <c r="AE14" s="174" t="inlineStr">
        <is>
          <t>1901</t>
        </is>
      </c>
      <c r="AF14" s="96" t="inlineStr">
        <is>
          <t>EDI2</t>
        </is>
      </c>
      <c r="AG14" s="97" t="n"/>
      <c r="AH14" s="97" t="n"/>
      <c r="AI14" s="97" t="inlineStr">
        <is>
          <t>VAVHGV</t>
        </is>
      </c>
      <c r="AJ14" s="96" t="inlineStr">
        <is>
          <t>VINH HOAN CORPORATION</t>
        </is>
      </c>
      <c r="AK14" s="130" t="n"/>
    </row>
    <row r="15" ht="12" customHeight="1">
      <c r="A15" s="108" t="inlineStr">
        <is>
          <t>HALU2567680</t>
        </is>
      </c>
      <c r="B15" s="108" t="inlineStr">
        <is>
          <t>BKK02</t>
        </is>
      </c>
      <c r="C15" s="108" t="inlineStr">
        <is>
          <t>IFE</t>
        </is>
      </c>
      <c r="D15" s="172" t="inlineStr">
        <is>
          <t>2026-10-09</t>
        </is>
      </c>
      <c r="E15" s="173" t="inlineStr">
        <is>
          <t>2142</t>
        </is>
      </c>
      <c r="F15" s="96" t="inlineStr">
        <is>
          <t>HASLS22260900445</t>
        </is>
      </c>
      <c r="G15" s="96" t="inlineStr">
        <is>
          <t>BANGKOK STARCH INDUSTRIAL CO., LTD.</t>
        </is>
      </c>
      <c r="H15" s="111" t="inlineStr">
        <is>
          <t>22GP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HASLS22260900445</t>
        </is>
      </c>
      <c r="N15" s="96" t="inlineStr">
        <is>
          <t xml:space="preserve">20'x2 </t>
        </is>
      </c>
      <c r="O15" s="111" t="inlineStr">
        <is>
          <t>2025</t>
        </is>
      </c>
      <c r="P15" s="111" t="n"/>
      <c r="Q15" s="111" t="n"/>
      <c r="R15" s="96" t="inlineStr">
        <is>
          <t>DJCF</t>
        </is>
      </c>
      <c r="S15" s="96" t="inlineStr">
        <is>
          <t>0152N</t>
        </is>
      </c>
      <c r="T15" s="96" t="inlineStr">
        <is>
          <t>BKK02</t>
        </is>
      </c>
      <c r="U15" s="96" t="inlineStr">
        <is>
          <t>THBKK</t>
        </is>
      </c>
      <c r="V15" s="161" t="inlineStr">
        <is>
          <t>2026-10-11</t>
        </is>
      </c>
      <c r="W15" s="96" t="inlineStr">
        <is>
          <t>JPSMZ</t>
        </is>
      </c>
      <c r="X15" s="161" t="inlineStr">
        <is>
          <t>2026-10-22</t>
        </is>
      </c>
      <c r="Y15" s="97" t="n"/>
      <c r="Z15" s="97" t="n"/>
      <c r="AA15" s="97" t="n"/>
      <c r="AB15" s="97" t="n"/>
      <c r="AC15" s="97" t="n"/>
      <c r="AD15" s="161" t="inlineStr">
        <is>
          <t>2026-10-10</t>
        </is>
      </c>
      <c r="AE15" s="174" t="inlineStr">
        <is>
          <t>0001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TO ORDER OF SHIPPER</t>
        </is>
      </c>
      <c r="AK15" s="130" t="n"/>
    </row>
    <row r="16" ht="12" customHeight="1">
      <c r="A16" s="108" t="inlineStr">
        <is>
          <t>HALU5690954</t>
        </is>
      </c>
      <c r="B16" s="108" t="inlineStr">
        <is>
          <t>BKK02</t>
        </is>
      </c>
      <c r="C16" s="108" t="inlineStr">
        <is>
          <t>IFE</t>
        </is>
      </c>
      <c r="D16" s="172" t="inlineStr">
        <is>
          <t>2026-10-08</t>
        </is>
      </c>
      <c r="E16" s="173" t="inlineStr">
        <is>
          <t>0527</t>
        </is>
      </c>
      <c r="F16" s="96" t="inlineStr">
        <is>
          <t>HASLS22261000179</t>
        </is>
      </c>
      <c r="G16" s="96" t="inlineStr">
        <is>
          <t>KORCHINA FREIGHT (THAILAND) CO., LTD.</t>
        </is>
      </c>
      <c r="H16" s="111" t="inlineStr">
        <is>
          <t>45GP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HASLS22261000179</t>
        </is>
      </c>
      <c r="N16" s="96" t="inlineStr">
        <is>
          <t xml:space="preserve">40Hx2 </t>
        </is>
      </c>
      <c r="O16" s="111" t="inlineStr">
        <is>
          <t>2015</t>
        </is>
      </c>
      <c r="P16" s="111" t="n"/>
      <c r="Q16" s="111" t="n"/>
      <c r="R16" s="96" t="inlineStr">
        <is>
          <t>DJCF</t>
        </is>
      </c>
      <c r="S16" s="96" t="inlineStr">
        <is>
          <t>0152N</t>
        </is>
      </c>
      <c r="T16" s="96" t="inlineStr">
        <is>
          <t>BKK02</t>
        </is>
      </c>
      <c r="U16" s="96" t="inlineStr">
        <is>
          <t>THBKK</t>
        </is>
      </c>
      <c r="V16" s="161" t="inlineStr">
        <is>
          <t>2026-10-11</t>
        </is>
      </c>
      <c r="W16" s="96" t="inlineStr">
        <is>
          <t>VNSGN</t>
        </is>
      </c>
      <c r="X16" s="161" t="inlineStr">
        <is>
          <t>2026-10-13</t>
        </is>
      </c>
      <c r="Y16" s="97" t="n"/>
      <c r="Z16" s="97" t="n"/>
      <c r="AA16" s="97" t="n"/>
      <c r="AB16" s="97" t="n"/>
      <c r="AC16" s="97" t="n"/>
      <c r="AD16" s="161" t="inlineStr">
        <is>
          <t>2026-10-08</t>
        </is>
      </c>
      <c r="AE16" s="174" t="inlineStr">
        <is>
          <t>0800</t>
        </is>
      </c>
      <c r="AF16" s="96" t="inlineStr">
        <is>
          <t>EDI2</t>
        </is>
      </c>
      <c r="AG16" s="97" t="n"/>
      <c r="AH16" s="97" t="n"/>
      <c r="AI16" s="97" t="inlineStr">
        <is>
          <t>VAVPST</t>
        </is>
      </c>
      <c r="AJ16" s="96" t="inlineStr">
        <is>
          <t>HS HYOSUNG GLOBAL LOGISTICS VINA</t>
        </is>
      </c>
      <c r="AK16" s="130" t="n"/>
    </row>
    <row r="17" ht="12" customHeight="1">
      <c r="A17" s="108" t="inlineStr">
        <is>
          <t>HLHU6407495</t>
        </is>
      </c>
      <c r="B17" s="108" t="inlineStr">
        <is>
          <t>BKK02</t>
        </is>
      </c>
      <c r="C17" s="108" t="inlineStr">
        <is>
          <t>IFE</t>
        </is>
      </c>
      <c r="D17" s="172" t="inlineStr">
        <is>
          <t>2026-10-08</t>
        </is>
      </c>
      <c r="E17" s="173" t="inlineStr">
        <is>
          <t>0113</t>
        </is>
      </c>
      <c r="F17" s="96" t="inlineStr">
        <is>
          <t>HASLS22260902221</t>
        </is>
      </c>
      <c r="G17" s="96" t="inlineStr">
        <is>
          <t>CAPRICORN LOGISTICS CO., LTD.</t>
        </is>
      </c>
      <c r="H17" s="111" t="inlineStr">
        <is>
          <t>45GP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HASLS22260902221</t>
        </is>
      </c>
      <c r="N17" s="96" t="inlineStr">
        <is>
          <t xml:space="preserve">40Hx5 </t>
        </is>
      </c>
      <c r="O17" s="111" t="inlineStr">
        <is>
          <t>2024</t>
        </is>
      </c>
      <c r="P17" s="111" t="n"/>
      <c r="Q17" s="111" t="n"/>
      <c r="R17" s="96" t="inlineStr">
        <is>
          <t>DJCF</t>
        </is>
      </c>
      <c r="S17" s="96" t="inlineStr">
        <is>
          <t>0152N</t>
        </is>
      </c>
      <c r="T17" s="96" t="inlineStr">
        <is>
          <t>BKK02</t>
        </is>
      </c>
      <c r="U17" s="96" t="inlineStr">
        <is>
          <t>THBKK</t>
        </is>
      </c>
      <c r="V17" s="161" t="inlineStr">
        <is>
          <t>2026-10-11</t>
        </is>
      </c>
      <c r="W17" s="96" t="inlineStr">
        <is>
          <t>VNSGN</t>
        </is>
      </c>
      <c r="X17" s="161" t="inlineStr">
        <is>
          <t>2026-10-13</t>
        </is>
      </c>
      <c r="Y17" s="97" t="n"/>
      <c r="Z17" s="97" t="n"/>
      <c r="AA17" s="97" t="n"/>
      <c r="AB17" s="97" t="n"/>
      <c r="AC17" s="97" t="n"/>
      <c r="AD17" s="161" t="inlineStr">
        <is>
          <t>2026-10-08</t>
        </is>
      </c>
      <c r="AE17" s="174" t="inlineStr">
        <is>
          <t>0400</t>
        </is>
      </c>
      <c r="AF17" s="96" t="inlineStr">
        <is>
          <t>EDI2</t>
        </is>
      </c>
      <c r="AG17" s="97" t="n"/>
      <c r="AH17" s="97" t="n"/>
      <c r="AI17" s="97" t="inlineStr">
        <is>
          <t>VAVC2Z</t>
        </is>
      </c>
      <c r="AJ17" s="96" t="inlineStr">
        <is>
          <t>GIA NGUYEN INT'L LOGISTICS CO., LTD</t>
        </is>
      </c>
      <c r="AK17" s="130" t="n"/>
    </row>
    <row r="18" ht="12" customHeight="1">
      <c r="A18" s="108" t="inlineStr">
        <is>
          <t>HLHU6411849</t>
        </is>
      </c>
      <c r="B18" s="108" t="inlineStr">
        <is>
          <t>BKK02</t>
        </is>
      </c>
      <c r="C18" s="108" t="inlineStr">
        <is>
          <t>IFE</t>
        </is>
      </c>
      <c r="D18" s="172" t="inlineStr">
        <is>
          <t>2026-10-07</t>
        </is>
      </c>
      <c r="E18" s="173" t="inlineStr">
        <is>
          <t>2012</t>
        </is>
      </c>
      <c r="F18" s="96" t="inlineStr">
        <is>
          <t>HASLS22260901037</t>
        </is>
      </c>
      <c r="G18" s="96" t="inlineStr">
        <is>
          <t>PISIA INTERFREIGHT CO.,LTD.</t>
        </is>
      </c>
      <c r="H18" s="111" t="inlineStr">
        <is>
          <t>45GP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HASLS22260901037</t>
        </is>
      </c>
      <c r="N18" s="96" t="inlineStr">
        <is>
          <t xml:space="preserve">40Hx4 </t>
        </is>
      </c>
      <c r="O18" s="111" t="inlineStr">
        <is>
          <t>2024</t>
        </is>
      </c>
      <c r="P18" s="111" t="n"/>
      <c r="Q18" s="111" t="n"/>
      <c r="R18" s="96" t="inlineStr">
        <is>
          <t>DJCF</t>
        </is>
      </c>
      <c r="S18" s="96" t="inlineStr">
        <is>
          <t>0152N</t>
        </is>
      </c>
      <c r="T18" s="96" t="inlineStr">
        <is>
          <t>BKK02</t>
        </is>
      </c>
      <c r="U18" s="96" t="inlineStr">
        <is>
          <t>THBKK</t>
        </is>
      </c>
      <c r="V18" s="161" t="inlineStr">
        <is>
          <t>2026-10-11</t>
        </is>
      </c>
      <c r="W18" s="96" t="inlineStr">
        <is>
          <t>VNSGN</t>
        </is>
      </c>
      <c r="X18" s="161" t="inlineStr">
        <is>
          <t>2026-10-13</t>
        </is>
      </c>
      <c r="Y18" s="97" t="n"/>
      <c r="Z18" s="97" t="n"/>
      <c r="AA18" s="97" t="n"/>
      <c r="AB18" s="97" t="n"/>
      <c r="AC18" s="97" t="n"/>
      <c r="AD18" s="161" t="inlineStr">
        <is>
          <t>2026-10-07</t>
        </is>
      </c>
      <c r="AE18" s="174" t="inlineStr">
        <is>
          <t>2301</t>
        </is>
      </c>
      <c r="AF18" s="96" t="inlineStr">
        <is>
          <t>EDI2</t>
        </is>
      </c>
      <c r="AG18" s="97" t="n"/>
      <c r="AH18" s="97" t="n"/>
      <c r="AI18" s="97" t="inlineStr">
        <is>
          <t>VAVDPN</t>
        </is>
      </c>
      <c r="AJ18" s="96" t="inlineStr">
        <is>
          <t>TO ORDER OF VIETNAM INTERNATIONAL</t>
        </is>
      </c>
      <c r="AK18" s="130" t="n"/>
    </row>
    <row r="19" ht="12" customHeight="1">
      <c r="A19" s="108" t="inlineStr">
        <is>
          <t>HLHU8345643</t>
        </is>
      </c>
      <c r="B19" s="108" t="inlineStr">
        <is>
          <t>BKK02</t>
        </is>
      </c>
      <c r="C19" s="108" t="inlineStr">
        <is>
          <t>IFW</t>
        </is>
      </c>
      <c r="D19" s="172" t="inlineStr">
        <is>
          <t>2026-10-09</t>
        </is>
      </c>
      <c r="E19" s="173" t="inlineStr">
        <is>
          <t>1836</t>
        </is>
      </c>
      <c r="F19" s="96" t="inlineStr">
        <is>
          <t>HASLS22260901754</t>
        </is>
      </c>
      <c r="G19" s="96" t="inlineStr">
        <is>
          <t>PROFREIGHT INTERNATIONAL CO., LTD.</t>
        </is>
      </c>
      <c r="H19" s="111" t="inlineStr">
        <is>
          <t>45GP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HASLS22260901754</t>
        </is>
      </c>
      <c r="N19" s="96" t="inlineStr">
        <is>
          <t xml:space="preserve">40Hx1 </t>
        </is>
      </c>
      <c r="O19" s="111" t="inlineStr">
        <is>
          <t>2023</t>
        </is>
      </c>
      <c r="P19" s="111" t="n"/>
      <c r="Q19" s="111" t="n"/>
      <c r="R19" s="96" t="n"/>
      <c r="S19" s="96" t="n"/>
      <c r="T19" s="96" t="inlineStr">
        <is>
          <t>BKK02</t>
        </is>
      </c>
      <c r="U19" s="96" t="inlineStr">
        <is>
          <t>THBKK</t>
        </is>
      </c>
      <c r="V19" s="161" t="inlineStr">
        <is>
          <t>2026-10-11</t>
        </is>
      </c>
      <c r="W19" s="96" t="inlineStr">
        <is>
          <t>VNSGN</t>
        </is>
      </c>
      <c r="X19" s="161" t="inlineStr">
        <is>
          <t>2026-10-13</t>
        </is>
      </c>
      <c r="Y19" s="97" t="n"/>
      <c r="Z19" s="97" t="n"/>
      <c r="AA19" s="97" t="n"/>
      <c r="AB19" s="97" t="n"/>
      <c r="AC19" s="97" t="n"/>
      <c r="AD19" s="161" t="inlineStr">
        <is>
          <t>2026-10-09</t>
        </is>
      </c>
      <c r="AE19" s="174" t="inlineStr">
        <is>
          <t>2101</t>
        </is>
      </c>
      <c r="AF19" s="96" t="inlineStr">
        <is>
          <t>EDI2</t>
        </is>
      </c>
      <c r="AG19" s="97" t="n"/>
      <c r="AH19" s="97" t="n"/>
      <c r="AI19" s="97" t="inlineStr">
        <is>
          <t>VAVBWZ</t>
        </is>
      </c>
      <c r="AJ19" s="96" t="inlineStr">
        <is>
          <t>THAI VIET NET JOINT STOCK COMPANY</t>
        </is>
      </c>
      <c r="AK19" s="130" t="n"/>
    </row>
    <row r="20" ht="12" customHeight="1">
      <c r="A20" s="108" t="inlineStr">
        <is>
          <t>HLHU8451579</t>
        </is>
      </c>
      <c r="B20" s="108" t="inlineStr">
        <is>
          <t>BKK02</t>
        </is>
      </c>
      <c r="C20" s="108" t="inlineStr">
        <is>
          <t>IFE</t>
        </is>
      </c>
      <c r="D20" s="172" t="inlineStr">
        <is>
          <t>2026-10-09</t>
        </is>
      </c>
      <c r="E20" s="173" t="inlineStr">
        <is>
          <t>1722</t>
        </is>
      </c>
      <c r="F20" s="96" t="inlineStr">
        <is>
          <t>HASLS22261000463</t>
        </is>
      </c>
      <c r="G20" s="96" t="inlineStr">
        <is>
          <t>H &amp; FRIENDS GTL (THAILAND) CO., LTD.</t>
        </is>
      </c>
      <c r="H20" s="111" t="inlineStr">
        <is>
          <t>45GP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HASLS22261000463</t>
        </is>
      </c>
      <c r="N20" s="96" t="inlineStr">
        <is>
          <t xml:space="preserve">40Hx1 </t>
        </is>
      </c>
      <c r="O20" s="111" t="inlineStr">
        <is>
          <t>2024</t>
        </is>
      </c>
      <c r="P20" s="111" t="n"/>
      <c r="Q20" s="111" t="n"/>
      <c r="R20" s="96" t="inlineStr">
        <is>
          <t>DJCF</t>
        </is>
      </c>
      <c r="S20" s="96" t="inlineStr">
        <is>
          <t>0152N</t>
        </is>
      </c>
      <c r="T20" s="96" t="inlineStr">
        <is>
          <t>BKK02</t>
        </is>
      </c>
      <c r="U20" s="96" t="inlineStr">
        <is>
          <t>THBKK</t>
        </is>
      </c>
      <c r="V20" s="161" t="inlineStr">
        <is>
          <t>2026-10-11</t>
        </is>
      </c>
      <c r="W20" s="96" t="inlineStr">
        <is>
          <t>KRINC</t>
        </is>
      </c>
      <c r="X20" s="161" t="inlineStr">
        <is>
          <t>2026-10-19</t>
        </is>
      </c>
      <c r="Y20" s="97" t="n"/>
      <c r="Z20" s="97" t="n"/>
      <c r="AA20" s="97" t="n"/>
      <c r="AB20" s="97" t="n"/>
      <c r="AC20" s="97" t="n"/>
      <c r="AD20" s="161" t="inlineStr">
        <is>
          <t>2026-10-09</t>
        </is>
      </c>
      <c r="AE20" s="174" t="inlineStr">
        <is>
          <t>2001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KWAY LOGIS CO.,LTD.</t>
        </is>
      </c>
      <c r="AK20" s="130" t="n"/>
    </row>
    <row r="21" ht="12" customHeight="1">
      <c r="A21" s="108" t="inlineStr">
        <is>
          <t>HLHU8469515</t>
        </is>
      </c>
      <c r="B21" s="108" t="inlineStr">
        <is>
          <t>BKK02</t>
        </is>
      </c>
      <c r="C21" s="108" t="inlineStr">
        <is>
          <t>IFE</t>
        </is>
      </c>
      <c r="D21" s="172" t="inlineStr">
        <is>
          <t>2026-10-08</t>
        </is>
      </c>
      <c r="E21" s="173" t="inlineStr">
        <is>
          <t>2019</t>
        </is>
      </c>
      <c r="F21" s="96" t="inlineStr">
        <is>
          <t>HASLS22260902379</t>
        </is>
      </c>
      <c r="G21" s="96" t="inlineStr">
        <is>
          <t>ACCORD PILOT LOGISTICS (THAILAND) CO., LTD.</t>
        </is>
      </c>
      <c r="H21" s="111" t="inlineStr">
        <is>
          <t>45GP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HASLS22260902379</t>
        </is>
      </c>
      <c r="N21" s="96" t="inlineStr">
        <is>
          <t xml:space="preserve">40Hx3 </t>
        </is>
      </c>
      <c r="O21" s="111" t="inlineStr">
        <is>
          <t>2024</t>
        </is>
      </c>
      <c r="P21" s="111" t="n"/>
      <c r="Q21" s="111" t="n"/>
      <c r="R21" s="96" t="inlineStr">
        <is>
          <t>DJCF</t>
        </is>
      </c>
      <c r="S21" s="96" t="inlineStr">
        <is>
          <t>0152N</t>
        </is>
      </c>
      <c r="T21" s="96" t="inlineStr">
        <is>
          <t>BKK02</t>
        </is>
      </c>
      <c r="U21" s="96" t="inlineStr">
        <is>
          <t>THBKK</t>
        </is>
      </c>
      <c r="V21" s="161" t="inlineStr">
        <is>
          <t>2026-10-11</t>
        </is>
      </c>
      <c r="W21" s="96" t="inlineStr">
        <is>
          <t>VNSGN</t>
        </is>
      </c>
      <c r="X21" s="161" t="inlineStr">
        <is>
          <t>2026-10-13</t>
        </is>
      </c>
      <c r="Y21" s="97" t="n"/>
      <c r="Z21" s="97" t="n"/>
      <c r="AA21" s="97" t="n"/>
      <c r="AB21" s="97" t="n"/>
      <c r="AC21" s="97" t="n"/>
      <c r="AD21" s="161" t="inlineStr">
        <is>
          <t>2026-10-08</t>
        </is>
      </c>
      <c r="AE21" s="174" t="inlineStr">
        <is>
          <t>2300</t>
        </is>
      </c>
      <c r="AF21" s="96" t="inlineStr">
        <is>
          <t>EDI2</t>
        </is>
      </c>
      <c r="AG21" s="97" t="n"/>
      <c r="AH21" s="97" t="n"/>
      <c r="AI21" s="97" t="inlineStr">
        <is>
          <t>VAVER1</t>
        </is>
      </c>
      <c r="AJ21" s="96" t="inlineStr">
        <is>
          <t>THINH PHAT LOGISTICS TRADING</t>
        </is>
      </c>
      <c r="AK21" s="130" t="n"/>
    </row>
    <row r="22" ht="12" customHeight="1">
      <c r="A22" s="108" t="inlineStr">
        <is>
          <t>HLHU8483175</t>
        </is>
      </c>
      <c r="B22" s="108" t="inlineStr">
        <is>
          <t>BKK02</t>
        </is>
      </c>
      <c r="C22" s="108" t="inlineStr">
        <is>
          <t>IFE</t>
        </is>
      </c>
      <c r="D22" s="172" t="inlineStr">
        <is>
          <t>2026-10-07</t>
        </is>
      </c>
      <c r="E22" s="173" t="inlineStr">
        <is>
          <t>1305</t>
        </is>
      </c>
      <c r="F22" s="96" t="inlineStr">
        <is>
          <t>HASLS22260901037</t>
        </is>
      </c>
      <c r="G22" s="96" t="inlineStr">
        <is>
          <t>PISIA INTERFREIGHT CO.,LTD.</t>
        </is>
      </c>
      <c r="H22" s="111" t="inlineStr">
        <is>
          <t>45GP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HASLS22260901037</t>
        </is>
      </c>
      <c r="N22" s="96" t="inlineStr">
        <is>
          <t xml:space="preserve">40Hx4 </t>
        </is>
      </c>
      <c r="O22" s="111" t="inlineStr">
        <is>
          <t>2024</t>
        </is>
      </c>
      <c r="P22" s="111" t="n"/>
      <c r="Q22" s="111" t="n"/>
      <c r="R22" s="96" t="inlineStr">
        <is>
          <t>DJCF</t>
        </is>
      </c>
      <c r="S22" s="96" t="inlineStr">
        <is>
          <t>0152N</t>
        </is>
      </c>
      <c r="T22" s="96" t="inlineStr">
        <is>
          <t>BKK02</t>
        </is>
      </c>
      <c r="U22" s="96" t="inlineStr">
        <is>
          <t>THBKK</t>
        </is>
      </c>
      <c r="V22" s="161" t="inlineStr">
        <is>
          <t>2026-10-11</t>
        </is>
      </c>
      <c r="W22" s="96" t="inlineStr">
        <is>
          <t>VNSGN</t>
        </is>
      </c>
      <c r="X22" s="161" t="inlineStr">
        <is>
          <t>2026-10-13</t>
        </is>
      </c>
      <c r="Y22" s="97" t="n"/>
      <c r="Z22" s="97" t="n"/>
      <c r="AA22" s="97" t="n"/>
      <c r="AB22" s="97" t="n"/>
      <c r="AC22" s="97" t="n"/>
      <c r="AD22" s="161" t="inlineStr">
        <is>
          <t>2026-10-07</t>
        </is>
      </c>
      <c r="AE22" s="174" t="inlineStr">
        <is>
          <t>1601</t>
        </is>
      </c>
      <c r="AF22" s="96" t="inlineStr">
        <is>
          <t>EDI2</t>
        </is>
      </c>
      <c r="AG22" s="97" t="n"/>
      <c r="AH22" s="97" t="n"/>
      <c r="AI22" s="97" t="inlineStr">
        <is>
          <t>VAVDPN</t>
        </is>
      </c>
      <c r="AJ22" s="96" t="inlineStr">
        <is>
          <t>TO ORDER OF VIETNAM INTERNATIONAL</t>
        </is>
      </c>
      <c r="AK22" s="130" t="n"/>
    </row>
    <row r="23" ht="12" customHeight="1">
      <c r="A23" s="108" t="inlineStr">
        <is>
          <t>HLHU8488053</t>
        </is>
      </c>
      <c r="B23" s="108" t="inlineStr">
        <is>
          <t>BKK02</t>
        </is>
      </c>
      <c r="C23" s="108" t="inlineStr">
        <is>
          <t>IFE</t>
        </is>
      </c>
      <c r="D23" s="172" t="inlineStr">
        <is>
          <t>2026-10-08</t>
        </is>
      </c>
      <c r="E23" s="173" t="inlineStr">
        <is>
          <t>1956</t>
        </is>
      </c>
      <c r="F23" s="96" t="inlineStr">
        <is>
          <t>HASLS22260801526</t>
        </is>
      </c>
      <c r="G23" s="96" t="inlineStr">
        <is>
          <t>NIMBLE LOGISTICS CO., LTD.</t>
        </is>
      </c>
      <c r="H23" s="111" t="inlineStr">
        <is>
          <t>45GP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HASLS22260801526</t>
        </is>
      </c>
      <c r="N23" s="96" t="inlineStr">
        <is>
          <t xml:space="preserve">40Hx1 </t>
        </is>
      </c>
      <c r="O23" s="111" t="inlineStr">
        <is>
          <t>2024</t>
        </is>
      </c>
      <c r="P23" s="111" t="n"/>
      <c r="Q23" s="111" t="n"/>
      <c r="R23" s="96" t="inlineStr">
        <is>
          <t>DJCF</t>
        </is>
      </c>
      <c r="S23" s="96" t="inlineStr">
        <is>
          <t>0152N</t>
        </is>
      </c>
      <c r="T23" s="96" t="inlineStr">
        <is>
          <t>BKK02</t>
        </is>
      </c>
      <c r="U23" s="96" t="inlineStr">
        <is>
          <t>THBKK</t>
        </is>
      </c>
      <c r="V23" s="161" t="inlineStr">
        <is>
          <t>2026-10-11</t>
        </is>
      </c>
      <c r="W23" s="96" t="inlineStr">
        <is>
          <t>VNSGN</t>
        </is>
      </c>
      <c r="X23" s="161" t="inlineStr">
        <is>
          <t>2026-10-13</t>
        </is>
      </c>
      <c r="Y23" s="97" t="n"/>
      <c r="Z23" s="97" t="n"/>
      <c r="AA23" s="97" t="n"/>
      <c r="AB23" s="97" t="n"/>
      <c r="AC23" s="97" t="n"/>
      <c r="AD23" s="161" t="inlineStr">
        <is>
          <t>2026-10-08</t>
        </is>
      </c>
      <c r="AE23" s="174" t="inlineStr">
        <is>
          <t>2200</t>
        </is>
      </c>
      <c r="AF23" s="96" t="inlineStr">
        <is>
          <t>EDI2</t>
        </is>
      </c>
      <c r="AG23" s="97" t="n"/>
      <c r="AH23" s="97" t="n"/>
      <c r="AI23" s="97" t="inlineStr">
        <is>
          <t>VAVO5E</t>
        </is>
      </c>
      <c r="AJ23" s="96" t="inlineStr">
        <is>
          <t>TNC VINA CO.,LTD</t>
        </is>
      </c>
      <c r="AK23" s="130" t="n"/>
    </row>
    <row r="24" ht="12" customHeight="1">
      <c r="A24" s="108" t="inlineStr">
        <is>
          <t>HLHU8523370</t>
        </is>
      </c>
      <c r="B24" s="108" t="inlineStr">
        <is>
          <t>BKK02</t>
        </is>
      </c>
      <c r="C24" s="108" t="inlineStr">
        <is>
          <t>IFE</t>
        </is>
      </c>
      <c r="D24" s="172" t="inlineStr">
        <is>
          <t>2026-10-08</t>
        </is>
      </c>
      <c r="E24" s="173" t="inlineStr">
        <is>
          <t>0120</t>
        </is>
      </c>
      <c r="F24" s="96" t="inlineStr">
        <is>
          <t>HASLS22261000007</t>
        </is>
      </c>
      <c r="G24" s="96" t="inlineStr">
        <is>
          <t>SDS-ACUTECH CO., LTD.</t>
        </is>
      </c>
      <c r="H24" s="111" t="inlineStr">
        <is>
          <t>45GP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HASLS22261000007</t>
        </is>
      </c>
      <c r="N24" s="96" t="inlineStr">
        <is>
          <t xml:space="preserve">40Hx1 </t>
        </is>
      </c>
      <c r="O24" s="111" t="inlineStr">
        <is>
          <t>2025</t>
        </is>
      </c>
      <c r="P24" s="111" t="n"/>
      <c r="Q24" s="111" t="n"/>
      <c r="R24" s="96" t="inlineStr">
        <is>
          <t>DJCF</t>
        </is>
      </c>
      <c r="S24" s="96" t="inlineStr">
        <is>
          <t>0152N</t>
        </is>
      </c>
      <c r="T24" s="96" t="inlineStr">
        <is>
          <t>BKK02</t>
        </is>
      </c>
      <c r="U24" s="96" t="inlineStr">
        <is>
          <t>THBKK</t>
        </is>
      </c>
      <c r="V24" s="161" t="inlineStr">
        <is>
          <t>2026-10-11</t>
        </is>
      </c>
      <c r="W24" s="96" t="inlineStr">
        <is>
          <t>VNSGN</t>
        </is>
      </c>
      <c r="X24" s="161" t="inlineStr">
        <is>
          <t>2026-10-13</t>
        </is>
      </c>
      <c r="Y24" s="97" t="n"/>
      <c r="Z24" s="97" t="n"/>
      <c r="AA24" s="97" t="n"/>
      <c r="AB24" s="97" t="n"/>
      <c r="AC24" s="97" t="n"/>
      <c r="AD24" s="161" t="inlineStr">
        <is>
          <t>2026-10-08</t>
        </is>
      </c>
      <c r="AE24" s="174" t="inlineStr">
        <is>
          <t>0400</t>
        </is>
      </c>
      <c r="AF24" s="96" t="inlineStr">
        <is>
          <t>EDI2</t>
        </is>
      </c>
      <c r="AG24" s="97" t="n"/>
      <c r="AH24" s="97" t="n"/>
      <c r="AI24" s="97" t="inlineStr">
        <is>
          <t>VAVBPG</t>
        </is>
      </c>
      <c r="AJ24" s="96" t="inlineStr">
        <is>
          <t>SAMSUNG ELECTRONICS HCMC CE COMPLEX</t>
        </is>
      </c>
      <c r="AK24" s="130" t="n"/>
    </row>
    <row r="25" ht="12" customHeight="1">
      <c r="A25" s="108" t="inlineStr">
        <is>
          <t>HLHU8591930</t>
        </is>
      </c>
      <c r="B25" s="108" t="inlineStr">
        <is>
          <t>BKK02</t>
        </is>
      </c>
      <c r="C25" s="108" t="inlineStr">
        <is>
          <t>IFE</t>
        </is>
      </c>
      <c r="D25" s="172" t="inlineStr">
        <is>
          <t>2026-10-07</t>
        </is>
      </c>
      <c r="E25" s="173" t="inlineStr">
        <is>
          <t>1314</t>
        </is>
      </c>
      <c r="F25" s="96" t="inlineStr">
        <is>
          <t>HASLS22260901037</t>
        </is>
      </c>
      <c r="G25" s="96" t="inlineStr">
        <is>
          <t>PISIA INTERFREIGHT CO.,LTD.</t>
        </is>
      </c>
      <c r="H25" s="111" t="inlineStr">
        <is>
          <t>45GP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HASLS22260901037</t>
        </is>
      </c>
      <c r="N25" s="96" t="inlineStr">
        <is>
          <t xml:space="preserve">40Hx4 </t>
        </is>
      </c>
      <c r="O25" s="111" t="inlineStr">
        <is>
          <t>2025</t>
        </is>
      </c>
      <c r="P25" s="111" t="n"/>
      <c r="Q25" s="111" t="n"/>
      <c r="R25" s="96" t="inlineStr">
        <is>
          <t>DJCF</t>
        </is>
      </c>
      <c r="S25" s="96" t="inlineStr">
        <is>
          <t>0152N</t>
        </is>
      </c>
      <c r="T25" s="96" t="inlineStr">
        <is>
          <t>BKK02</t>
        </is>
      </c>
      <c r="U25" s="96" t="inlineStr">
        <is>
          <t>THBKK</t>
        </is>
      </c>
      <c r="V25" s="161" t="inlineStr">
        <is>
          <t>2026-10-11</t>
        </is>
      </c>
      <c r="W25" s="96" t="inlineStr">
        <is>
          <t>VNSGN</t>
        </is>
      </c>
      <c r="X25" s="161" t="inlineStr">
        <is>
          <t>2026-10-13</t>
        </is>
      </c>
      <c r="Y25" s="97" t="n"/>
      <c r="Z25" s="97" t="n"/>
      <c r="AA25" s="97" t="n"/>
      <c r="AB25" s="97" t="n"/>
      <c r="AC25" s="97" t="n"/>
      <c r="AD25" s="161" t="inlineStr">
        <is>
          <t>2026-10-07</t>
        </is>
      </c>
      <c r="AE25" s="174" t="inlineStr">
        <is>
          <t>1601</t>
        </is>
      </c>
      <c r="AF25" s="96" t="inlineStr">
        <is>
          <t>EDI2</t>
        </is>
      </c>
      <c r="AG25" s="97" t="n"/>
      <c r="AH25" s="97" t="n"/>
      <c r="AI25" s="97" t="inlineStr">
        <is>
          <t>VAVDPN</t>
        </is>
      </c>
      <c r="AJ25" s="96" t="inlineStr">
        <is>
          <t>TO ORDER OF VIETNAM INTERNATIONAL</t>
        </is>
      </c>
      <c r="AK25" s="130" t="n"/>
    </row>
    <row r="26" ht="12" customHeight="1">
      <c r="A26" s="108" t="inlineStr">
        <is>
          <t>MAGU2538221</t>
        </is>
      </c>
      <c r="B26" s="108" t="inlineStr">
        <is>
          <t>BKK02</t>
        </is>
      </c>
      <c r="C26" s="108" t="inlineStr">
        <is>
          <t>IFE</t>
        </is>
      </c>
      <c r="D26" s="172" t="inlineStr">
        <is>
          <t>2026-10-08</t>
        </is>
      </c>
      <c r="E26" s="173" t="inlineStr">
        <is>
          <t>1432</t>
        </is>
      </c>
      <c r="F26" s="96" t="inlineStr">
        <is>
          <t>HASLS22261000056</t>
        </is>
      </c>
      <c r="G26" s="96" t="inlineStr">
        <is>
          <t>YUSEN LOGISTICS (THAILAND) CO., LTD.</t>
        </is>
      </c>
      <c r="H26" s="111" t="inlineStr">
        <is>
          <t>22GP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HASLS22261000056</t>
        </is>
      </c>
      <c r="N26" s="96" t="inlineStr">
        <is>
          <t xml:space="preserve">20'x1 </t>
        </is>
      </c>
      <c r="O26" s="111" t="inlineStr">
        <is>
          <t>2015</t>
        </is>
      </c>
      <c r="P26" s="111" t="n"/>
      <c r="Q26" s="111" t="n"/>
      <c r="R26" s="96" t="inlineStr">
        <is>
          <t>DJCF</t>
        </is>
      </c>
      <c r="S26" s="96" t="inlineStr">
        <is>
          <t>0152N</t>
        </is>
      </c>
      <c r="T26" s="96" t="inlineStr">
        <is>
          <t>BKK02</t>
        </is>
      </c>
      <c r="U26" s="96" t="inlineStr">
        <is>
          <t>THBKK</t>
        </is>
      </c>
      <c r="V26" s="161" t="inlineStr">
        <is>
          <t>2026-10-11</t>
        </is>
      </c>
      <c r="W26" s="96" t="inlineStr">
        <is>
          <t>VNSGN</t>
        </is>
      </c>
      <c r="X26" s="161" t="inlineStr">
        <is>
          <t>2026-10-13</t>
        </is>
      </c>
      <c r="Y26" s="97" t="n"/>
      <c r="Z26" s="97" t="n"/>
      <c r="AA26" s="97" t="n"/>
      <c r="AB26" s="97" t="n"/>
      <c r="AC26" s="97" t="n"/>
      <c r="AD26" s="161" t="inlineStr">
        <is>
          <t>2026-10-08</t>
        </is>
      </c>
      <c r="AE26" s="174" t="inlineStr">
        <is>
          <t>1700</t>
        </is>
      </c>
      <c r="AF26" s="96" t="inlineStr">
        <is>
          <t>EDI2</t>
        </is>
      </c>
      <c r="AG26" s="97" t="n"/>
      <c r="AH26" s="97" t="n"/>
      <c r="AI26" s="97" t="inlineStr">
        <is>
          <t>VAVC4O</t>
        </is>
      </c>
      <c r="AJ26" s="96" t="inlineStr">
        <is>
          <t>YUSEN LOGISTICS (VIETNAM) CO., LTD</t>
        </is>
      </c>
      <c r="AK26" s="130" t="n"/>
    </row>
    <row r="27" ht="12" customHeight="1">
      <c r="A27" s="108" t="inlineStr">
        <is>
          <t>SKHU6371677</t>
        </is>
      </c>
      <c r="B27" s="108" t="inlineStr">
        <is>
          <t>BKK02</t>
        </is>
      </c>
      <c r="C27" s="108" t="inlineStr">
        <is>
          <t>IFE</t>
        </is>
      </c>
      <c r="D27" s="172" t="inlineStr">
        <is>
          <t>2026-10-05</t>
        </is>
      </c>
      <c r="E27" s="173" t="inlineStr">
        <is>
          <t>1251</t>
        </is>
      </c>
      <c r="F27" s="96" t="inlineStr">
        <is>
          <t>HASLS22260901039</t>
        </is>
      </c>
      <c r="G27" s="96" t="inlineStr">
        <is>
          <t>C.P. INTERTRADE CO., LTD.</t>
        </is>
      </c>
      <c r="H27" s="111" t="inlineStr">
        <is>
          <t>45GP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HASLS22260901039</t>
        </is>
      </c>
      <c r="N27" s="96" t="inlineStr">
        <is>
          <t xml:space="preserve">40Hx1 </t>
        </is>
      </c>
      <c r="O27" s="111" t="inlineStr">
        <is>
          <t>2023</t>
        </is>
      </c>
      <c r="P27" s="111" t="n"/>
      <c r="Q27" s="111" t="n"/>
      <c r="R27" s="96" t="inlineStr">
        <is>
          <t>DJCF</t>
        </is>
      </c>
      <c r="S27" s="96" t="inlineStr">
        <is>
          <t>0152N</t>
        </is>
      </c>
      <c r="T27" s="96" t="inlineStr">
        <is>
          <t>BKK02</t>
        </is>
      </c>
      <c r="U27" s="96" t="inlineStr">
        <is>
          <t>THBKK</t>
        </is>
      </c>
      <c r="V27" s="161" t="inlineStr">
        <is>
          <t>2026-10-11</t>
        </is>
      </c>
      <c r="W27" s="96" t="inlineStr">
        <is>
          <t>JPMYJ</t>
        </is>
      </c>
      <c r="X27" s="161" t="inlineStr">
        <is>
          <t>2026-10-22</t>
        </is>
      </c>
      <c r="Y27" s="97" t="n"/>
      <c r="Z27" s="97" t="n"/>
      <c r="AA27" s="97" t="n"/>
      <c r="AB27" s="97" t="n"/>
      <c r="AC27" s="97" t="n"/>
      <c r="AD27" s="161" t="inlineStr">
        <is>
          <t>2026-10-05</t>
        </is>
      </c>
      <c r="AE27" s="174" t="inlineStr">
        <is>
          <t>1501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DCM CO.,LTD.</t>
        </is>
      </c>
      <c r="AK27" s="130" t="n"/>
    </row>
    <row r="28" ht="12" customHeight="1">
      <c r="A28" s="108" t="inlineStr">
        <is>
          <t>SKHU6412061</t>
        </is>
      </c>
      <c r="B28" s="108" t="inlineStr">
        <is>
          <t>BKK02</t>
        </is>
      </c>
      <c r="C28" s="108" t="inlineStr">
        <is>
          <t>IFE</t>
        </is>
      </c>
      <c r="D28" s="172" t="inlineStr">
        <is>
          <t>2026-10-08</t>
        </is>
      </c>
      <c r="E28" s="173" t="inlineStr">
        <is>
          <t>2332</t>
        </is>
      </c>
      <c r="F28" s="96" t="inlineStr">
        <is>
          <t>HASLS22260902379</t>
        </is>
      </c>
      <c r="G28" s="96" t="inlineStr">
        <is>
          <t>ACCORD PILOT LOGISTICS (THAILAND) CO., LTD.</t>
        </is>
      </c>
      <c r="H28" s="111" t="inlineStr">
        <is>
          <t>45GP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HASLS22260902379</t>
        </is>
      </c>
      <c r="N28" s="96" t="inlineStr">
        <is>
          <t xml:space="preserve">40Hx3 </t>
        </is>
      </c>
      <c r="O28" s="111" t="inlineStr">
        <is>
          <t>2024</t>
        </is>
      </c>
      <c r="P28" s="111" t="n"/>
      <c r="Q28" s="111" t="n"/>
      <c r="R28" s="96" t="inlineStr">
        <is>
          <t>DJCF</t>
        </is>
      </c>
      <c r="S28" s="96" t="inlineStr">
        <is>
          <t>0152N</t>
        </is>
      </c>
      <c r="T28" s="96" t="inlineStr">
        <is>
          <t>BKK02</t>
        </is>
      </c>
      <c r="U28" s="96" t="inlineStr">
        <is>
          <t>THBKK</t>
        </is>
      </c>
      <c r="V28" s="161" t="inlineStr">
        <is>
          <t>2026-10-11</t>
        </is>
      </c>
      <c r="W28" s="96" t="inlineStr">
        <is>
          <t>VNSGN</t>
        </is>
      </c>
      <c r="X28" s="161" t="inlineStr">
        <is>
          <t>2026-10-13</t>
        </is>
      </c>
      <c r="Y28" s="97" t="n"/>
      <c r="Z28" s="97" t="n"/>
      <c r="AA28" s="97" t="n"/>
      <c r="AB28" s="97" t="n"/>
      <c r="AC28" s="97" t="n"/>
      <c r="AD28" s="161" t="inlineStr">
        <is>
          <t>2026-10-09</t>
        </is>
      </c>
      <c r="AE28" s="174" t="inlineStr">
        <is>
          <t>0200</t>
        </is>
      </c>
      <c r="AF28" s="96" t="inlineStr">
        <is>
          <t>EDI2</t>
        </is>
      </c>
      <c r="AG28" s="97" t="n"/>
      <c r="AH28" s="97" t="n"/>
      <c r="AI28" s="97" t="inlineStr">
        <is>
          <t>VAVER1</t>
        </is>
      </c>
      <c r="AJ28" s="96" t="inlineStr">
        <is>
          <t>THINH PHAT LOGISTICS TRADING</t>
        </is>
      </c>
      <c r="AK28" s="130" t="n"/>
    </row>
    <row r="29" ht="12" customHeight="1">
      <c r="A29" s="108" t="inlineStr">
        <is>
          <t>SKHU6431518</t>
        </is>
      </c>
      <c r="B29" s="108" t="inlineStr">
        <is>
          <t>BKK02</t>
        </is>
      </c>
      <c r="C29" s="108" t="inlineStr">
        <is>
          <t>IFE</t>
        </is>
      </c>
      <c r="D29" s="172" t="inlineStr">
        <is>
          <t>2026-10-07</t>
        </is>
      </c>
      <c r="E29" s="173" t="inlineStr">
        <is>
          <t>2206</t>
        </is>
      </c>
      <c r="F29" s="96" t="inlineStr">
        <is>
          <t>HASLS22260902221</t>
        </is>
      </c>
      <c r="G29" s="96" t="inlineStr">
        <is>
          <t>CAPRICORN LOGISTICS CO., LTD.</t>
        </is>
      </c>
      <c r="H29" s="111" t="inlineStr">
        <is>
          <t>45GP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HASLS22260902221</t>
        </is>
      </c>
      <c r="N29" s="96" t="inlineStr">
        <is>
          <t xml:space="preserve">40Hx5 </t>
        </is>
      </c>
      <c r="O29" s="111" t="inlineStr">
        <is>
          <t>2024</t>
        </is>
      </c>
      <c r="P29" s="111" t="n"/>
      <c r="Q29" s="111" t="n"/>
      <c r="R29" s="96" t="inlineStr">
        <is>
          <t>DJCF</t>
        </is>
      </c>
      <c r="S29" s="96" t="inlineStr">
        <is>
          <t>0152N</t>
        </is>
      </c>
      <c r="T29" s="96" t="inlineStr">
        <is>
          <t>BKK02</t>
        </is>
      </c>
      <c r="U29" s="96" t="inlineStr">
        <is>
          <t>THBKK</t>
        </is>
      </c>
      <c r="V29" s="161" t="inlineStr">
        <is>
          <t>2026-10-11</t>
        </is>
      </c>
      <c r="W29" s="96" t="inlineStr">
        <is>
          <t>VNSGN</t>
        </is>
      </c>
      <c r="X29" s="161" t="inlineStr">
        <is>
          <t>2026-10-13</t>
        </is>
      </c>
      <c r="Y29" s="97" t="n"/>
      <c r="Z29" s="97" t="n"/>
      <c r="AA29" s="97" t="n"/>
      <c r="AB29" s="97" t="n"/>
      <c r="AC29" s="97" t="n"/>
      <c r="AD29" s="161" t="inlineStr">
        <is>
          <t>2026-10-08</t>
        </is>
      </c>
      <c r="AE29" s="174" t="inlineStr">
        <is>
          <t>0100</t>
        </is>
      </c>
      <c r="AF29" s="96" t="inlineStr">
        <is>
          <t>EDI2</t>
        </is>
      </c>
      <c r="AG29" s="97" t="n"/>
      <c r="AH29" s="97" t="n"/>
      <c r="AI29" s="97" t="inlineStr">
        <is>
          <t>VAVC2Z</t>
        </is>
      </c>
      <c r="AJ29" s="96" t="inlineStr">
        <is>
          <t>GIA NGUYEN INT'L LOGISTICS CO., LTD</t>
        </is>
      </c>
      <c r="AK29" s="130" t="n"/>
    </row>
    <row r="30" ht="12" customHeight="1">
      <c r="A30" s="108" t="inlineStr">
        <is>
          <t>SKHU8714060</t>
        </is>
      </c>
      <c r="B30" s="108" t="inlineStr">
        <is>
          <t>BKK02</t>
        </is>
      </c>
      <c r="C30" s="108" t="inlineStr">
        <is>
          <t>IFE</t>
        </is>
      </c>
      <c r="D30" s="172" t="inlineStr">
        <is>
          <t>2026-10-08</t>
        </is>
      </c>
      <c r="E30" s="173" t="inlineStr">
        <is>
          <t>0254</t>
        </is>
      </c>
      <c r="F30" s="96" t="inlineStr">
        <is>
          <t>HASLS22260902221</t>
        </is>
      </c>
      <c r="G30" s="96" t="inlineStr">
        <is>
          <t>CAPRICORN LOGISTICS CO., LTD.</t>
        </is>
      </c>
      <c r="H30" s="111" t="inlineStr">
        <is>
          <t>45GP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HASLS22260902221</t>
        </is>
      </c>
      <c r="N30" s="96" t="inlineStr">
        <is>
          <t xml:space="preserve">40Hx5 </t>
        </is>
      </c>
      <c r="O30" s="111" t="inlineStr">
        <is>
          <t>2007</t>
        </is>
      </c>
      <c r="P30" s="111" t="n"/>
      <c r="Q30" s="111" t="n"/>
      <c r="R30" s="96" t="inlineStr">
        <is>
          <t>DJCF</t>
        </is>
      </c>
      <c r="S30" s="96" t="inlineStr">
        <is>
          <t>0152N</t>
        </is>
      </c>
      <c r="T30" s="96" t="inlineStr">
        <is>
          <t>BKK02</t>
        </is>
      </c>
      <c r="U30" s="96" t="inlineStr">
        <is>
          <t>THBKK</t>
        </is>
      </c>
      <c r="V30" s="161" t="inlineStr">
        <is>
          <t>2026-10-11</t>
        </is>
      </c>
      <c r="W30" s="96" t="inlineStr">
        <is>
          <t>VNSGN</t>
        </is>
      </c>
      <c r="X30" s="161" t="inlineStr">
        <is>
          <t>2026-10-13</t>
        </is>
      </c>
      <c r="Y30" s="97" t="n"/>
      <c r="Z30" s="97" t="n"/>
      <c r="AA30" s="97" t="n"/>
      <c r="AB30" s="97" t="n"/>
      <c r="AC30" s="97" t="n"/>
      <c r="AD30" s="161" t="inlineStr">
        <is>
          <t>2026-10-08</t>
        </is>
      </c>
      <c r="AE30" s="174" t="inlineStr">
        <is>
          <t>0500</t>
        </is>
      </c>
      <c r="AF30" s="96" t="inlineStr">
        <is>
          <t>EDI2</t>
        </is>
      </c>
      <c r="AG30" s="97" t="n"/>
      <c r="AH30" s="97" t="n"/>
      <c r="AI30" s="97" t="inlineStr">
        <is>
          <t>VAVC2Z</t>
        </is>
      </c>
      <c r="AJ30" s="96" t="inlineStr">
        <is>
          <t>GIA NGUYEN INT'L LOGISTICS CO., LTD</t>
        </is>
      </c>
      <c r="AK30" s="130" t="n"/>
    </row>
    <row r="31" ht="12" customHeight="1">
      <c r="A31" s="108" t="inlineStr">
        <is>
          <t>SKHU8933794</t>
        </is>
      </c>
      <c r="B31" s="108" t="inlineStr">
        <is>
          <t>BKK02</t>
        </is>
      </c>
      <c r="C31" s="108" t="inlineStr">
        <is>
          <t>IFE</t>
        </is>
      </c>
      <c r="D31" s="172" t="inlineStr">
        <is>
          <t>2026-10-07</t>
        </is>
      </c>
      <c r="E31" s="173" t="inlineStr">
        <is>
          <t>1317</t>
        </is>
      </c>
      <c r="F31" s="96" t="inlineStr">
        <is>
          <t>HASLS22260901037</t>
        </is>
      </c>
      <c r="G31" s="96" t="inlineStr">
        <is>
          <t>PISIA INTERFREIGHT CO.,LTD.</t>
        </is>
      </c>
      <c r="H31" s="111" t="inlineStr">
        <is>
          <t>45GP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HASLS22260901037</t>
        </is>
      </c>
      <c r="N31" s="96" t="inlineStr">
        <is>
          <t xml:space="preserve">40Hx4 </t>
        </is>
      </c>
      <c r="O31" s="111" t="inlineStr">
        <is>
          <t>2019</t>
        </is>
      </c>
      <c r="P31" s="111" t="n"/>
      <c r="Q31" s="111" t="n"/>
      <c r="R31" s="96" t="inlineStr">
        <is>
          <t>DJCF</t>
        </is>
      </c>
      <c r="S31" s="96" t="inlineStr">
        <is>
          <t>0152N</t>
        </is>
      </c>
      <c r="T31" s="96" t="inlineStr">
        <is>
          <t>BKK02</t>
        </is>
      </c>
      <c r="U31" s="96" t="inlineStr">
        <is>
          <t>THBKK</t>
        </is>
      </c>
      <c r="V31" s="161" t="inlineStr">
        <is>
          <t>2026-10-11</t>
        </is>
      </c>
      <c r="W31" s="96" t="inlineStr">
        <is>
          <t>VNSGN</t>
        </is>
      </c>
      <c r="X31" s="161" t="inlineStr">
        <is>
          <t>2026-10-13</t>
        </is>
      </c>
      <c r="Y31" s="97" t="n"/>
      <c r="Z31" s="97" t="n"/>
      <c r="AA31" s="97" t="n"/>
      <c r="AB31" s="97" t="n"/>
      <c r="AC31" s="97" t="n"/>
      <c r="AD31" s="161" t="inlineStr">
        <is>
          <t>2026-10-07</t>
        </is>
      </c>
      <c r="AE31" s="174" t="inlineStr">
        <is>
          <t>1601</t>
        </is>
      </c>
      <c r="AF31" s="96" t="inlineStr">
        <is>
          <t>EDI2</t>
        </is>
      </c>
      <c r="AG31" s="97" t="n"/>
      <c r="AH31" s="97" t="n"/>
      <c r="AI31" s="97" t="inlineStr">
        <is>
          <t>VAVDPN</t>
        </is>
      </c>
      <c r="AJ31" s="96" t="inlineStr">
        <is>
          <t>TO ORDER OF VIETNAM INTERNATIONAL</t>
        </is>
      </c>
      <c r="AK31" s="130" t="n"/>
    </row>
    <row r="32" ht="12" customHeight="1">
      <c r="A32" s="108" t="inlineStr">
        <is>
          <t>SKHU9405600</t>
        </is>
      </c>
      <c r="B32" s="108" t="inlineStr">
        <is>
          <t>BKK02</t>
        </is>
      </c>
      <c r="C32" s="108" t="inlineStr">
        <is>
          <t>IFE</t>
        </is>
      </c>
      <c r="D32" s="172" t="inlineStr">
        <is>
          <t>2026-10-08</t>
        </is>
      </c>
      <c r="E32" s="173" t="inlineStr">
        <is>
          <t>1144</t>
        </is>
      </c>
      <c r="F32" s="96" t="inlineStr">
        <is>
          <t>HASLS22261000179</t>
        </is>
      </c>
      <c r="G32" s="96" t="inlineStr">
        <is>
          <t>KORCHINA FREIGHT (THAILAND) CO., LTD.</t>
        </is>
      </c>
      <c r="H32" s="111" t="inlineStr">
        <is>
          <t>45GP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HASLS22261000179</t>
        </is>
      </c>
      <c r="N32" s="96" t="inlineStr">
        <is>
          <t xml:space="preserve">40Hx2 </t>
        </is>
      </c>
      <c r="O32" s="111" t="inlineStr">
        <is>
          <t>2014</t>
        </is>
      </c>
      <c r="P32" s="111" t="n"/>
      <c r="Q32" s="111" t="n"/>
      <c r="R32" s="96" t="inlineStr">
        <is>
          <t>DJCF</t>
        </is>
      </c>
      <c r="S32" s="96" t="inlineStr">
        <is>
          <t>0152N</t>
        </is>
      </c>
      <c r="T32" s="96" t="inlineStr">
        <is>
          <t>BKK02</t>
        </is>
      </c>
      <c r="U32" s="96" t="inlineStr">
        <is>
          <t>THBKK</t>
        </is>
      </c>
      <c r="V32" s="161" t="inlineStr">
        <is>
          <t>2026-10-11</t>
        </is>
      </c>
      <c r="W32" s="96" t="inlineStr">
        <is>
          <t>VNSGN</t>
        </is>
      </c>
      <c r="X32" s="161" t="inlineStr">
        <is>
          <t>2026-10-13</t>
        </is>
      </c>
      <c r="Y32" s="97" t="n"/>
      <c r="Z32" s="97" t="n"/>
      <c r="AA32" s="97" t="n"/>
      <c r="AB32" s="97" t="n"/>
      <c r="AC32" s="97" t="n"/>
      <c r="AD32" s="161" t="inlineStr">
        <is>
          <t>2026-10-08</t>
        </is>
      </c>
      <c r="AE32" s="174" t="inlineStr">
        <is>
          <t>1400</t>
        </is>
      </c>
      <c r="AF32" s="96" t="inlineStr">
        <is>
          <t>EDI2</t>
        </is>
      </c>
      <c r="AG32" s="97" t="n"/>
      <c r="AH32" s="97" t="n"/>
      <c r="AI32" s="97" t="inlineStr">
        <is>
          <t>VAVPST</t>
        </is>
      </c>
      <c r="AJ32" s="96" t="inlineStr">
        <is>
          <t>HS HYOSUNG GLOBAL LOGISTICS VINA</t>
        </is>
      </c>
      <c r="AK32" s="130" t="n"/>
    </row>
    <row r="33" ht="12" customHeight="1">
      <c r="A33" s="108" t="inlineStr">
        <is>
          <t>SKHU9514724</t>
        </is>
      </c>
      <c r="B33" s="108" t="inlineStr">
        <is>
          <t>BKK02</t>
        </is>
      </c>
      <c r="C33" s="108" t="inlineStr">
        <is>
          <t>IFE</t>
        </is>
      </c>
      <c r="D33" s="172" t="inlineStr">
        <is>
          <t>2026-10-07</t>
        </is>
      </c>
      <c r="E33" s="173" t="inlineStr">
        <is>
          <t>1221</t>
        </is>
      </c>
      <c r="F33" s="96" t="inlineStr">
        <is>
          <t>HASLS22260902221</t>
        </is>
      </c>
      <c r="G33" s="96" t="inlineStr">
        <is>
          <t>CAPRICORN LOGISTICS CO., LTD.</t>
        </is>
      </c>
      <c r="H33" s="111" t="inlineStr">
        <is>
          <t>45GP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HASLS22260902221</t>
        </is>
      </c>
      <c r="N33" s="96" t="inlineStr">
        <is>
          <t xml:space="preserve">40Hx5 </t>
        </is>
      </c>
      <c r="O33" s="111" t="inlineStr">
        <is>
          <t>2015</t>
        </is>
      </c>
      <c r="P33" s="111" t="n"/>
      <c r="Q33" s="111" t="n"/>
      <c r="R33" s="96" t="inlineStr">
        <is>
          <t>DJCF</t>
        </is>
      </c>
      <c r="S33" s="96" t="inlineStr">
        <is>
          <t>0152N</t>
        </is>
      </c>
      <c r="T33" s="96" t="inlineStr">
        <is>
          <t>BKK02</t>
        </is>
      </c>
      <c r="U33" s="96" t="inlineStr">
        <is>
          <t>THBKK</t>
        </is>
      </c>
      <c r="V33" s="161" t="inlineStr">
        <is>
          <t>2026-10-11</t>
        </is>
      </c>
      <c r="W33" s="96" t="inlineStr">
        <is>
          <t>VNSGN</t>
        </is>
      </c>
      <c r="X33" s="161" t="inlineStr">
        <is>
          <t>2026-10-13</t>
        </is>
      </c>
      <c r="Y33" s="97" t="n"/>
      <c r="Z33" s="97" t="n"/>
      <c r="AA33" s="97" t="n"/>
      <c r="AB33" s="97" t="n"/>
      <c r="AC33" s="97" t="n"/>
      <c r="AD33" s="161" t="inlineStr">
        <is>
          <t>2026-10-07</t>
        </is>
      </c>
      <c r="AE33" s="174" t="inlineStr">
        <is>
          <t>1501</t>
        </is>
      </c>
      <c r="AF33" s="96" t="inlineStr">
        <is>
          <t>EDI2</t>
        </is>
      </c>
      <c r="AG33" s="97" t="n"/>
      <c r="AH33" s="97" t="n"/>
      <c r="AI33" s="97" t="inlineStr">
        <is>
          <t>VAVC2Z</t>
        </is>
      </c>
      <c r="AJ33" s="96" t="inlineStr">
        <is>
          <t>GIA NGUYEN INT'L LOGISTICS CO., LTD</t>
        </is>
      </c>
      <c r="AK33" s="130" t="n"/>
    </row>
    <row r="34" ht="12" customHeight="1">
      <c r="A34" s="108" t="inlineStr">
        <is>
          <t>SKHU9615680</t>
        </is>
      </c>
      <c r="B34" s="108" t="inlineStr">
        <is>
          <t>BKK02</t>
        </is>
      </c>
      <c r="C34" s="108" t="inlineStr">
        <is>
          <t>IFE</t>
        </is>
      </c>
      <c r="D34" s="172" t="inlineStr">
        <is>
          <t>2026-10-08</t>
        </is>
      </c>
      <c r="E34" s="173" t="inlineStr">
        <is>
          <t>2124</t>
        </is>
      </c>
      <c r="F34" s="96" t="inlineStr">
        <is>
          <t>HASLS22260902379</t>
        </is>
      </c>
      <c r="G34" s="96" t="inlineStr">
        <is>
          <t>ACCORD PILOT LOGISTICS (THAILAND) CO., LTD.</t>
        </is>
      </c>
      <c r="H34" s="111" t="inlineStr">
        <is>
          <t>45GP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HASLS22260902379</t>
        </is>
      </c>
      <c r="N34" s="96" t="inlineStr">
        <is>
          <t xml:space="preserve">40Hx3 </t>
        </is>
      </c>
      <c r="O34" s="111" t="inlineStr">
        <is>
          <t>2016</t>
        </is>
      </c>
      <c r="P34" s="111" t="n"/>
      <c r="Q34" s="111" t="n"/>
      <c r="R34" s="96" t="inlineStr">
        <is>
          <t>DJCF</t>
        </is>
      </c>
      <c r="S34" s="96" t="inlineStr">
        <is>
          <t>0152N</t>
        </is>
      </c>
      <c r="T34" s="96" t="inlineStr">
        <is>
          <t>BKK02</t>
        </is>
      </c>
      <c r="U34" s="96" t="inlineStr">
        <is>
          <t>THBKK</t>
        </is>
      </c>
      <c r="V34" s="161" t="inlineStr">
        <is>
          <t>2026-10-11</t>
        </is>
      </c>
      <c r="W34" s="96" t="inlineStr">
        <is>
          <t>VNSGN</t>
        </is>
      </c>
      <c r="X34" s="161" t="inlineStr">
        <is>
          <t>2026-10-13</t>
        </is>
      </c>
      <c r="Y34" s="97" t="n"/>
      <c r="Z34" s="97" t="n"/>
      <c r="AA34" s="97" t="n"/>
      <c r="AB34" s="97" t="n"/>
      <c r="AC34" s="97" t="n"/>
      <c r="AD34" s="161" t="inlineStr">
        <is>
          <t>2026-10-09</t>
        </is>
      </c>
      <c r="AE34" s="174" t="inlineStr">
        <is>
          <t>0000</t>
        </is>
      </c>
      <c r="AF34" s="96" t="inlineStr">
        <is>
          <t>EDI2</t>
        </is>
      </c>
      <c r="AG34" s="97" t="n"/>
      <c r="AH34" s="97" t="n"/>
      <c r="AI34" s="97" t="inlineStr">
        <is>
          <t>VAVER1</t>
        </is>
      </c>
      <c r="AJ34" s="96" t="inlineStr">
        <is>
          <t>THINH PHAT LOGISTICS TRADING</t>
        </is>
      </c>
      <c r="AK34" s="130" t="n"/>
    </row>
    <row r="35" ht="12" customHeight="1">
      <c r="A35" s="108" t="inlineStr">
        <is>
          <t>SKHU9913299</t>
        </is>
      </c>
      <c r="B35" s="108" t="inlineStr">
        <is>
          <t>BKK02</t>
        </is>
      </c>
      <c r="C35" s="108" t="inlineStr">
        <is>
          <t>IFE</t>
        </is>
      </c>
      <c r="D35" s="172" t="inlineStr">
        <is>
          <t>2026-10-08</t>
        </is>
      </c>
      <c r="E35" s="173" t="inlineStr">
        <is>
          <t>0247</t>
        </is>
      </c>
      <c r="F35" s="96" t="inlineStr">
        <is>
          <t>HASLS22260902221</t>
        </is>
      </c>
      <c r="G35" s="96" t="inlineStr">
        <is>
          <t>CAPRICORN LOGISTICS CO., LTD.</t>
        </is>
      </c>
      <c r="H35" s="111" t="inlineStr">
        <is>
          <t>45GP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HASLS22260902221</t>
        </is>
      </c>
      <c r="N35" s="96" t="inlineStr">
        <is>
          <t xml:space="preserve">40Hx5 </t>
        </is>
      </c>
      <c r="O35" s="111" t="inlineStr">
        <is>
          <t>2019</t>
        </is>
      </c>
      <c r="P35" s="111" t="n"/>
      <c r="Q35" s="111" t="n"/>
      <c r="R35" s="96" t="inlineStr">
        <is>
          <t>DJCF</t>
        </is>
      </c>
      <c r="S35" s="96" t="inlineStr">
        <is>
          <t>0152N</t>
        </is>
      </c>
      <c r="T35" s="96" t="inlineStr">
        <is>
          <t>BKK02</t>
        </is>
      </c>
      <c r="U35" s="96" t="inlineStr">
        <is>
          <t>THBKK</t>
        </is>
      </c>
      <c r="V35" s="161" t="inlineStr">
        <is>
          <t>2026-10-11</t>
        </is>
      </c>
      <c r="W35" s="96" t="inlineStr">
        <is>
          <t>VNSGN</t>
        </is>
      </c>
      <c r="X35" s="161" t="inlineStr">
        <is>
          <t>2026-10-13</t>
        </is>
      </c>
      <c r="Y35" s="97" t="n"/>
      <c r="Z35" s="97" t="n"/>
      <c r="AA35" s="97" t="n"/>
      <c r="AB35" s="97" t="n"/>
      <c r="AC35" s="97" t="n"/>
      <c r="AD35" s="161" t="inlineStr">
        <is>
          <t>2026-10-08</t>
        </is>
      </c>
      <c r="AE35" s="174" t="inlineStr">
        <is>
          <t>0500</t>
        </is>
      </c>
      <c r="AF35" s="96" t="inlineStr">
        <is>
          <t>EDI2</t>
        </is>
      </c>
      <c r="AG35" s="97" t="n"/>
      <c r="AH35" s="97" t="n"/>
      <c r="AI35" s="97" t="inlineStr">
        <is>
          <t>VAVC2Z</t>
        </is>
      </c>
      <c r="AJ35" s="96" t="inlineStr">
        <is>
          <t>GIA NGUYEN INT'L LOGISTICS CO., LTD</t>
        </is>
      </c>
      <c r="AK35" s="130" t="n"/>
    </row>
    <row r="36" ht="12" customHeight="1">
      <c r="A36" s="108" t="inlineStr">
        <is>
          <t>SKLU0715325</t>
        </is>
      </c>
      <c r="B36" s="108" t="inlineStr">
        <is>
          <t>BKK02</t>
        </is>
      </c>
      <c r="C36" s="108" t="inlineStr">
        <is>
          <t>IFE</t>
        </is>
      </c>
      <c r="D36" s="172" t="inlineStr">
        <is>
          <t>2026-10-06</t>
        </is>
      </c>
      <c r="E36" s="173" t="inlineStr">
        <is>
          <t>1512</t>
        </is>
      </c>
      <c r="F36" s="96" t="inlineStr">
        <is>
          <t>HASLS22260901854</t>
        </is>
      </c>
      <c r="G36" s="96" t="inlineStr">
        <is>
          <t>CAPRICORN LOGISTICS CO., LTD.</t>
        </is>
      </c>
      <c r="H36" s="111" t="inlineStr">
        <is>
          <t>22GP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HASLS22260901854</t>
        </is>
      </c>
      <c r="N36" s="96" t="inlineStr">
        <is>
          <t xml:space="preserve">20'x4 </t>
        </is>
      </c>
      <c r="O36" s="111" t="inlineStr">
        <is>
          <t>2007</t>
        </is>
      </c>
      <c r="P36" s="111" t="n"/>
      <c r="Q36" s="111" t="n"/>
      <c r="R36" s="96" t="inlineStr">
        <is>
          <t>DJCF</t>
        </is>
      </c>
      <c r="S36" s="96" t="inlineStr">
        <is>
          <t>0152N</t>
        </is>
      </c>
      <c r="T36" s="96" t="inlineStr">
        <is>
          <t>BKK02</t>
        </is>
      </c>
      <c r="U36" s="96" t="inlineStr">
        <is>
          <t>THBKK</t>
        </is>
      </c>
      <c r="V36" s="161" t="inlineStr">
        <is>
          <t>2026-10-11</t>
        </is>
      </c>
      <c r="W36" s="96" t="inlineStr">
        <is>
          <t>VNSGN</t>
        </is>
      </c>
      <c r="X36" s="161" t="inlineStr">
        <is>
          <t>2026-10-13</t>
        </is>
      </c>
      <c r="Y36" s="97" t="n"/>
      <c r="Z36" s="97" t="n"/>
      <c r="AA36" s="97" t="n"/>
      <c r="AB36" s="97" t="n"/>
      <c r="AC36" s="97" t="n"/>
      <c r="AD36" s="161" t="inlineStr">
        <is>
          <t>2026-10-06</t>
        </is>
      </c>
      <c r="AE36" s="174" t="inlineStr">
        <is>
          <t>1801</t>
        </is>
      </c>
      <c r="AF36" s="96" t="inlineStr">
        <is>
          <t>EDI2</t>
        </is>
      </c>
      <c r="AG36" s="97" t="n"/>
      <c r="AH36" s="97" t="n"/>
      <c r="AI36" s="97" t="inlineStr">
        <is>
          <t>VAVWCG</t>
        </is>
      </c>
      <c r="AJ36" s="96" t="inlineStr">
        <is>
          <t>BLUE OCEAN INTERNATIONAL</t>
        </is>
      </c>
      <c r="AK36" s="130" t="n"/>
    </row>
    <row r="37" ht="12" customHeight="1">
      <c r="A37" s="108" t="inlineStr">
        <is>
          <t>SKLU1004825</t>
        </is>
      </c>
      <c r="B37" s="108" t="inlineStr">
        <is>
          <t>BKK02</t>
        </is>
      </c>
      <c r="C37" s="108" t="inlineStr">
        <is>
          <t>IFE</t>
        </is>
      </c>
      <c r="D37" s="172" t="inlineStr">
        <is>
          <t>2026-10-06</t>
        </is>
      </c>
      <c r="E37" s="173" t="inlineStr">
        <is>
          <t>2127</t>
        </is>
      </c>
      <c r="F37" s="96" t="inlineStr">
        <is>
          <t>HASLS22260901854</t>
        </is>
      </c>
      <c r="G37" s="96" t="inlineStr">
        <is>
          <t>CAPRICORN LOGISTICS CO., LTD.</t>
        </is>
      </c>
      <c r="H37" s="111" t="inlineStr">
        <is>
          <t>22GP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HASLS22260901854</t>
        </is>
      </c>
      <c r="N37" s="96" t="inlineStr">
        <is>
          <t xml:space="preserve">20'x4 </t>
        </is>
      </c>
      <c r="O37" s="111" t="inlineStr">
        <is>
          <t>2010</t>
        </is>
      </c>
      <c r="P37" s="111" t="n"/>
      <c r="Q37" s="111" t="n"/>
      <c r="R37" s="96" t="inlineStr">
        <is>
          <t>DJCF</t>
        </is>
      </c>
      <c r="S37" s="96" t="inlineStr">
        <is>
          <t>0152N</t>
        </is>
      </c>
      <c r="T37" s="96" t="inlineStr">
        <is>
          <t>BKK02</t>
        </is>
      </c>
      <c r="U37" s="96" t="inlineStr">
        <is>
          <t>THBKK</t>
        </is>
      </c>
      <c r="V37" s="161" t="inlineStr">
        <is>
          <t>2026-10-11</t>
        </is>
      </c>
      <c r="W37" s="96" t="inlineStr">
        <is>
          <t>VNSGN</t>
        </is>
      </c>
      <c r="X37" s="161" t="inlineStr">
        <is>
          <t>2026-10-13</t>
        </is>
      </c>
      <c r="Y37" s="97" t="n"/>
      <c r="Z37" s="97" t="n"/>
      <c r="AA37" s="97" t="n"/>
      <c r="AB37" s="97" t="n"/>
      <c r="AC37" s="97" t="n"/>
      <c r="AD37" s="161" t="inlineStr">
        <is>
          <t>2026-10-07</t>
        </is>
      </c>
      <c r="AE37" s="174" t="inlineStr">
        <is>
          <t>0001</t>
        </is>
      </c>
      <c r="AF37" s="96" t="inlineStr">
        <is>
          <t>EDI2</t>
        </is>
      </c>
      <c r="AG37" s="97" t="n"/>
      <c r="AH37" s="97" t="n"/>
      <c r="AI37" s="97" t="inlineStr">
        <is>
          <t>VAVWCG</t>
        </is>
      </c>
      <c r="AJ37" s="96" t="inlineStr">
        <is>
          <t>BLUE OCEAN INTERNATIONAL</t>
        </is>
      </c>
      <c r="AK37" s="130" t="n"/>
    </row>
    <row r="38" ht="12" customHeight="1">
      <c r="A38" s="108" t="inlineStr">
        <is>
          <t>SKLU1419014</t>
        </is>
      </c>
      <c r="B38" s="108" t="inlineStr">
        <is>
          <t>BKK02</t>
        </is>
      </c>
      <c r="C38" s="108" t="inlineStr">
        <is>
          <t>IFE</t>
        </is>
      </c>
      <c r="D38" s="172" t="inlineStr">
        <is>
          <t>2026-10-06</t>
        </is>
      </c>
      <c r="E38" s="173" t="inlineStr">
        <is>
          <t>1217</t>
        </is>
      </c>
      <c r="F38" s="96" t="inlineStr">
        <is>
          <t>HASLS22260901854</t>
        </is>
      </c>
      <c r="G38" s="96" t="inlineStr">
        <is>
          <t>CAPRICORN LOGISTICS CO., LTD.</t>
        </is>
      </c>
      <c r="H38" s="111" t="inlineStr">
        <is>
          <t>22GP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HASLS22260901854</t>
        </is>
      </c>
      <c r="N38" s="96" t="inlineStr">
        <is>
          <t xml:space="preserve">20'x4 </t>
        </is>
      </c>
      <c r="O38" s="111" t="inlineStr">
        <is>
          <t>2014</t>
        </is>
      </c>
      <c r="P38" s="111" t="n"/>
      <c r="Q38" s="111" t="n"/>
      <c r="R38" s="96" t="inlineStr">
        <is>
          <t>DJCF</t>
        </is>
      </c>
      <c r="S38" s="96" t="inlineStr">
        <is>
          <t>0152N</t>
        </is>
      </c>
      <c r="T38" s="96" t="inlineStr">
        <is>
          <t>BKK02</t>
        </is>
      </c>
      <c r="U38" s="96" t="inlineStr">
        <is>
          <t>THBKK</t>
        </is>
      </c>
      <c r="V38" s="161" t="inlineStr">
        <is>
          <t>2026-10-11</t>
        </is>
      </c>
      <c r="W38" s="96" t="inlineStr">
        <is>
          <t>VNSGN</t>
        </is>
      </c>
      <c r="X38" s="161" t="inlineStr">
        <is>
          <t>2026-10-13</t>
        </is>
      </c>
      <c r="Y38" s="97" t="n"/>
      <c r="Z38" s="97" t="n"/>
      <c r="AA38" s="97" t="n"/>
      <c r="AB38" s="97" t="n"/>
      <c r="AC38" s="97" t="n"/>
      <c r="AD38" s="161" t="inlineStr">
        <is>
          <t>2026-10-06</t>
        </is>
      </c>
      <c r="AE38" s="174" t="inlineStr">
        <is>
          <t>1501</t>
        </is>
      </c>
      <c r="AF38" s="96" t="inlineStr">
        <is>
          <t>EDI2</t>
        </is>
      </c>
      <c r="AG38" s="97" t="n"/>
      <c r="AH38" s="97" t="n"/>
      <c r="AI38" s="97" t="inlineStr">
        <is>
          <t>VAVWCG</t>
        </is>
      </c>
      <c r="AJ38" s="96" t="inlineStr">
        <is>
          <t>BLUE OCEAN INTERNATIONAL</t>
        </is>
      </c>
      <c r="AK38" s="130" t="n"/>
    </row>
    <row r="39" ht="12" customHeight="1">
      <c r="A39" s="108" t="inlineStr">
        <is>
          <t>SKLU1546214</t>
        </is>
      </c>
      <c r="B39" s="108" t="inlineStr">
        <is>
          <t>BKK02</t>
        </is>
      </c>
      <c r="C39" s="108" t="inlineStr">
        <is>
          <t>IFE</t>
        </is>
      </c>
      <c r="D39" s="172" t="inlineStr">
        <is>
          <t>2026-10-07</t>
        </is>
      </c>
      <c r="E39" s="173" t="inlineStr">
        <is>
          <t>1240</t>
        </is>
      </c>
      <c r="F39" s="96" t="inlineStr">
        <is>
          <t>HASLS22260902065</t>
        </is>
      </c>
      <c r="G39" s="96" t="inlineStr">
        <is>
          <t>CPS SHIPPING &amp; LOGISTICS CO., LTD.</t>
        </is>
      </c>
      <c r="H39" s="111" t="inlineStr">
        <is>
          <t>22GP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HASLS22260902065</t>
        </is>
      </c>
      <c r="N39" s="96" t="inlineStr">
        <is>
          <t xml:space="preserve">20'x1 </t>
        </is>
      </c>
      <c r="O39" s="111" t="inlineStr">
        <is>
          <t>2015</t>
        </is>
      </c>
      <c r="P39" s="111" t="n"/>
      <c r="Q39" s="111" t="n"/>
      <c r="R39" s="96" t="inlineStr">
        <is>
          <t>DJCF</t>
        </is>
      </c>
      <c r="S39" s="96" t="inlineStr">
        <is>
          <t>0152N</t>
        </is>
      </c>
      <c r="T39" s="96" t="inlineStr">
        <is>
          <t>BKK02</t>
        </is>
      </c>
      <c r="U39" s="96" t="inlineStr">
        <is>
          <t>THBKK</t>
        </is>
      </c>
      <c r="V39" s="161" t="inlineStr">
        <is>
          <t>2026-10-11</t>
        </is>
      </c>
      <c r="W39" s="96" t="inlineStr">
        <is>
          <t>KRINC</t>
        </is>
      </c>
      <c r="X39" s="161" t="inlineStr">
        <is>
          <t>2026-10-19</t>
        </is>
      </c>
      <c r="Y39" s="97" t="n"/>
      <c r="Z39" s="97" t="n"/>
      <c r="AA39" s="97" t="n"/>
      <c r="AB39" s="97" t="n"/>
      <c r="AC39" s="97" t="n"/>
      <c r="AD39" s="161" t="inlineStr">
        <is>
          <t>2026-10-07</t>
        </is>
      </c>
      <c r="AE39" s="174" t="inlineStr">
        <is>
          <t>1501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HANAREUM SHIPPING &amp; AIR CO., LTD</t>
        </is>
      </c>
      <c r="AK39" s="130" t="n"/>
    </row>
    <row r="40" ht="12" customHeight="1">
      <c r="A40" s="108" t="inlineStr">
        <is>
          <t>SKLU1583434</t>
        </is>
      </c>
      <c r="B40" s="108" t="inlineStr">
        <is>
          <t>BKK02</t>
        </is>
      </c>
      <c r="C40" s="108" t="inlineStr">
        <is>
          <t>IFE</t>
        </is>
      </c>
      <c r="D40" s="172" t="inlineStr">
        <is>
          <t>2026-10-06</t>
        </is>
      </c>
      <c r="E40" s="173" t="inlineStr">
        <is>
          <t>1148</t>
        </is>
      </c>
      <c r="F40" s="96" t="inlineStr">
        <is>
          <t>HASLS22260900835</t>
        </is>
      </c>
      <c r="G40" s="96" t="inlineStr">
        <is>
          <t>YAMATO UNYU (THAILAND) CO., LTD.</t>
        </is>
      </c>
      <c r="H40" s="111" t="inlineStr">
        <is>
          <t>22GP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HASLS22260900835</t>
        </is>
      </c>
      <c r="N40" s="96" t="inlineStr">
        <is>
          <t xml:space="preserve">20'x1 </t>
        </is>
      </c>
      <c r="O40" s="111" t="inlineStr">
        <is>
          <t>2015</t>
        </is>
      </c>
      <c r="P40" s="111" t="n"/>
      <c r="Q40" s="111" t="n"/>
      <c r="R40" s="96" t="inlineStr">
        <is>
          <t>DJCF</t>
        </is>
      </c>
      <c r="S40" s="96" t="inlineStr">
        <is>
          <t>0152N</t>
        </is>
      </c>
      <c r="T40" s="96" t="inlineStr">
        <is>
          <t>BKK02</t>
        </is>
      </c>
      <c r="U40" s="96" t="inlineStr">
        <is>
          <t>THBKK</t>
        </is>
      </c>
      <c r="V40" s="161" t="inlineStr">
        <is>
          <t>2026-10-11</t>
        </is>
      </c>
      <c r="W40" s="96" t="inlineStr">
        <is>
          <t>VNSGN</t>
        </is>
      </c>
      <c r="X40" s="161" t="inlineStr">
        <is>
          <t>2026-10-13</t>
        </is>
      </c>
      <c r="Y40" s="97" t="n"/>
      <c r="Z40" s="97" t="n"/>
      <c r="AA40" s="97" t="n"/>
      <c r="AB40" s="97" t="n"/>
      <c r="AC40" s="97" t="n"/>
      <c r="AD40" s="161" t="inlineStr">
        <is>
          <t>2026-10-06</t>
        </is>
      </c>
      <c r="AE40" s="174" t="inlineStr">
        <is>
          <t>1402</t>
        </is>
      </c>
      <c r="AF40" s="96" t="inlineStr">
        <is>
          <t>EDI2</t>
        </is>
      </c>
      <c r="AG40" s="97" t="n"/>
      <c r="AH40" s="97" t="n"/>
      <c r="AI40" s="97" t="inlineStr">
        <is>
          <t>VAVFCX</t>
        </is>
      </c>
      <c r="AJ40" s="96" t="inlineStr">
        <is>
          <t>YAMATO LOGISTICS VIETNAM CO.,LTD -</t>
        </is>
      </c>
      <c r="AK40" s="130" t="n"/>
    </row>
    <row r="41" ht="12" customHeight="1">
      <c r="A41" s="108" t="inlineStr">
        <is>
          <t>SKLU1597464</t>
        </is>
      </c>
      <c r="B41" s="108" t="inlineStr">
        <is>
          <t>BKK02</t>
        </is>
      </c>
      <c r="C41" s="108" t="inlineStr">
        <is>
          <t>IFE</t>
        </is>
      </c>
      <c r="D41" s="172" t="inlineStr">
        <is>
          <t>2026-10-08</t>
        </is>
      </c>
      <c r="E41" s="173" t="inlineStr">
        <is>
          <t>2107</t>
        </is>
      </c>
      <c r="F41" s="96" t="inlineStr">
        <is>
          <t>HASLS22260901191</t>
        </is>
      </c>
      <c r="G41" s="96" t="inlineStr">
        <is>
          <t>CELESTIAL XPRESS LOGISTICS (THAILAND) CO., LTD.</t>
        </is>
      </c>
      <c r="H41" s="111" t="inlineStr">
        <is>
          <t>22GP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HASLS22260901191</t>
        </is>
      </c>
      <c r="N41" s="96" t="inlineStr">
        <is>
          <t xml:space="preserve">20'x1 </t>
        </is>
      </c>
      <c r="O41" s="111" t="inlineStr">
        <is>
          <t>2015</t>
        </is>
      </c>
      <c r="P41" s="111" t="n"/>
      <c r="Q41" s="111" t="n"/>
      <c r="R41" s="96" t="inlineStr">
        <is>
          <t>DJCF</t>
        </is>
      </c>
      <c r="S41" s="96" t="inlineStr">
        <is>
          <t>0152N</t>
        </is>
      </c>
      <c r="T41" s="96" t="inlineStr">
        <is>
          <t>BKK02</t>
        </is>
      </c>
      <c r="U41" s="96" t="inlineStr">
        <is>
          <t>THBKK</t>
        </is>
      </c>
      <c r="V41" s="161" t="inlineStr">
        <is>
          <t>2026-10-11</t>
        </is>
      </c>
      <c r="W41" s="96" t="inlineStr">
        <is>
          <t>KRINC</t>
        </is>
      </c>
      <c r="X41" s="161" t="inlineStr">
        <is>
          <t>2026-10-19</t>
        </is>
      </c>
      <c r="Y41" s="97" t="n"/>
      <c r="Z41" s="97" t="n"/>
      <c r="AA41" s="97" t="n"/>
      <c r="AB41" s="97" t="n"/>
      <c r="AC41" s="97" t="n"/>
      <c r="AD41" s="161" t="inlineStr">
        <is>
          <t>2026-10-09</t>
        </is>
      </c>
      <c r="AE41" s="174" t="inlineStr">
        <is>
          <t>0000</t>
        </is>
      </c>
      <c r="AF41" s="96" t="inlineStr">
        <is>
          <t>EDI2</t>
        </is>
      </c>
      <c r="AG41" s="97" t="n"/>
      <c r="AH41" s="97" t="n"/>
      <c r="AI41" s="97" t="n"/>
      <c r="AJ41" s="96" t="inlineStr">
        <is>
          <t>BEL SHIPPING CO., LTD.</t>
        </is>
      </c>
      <c r="AK41" s="130" t="n"/>
    </row>
    <row r="42" ht="12" customHeight="1">
      <c r="A42" s="108" t="inlineStr">
        <is>
          <t>SKLU1622274</t>
        </is>
      </c>
      <c r="B42" s="108" t="inlineStr">
        <is>
          <t>BKK02</t>
        </is>
      </c>
      <c r="C42" s="108" t="inlineStr">
        <is>
          <t>IFE</t>
        </is>
      </c>
      <c r="D42" s="172" t="inlineStr">
        <is>
          <t>2026-10-10</t>
        </is>
      </c>
      <c r="E42" s="173" t="inlineStr">
        <is>
          <t>0137</t>
        </is>
      </c>
      <c r="F42" s="96" t="inlineStr">
        <is>
          <t>HASLS22260901078</t>
        </is>
      </c>
      <c r="G42" s="96" t="inlineStr">
        <is>
          <t>EAST-LINK CORPORATION CO., LTD.</t>
        </is>
      </c>
      <c r="H42" s="111" t="inlineStr">
        <is>
          <t>22GP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HASLS22260901078</t>
        </is>
      </c>
      <c r="N42" s="96" t="inlineStr">
        <is>
          <t xml:space="preserve">20'x1 </t>
        </is>
      </c>
      <c r="O42" s="111" t="inlineStr">
        <is>
          <t>2016</t>
        </is>
      </c>
      <c r="P42" s="111" t="n"/>
      <c r="Q42" s="111" t="n"/>
      <c r="R42" s="96" t="inlineStr">
        <is>
          <t>DJCF</t>
        </is>
      </c>
      <c r="S42" s="96" t="inlineStr">
        <is>
          <t>0152N</t>
        </is>
      </c>
      <c r="T42" s="96" t="inlineStr">
        <is>
          <t>BKK02</t>
        </is>
      </c>
      <c r="U42" s="96" t="inlineStr">
        <is>
          <t>THBKK</t>
        </is>
      </c>
      <c r="V42" s="161" t="inlineStr">
        <is>
          <t>2026-10-11</t>
        </is>
      </c>
      <c r="W42" s="96" t="inlineStr">
        <is>
          <t>VNSGN</t>
        </is>
      </c>
      <c r="X42" s="161" t="inlineStr">
        <is>
          <t>2026-10-13</t>
        </is>
      </c>
      <c r="Y42" s="97" t="n"/>
      <c r="Z42" s="97" t="n"/>
      <c r="AA42" s="97" t="n"/>
      <c r="AB42" s="97" t="n"/>
      <c r="AC42" s="97" t="n"/>
      <c r="AD42" s="161" t="inlineStr">
        <is>
          <t>2026-10-10</t>
        </is>
      </c>
      <c r="AE42" s="174" t="inlineStr">
        <is>
          <t>0401</t>
        </is>
      </c>
      <c r="AF42" s="96" t="inlineStr">
        <is>
          <t>EDI2</t>
        </is>
      </c>
      <c r="AG42" s="97" t="n"/>
      <c r="AH42" s="97" t="n"/>
      <c r="AI42" s="97" t="inlineStr">
        <is>
          <t>VAVDKH</t>
        </is>
      </c>
      <c r="AJ42" s="96" t="inlineStr">
        <is>
          <t>BEE LOGISTICS CORP - HANOI BRANCH</t>
        </is>
      </c>
      <c r="AK42" s="130" t="n"/>
    </row>
    <row r="43" ht="12" customHeight="1">
      <c r="A43" s="108" t="inlineStr">
        <is>
          <t>SKLU1807160</t>
        </is>
      </c>
      <c r="B43" s="108" t="inlineStr">
        <is>
          <t>BKK02</t>
        </is>
      </c>
      <c r="C43" s="108" t="inlineStr">
        <is>
          <t>IFW</t>
        </is>
      </c>
      <c r="D43" s="172" t="inlineStr">
        <is>
          <t>2026-10-10</t>
        </is>
      </c>
      <c r="E43" s="173" t="inlineStr">
        <is>
          <t>1118</t>
        </is>
      </c>
      <c r="F43" s="96" t="inlineStr">
        <is>
          <t>HASLS22261000118</t>
        </is>
      </c>
      <c r="G43" s="96" t="inlineStr">
        <is>
          <t>MASS PORT LOGISTICS CO., LTD.</t>
        </is>
      </c>
      <c r="H43" s="111" t="inlineStr">
        <is>
          <t>22GP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HASLS22261000118</t>
        </is>
      </c>
      <c r="N43" s="96" t="inlineStr">
        <is>
          <t xml:space="preserve">20'x1 </t>
        </is>
      </c>
      <c r="O43" s="111" t="inlineStr">
        <is>
          <t>2018</t>
        </is>
      </c>
      <c r="P43" s="111" t="n"/>
      <c r="Q43" s="111" t="n"/>
      <c r="R43" s="96" t="n"/>
      <c r="S43" s="96" t="n"/>
      <c r="T43" s="96" t="inlineStr">
        <is>
          <t>BKK02</t>
        </is>
      </c>
      <c r="U43" s="96" t="inlineStr">
        <is>
          <t>THBKK</t>
        </is>
      </c>
      <c r="V43" s="161" t="inlineStr">
        <is>
          <t>2026-10-11</t>
        </is>
      </c>
      <c r="W43" s="96" t="inlineStr">
        <is>
          <t>VNSGN</t>
        </is>
      </c>
      <c r="X43" s="161" t="inlineStr">
        <is>
          <t>2026-10-13</t>
        </is>
      </c>
      <c r="Y43" s="97" t="n"/>
      <c r="Z43" s="97" t="n"/>
      <c r="AA43" s="97" t="n"/>
      <c r="AB43" s="97" t="n"/>
      <c r="AC43" s="97" t="n"/>
      <c r="AD43" s="161" t="inlineStr">
        <is>
          <t>2026-10-10</t>
        </is>
      </c>
      <c r="AE43" s="174" t="inlineStr">
        <is>
          <t>1400</t>
        </is>
      </c>
      <c r="AF43" s="96" t="inlineStr">
        <is>
          <t>EDI2</t>
        </is>
      </c>
      <c r="AG43" s="97" t="n"/>
      <c r="AH43" s="97" t="n"/>
      <c r="AI43" s="97" t="inlineStr">
        <is>
          <t>VAVJYB</t>
        </is>
      </c>
      <c r="AJ43" s="96" t="inlineStr">
        <is>
          <t>VINA KYOEI STEEL COMPANY LTD.</t>
        </is>
      </c>
      <c r="AK43" s="130" t="n"/>
    </row>
    <row r="44" ht="12" customHeight="1">
      <c r="A44" s="108" t="inlineStr">
        <is>
          <t>SKLU2073311</t>
        </is>
      </c>
      <c r="B44" s="108" t="inlineStr">
        <is>
          <t>BKK02</t>
        </is>
      </c>
      <c r="C44" s="108" t="inlineStr">
        <is>
          <t>IFW</t>
        </is>
      </c>
      <c r="D44" s="172" t="inlineStr">
        <is>
          <t>2026-10-09</t>
        </is>
      </c>
      <c r="E44" s="173" t="inlineStr">
        <is>
          <t>1629</t>
        </is>
      </c>
      <c r="F44" s="96" t="inlineStr">
        <is>
          <t>HASLS22260900303</t>
        </is>
      </c>
      <c r="G44" s="96" t="inlineStr">
        <is>
          <t>CELESTIAL XPRESS LOGISTICS (THAILAND) CO., LTD.</t>
        </is>
      </c>
      <c r="H44" s="111" t="inlineStr">
        <is>
          <t>22GP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HASLS22260900303</t>
        </is>
      </c>
      <c r="N44" s="96" t="inlineStr">
        <is>
          <t xml:space="preserve">20'x1 </t>
        </is>
      </c>
      <c r="O44" s="111" t="inlineStr">
        <is>
          <t>2019</t>
        </is>
      </c>
      <c r="P44" s="111" t="n"/>
      <c r="Q44" s="111" t="n"/>
      <c r="R44" s="96" t="n"/>
      <c r="S44" s="96" t="n"/>
      <c r="T44" s="96" t="inlineStr">
        <is>
          <t>BKK02</t>
        </is>
      </c>
      <c r="U44" s="96" t="inlineStr">
        <is>
          <t>THBKK</t>
        </is>
      </c>
      <c r="V44" s="161" t="inlineStr">
        <is>
          <t>2026-10-11</t>
        </is>
      </c>
      <c r="W44" s="96" t="inlineStr">
        <is>
          <t>KRINC</t>
        </is>
      </c>
      <c r="X44" s="161" t="inlineStr">
        <is>
          <t>2026-10-19</t>
        </is>
      </c>
      <c r="Y44" s="97" t="n"/>
      <c r="Z44" s="97" t="n"/>
      <c r="AA44" s="97" t="n"/>
      <c r="AB44" s="97" t="n"/>
      <c r="AC44" s="97" t="n"/>
      <c r="AD44" s="161" t="inlineStr">
        <is>
          <t>2026-10-09</t>
        </is>
      </c>
      <c r="AE44" s="174" t="inlineStr">
        <is>
          <t>1901</t>
        </is>
      </c>
      <c r="AF44" s="96" t="inlineStr">
        <is>
          <t>EDI2</t>
        </is>
      </c>
      <c r="AG44" s="97" t="n"/>
      <c r="AH44" s="97" t="n"/>
      <c r="AI44" s="97" t="n"/>
      <c r="AJ44" s="96" t="inlineStr">
        <is>
          <t>BEL SHIPPING CO., LTD.</t>
        </is>
      </c>
      <c r="AK44" s="130" t="n"/>
    </row>
    <row r="45" ht="12" customHeight="1">
      <c r="A45" s="108" t="inlineStr">
        <is>
          <t>SKLU2303862</t>
        </is>
      </c>
      <c r="B45" s="108" t="inlineStr">
        <is>
          <t>BKK02</t>
        </is>
      </c>
      <c r="C45" s="108" t="inlineStr">
        <is>
          <t>IFE</t>
        </is>
      </c>
      <c r="D45" s="172" t="inlineStr">
        <is>
          <t>2026-10-09</t>
        </is>
      </c>
      <c r="E45" s="173" t="inlineStr">
        <is>
          <t>2319</t>
        </is>
      </c>
      <c r="F45" s="96" t="inlineStr">
        <is>
          <t>HASLS22260901354</t>
        </is>
      </c>
      <c r="G45" s="96" t="inlineStr">
        <is>
          <t>KORCHINA FREIGHT (THAILAND) CO., LTD.</t>
        </is>
      </c>
      <c r="H45" s="111" t="inlineStr">
        <is>
          <t>22GP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HASLS22260901354</t>
        </is>
      </c>
      <c r="N45" s="96" t="inlineStr">
        <is>
          <t xml:space="preserve">20'x1 </t>
        </is>
      </c>
      <c r="O45" s="111" t="inlineStr">
        <is>
          <t>2023</t>
        </is>
      </c>
      <c r="P45" s="111" t="n"/>
      <c r="Q45" s="111" t="n"/>
      <c r="R45" s="96" t="inlineStr">
        <is>
          <t>DJCF</t>
        </is>
      </c>
      <c r="S45" s="96" t="inlineStr">
        <is>
          <t>0152N</t>
        </is>
      </c>
      <c r="T45" s="96" t="inlineStr">
        <is>
          <t>BKK02</t>
        </is>
      </c>
      <c r="U45" s="96" t="inlineStr">
        <is>
          <t>THBKK</t>
        </is>
      </c>
      <c r="V45" s="161" t="inlineStr">
        <is>
          <t>2026-10-11</t>
        </is>
      </c>
      <c r="W45" s="96" t="inlineStr">
        <is>
          <t>KRINC</t>
        </is>
      </c>
      <c r="X45" s="161" t="inlineStr">
        <is>
          <t>2026-10-19</t>
        </is>
      </c>
      <c r="Y45" s="97" t="n"/>
      <c r="Z45" s="97" t="n"/>
      <c r="AA45" s="97" t="n"/>
      <c r="AB45" s="97" t="n"/>
      <c r="AC45" s="97" t="n"/>
      <c r="AD45" s="161" t="inlineStr">
        <is>
          <t>2026-10-10</t>
        </is>
      </c>
      <c r="AE45" s="174" t="inlineStr">
        <is>
          <t>0201</t>
        </is>
      </c>
      <c r="AF45" s="96" t="inlineStr">
        <is>
          <t>EDI2</t>
        </is>
      </c>
      <c r="AG45" s="97" t="n"/>
      <c r="AH45" s="97" t="n"/>
      <c r="AI45" s="97" t="n"/>
      <c r="AJ45" s="96" t="inlineStr">
        <is>
          <t>PARKS WAY CO.,LTD.</t>
        </is>
      </c>
      <c r="AK45" s="130" t="n"/>
    </row>
    <row r="46" ht="12" customHeight="1">
      <c r="A46" s="108" t="inlineStr">
        <is>
          <t>SKLU2416534</t>
        </is>
      </c>
      <c r="B46" s="108" t="inlineStr">
        <is>
          <t>BKK02</t>
        </is>
      </c>
      <c r="C46" s="108" t="inlineStr">
        <is>
          <t>IFW</t>
        </is>
      </c>
      <c r="D46" s="172" t="inlineStr">
        <is>
          <t>2026-10-08</t>
        </is>
      </c>
      <c r="E46" s="173" t="inlineStr">
        <is>
          <t>1441</t>
        </is>
      </c>
      <c r="F46" s="96" t="inlineStr">
        <is>
          <t>HASLS22261000264</t>
        </is>
      </c>
      <c r="G46" s="96" t="inlineStr">
        <is>
          <t>C.H. ROBINSON FREIGHT SERVICES (THAILAND) LIMITED</t>
        </is>
      </c>
      <c r="H46" s="111" t="inlineStr">
        <is>
          <t>22GP</t>
        </is>
      </c>
      <c r="I46" s="96" t="inlineStr">
        <is>
          <t>EMAIL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HASLS22261000264</t>
        </is>
      </c>
      <c r="N46" s="96" t="inlineStr">
        <is>
          <t xml:space="preserve">20'x1 </t>
        </is>
      </c>
      <c r="O46" s="111" t="inlineStr">
        <is>
          <t>2024</t>
        </is>
      </c>
      <c r="P46" s="111" t="n"/>
      <c r="Q46" s="111" t="n"/>
      <c r="R46" s="96" t="n"/>
      <c r="S46" s="96" t="n"/>
      <c r="T46" s="96" t="inlineStr">
        <is>
          <t>BKK02</t>
        </is>
      </c>
      <c r="U46" s="96" t="inlineStr">
        <is>
          <t>THBKK</t>
        </is>
      </c>
      <c r="V46" s="161" t="inlineStr">
        <is>
          <t>2026-10-11</t>
        </is>
      </c>
      <c r="W46" s="96" t="inlineStr">
        <is>
          <t>KRINC</t>
        </is>
      </c>
      <c r="X46" s="161" t="inlineStr">
        <is>
          <t>2026-10-19</t>
        </is>
      </c>
      <c r="Y46" s="97" t="n"/>
      <c r="Z46" s="97" t="n"/>
      <c r="AA46" s="97" t="n"/>
      <c r="AB46" s="97" t="n"/>
      <c r="AC46" s="97" t="n"/>
      <c r="AD46" s="161" t="inlineStr">
        <is>
          <t>2026-10-08</t>
        </is>
      </c>
      <c r="AE46" s="174" t="inlineStr">
        <is>
          <t>1701</t>
        </is>
      </c>
      <c r="AF46" s="96" t="inlineStr">
        <is>
          <t>EDI2</t>
        </is>
      </c>
      <c r="AG46" s="97" t="n"/>
      <c r="AH46" s="97" t="n"/>
      <c r="AI46" s="97" t="n"/>
      <c r="AJ46" s="96" t="inlineStr">
        <is>
          <t>C.H. ROBINSON FREIGHT</t>
        </is>
      </c>
      <c r="AK46" s="130" t="n"/>
    </row>
    <row r="47" ht="12" customHeight="1">
      <c r="A47" s="108" t="inlineStr">
        <is>
          <t>SKLU2475901</t>
        </is>
      </c>
      <c r="B47" s="108" t="inlineStr">
        <is>
          <t>BKK02</t>
        </is>
      </c>
      <c r="C47" s="108" t="inlineStr">
        <is>
          <t>IFW</t>
        </is>
      </c>
      <c r="D47" s="172" t="inlineStr">
        <is>
          <t>2026-10-09</t>
        </is>
      </c>
      <c r="E47" s="173" t="inlineStr">
        <is>
          <t>1841</t>
        </is>
      </c>
      <c r="F47" s="96" t="inlineStr">
        <is>
          <t>HASLS22261000141</t>
        </is>
      </c>
      <c r="G47" s="96" t="inlineStr">
        <is>
          <t>CELESTIAL XPRESS LOGISTICS (THAILAND) CO., LTD.</t>
        </is>
      </c>
      <c r="H47" s="111" t="inlineStr">
        <is>
          <t>22GP</t>
        </is>
      </c>
      <c r="I47" s="96" t="inlineStr">
        <is>
          <t>EMAIL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HASLS22261000141</t>
        </is>
      </c>
      <c r="N47" s="96" t="inlineStr">
        <is>
          <t xml:space="preserve">20'x1 </t>
        </is>
      </c>
      <c r="O47" s="111" t="inlineStr">
        <is>
          <t>2024</t>
        </is>
      </c>
      <c r="P47" s="111" t="n"/>
      <c r="Q47" s="111" t="n"/>
      <c r="R47" s="96" t="n"/>
      <c r="S47" s="96" t="n"/>
      <c r="T47" s="96" t="inlineStr">
        <is>
          <t>BKK02</t>
        </is>
      </c>
      <c r="U47" s="96" t="inlineStr">
        <is>
          <t>THBKK</t>
        </is>
      </c>
      <c r="V47" s="161" t="inlineStr">
        <is>
          <t>2026-10-11</t>
        </is>
      </c>
      <c r="W47" s="96" t="inlineStr">
        <is>
          <t>KRINC</t>
        </is>
      </c>
      <c r="X47" s="161" t="inlineStr">
        <is>
          <t>2026-10-19</t>
        </is>
      </c>
      <c r="Y47" s="97" t="n"/>
      <c r="Z47" s="97" t="n"/>
      <c r="AA47" s="97" t="n"/>
      <c r="AB47" s="97" t="n"/>
      <c r="AC47" s="97" t="n"/>
      <c r="AD47" s="161" t="inlineStr">
        <is>
          <t>2026-10-09</t>
        </is>
      </c>
      <c r="AE47" s="174" t="inlineStr">
        <is>
          <t>2101</t>
        </is>
      </c>
      <c r="AF47" s="96" t="inlineStr">
        <is>
          <t>EDI2</t>
        </is>
      </c>
      <c r="AG47" s="97" t="n"/>
      <c r="AH47" s="97" t="n"/>
      <c r="AI47" s="97" t="n"/>
      <c r="AJ47" s="96" t="inlineStr">
        <is>
          <t>BEL SHIPPING CO., LTD.</t>
        </is>
      </c>
      <c r="AK47" s="130" t="n"/>
    </row>
    <row r="48" ht="12" customHeight="1">
      <c r="A48" s="108" t="inlineStr">
        <is>
          <t>SKRU9602893</t>
        </is>
      </c>
      <c r="B48" s="108" t="inlineStr">
        <is>
          <t>BKK02</t>
        </is>
      </c>
      <c r="C48" s="108" t="inlineStr">
        <is>
          <t>IFE</t>
        </is>
      </c>
      <c r="D48" s="172" t="inlineStr">
        <is>
          <t>2026-10-09</t>
        </is>
      </c>
      <c r="E48" s="173" t="inlineStr">
        <is>
          <t>2213</t>
        </is>
      </c>
      <c r="F48" s="96" t="inlineStr">
        <is>
          <t>HASLS22260901381</t>
        </is>
      </c>
      <c r="G48" s="96" t="inlineStr">
        <is>
          <t>FIBS LOGISTICS CO., LTD.</t>
        </is>
      </c>
      <c r="H48" s="111" t="inlineStr">
        <is>
          <t>45RE</t>
        </is>
      </c>
      <c r="I48" s="96" t="inlineStr">
        <is>
          <t>EMAIL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HASLS22260901381</t>
        </is>
      </c>
      <c r="N48" s="96" t="inlineStr">
        <is>
          <t xml:space="preserve">R40Hx1 </t>
        </is>
      </c>
      <c r="O48" s="111" t="inlineStr">
        <is>
          <t>2016</t>
        </is>
      </c>
      <c r="P48" s="111" t="inlineStr">
        <is>
          <t>CARRIER</t>
        </is>
      </c>
      <c r="Q48" s="111" t="inlineStr">
        <is>
          <t>PRIME LINE</t>
        </is>
      </c>
      <c r="R48" s="96" t="inlineStr">
        <is>
          <t>DJCF</t>
        </is>
      </c>
      <c r="S48" s="96" t="inlineStr">
        <is>
          <t>0152N</t>
        </is>
      </c>
      <c r="T48" s="96" t="inlineStr">
        <is>
          <t>BKK02</t>
        </is>
      </c>
      <c r="U48" s="96" t="inlineStr">
        <is>
          <t>THBKK</t>
        </is>
      </c>
      <c r="V48" s="161" t="inlineStr">
        <is>
          <t>2026-10-11</t>
        </is>
      </c>
      <c r="W48" s="96" t="inlineStr">
        <is>
          <t>VNSGN</t>
        </is>
      </c>
      <c r="X48" s="161" t="inlineStr">
        <is>
          <t>2026-10-13</t>
        </is>
      </c>
      <c r="Y48" s="97" t="n"/>
      <c r="Z48" s="97" t="n"/>
      <c r="AA48" s="97" t="n"/>
      <c r="AB48" s="97" t="n"/>
      <c r="AC48" s="97" t="n"/>
      <c r="AD48" s="161" t="inlineStr">
        <is>
          <t>2026-10-10</t>
        </is>
      </c>
      <c r="AE48" s="174" t="inlineStr">
        <is>
          <t>0102</t>
        </is>
      </c>
      <c r="AF48" s="96" t="inlineStr">
        <is>
          <t>EDI2</t>
        </is>
      </c>
      <c r="AG48" s="97" t="n"/>
      <c r="AH48" s="97" t="n"/>
      <c r="AI48" s="97" t="inlineStr">
        <is>
          <t>VAVGV1</t>
        </is>
      </c>
      <c r="AJ48" s="96" t="inlineStr">
        <is>
          <t>CARRY ALL LOGISTICS VIETNAM</t>
        </is>
      </c>
      <c r="AK48" s="130" t="n"/>
    </row>
    <row r="49" ht="12" customHeight="1">
      <c r="A49" s="108" t="inlineStr">
        <is>
          <t>TCKU2824258</t>
        </is>
      </c>
      <c r="B49" s="108" t="inlineStr">
        <is>
          <t>BKK02</t>
        </is>
      </c>
      <c r="C49" s="108" t="inlineStr">
        <is>
          <t>IFE</t>
        </is>
      </c>
      <c r="D49" s="172" t="inlineStr">
        <is>
          <t>2026-10-01</t>
        </is>
      </c>
      <c r="E49" s="173" t="inlineStr">
        <is>
          <t>1346</t>
        </is>
      </c>
      <c r="F49" s="96" t="inlineStr">
        <is>
          <t>HASLS22260801939</t>
        </is>
      </c>
      <c r="G49" s="96" t="inlineStr">
        <is>
          <t>QUANTERM LOGISTICS (THAILAND) CO., LTD.</t>
        </is>
      </c>
      <c r="H49" s="111" t="inlineStr">
        <is>
          <t>22GP</t>
        </is>
      </c>
      <c r="I49" s="96" t="inlineStr">
        <is>
          <t>EMAIL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HASLS22260801939</t>
        </is>
      </c>
      <c r="N49" s="96" t="inlineStr">
        <is>
          <t xml:space="preserve">20'x2 </t>
        </is>
      </c>
      <c r="O49" s="111" t="inlineStr">
        <is>
          <t>2007</t>
        </is>
      </c>
      <c r="P49" s="111" t="n"/>
      <c r="Q49" s="111" t="n"/>
      <c r="R49" s="96" t="inlineStr">
        <is>
          <t>DJCF</t>
        </is>
      </c>
      <c r="S49" s="96" t="inlineStr">
        <is>
          <t>0152N</t>
        </is>
      </c>
      <c r="T49" s="96" t="inlineStr">
        <is>
          <t>BKK02</t>
        </is>
      </c>
      <c r="U49" s="96" t="inlineStr">
        <is>
          <t>THBKK</t>
        </is>
      </c>
      <c r="V49" s="161" t="inlineStr">
        <is>
          <t>2026-10-11</t>
        </is>
      </c>
      <c r="W49" s="96" t="inlineStr">
        <is>
          <t>VNSGN</t>
        </is>
      </c>
      <c r="X49" s="161" t="inlineStr">
        <is>
          <t>2026-10-13</t>
        </is>
      </c>
      <c r="Y49" s="97" t="n"/>
      <c r="Z49" s="97" t="n"/>
      <c r="AA49" s="97" t="n"/>
      <c r="AB49" s="97" t="n"/>
      <c r="AC49" s="97" t="n"/>
      <c r="AD49" s="161" t="inlineStr">
        <is>
          <t>2026-10-01</t>
        </is>
      </c>
      <c r="AE49" s="174" t="inlineStr">
        <is>
          <t>1600</t>
        </is>
      </c>
      <c r="AF49" s="96" t="inlineStr">
        <is>
          <t>EDI2</t>
        </is>
      </c>
      <c r="AG49" s="97" t="n"/>
      <c r="AH49" s="97" t="n"/>
      <c r="AI49" s="97" t="inlineStr">
        <is>
          <t>VAVC84</t>
        </is>
      </c>
      <c r="AJ49" s="96" t="inlineStr">
        <is>
          <t>QUANTERM LOGISTICS VIETNAM CO.,LTD</t>
        </is>
      </c>
      <c r="AK49" s="130" t="n"/>
    </row>
    <row r="50" ht="12" customHeight="1">
      <c r="A50" s="108" t="inlineStr">
        <is>
          <t>TGCU2400350</t>
        </is>
      </c>
      <c r="B50" s="108" t="inlineStr">
        <is>
          <t>BKK02</t>
        </is>
      </c>
      <c r="C50" s="108" t="inlineStr">
        <is>
          <t>IFE</t>
        </is>
      </c>
      <c r="D50" s="172" t="inlineStr">
        <is>
          <t>2026-10-09</t>
        </is>
      </c>
      <c r="E50" s="173" t="inlineStr">
        <is>
          <t>1127</t>
        </is>
      </c>
      <c r="F50" s="96" t="inlineStr">
        <is>
          <t>HASLS22261000097</t>
        </is>
      </c>
      <c r="G50" s="96" t="inlineStr">
        <is>
          <t>RTN LOGISTICS CO., LTD.</t>
        </is>
      </c>
      <c r="H50" s="111" t="inlineStr">
        <is>
          <t>22GP</t>
        </is>
      </c>
      <c r="I50" s="96" t="inlineStr">
        <is>
          <t>EMAIL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HASLS22261000097</t>
        </is>
      </c>
      <c r="N50" s="96" t="inlineStr">
        <is>
          <t xml:space="preserve">20'x1 </t>
        </is>
      </c>
      <c r="O50" s="111" t="inlineStr">
        <is>
          <t>2023</t>
        </is>
      </c>
      <c r="P50" s="111" t="n"/>
      <c r="Q50" s="111" t="n"/>
      <c r="R50" s="96" t="inlineStr">
        <is>
          <t>DJCF</t>
        </is>
      </c>
      <c r="S50" s="96" t="inlineStr">
        <is>
          <t>0152N</t>
        </is>
      </c>
      <c r="T50" s="96" t="inlineStr">
        <is>
          <t>BKK02</t>
        </is>
      </c>
      <c r="U50" s="96" t="inlineStr">
        <is>
          <t>THBKK</t>
        </is>
      </c>
      <c r="V50" s="161" t="inlineStr">
        <is>
          <t>2026-10-11</t>
        </is>
      </c>
      <c r="W50" s="96" t="inlineStr">
        <is>
          <t>VNSGN</t>
        </is>
      </c>
      <c r="X50" s="161" t="inlineStr">
        <is>
          <t>2026-10-13</t>
        </is>
      </c>
      <c r="Y50" s="97" t="n"/>
      <c r="Z50" s="97" t="n"/>
      <c r="AA50" s="97" t="n"/>
      <c r="AB50" s="97" t="n"/>
      <c r="AC50" s="97" t="n"/>
      <c r="AD50" s="161" t="inlineStr">
        <is>
          <t>2026-10-09</t>
        </is>
      </c>
      <c r="AE50" s="174" t="inlineStr">
        <is>
          <t>1401</t>
        </is>
      </c>
      <c r="AF50" s="96" t="inlineStr">
        <is>
          <t>EDI2</t>
        </is>
      </c>
      <c r="AG50" s="97" t="n"/>
      <c r="AH50" s="97" t="n"/>
      <c r="AI50" s="97" t="inlineStr">
        <is>
          <t>VAVRCB</t>
        </is>
      </c>
      <c r="AJ50" s="96" t="inlineStr">
        <is>
          <t>BRANCH OF CHIA TAI (VIET NAM)</t>
        </is>
      </c>
      <c r="AK50" s="130" t="n"/>
    </row>
    <row r="51" ht="12" customHeight="1">
      <c r="A51" s="108" t="inlineStr">
        <is>
          <t>TGCU2422616</t>
        </is>
      </c>
      <c r="B51" s="108" t="inlineStr">
        <is>
          <t>BKK02</t>
        </is>
      </c>
      <c r="C51" s="108" t="inlineStr">
        <is>
          <t>IFE</t>
        </is>
      </c>
      <c r="D51" s="172" t="inlineStr">
        <is>
          <t>2026-10-09</t>
        </is>
      </c>
      <c r="E51" s="173" t="inlineStr">
        <is>
          <t>1526</t>
        </is>
      </c>
      <c r="F51" s="96" t="inlineStr">
        <is>
          <t>HASLS22261000287</t>
        </is>
      </c>
      <c r="G51" s="96" t="inlineStr">
        <is>
          <t>H &amp; FRIENDS GTL (THAILAND) CO., LTD.</t>
        </is>
      </c>
      <c r="H51" s="111" t="inlineStr">
        <is>
          <t>22GP</t>
        </is>
      </c>
      <c r="I51" s="96" t="inlineStr">
        <is>
          <t>EMAIL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HASLS22261000287</t>
        </is>
      </c>
      <c r="N51" s="96" t="inlineStr">
        <is>
          <t xml:space="preserve">20'x1 </t>
        </is>
      </c>
      <c r="O51" s="111" t="inlineStr">
        <is>
          <t>2023</t>
        </is>
      </c>
      <c r="P51" s="111" t="n"/>
      <c r="Q51" s="111" t="n"/>
      <c r="R51" s="96" t="inlineStr">
        <is>
          <t>DJCF</t>
        </is>
      </c>
      <c r="S51" s="96" t="inlineStr">
        <is>
          <t>0152N</t>
        </is>
      </c>
      <c r="T51" s="96" t="inlineStr">
        <is>
          <t>BKK02</t>
        </is>
      </c>
      <c r="U51" s="96" t="inlineStr">
        <is>
          <t>THBKK</t>
        </is>
      </c>
      <c r="V51" s="161" t="inlineStr">
        <is>
          <t>2026-10-11</t>
        </is>
      </c>
      <c r="W51" s="96" t="inlineStr">
        <is>
          <t>VNSGN</t>
        </is>
      </c>
      <c r="X51" s="161" t="inlineStr">
        <is>
          <t>2026-10-13</t>
        </is>
      </c>
      <c r="Y51" s="97" t="n"/>
      <c r="Z51" s="97" t="n"/>
      <c r="AA51" s="97" t="n"/>
      <c r="AB51" s="97" t="n"/>
      <c r="AC51" s="97" t="n"/>
      <c r="AD51" s="161" t="inlineStr">
        <is>
          <t>2026-10-09</t>
        </is>
      </c>
      <c r="AE51" s="174" t="inlineStr">
        <is>
          <t>1825</t>
        </is>
      </c>
      <c r="AF51" s="96" t="inlineStr">
        <is>
          <t>EDI2</t>
        </is>
      </c>
      <c r="AG51" s="97" t="n"/>
      <c r="AH51" s="97" t="n"/>
      <c r="AI51" s="97" t="inlineStr">
        <is>
          <t>VAVC86</t>
        </is>
      </c>
      <c r="AJ51" s="96" t="inlineStr">
        <is>
          <t>TAX CODE 0310195581#</t>
        </is>
      </c>
      <c r="AK51" s="130" t="n"/>
    </row>
    <row r="52" ht="12" customHeight="1">
      <c r="A52" s="108" t="inlineStr">
        <is>
          <t>TGCU2423130</t>
        </is>
      </c>
      <c r="B52" s="108" t="inlineStr">
        <is>
          <t>BKK02</t>
        </is>
      </c>
      <c r="C52" s="108" t="inlineStr">
        <is>
          <t>IFE</t>
        </is>
      </c>
      <c r="D52" s="172" t="inlineStr">
        <is>
          <t>2026-10-07</t>
        </is>
      </c>
      <c r="E52" s="173" t="inlineStr">
        <is>
          <t>2131</t>
        </is>
      </c>
      <c r="F52" s="96" t="inlineStr">
        <is>
          <t>HASLS22260801972</t>
        </is>
      </c>
      <c r="G52" s="96" t="inlineStr">
        <is>
          <t>ECO LOGISTICS (THAILAND) CO., LTD.</t>
        </is>
      </c>
      <c r="H52" s="111" t="inlineStr">
        <is>
          <t>22GP</t>
        </is>
      </c>
      <c r="I52" s="96" t="inlineStr">
        <is>
          <t>EMAIL</t>
        </is>
      </c>
      <c r="J52" s="96" t="inlineStr">
        <is>
          <t>EDI2</t>
        </is>
      </c>
      <c r="K52" s="96" t="n"/>
      <c r="L52" s="111" t="inlineStr">
        <is>
          <t>Full</t>
        </is>
      </c>
      <c r="M52" s="96" t="inlineStr">
        <is>
          <t>HASLS22260801972</t>
        </is>
      </c>
      <c r="N52" s="96" t="inlineStr">
        <is>
          <t xml:space="preserve">20'x1 </t>
        </is>
      </c>
      <c r="O52" s="111" t="inlineStr">
        <is>
          <t>2023</t>
        </is>
      </c>
      <c r="P52" s="111" t="n"/>
      <c r="Q52" s="111" t="n"/>
      <c r="R52" s="96" t="inlineStr">
        <is>
          <t>DJCF</t>
        </is>
      </c>
      <c r="S52" s="96" t="inlineStr">
        <is>
          <t>0152N</t>
        </is>
      </c>
      <c r="T52" s="96" t="inlineStr">
        <is>
          <t>BKK02</t>
        </is>
      </c>
      <c r="U52" s="96" t="inlineStr">
        <is>
          <t>THBKK</t>
        </is>
      </c>
      <c r="V52" s="161" t="inlineStr">
        <is>
          <t>2026-10-11</t>
        </is>
      </c>
      <c r="W52" s="96" t="inlineStr">
        <is>
          <t>KRINC</t>
        </is>
      </c>
      <c r="X52" s="161" t="inlineStr">
        <is>
          <t>2026-10-19</t>
        </is>
      </c>
      <c r="Y52" s="97" t="n"/>
      <c r="Z52" s="97" t="n"/>
      <c r="AA52" s="97" t="n"/>
      <c r="AB52" s="97" t="n"/>
      <c r="AC52" s="97" t="n"/>
      <c r="AD52" s="161" t="inlineStr">
        <is>
          <t>2026-10-08</t>
        </is>
      </c>
      <c r="AE52" s="174" t="inlineStr">
        <is>
          <t>0000</t>
        </is>
      </c>
      <c r="AF52" s="96" t="inlineStr">
        <is>
          <t>EDI2</t>
        </is>
      </c>
      <c r="AG52" s="97" t="n"/>
      <c r="AH52" s="97" t="n"/>
      <c r="AI52" s="97" t="n"/>
      <c r="AJ52" s="96" t="inlineStr">
        <is>
          <t>ST SHIPPING CO.,LTD.</t>
        </is>
      </c>
      <c r="AK52" s="130" t="n"/>
    </row>
    <row r="53" ht="12" customHeight="1">
      <c r="A53" s="108" t="inlineStr">
        <is>
          <t>FBIU5086896</t>
        </is>
      </c>
      <c r="B53" s="108" t="n"/>
      <c r="C53" s="108" t="n"/>
      <c r="D53" s="172" t="n"/>
      <c r="E53" s="173" t="n"/>
      <c r="F53" s="96" t="n"/>
      <c r="G53" s="96" t="n"/>
      <c r="H53" s="111" t="n"/>
      <c r="I53" s="96" t="n"/>
      <c r="J53" s="96" t="n"/>
      <c r="K53" s="96" t="n"/>
      <c r="L53" s="111" t="n"/>
      <c r="M53" s="96" t="n"/>
      <c r="N53" s="96" t="n"/>
      <c r="O53" s="111" t="n"/>
      <c r="P53" s="111" t="n"/>
      <c r="Q53" s="111" t="n"/>
      <c r="R53" s="96" t="n"/>
      <c r="S53" s="96" t="n"/>
      <c r="T53" s="96" t="n"/>
      <c r="U53" s="96" t="n"/>
      <c r="V53" s="161" t="n"/>
      <c r="W53" s="96" t="n"/>
      <c r="X53" s="161" t="n"/>
      <c r="Y53" s="97" t="n"/>
      <c r="Z53" s="97" t="n"/>
      <c r="AA53" s="97" t="n"/>
      <c r="AB53" s="97" t="n"/>
      <c r="AC53" s="97" t="n"/>
      <c r="AD53" s="161" t="n"/>
      <c r="AE53" s="174" t="n"/>
      <c r="AF53" s="96" t="n"/>
      <c r="AG53" s="97" t="n"/>
      <c r="AH53" s="97" t="n"/>
      <c r="AI53" s="97" t="n"/>
      <c r="AJ53" s="96" t="n"/>
      <c r="AK53" s="130" t="n"/>
    </row>
    <row r="54" ht="12" customHeight="1">
      <c r="A54" s="108" t="inlineStr">
        <is>
          <t>FBIU5089690</t>
        </is>
      </c>
      <c r="B54" s="108" t="n"/>
      <c r="C54" s="108" t="n"/>
      <c r="D54" s="172" t="n"/>
      <c r="E54" s="173" t="n"/>
      <c r="F54" s="96" t="n"/>
      <c r="G54" s="96" t="n"/>
      <c r="H54" s="111" t="n"/>
      <c r="I54" s="96" t="n"/>
      <c r="J54" s="96" t="n"/>
      <c r="K54" s="96" t="n"/>
      <c r="L54" s="111" t="n"/>
      <c r="M54" s="96" t="n"/>
      <c r="N54" s="96" t="n"/>
      <c r="O54" s="111" t="n"/>
      <c r="P54" s="111" t="n"/>
      <c r="Q54" s="111" t="n"/>
      <c r="R54" s="96" t="n"/>
      <c r="S54" s="96" t="n"/>
      <c r="T54" s="96" t="n"/>
      <c r="U54" s="96" t="n"/>
      <c r="V54" s="161" t="n"/>
      <c r="W54" s="96" t="n"/>
      <c r="X54" s="161" t="n"/>
      <c r="Y54" s="97" t="n"/>
      <c r="Z54" s="97" t="n"/>
      <c r="AA54" s="97" t="n"/>
      <c r="AB54" s="97" t="n"/>
      <c r="AC54" s="97" t="n"/>
      <c r="AD54" s="161" t="n"/>
      <c r="AE54" s="174" t="n"/>
      <c r="AF54" s="96" t="n"/>
      <c r="AG54" s="97" t="n"/>
      <c r="AH54" s="97" t="n"/>
      <c r="AI54" s="97" t="n"/>
      <c r="AJ54" s="96" t="n"/>
      <c r="AK54" s="130" t="n"/>
    </row>
    <row r="55" ht="12" customHeight="1">
      <c r="A55" s="108" t="inlineStr">
        <is>
          <t>FSCU5888803</t>
        </is>
      </c>
      <c r="B55" s="108" t="n"/>
      <c r="C55" s="108" t="n"/>
      <c r="D55" s="172" t="n"/>
      <c r="E55" s="173" t="n"/>
      <c r="F55" s="96" t="n"/>
      <c r="G55" s="96" t="n"/>
      <c r="H55" s="111" t="n"/>
      <c r="I55" s="96" t="n"/>
      <c r="J55" s="96" t="n"/>
      <c r="K55" s="96" t="n"/>
      <c r="L55" s="111" t="n"/>
      <c r="M55" s="96" t="n"/>
      <c r="N55" s="96" t="n"/>
      <c r="O55" s="111" t="n"/>
      <c r="P55" s="111" t="n"/>
      <c r="Q55" s="111" t="n"/>
      <c r="R55" s="96" t="n"/>
      <c r="S55" s="96" t="n"/>
      <c r="T55" s="96" t="n"/>
      <c r="U55" s="96" t="n"/>
      <c r="V55" s="161" t="n"/>
      <c r="W55" s="96" t="n"/>
      <c r="X55" s="161" t="n"/>
      <c r="Y55" s="97" t="n"/>
      <c r="Z55" s="97" t="n"/>
      <c r="AA55" s="97" t="n"/>
      <c r="AB55" s="97" t="n"/>
      <c r="AC55" s="97" t="n"/>
      <c r="AD55" s="161" t="n"/>
      <c r="AE55" s="174" t="n"/>
      <c r="AF55" s="96" t="n"/>
      <c r="AG55" s="97" t="n"/>
      <c r="AH55" s="97" t="n"/>
      <c r="AI55" s="97" t="n"/>
      <c r="AJ55" s="96" t="n"/>
      <c r="AK55" s="130" t="n"/>
    </row>
    <row r="56" ht="12" customHeight="1">
      <c r="A56" s="108" t="inlineStr">
        <is>
          <t>HALU2027547</t>
        </is>
      </c>
      <c r="B56" s="108" t="n"/>
      <c r="C56" s="108" t="n"/>
      <c r="D56" s="172" t="n"/>
      <c r="E56" s="173" t="n"/>
      <c r="F56" s="96" t="n"/>
      <c r="G56" s="96" t="n"/>
      <c r="H56" s="111" t="n"/>
      <c r="I56" s="96" t="n"/>
      <c r="J56" s="96" t="n"/>
      <c r="K56" s="96" t="n"/>
      <c r="L56" s="111" t="n"/>
      <c r="M56" s="96" t="n"/>
      <c r="N56" s="96" t="n"/>
      <c r="O56" s="111" t="n"/>
      <c r="P56" s="111" t="n"/>
      <c r="Q56" s="111" t="n"/>
      <c r="R56" s="96" t="n"/>
      <c r="S56" s="96" t="n"/>
      <c r="T56" s="96" t="n"/>
      <c r="U56" s="96" t="n"/>
      <c r="V56" s="161" t="n"/>
      <c r="W56" s="96" t="n"/>
      <c r="X56" s="161" t="n"/>
      <c r="Y56" s="97" t="n"/>
      <c r="Z56" s="97" t="n"/>
      <c r="AA56" s="97" t="n"/>
      <c r="AB56" s="97" t="n"/>
      <c r="AC56" s="97" t="n"/>
      <c r="AD56" s="161" t="n"/>
      <c r="AE56" s="174" t="n"/>
      <c r="AF56" s="96" t="n"/>
      <c r="AG56" s="97" t="n"/>
      <c r="AH56" s="97" t="n"/>
      <c r="AI56" s="97" t="n"/>
      <c r="AJ56" s="96" t="n"/>
      <c r="AK56" s="130" t="n"/>
    </row>
    <row r="57" ht="12" customHeight="1">
      <c r="A57" s="108" t="inlineStr">
        <is>
          <t>HALU2042515</t>
        </is>
      </c>
      <c r="B57" s="108" t="n"/>
      <c r="C57" s="108" t="n"/>
      <c r="D57" s="172" t="n"/>
      <c r="E57" s="173" t="n"/>
      <c r="F57" s="96" t="n"/>
      <c r="G57" s="96" t="n"/>
      <c r="H57" s="111" t="n"/>
      <c r="I57" s="96" t="n"/>
      <c r="J57" s="96" t="n"/>
      <c r="K57" s="96" t="n"/>
      <c r="L57" s="111" t="n"/>
      <c r="M57" s="96" t="n"/>
      <c r="N57" s="96" t="n"/>
      <c r="O57" s="111" t="n"/>
      <c r="P57" s="111" t="n"/>
      <c r="Q57" s="111" t="n"/>
      <c r="R57" s="96" t="n"/>
      <c r="S57" s="96" t="n"/>
      <c r="T57" s="96" t="n"/>
      <c r="U57" s="96" t="n"/>
      <c r="V57" s="161" t="n"/>
      <c r="W57" s="96" t="n"/>
      <c r="X57" s="161" t="n"/>
      <c r="Y57" s="97" t="n"/>
      <c r="Z57" s="97" t="n"/>
      <c r="AA57" s="97" t="n"/>
      <c r="AB57" s="97" t="n"/>
      <c r="AC57" s="97" t="n"/>
      <c r="AD57" s="161" t="n"/>
      <c r="AE57" s="174" t="n"/>
      <c r="AF57" s="96" t="n"/>
      <c r="AG57" s="97" t="n"/>
      <c r="AH57" s="97" t="n"/>
      <c r="AI57" s="97" t="n"/>
      <c r="AJ57" s="96" t="n"/>
      <c r="AK57" s="130" t="n"/>
    </row>
    <row r="58" ht="12" customHeight="1">
      <c r="A58" s="108" t="inlineStr">
        <is>
          <t>HALU2078462</t>
        </is>
      </c>
      <c r="B58" s="108" t="n"/>
      <c r="C58" s="108" t="n"/>
      <c r="D58" s="172" t="n"/>
      <c r="E58" s="173" t="n"/>
      <c r="F58" s="96" t="n"/>
      <c r="G58" s="96" t="n"/>
      <c r="H58" s="111" t="n"/>
      <c r="I58" s="96" t="n"/>
      <c r="J58" s="96" t="n"/>
      <c r="K58" s="96" t="n"/>
      <c r="L58" s="111" t="n"/>
      <c r="M58" s="96" t="n"/>
      <c r="N58" s="96" t="n"/>
      <c r="O58" s="111" t="n"/>
      <c r="P58" s="111" t="n"/>
      <c r="Q58" s="111" t="n"/>
      <c r="R58" s="96" t="n"/>
      <c r="S58" s="96" t="n"/>
      <c r="T58" s="96" t="n"/>
      <c r="U58" s="96" t="n"/>
      <c r="V58" s="161" t="n"/>
      <c r="W58" s="96" t="n"/>
      <c r="X58" s="161" t="n"/>
      <c r="Y58" s="97" t="n"/>
      <c r="Z58" s="97" t="n"/>
      <c r="AA58" s="97" t="n"/>
      <c r="AB58" s="97" t="n"/>
      <c r="AC58" s="97" t="n"/>
      <c r="AD58" s="161" t="n"/>
      <c r="AE58" s="174" t="n"/>
      <c r="AF58" s="96" t="n"/>
      <c r="AG58" s="97" t="n"/>
      <c r="AH58" s="97" t="n"/>
      <c r="AI58" s="97" t="n"/>
      <c r="AJ58" s="96" t="n"/>
      <c r="AK58" s="130" t="n"/>
    </row>
    <row r="59" ht="12" customHeight="1">
      <c r="A59" s="108" t="inlineStr">
        <is>
          <t>HALU2308375</t>
        </is>
      </c>
      <c r="B59" s="108" t="n"/>
      <c r="C59" s="108" t="n"/>
      <c r="D59" s="172" t="n"/>
      <c r="E59" s="173" t="n"/>
      <c r="F59" s="96" t="n"/>
      <c r="G59" s="96" t="n"/>
      <c r="H59" s="111" t="n"/>
      <c r="I59" s="96" t="n"/>
      <c r="J59" s="96" t="n"/>
      <c r="K59" s="96" t="n"/>
      <c r="L59" s="111" t="n"/>
      <c r="M59" s="96" t="n"/>
      <c r="N59" s="96" t="n"/>
      <c r="O59" s="111" t="n"/>
      <c r="P59" s="111" t="n"/>
      <c r="Q59" s="111" t="n"/>
      <c r="R59" s="96" t="n"/>
      <c r="S59" s="96" t="n"/>
      <c r="T59" s="96" t="n"/>
      <c r="U59" s="96" t="n"/>
      <c r="V59" s="161" t="n"/>
      <c r="W59" s="96" t="n"/>
      <c r="X59" s="161" t="n"/>
      <c r="Y59" s="97" t="n"/>
      <c r="Z59" s="97" t="n"/>
      <c r="AA59" s="97" t="n"/>
      <c r="AB59" s="97" t="n"/>
      <c r="AC59" s="97" t="n"/>
      <c r="AD59" s="161" t="n"/>
      <c r="AE59" s="174" t="n"/>
      <c r="AF59" s="96" t="n"/>
      <c r="AG59" s="97" t="n"/>
      <c r="AH59" s="97" t="n"/>
      <c r="AI59" s="97" t="n"/>
      <c r="AJ59" s="96" t="n"/>
      <c r="AK59" s="130" t="n"/>
    </row>
    <row r="60" ht="12" customHeight="1">
      <c r="A60" s="108" t="inlineStr">
        <is>
          <t>HALU2401699</t>
        </is>
      </c>
      <c r="B60" s="108" t="n"/>
      <c r="C60" s="108" t="n"/>
      <c r="D60" s="172" t="n"/>
      <c r="E60" s="173" t="n"/>
      <c r="F60" s="96" t="n"/>
      <c r="G60" s="96" t="n"/>
      <c r="H60" s="111" t="n"/>
      <c r="I60" s="96" t="n"/>
      <c r="J60" s="96" t="n"/>
      <c r="K60" s="96" t="n"/>
      <c r="L60" s="111" t="n"/>
      <c r="M60" s="96" t="n"/>
      <c r="N60" s="96" t="n"/>
      <c r="O60" s="111" t="n"/>
      <c r="P60" s="111" t="n"/>
      <c r="Q60" s="111" t="n"/>
      <c r="R60" s="96" t="n"/>
      <c r="S60" s="96" t="n"/>
      <c r="T60" s="96" t="n"/>
      <c r="U60" s="96" t="n"/>
      <c r="V60" s="161" t="n"/>
      <c r="W60" s="96" t="n"/>
      <c r="X60" s="161" t="n"/>
      <c r="Y60" s="97" t="n"/>
      <c r="Z60" s="97" t="n"/>
      <c r="AA60" s="97" t="n"/>
      <c r="AB60" s="97" t="n"/>
      <c r="AC60" s="97" t="n"/>
      <c r="AD60" s="161" t="n"/>
      <c r="AE60" s="174" t="n"/>
      <c r="AF60" s="96" t="n"/>
      <c r="AG60" s="97" t="n"/>
      <c r="AH60" s="97" t="n"/>
      <c r="AI60" s="97" t="n"/>
      <c r="AJ60" s="96" t="n"/>
      <c r="AK60" s="130" t="n"/>
    </row>
    <row r="61" ht="12" customHeight="1">
      <c r="A61" s="108" t="inlineStr">
        <is>
          <t>HALU2415060</t>
        </is>
      </c>
      <c r="B61" s="108" t="n"/>
      <c r="C61" s="108" t="n"/>
      <c r="D61" s="172" t="n"/>
      <c r="E61" s="173" t="n"/>
      <c r="F61" s="96" t="n"/>
      <c r="G61" s="96" t="n"/>
      <c r="H61" s="111" t="n"/>
      <c r="I61" s="96" t="n"/>
      <c r="J61" s="96" t="n"/>
      <c r="K61" s="96" t="n"/>
      <c r="L61" s="111" t="n"/>
      <c r="M61" s="96" t="n"/>
      <c r="N61" s="96" t="n"/>
      <c r="O61" s="111" t="n"/>
      <c r="P61" s="111" t="n"/>
      <c r="Q61" s="111" t="n"/>
      <c r="R61" s="96" t="n"/>
      <c r="S61" s="96" t="n"/>
      <c r="T61" s="96" t="n"/>
      <c r="U61" s="96" t="n"/>
      <c r="V61" s="161" t="n"/>
      <c r="W61" s="96" t="n"/>
      <c r="X61" s="161" t="n"/>
      <c r="Y61" s="97" t="n"/>
      <c r="Z61" s="97" t="n"/>
      <c r="AA61" s="97" t="n"/>
      <c r="AB61" s="97" t="n"/>
      <c r="AC61" s="97" t="n"/>
      <c r="AD61" s="161" t="n"/>
      <c r="AE61" s="174" t="n"/>
      <c r="AF61" s="96" t="n"/>
      <c r="AG61" s="97" t="n"/>
      <c r="AH61" s="97" t="n"/>
      <c r="AI61" s="97" t="n"/>
      <c r="AJ61" s="96" t="n"/>
      <c r="AK61" s="130" t="n"/>
    </row>
    <row r="62" ht="12" customHeight="1">
      <c r="A62" s="108" t="inlineStr">
        <is>
          <t>HALU2422114</t>
        </is>
      </c>
      <c r="B62" s="108" t="n"/>
      <c r="C62" s="108" t="n"/>
      <c r="D62" s="172" t="n"/>
      <c r="E62" s="173" t="n"/>
      <c r="F62" s="96" t="n"/>
      <c r="G62" s="96" t="n"/>
      <c r="H62" s="111" t="n"/>
      <c r="I62" s="96" t="n"/>
      <c r="J62" s="96" t="n"/>
      <c r="K62" s="96" t="n"/>
      <c r="L62" s="111" t="n"/>
      <c r="M62" s="96" t="n"/>
      <c r="N62" s="96" t="n"/>
      <c r="O62" s="111" t="n"/>
      <c r="P62" s="111" t="n"/>
      <c r="Q62" s="111" t="n"/>
      <c r="R62" s="96" t="n"/>
      <c r="S62" s="96" t="n"/>
      <c r="T62" s="96" t="n"/>
      <c r="U62" s="96" t="n"/>
      <c r="V62" s="161" t="n"/>
      <c r="W62" s="96" t="n"/>
      <c r="X62" s="161" t="n"/>
      <c r="Y62" s="97" t="n"/>
      <c r="Z62" s="97" t="n"/>
      <c r="AA62" s="97" t="n"/>
      <c r="AB62" s="97" t="n"/>
      <c r="AC62" s="97" t="n"/>
      <c r="AD62" s="161" t="n"/>
      <c r="AE62" s="174" t="n"/>
      <c r="AF62" s="96" t="n"/>
      <c r="AG62" s="97" t="n"/>
      <c r="AH62" s="97" t="n"/>
      <c r="AI62" s="97" t="n"/>
      <c r="AJ62" s="96" t="n"/>
      <c r="AK62" s="130" t="n"/>
    </row>
    <row r="63" ht="12" customHeight="1">
      <c r="A63" s="108" t="inlineStr">
        <is>
          <t>HALU2465395</t>
        </is>
      </c>
      <c r="B63" s="108" t="n"/>
      <c r="C63" s="108" t="n"/>
      <c r="D63" s="172" t="n"/>
      <c r="E63" s="173" t="n"/>
      <c r="F63" s="96" t="n"/>
      <c r="G63" s="96" t="n"/>
      <c r="H63" s="111" t="n"/>
      <c r="I63" s="96" t="n"/>
      <c r="J63" s="96" t="n"/>
      <c r="K63" s="96" t="n"/>
      <c r="L63" s="111" t="n"/>
      <c r="M63" s="96" t="n"/>
      <c r="N63" s="96" t="n"/>
      <c r="O63" s="111" t="n"/>
      <c r="P63" s="111" t="n"/>
      <c r="Q63" s="111" t="n"/>
      <c r="R63" s="96" t="n"/>
      <c r="S63" s="96" t="n"/>
      <c r="T63" s="96" t="n"/>
      <c r="U63" s="96" t="n"/>
      <c r="V63" s="161" t="n"/>
      <c r="W63" s="96" t="n"/>
      <c r="X63" s="161" t="n"/>
      <c r="Y63" s="97" t="n"/>
      <c r="Z63" s="97" t="n"/>
      <c r="AA63" s="97" t="n"/>
      <c r="AB63" s="97" t="n"/>
      <c r="AC63" s="97" t="n"/>
      <c r="AD63" s="161" t="n"/>
      <c r="AE63" s="174" t="n"/>
      <c r="AF63" s="96" t="n"/>
      <c r="AG63" s="97" t="n"/>
      <c r="AH63" s="97" t="n"/>
      <c r="AI63" s="97" t="n"/>
      <c r="AJ63" s="96" t="n"/>
      <c r="AK63" s="130" t="n"/>
    </row>
    <row r="64" ht="12" customHeight="1">
      <c r="A64" s="108" t="inlineStr">
        <is>
          <t>HALU2515120</t>
        </is>
      </c>
      <c r="B64" s="108" t="n"/>
      <c r="C64" s="108" t="n"/>
      <c r="D64" s="172" t="n"/>
      <c r="E64" s="173" t="n"/>
      <c r="F64" s="96" t="n"/>
      <c r="G64" s="96" t="n"/>
      <c r="H64" s="111" t="n"/>
      <c r="I64" s="96" t="n"/>
      <c r="J64" s="96" t="n"/>
      <c r="K64" s="96" t="n"/>
      <c r="L64" s="111" t="n"/>
      <c r="M64" s="96" t="n"/>
      <c r="N64" s="96" t="n"/>
      <c r="O64" s="111" t="n"/>
      <c r="P64" s="111" t="n"/>
      <c r="Q64" s="111" t="n"/>
      <c r="R64" s="96" t="n"/>
      <c r="S64" s="96" t="n"/>
      <c r="T64" s="96" t="n"/>
      <c r="U64" s="96" t="n"/>
      <c r="V64" s="161" t="n"/>
      <c r="W64" s="96" t="n"/>
      <c r="X64" s="161" t="n"/>
      <c r="Y64" s="97" t="n"/>
      <c r="Z64" s="97" t="n"/>
      <c r="AA64" s="97" t="n"/>
      <c r="AB64" s="97" t="n"/>
      <c r="AC64" s="97" t="n"/>
      <c r="AD64" s="161" t="n"/>
      <c r="AE64" s="174" t="n"/>
      <c r="AF64" s="96" t="n"/>
      <c r="AG64" s="97" t="n"/>
      <c r="AH64" s="97" t="n"/>
      <c r="AI64" s="97" t="n"/>
      <c r="AJ64" s="96" t="n"/>
      <c r="AK64" s="130" t="n"/>
    </row>
    <row r="65" ht="12" customHeight="1">
      <c r="A65" s="108" t="inlineStr">
        <is>
          <t>HALU2538906</t>
        </is>
      </c>
      <c r="B65" s="108" t="n"/>
      <c r="C65" s="108" t="n"/>
      <c r="D65" s="172" t="n"/>
      <c r="E65" s="173" t="n"/>
      <c r="F65" s="96" t="n"/>
      <c r="G65" s="96" t="n"/>
      <c r="H65" s="111" t="n"/>
      <c r="I65" s="96" t="n"/>
      <c r="J65" s="96" t="n"/>
      <c r="K65" s="96" t="n"/>
      <c r="L65" s="111" t="n"/>
      <c r="M65" s="96" t="n"/>
      <c r="N65" s="96" t="n"/>
      <c r="O65" s="111" t="n"/>
      <c r="P65" s="111" t="n"/>
      <c r="Q65" s="111" t="n"/>
      <c r="R65" s="96" t="n"/>
      <c r="S65" s="96" t="n"/>
      <c r="T65" s="96" t="n"/>
      <c r="U65" s="96" t="n"/>
      <c r="V65" s="161" t="n"/>
      <c r="W65" s="96" t="n"/>
      <c r="X65" s="161" t="n"/>
      <c r="Y65" s="97" t="n"/>
      <c r="Z65" s="97" t="n"/>
      <c r="AA65" s="97" t="n"/>
      <c r="AB65" s="97" t="n"/>
      <c r="AC65" s="97" t="n"/>
      <c r="AD65" s="161" t="n"/>
      <c r="AE65" s="174" t="n"/>
      <c r="AF65" s="96" t="n"/>
      <c r="AG65" s="97" t="n"/>
      <c r="AH65" s="97" t="n"/>
      <c r="AI65" s="97" t="n"/>
      <c r="AJ65" s="96" t="n"/>
      <c r="AK65" s="130" t="n"/>
    </row>
    <row r="66" ht="12" customHeight="1">
      <c r="A66" s="108" t="inlineStr">
        <is>
          <t>HALU2567680</t>
        </is>
      </c>
      <c r="B66" s="108" t="n"/>
      <c r="C66" s="108" t="n"/>
      <c r="D66" s="172" t="n"/>
      <c r="E66" s="173" t="n"/>
      <c r="F66" s="96" t="n"/>
      <c r="G66" s="96" t="n"/>
      <c r="H66" s="111" t="n"/>
      <c r="I66" s="96" t="n"/>
      <c r="J66" s="96" t="n"/>
      <c r="K66" s="96" t="n"/>
      <c r="L66" s="111" t="n"/>
      <c r="M66" s="96" t="n"/>
      <c r="N66" s="96" t="n"/>
      <c r="O66" s="111" t="n"/>
      <c r="P66" s="111" t="n"/>
      <c r="Q66" s="111" t="n"/>
      <c r="R66" s="96" t="n"/>
      <c r="S66" s="96" t="n"/>
      <c r="T66" s="96" t="n"/>
      <c r="U66" s="96" t="n"/>
      <c r="V66" s="161" t="n"/>
      <c r="W66" s="96" t="n"/>
      <c r="X66" s="161" t="n"/>
      <c r="Y66" s="97" t="n"/>
      <c r="Z66" s="97" t="n"/>
      <c r="AA66" s="97" t="n"/>
      <c r="AB66" s="97" t="n"/>
      <c r="AC66" s="97" t="n"/>
      <c r="AD66" s="161" t="n"/>
      <c r="AE66" s="174" t="n"/>
      <c r="AF66" s="96" t="n"/>
      <c r="AG66" s="97" t="n"/>
      <c r="AH66" s="97" t="n"/>
      <c r="AI66" s="97" t="n"/>
      <c r="AJ66" s="96" t="n"/>
      <c r="AK66" s="130" t="n"/>
    </row>
    <row r="67" ht="12" customHeight="1">
      <c r="A67" s="108" t="inlineStr">
        <is>
          <t>HALU5690954</t>
        </is>
      </c>
      <c r="B67" s="108" t="n"/>
      <c r="C67" s="108" t="n"/>
      <c r="D67" s="172" t="n"/>
      <c r="E67" s="173" t="n"/>
      <c r="F67" s="96" t="n"/>
      <c r="G67" s="96" t="n"/>
      <c r="H67" s="111" t="n"/>
      <c r="I67" s="96" t="n"/>
      <c r="J67" s="96" t="n"/>
      <c r="K67" s="96" t="n"/>
      <c r="L67" s="111" t="n"/>
      <c r="M67" s="96" t="n"/>
      <c r="N67" s="96" t="n"/>
      <c r="O67" s="111" t="n"/>
      <c r="P67" s="111" t="n"/>
      <c r="Q67" s="111" t="n"/>
      <c r="R67" s="96" t="n"/>
      <c r="S67" s="96" t="n"/>
      <c r="T67" s="96" t="n"/>
      <c r="U67" s="96" t="n"/>
      <c r="V67" s="161" t="n"/>
      <c r="W67" s="96" t="n"/>
      <c r="X67" s="161" t="n"/>
      <c r="Y67" s="97" t="n"/>
      <c r="Z67" s="97" t="n"/>
      <c r="AA67" s="97" t="n"/>
      <c r="AB67" s="97" t="n"/>
      <c r="AC67" s="97" t="n"/>
      <c r="AD67" s="161" t="n"/>
      <c r="AE67" s="174" t="n"/>
      <c r="AF67" s="96" t="n"/>
      <c r="AG67" s="97" t="n"/>
      <c r="AH67" s="97" t="n"/>
      <c r="AI67" s="97" t="n"/>
      <c r="AJ67" s="96" t="n"/>
      <c r="AK67" s="130" t="n"/>
    </row>
    <row r="68" ht="12" customHeight="1">
      <c r="A68" s="108" t="inlineStr">
        <is>
          <t>HLHU6407495</t>
        </is>
      </c>
      <c r="B68" s="108" t="n"/>
      <c r="C68" s="108" t="n"/>
      <c r="D68" s="172" t="n"/>
      <c r="E68" s="173" t="n"/>
      <c r="F68" s="96" t="n"/>
      <c r="G68" s="96" t="n"/>
      <c r="H68" s="111" t="n"/>
      <c r="I68" s="96" t="n"/>
      <c r="J68" s="96" t="n"/>
      <c r="K68" s="96" t="n"/>
      <c r="L68" s="111" t="n"/>
      <c r="M68" s="96" t="n"/>
      <c r="N68" s="96" t="n"/>
      <c r="O68" s="111" t="n"/>
      <c r="P68" s="111" t="n"/>
      <c r="Q68" s="111" t="n"/>
      <c r="R68" s="96" t="n"/>
      <c r="S68" s="96" t="n"/>
      <c r="T68" s="96" t="n"/>
      <c r="U68" s="96" t="n"/>
      <c r="V68" s="161" t="n"/>
      <c r="W68" s="96" t="n"/>
      <c r="X68" s="161" t="n"/>
      <c r="Y68" s="97" t="n"/>
      <c r="Z68" s="97" t="n"/>
      <c r="AA68" s="97" t="n"/>
      <c r="AB68" s="97" t="n"/>
      <c r="AC68" s="97" t="n"/>
      <c r="AD68" s="161" t="n"/>
      <c r="AE68" s="174" t="n"/>
      <c r="AF68" s="96" t="n"/>
      <c r="AG68" s="97" t="n"/>
      <c r="AH68" s="97" t="n"/>
      <c r="AI68" s="97" t="n"/>
      <c r="AJ68" s="96" t="n"/>
      <c r="AK68" s="130" t="n"/>
    </row>
    <row r="69" ht="12" customHeight="1">
      <c r="A69" s="108" t="inlineStr">
        <is>
          <t>HLHU6411849</t>
        </is>
      </c>
      <c r="B69" s="108" t="n"/>
      <c r="C69" s="108" t="n"/>
      <c r="D69" s="172" t="n"/>
      <c r="E69" s="173" t="n"/>
      <c r="F69" s="96" t="n"/>
      <c r="G69" s="96" t="n"/>
      <c r="H69" s="111" t="n"/>
      <c r="I69" s="96" t="n"/>
      <c r="J69" s="96" t="n"/>
      <c r="K69" s="96" t="n"/>
      <c r="L69" s="111" t="n"/>
      <c r="M69" s="96" t="n"/>
      <c r="N69" s="96" t="n"/>
      <c r="O69" s="111" t="n"/>
      <c r="P69" s="111" t="n"/>
      <c r="Q69" s="111" t="n"/>
      <c r="R69" s="96" t="n"/>
      <c r="S69" s="96" t="n"/>
      <c r="T69" s="96" t="n"/>
      <c r="U69" s="96" t="n"/>
      <c r="V69" s="161" t="n"/>
      <c r="W69" s="96" t="n"/>
      <c r="X69" s="161" t="n"/>
      <c r="Y69" s="97" t="n"/>
      <c r="Z69" s="97" t="n"/>
      <c r="AA69" s="97" t="n"/>
      <c r="AB69" s="97" t="n"/>
      <c r="AC69" s="97" t="n"/>
      <c r="AD69" s="161" t="n"/>
      <c r="AE69" s="174" t="n"/>
      <c r="AF69" s="96" t="n"/>
      <c r="AG69" s="97" t="n"/>
      <c r="AH69" s="97" t="n"/>
      <c r="AI69" s="97" t="n"/>
      <c r="AJ69" s="96" t="n"/>
      <c r="AK69" s="130" t="n"/>
    </row>
    <row r="70" ht="12" customHeight="1">
      <c r="A70" s="108" t="inlineStr">
        <is>
          <t>HLHU8345643</t>
        </is>
      </c>
      <c r="B70" s="108" t="n"/>
      <c r="C70" s="108" t="n"/>
      <c r="D70" s="172" t="n"/>
      <c r="E70" s="173" t="n"/>
      <c r="F70" s="96" t="n"/>
      <c r="G70" s="96" t="n"/>
      <c r="H70" s="111" t="n"/>
      <c r="I70" s="96" t="n"/>
      <c r="J70" s="96" t="n"/>
      <c r="K70" s="96" t="n"/>
      <c r="L70" s="111" t="n"/>
      <c r="M70" s="96" t="n"/>
      <c r="N70" s="96" t="n"/>
      <c r="O70" s="111" t="n"/>
      <c r="P70" s="111" t="n"/>
      <c r="Q70" s="111" t="n"/>
      <c r="R70" s="96" t="n"/>
      <c r="S70" s="96" t="n"/>
      <c r="T70" s="96" t="n"/>
      <c r="U70" s="96" t="n"/>
      <c r="V70" s="161" t="n"/>
      <c r="W70" s="96" t="n"/>
      <c r="X70" s="161" t="n"/>
      <c r="Y70" s="97" t="n"/>
      <c r="Z70" s="97" t="n"/>
      <c r="AA70" s="97" t="n"/>
      <c r="AB70" s="97" t="n"/>
      <c r="AC70" s="97" t="n"/>
      <c r="AD70" s="161" t="n"/>
      <c r="AE70" s="174" t="n"/>
      <c r="AF70" s="96" t="n"/>
      <c r="AG70" s="97" t="n"/>
      <c r="AH70" s="97" t="n"/>
      <c r="AI70" s="97" t="n"/>
      <c r="AJ70" s="96" t="n"/>
      <c r="AK70" s="130" t="n"/>
    </row>
    <row r="71" ht="12" customHeight="1">
      <c r="A71" s="108" t="inlineStr">
        <is>
          <t>HLHU8451579</t>
        </is>
      </c>
      <c r="B71" s="108" t="n"/>
      <c r="C71" s="108" t="n"/>
      <c r="D71" s="172" t="n"/>
      <c r="E71" s="173" t="n"/>
      <c r="F71" s="96" t="n"/>
      <c r="G71" s="96" t="n"/>
      <c r="H71" s="111" t="n"/>
      <c r="I71" s="96" t="n"/>
      <c r="J71" s="96" t="n"/>
      <c r="K71" s="96" t="n"/>
      <c r="L71" s="111" t="n"/>
      <c r="M71" s="96" t="n"/>
      <c r="N71" s="96" t="n"/>
      <c r="O71" s="111" t="n"/>
      <c r="P71" s="111" t="n"/>
      <c r="Q71" s="111" t="n"/>
      <c r="R71" s="96" t="n"/>
      <c r="S71" s="96" t="n"/>
      <c r="T71" s="96" t="n"/>
      <c r="U71" s="96" t="n"/>
      <c r="V71" s="161" t="n"/>
      <c r="W71" s="96" t="n"/>
      <c r="X71" s="161" t="n"/>
      <c r="Y71" s="97" t="n"/>
      <c r="Z71" s="97" t="n"/>
      <c r="AA71" s="97" t="n"/>
      <c r="AB71" s="97" t="n"/>
      <c r="AC71" s="97" t="n"/>
      <c r="AD71" s="161" t="n"/>
      <c r="AE71" s="174" t="n"/>
      <c r="AF71" s="96" t="n"/>
      <c r="AG71" s="97" t="n"/>
      <c r="AH71" s="97" t="n"/>
      <c r="AI71" s="97" t="n"/>
      <c r="AJ71" s="96" t="n"/>
      <c r="AK71" s="130" t="n"/>
    </row>
    <row r="72" ht="12" customHeight="1">
      <c r="A72" s="108" t="inlineStr">
        <is>
          <t>HLHU8469515</t>
        </is>
      </c>
      <c r="B72" s="108" t="n"/>
      <c r="C72" s="108" t="n"/>
      <c r="D72" s="172" t="n"/>
      <c r="E72" s="173" t="n"/>
      <c r="F72" s="96" t="n"/>
      <c r="G72" s="96" t="n"/>
      <c r="H72" s="111" t="n"/>
      <c r="I72" s="96" t="n"/>
      <c r="J72" s="96" t="n"/>
      <c r="K72" s="96" t="n"/>
      <c r="L72" s="111" t="n"/>
      <c r="M72" s="96" t="n"/>
      <c r="N72" s="96" t="n"/>
      <c r="O72" s="111" t="n"/>
      <c r="P72" s="111" t="n"/>
      <c r="Q72" s="111" t="n"/>
      <c r="R72" s="96" t="n"/>
      <c r="S72" s="96" t="n"/>
      <c r="T72" s="96" t="n"/>
      <c r="U72" s="96" t="n"/>
      <c r="V72" s="161" t="n"/>
      <c r="W72" s="96" t="n"/>
      <c r="X72" s="161" t="n"/>
      <c r="Y72" s="97" t="n"/>
      <c r="Z72" s="97" t="n"/>
      <c r="AA72" s="97" t="n"/>
      <c r="AB72" s="97" t="n"/>
      <c r="AC72" s="97" t="n"/>
      <c r="AD72" s="161" t="n"/>
      <c r="AE72" s="174" t="n"/>
      <c r="AF72" s="96" t="n"/>
      <c r="AG72" s="97" t="n"/>
      <c r="AH72" s="97" t="n"/>
      <c r="AI72" s="97" t="n"/>
      <c r="AJ72" s="96" t="n"/>
      <c r="AK72" s="130" t="n"/>
    </row>
    <row r="73" ht="12" customHeight="1">
      <c r="A73" s="108" t="inlineStr">
        <is>
          <t>HLHU8483175</t>
        </is>
      </c>
      <c r="B73" s="108" t="n"/>
      <c r="C73" s="108" t="n"/>
      <c r="D73" s="172" t="n"/>
      <c r="E73" s="173" t="n"/>
      <c r="F73" s="96" t="n"/>
      <c r="G73" s="96" t="n"/>
      <c r="H73" s="111" t="n"/>
      <c r="I73" s="96" t="n"/>
      <c r="J73" s="96" t="n"/>
      <c r="K73" s="96" t="n"/>
      <c r="L73" s="111" t="n"/>
      <c r="M73" s="96" t="n"/>
      <c r="N73" s="96" t="n"/>
      <c r="O73" s="111" t="n"/>
      <c r="P73" s="111" t="n"/>
      <c r="Q73" s="111" t="n"/>
      <c r="R73" s="96" t="n"/>
      <c r="S73" s="96" t="n"/>
      <c r="T73" s="96" t="n"/>
      <c r="U73" s="96" t="n"/>
      <c r="V73" s="161" t="n"/>
      <c r="W73" s="96" t="n"/>
      <c r="X73" s="161" t="n"/>
      <c r="Y73" s="97" t="n"/>
      <c r="Z73" s="97" t="n"/>
      <c r="AA73" s="97" t="n"/>
      <c r="AB73" s="97" t="n"/>
      <c r="AC73" s="97" t="n"/>
      <c r="AD73" s="161" t="n"/>
      <c r="AE73" s="174" t="n"/>
      <c r="AF73" s="96" t="n"/>
      <c r="AG73" s="97" t="n"/>
      <c r="AH73" s="97" t="n"/>
      <c r="AI73" s="97" t="n"/>
      <c r="AJ73" s="96" t="n"/>
      <c r="AK73" s="130" t="n"/>
    </row>
    <row r="74" ht="12" customHeight="1">
      <c r="A74" s="108" t="inlineStr">
        <is>
          <t>HLHU8488053</t>
        </is>
      </c>
      <c r="B74" s="108" t="n"/>
      <c r="C74" s="108" t="n"/>
      <c r="D74" s="172" t="n"/>
      <c r="E74" s="173" t="n"/>
      <c r="F74" s="96" t="n"/>
      <c r="G74" s="96" t="n"/>
      <c r="H74" s="111" t="n"/>
      <c r="I74" s="96" t="n"/>
      <c r="J74" s="96" t="n"/>
      <c r="K74" s="96" t="n"/>
      <c r="L74" s="111" t="n"/>
      <c r="M74" s="96" t="n"/>
      <c r="N74" s="96" t="n"/>
      <c r="O74" s="111" t="n"/>
      <c r="P74" s="111" t="n"/>
      <c r="Q74" s="111" t="n"/>
      <c r="R74" s="96" t="n"/>
      <c r="S74" s="96" t="n"/>
      <c r="T74" s="96" t="n"/>
      <c r="U74" s="96" t="n"/>
      <c r="V74" s="161" t="n"/>
      <c r="W74" s="96" t="n"/>
      <c r="X74" s="161" t="n"/>
      <c r="Y74" s="97" t="n"/>
      <c r="Z74" s="97" t="n"/>
      <c r="AA74" s="97" t="n"/>
      <c r="AB74" s="97" t="n"/>
      <c r="AC74" s="97" t="n"/>
      <c r="AD74" s="161" t="n"/>
      <c r="AE74" s="174" t="n"/>
      <c r="AF74" s="96" t="n"/>
      <c r="AG74" s="97" t="n"/>
      <c r="AH74" s="97" t="n"/>
      <c r="AI74" s="97" t="n"/>
      <c r="AJ74" s="96" t="n"/>
      <c r="AK74" s="130" t="n"/>
    </row>
    <row r="75" ht="12" customHeight="1">
      <c r="A75" s="108" t="inlineStr">
        <is>
          <t>HLHU8523370</t>
        </is>
      </c>
      <c r="B75" s="108" t="n"/>
      <c r="C75" s="108" t="n"/>
      <c r="D75" s="172" t="n"/>
      <c r="E75" s="173" t="n"/>
      <c r="F75" s="96" t="n"/>
      <c r="G75" s="96" t="n"/>
      <c r="H75" s="111" t="n"/>
      <c r="I75" s="96" t="n"/>
      <c r="J75" s="96" t="n"/>
      <c r="K75" s="96" t="n"/>
      <c r="L75" s="111" t="n"/>
      <c r="M75" s="96" t="n"/>
      <c r="N75" s="96" t="n"/>
      <c r="O75" s="111" t="n"/>
      <c r="P75" s="111" t="n"/>
      <c r="Q75" s="111" t="n"/>
      <c r="R75" s="96" t="n"/>
      <c r="S75" s="96" t="n"/>
      <c r="T75" s="96" t="n"/>
      <c r="U75" s="96" t="n"/>
      <c r="V75" s="161" t="n"/>
      <c r="W75" s="96" t="n"/>
      <c r="X75" s="161" t="n"/>
      <c r="Y75" s="97" t="n"/>
      <c r="Z75" s="97" t="n"/>
      <c r="AA75" s="97" t="n"/>
      <c r="AB75" s="97" t="n"/>
      <c r="AC75" s="97" t="n"/>
      <c r="AD75" s="161" t="n"/>
      <c r="AE75" s="174" t="n"/>
      <c r="AF75" s="96" t="n"/>
      <c r="AG75" s="97" t="n"/>
      <c r="AH75" s="97" t="n"/>
      <c r="AI75" s="97" t="n"/>
      <c r="AJ75" s="96" t="n"/>
      <c r="AK75" s="130" t="n"/>
    </row>
    <row r="76" ht="12" customHeight="1">
      <c r="A76" s="108" t="inlineStr">
        <is>
          <t>HLHU8591930</t>
        </is>
      </c>
      <c r="B76" s="108" t="n"/>
      <c r="C76" s="108" t="n"/>
      <c r="D76" s="172" t="n"/>
      <c r="E76" s="173" t="n"/>
      <c r="F76" s="96" t="n"/>
      <c r="G76" s="96" t="n"/>
      <c r="H76" s="111" t="n"/>
      <c r="I76" s="96" t="n"/>
      <c r="J76" s="96" t="n"/>
      <c r="K76" s="96" t="n"/>
      <c r="L76" s="111" t="n"/>
      <c r="M76" s="96" t="n"/>
      <c r="N76" s="96" t="n"/>
      <c r="O76" s="111" t="n"/>
      <c r="P76" s="111" t="n"/>
      <c r="Q76" s="111" t="n"/>
      <c r="R76" s="96" t="n"/>
      <c r="S76" s="96" t="n"/>
      <c r="T76" s="96" t="n"/>
      <c r="U76" s="96" t="n"/>
      <c r="V76" s="161" t="n"/>
      <c r="W76" s="96" t="n"/>
      <c r="X76" s="161" t="n"/>
      <c r="Y76" s="97" t="n"/>
      <c r="Z76" s="97" t="n"/>
      <c r="AA76" s="97" t="n"/>
      <c r="AB76" s="97" t="n"/>
      <c r="AC76" s="97" t="n"/>
      <c r="AD76" s="161" t="n"/>
      <c r="AE76" s="174" t="n"/>
      <c r="AF76" s="96" t="n"/>
      <c r="AG76" s="97" t="n"/>
      <c r="AH76" s="97" t="n"/>
      <c r="AI76" s="97" t="n"/>
      <c r="AJ76" s="96" t="n"/>
      <c r="AK76" s="130" t="n"/>
    </row>
    <row r="77" ht="12" customHeight="1">
      <c r="A77" s="108" t="inlineStr">
        <is>
          <t>MAGU2538221</t>
        </is>
      </c>
      <c r="B77" s="108" t="n"/>
      <c r="C77" s="108" t="n"/>
      <c r="D77" s="172" t="n"/>
      <c r="E77" s="173" t="n"/>
      <c r="F77" s="96" t="n"/>
      <c r="G77" s="96" t="n"/>
      <c r="H77" s="111" t="n"/>
      <c r="I77" s="96" t="n"/>
      <c r="J77" s="96" t="n"/>
      <c r="K77" s="96" t="n"/>
      <c r="L77" s="111" t="n"/>
      <c r="M77" s="96" t="n"/>
      <c r="N77" s="96" t="n"/>
      <c r="O77" s="111" t="n"/>
      <c r="P77" s="111" t="n"/>
      <c r="Q77" s="111" t="n"/>
      <c r="R77" s="96" t="n"/>
      <c r="S77" s="96" t="n"/>
      <c r="T77" s="96" t="n"/>
      <c r="U77" s="96" t="n"/>
      <c r="V77" s="161" t="n"/>
      <c r="W77" s="96" t="n"/>
      <c r="X77" s="161" t="n"/>
      <c r="Y77" s="97" t="n"/>
      <c r="Z77" s="97" t="n"/>
      <c r="AA77" s="97" t="n"/>
      <c r="AB77" s="97" t="n"/>
      <c r="AC77" s="97" t="n"/>
      <c r="AD77" s="161" t="n"/>
      <c r="AE77" s="174" t="n"/>
      <c r="AF77" s="96" t="n"/>
      <c r="AG77" s="97" t="n"/>
      <c r="AH77" s="97" t="n"/>
      <c r="AI77" s="97" t="n"/>
      <c r="AJ77" s="96" t="n"/>
      <c r="AK77" s="130" t="n"/>
    </row>
    <row r="78" ht="12" customHeight="1">
      <c r="A78" s="108" t="inlineStr">
        <is>
          <t>SKHU6371677</t>
        </is>
      </c>
      <c r="B78" s="108" t="n"/>
      <c r="C78" s="108" t="n"/>
      <c r="D78" s="172" t="n"/>
      <c r="E78" s="173" t="n"/>
      <c r="F78" s="96" t="n"/>
      <c r="G78" s="96" t="n"/>
      <c r="H78" s="111" t="n"/>
      <c r="I78" s="96" t="n"/>
      <c r="J78" s="96" t="n"/>
      <c r="K78" s="96" t="n"/>
      <c r="L78" s="111" t="n"/>
      <c r="M78" s="96" t="n"/>
      <c r="N78" s="96" t="n"/>
      <c r="O78" s="111" t="n"/>
      <c r="P78" s="111" t="n"/>
      <c r="Q78" s="111" t="n"/>
      <c r="R78" s="96" t="n"/>
      <c r="S78" s="96" t="n"/>
      <c r="T78" s="96" t="n"/>
      <c r="U78" s="96" t="n"/>
      <c r="V78" s="161" t="n"/>
      <c r="W78" s="96" t="n"/>
      <c r="X78" s="161" t="n"/>
      <c r="Y78" s="97" t="n"/>
      <c r="Z78" s="97" t="n"/>
      <c r="AA78" s="97" t="n"/>
      <c r="AB78" s="97" t="n"/>
      <c r="AC78" s="97" t="n"/>
      <c r="AD78" s="161" t="n"/>
      <c r="AE78" s="174" t="n"/>
      <c r="AF78" s="96" t="n"/>
      <c r="AG78" s="97" t="n"/>
      <c r="AH78" s="97" t="n"/>
      <c r="AI78" s="97" t="n"/>
      <c r="AJ78" s="96" t="n"/>
      <c r="AK78" s="130" t="n"/>
    </row>
    <row r="79" ht="12" customHeight="1">
      <c r="A79" s="108" t="inlineStr">
        <is>
          <t>SKHU6412061</t>
        </is>
      </c>
      <c r="B79" s="108" t="n"/>
      <c r="C79" s="108" t="n"/>
      <c r="D79" s="172" t="n"/>
      <c r="E79" s="173" t="n"/>
      <c r="F79" s="96" t="n"/>
      <c r="G79" s="96" t="n"/>
      <c r="H79" s="111" t="n"/>
      <c r="I79" s="96" t="n"/>
      <c r="J79" s="96" t="n"/>
      <c r="K79" s="96" t="n"/>
      <c r="L79" s="111" t="n"/>
      <c r="M79" s="96" t="n"/>
      <c r="N79" s="96" t="n"/>
      <c r="O79" s="111" t="n"/>
      <c r="P79" s="111" t="n"/>
      <c r="Q79" s="111" t="n"/>
      <c r="R79" s="96" t="n"/>
      <c r="S79" s="96" t="n"/>
      <c r="T79" s="96" t="n"/>
      <c r="U79" s="96" t="n"/>
      <c r="V79" s="161" t="n"/>
      <c r="W79" s="96" t="n"/>
      <c r="X79" s="161" t="n"/>
      <c r="Y79" s="97" t="n"/>
      <c r="Z79" s="97" t="n"/>
      <c r="AA79" s="97" t="n"/>
      <c r="AB79" s="97" t="n"/>
      <c r="AC79" s="97" t="n"/>
      <c r="AD79" s="161" t="n"/>
      <c r="AE79" s="174" t="n"/>
      <c r="AF79" s="96" t="n"/>
      <c r="AG79" s="97" t="n"/>
      <c r="AH79" s="97" t="n"/>
      <c r="AI79" s="97" t="n"/>
      <c r="AJ79" s="96" t="n"/>
      <c r="AK79" s="130" t="n"/>
    </row>
    <row r="80" ht="12" customHeight="1">
      <c r="A80" s="108" t="inlineStr">
        <is>
          <t>SKHU6431518</t>
        </is>
      </c>
      <c r="B80" s="108" t="n"/>
      <c r="C80" s="108" t="n"/>
      <c r="D80" s="172" t="n"/>
      <c r="E80" s="173" t="n"/>
      <c r="F80" s="96" t="n"/>
      <c r="G80" s="96" t="n"/>
      <c r="H80" s="111" t="n"/>
      <c r="I80" s="96" t="n"/>
      <c r="J80" s="96" t="n"/>
      <c r="K80" s="96" t="n"/>
      <c r="L80" s="111" t="n"/>
      <c r="M80" s="96" t="n"/>
      <c r="N80" s="96" t="n"/>
      <c r="O80" s="111" t="n"/>
      <c r="P80" s="111" t="n"/>
      <c r="Q80" s="111" t="n"/>
      <c r="R80" s="96" t="n"/>
      <c r="S80" s="96" t="n"/>
      <c r="T80" s="96" t="n"/>
      <c r="U80" s="96" t="n"/>
      <c r="V80" s="161" t="n"/>
      <c r="W80" s="96" t="n"/>
      <c r="X80" s="161" t="n"/>
      <c r="Y80" s="97" t="n"/>
      <c r="Z80" s="97" t="n"/>
      <c r="AA80" s="97" t="n"/>
      <c r="AB80" s="97" t="n"/>
      <c r="AC80" s="97" t="n"/>
      <c r="AD80" s="161" t="n"/>
      <c r="AE80" s="174" t="n"/>
      <c r="AF80" s="96" t="n"/>
      <c r="AG80" s="97" t="n"/>
      <c r="AH80" s="97" t="n"/>
      <c r="AI80" s="97" t="n"/>
      <c r="AJ80" s="96" t="n"/>
      <c r="AK80" s="130" t="n"/>
    </row>
    <row r="81" ht="12" customHeight="1">
      <c r="A81" s="108" t="inlineStr">
        <is>
          <t>SKHU8714060</t>
        </is>
      </c>
      <c r="B81" s="108" t="n"/>
      <c r="C81" s="108" t="n"/>
      <c r="D81" s="172" t="n"/>
      <c r="E81" s="173" t="n"/>
      <c r="F81" s="96" t="n"/>
      <c r="G81" s="96" t="n"/>
      <c r="H81" s="111" t="n"/>
      <c r="I81" s="96" t="n"/>
      <c r="J81" s="96" t="n"/>
      <c r="K81" s="96" t="n"/>
      <c r="L81" s="111" t="n"/>
      <c r="M81" s="96" t="n"/>
      <c r="N81" s="96" t="n"/>
      <c r="O81" s="111" t="n"/>
      <c r="P81" s="111" t="n"/>
      <c r="Q81" s="111" t="n"/>
      <c r="R81" s="96" t="n"/>
      <c r="S81" s="96" t="n"/>
      <c r="T81" s="96" t="n"/>
      <c r="U81" s="96" t="n"/>
      <c r="V81" s="161" t="n"/>
      <c r="W81" s="96" t="n"/>
      <c r="X81" s="161" t="n"/>
      <c r="Y81" s="97" t="n"/>
      <c r="Z81" s="97" t="n"/>
      <c r="AA81" s="97" t="n"/>
      <c r="AB81" s="97" t="n"/>
      <c r="AC81" s="97" t="n"/>
      <c r="AD81" s="161" t="n"/>
      <c r="AE81" s="174" t="n"/>
      <c r="AF81" s="96" t="n"/>
      <c r="AG81" s="97" t="n"/>
      <c r="AH81" s="97" t="n"/>
      <c r="AI81" s="97" t="n"/>
      <c r="AJ81" s="96" t="n"/>
      <c r="AK81" s="130" t="n"/>
    </row>
    <row r="82" ht="12" customHeight="1">
      <c r="A82" s="108" t="inlineStr">
        <is>
          <t>SKHU8933794</t>
        </is>
      </c>
      <c r="B82" s="108" t="n"/>
      <c r="C82" s="108" t="n"/>
      <c r="D82" s="172" t="n"/>
      <c r="E82" s="173" t="n"/>
      <c r="F82" s="96" t="n"/>
      <c r="G82" s="96" t="n"/>
      <c r="H82" s="111" t="n"/>
      <c r="I82" s="96" t="n"/>
      <c r="J82" s="96" t="n"/>
      <c r="K82" s="96" t="n"/>
      <c r="L82" s="111" t="n"/>
      <c r="M82" s="96" t="n"/>
      <c r="N82" s="96" t="n"/>
      <c r="O82" s="111" t="n"/>
      <c r="P82" s="111" t="n"/>
      <c r="Q82" s="111" t="n"/>
      <c r="R82" s="96" t="n"/>
      <c r="S82" s="96" t="n"/>
      <c r="T82" s="96" t="n"/>
      <c r="U82" s="96" t="n"/>
      <c r="V82" s="161" t="n"/>
      <c r="W82" s="96" t="n"/>
      <c r="X82" s="161" t="n"/>
      <c r="Y82" s="97" t="n"/>
      <c r="Z82" s="97" t="n"/>
      <c r="AA82" s="97" t="n"/>
      <c r="AB82" s="97" t="n"/>
      <c r="AC82" s="97" t="n"/>
      <c r="AD82" s="161" t="n"/>
      <c r="AE82" s="174" t="n"/>
      <c r="AF82" s="96" t="n"/>
      <c r="AG82" s="97" t="n"/>
      <c r="AH82" s="97" t="n"/>
      <c r="AI82" s="97" t="n"/>
      <c r="AJ82" s="96" t="n"/>
      <c r="AK82" s="130" t="n"/>
    </row>
    <row r="83" ht="12" customHeight="1">
      <c r="A83" s="108" t="inlineStr">
        <is>
          <t>SKHU9405600</t>
        </is>
      </c>
      <c r="B83" s="108" t="n"/>
      <c r="C83" s="108" t="n"/>
      <c r="D83" s="172" t="n"/>
      <c r="E83" s="173" t="n"/>
      <c r="F83" s="96" t="n"/>
      <c r="G83" s="96" t="n"/>
      <c r="H83" s="111" t="n"/>
      <c r="I83" s="96" t="n"/>
      <c r="J83" s="96" t="n"/>
      <c r="K83" s="96" t="n"/>
      <c r="L83" s="111" t="n"/>
      <c r="M83" s="96" t="n"/>
      <c r="N83" s="96" t="n"/>
      <c r="O83" s="111" t="n"/>
      <c r="P83" s="111" t="n"/>
      <c r="Q83" s="111" t="n"/>
      <c r="R83" s="96" t="n"/>
      <c r="S83" s="96" t="n"/>
      <c r="T83" s="96" t="n"/>
      <c r="U83" s="96" t="n"/>
      <c r="V83" s="161" t="n"/>
      <c r="W83" s="96" t="n"/>
      <c r="X83" s="161" t="n"/>
      <c r="Y83" s="97" t="n"/>
      <c r="Z83" s="97" t="n"/>
      <c r="AA83" s="97" t="n"/>
      <c r="AB83" s="97" t="n"/>
      <c r="AC83" s="97" t="n"/>
      <c r="AD83" s="161" t="n"/>
      <c r="AE83" s="174" t="n"/>
      <c r="AF83" s="96" t="n"/>
      <c r="AG83" s="97" t="n"/>
      <c r="AH83" s="97" t="n"/>
      <c r="AI83" s="97" t="n"/>
      <c r="AJ83" s="96" t="n"/>
      <c r="AK83" s="130" t="n"/>
    </row>
    <row r="84" ht="12" customHeight="1">
      <c r="A84" s="108" t="inlineStr">
        <is>
          <t>SKHU9514724</t>
        </is>
      </c>
      <c r="B84" s="108" t="n"/>
      <c r="C84" s="108" t="n"/>
      <c r="D84" s="172" t="n"/>
      <c r="E84" s="173" t="n"/>
      <c r="F84" s="96" t="n"/>
      <c r="G84" s="96" t="n"/>
      <c r="H84" s="111" t="n"/>
      <c r="I84" s="96" t="n"/>
      <c r="J84" s="96" t="n"/>
      <c r="K84" s="96" t="n"/>
      <c r="L84" s="111" t="n"/>
      <c r="M84" s="96" t="n"/>
      <c r="N84" s="96" t="n"/>
      <c r="O84" s="111" t="n"/>
      <c r="P84" s="111" t="n"/>
      <c r="Q84" s="111" t="n"/>
      <c r="R84" s="96" t="n"/>
      <c r="S84" s="96" t="n"/>
      <c r="T84" s="96" t="n"/>
      <c r="U84" s="96" t="n"/>
      <c r="V84" s="161" t="n"/>
      <c r="W84" s="96" t="n"/>
      <c r="X84" s="161" t="n"/>
      <c r="Y84" s="97" t="n"/>
      <c r="Z84" s="97" t="n"/>
      <c r="AA84" s="97" t="n"/>
      <c r="AB84" s="97" t="n"/>
      <c r="AC84" s="97" t="n"/>
      <c r="AD84" s="161" t="n"/>
      <c r="AE84" s="174" t="n"/>
      <c r="AF84" s="96" t="n"/>
      <c r="AG84" s="97" t="n"/>
      <c r="AH84" s="97" t="n"/>
      <c r="AI84" s="97" t="n"/>
      <c r="AJ84" s="96" t="n"/>
      <c r="AK84" s="130" t="n"/>
    </row>
    <row r="85" ht="12" customHeight="1">
      <c r="A85" s="108" t="inlineStr">
        <is>
          <t>SKHU9615680</t>
        </is>
      </c>
      <c r="B85" s="108" t="n"/>
      <c r="C85" s="108" t="n"/>
      <c r="D85" s="172" t="n"/>
      <c r="E85" s="173" t="n"/>
      <c r="F85" s="96" t="n"/>
      <c r="G85" s="96" t="n"/>
      <c r="H85" s="111" t="n"/>
      <c r="I85" s="96" t="n"/>
      <c r="J85" s="96" t="n"/>
      <c r="K85" s="96" t="n"/>
      <c r="L85" s="111" t="n"/>
      <c r="M85" s="96" t="n"/>
      <c r="N85" s="96" t="n"/>
      <c r="O85" s="111" t="n"/>
      <c r="P85" s="111" t="n"/>
      <c r="Q85" s="111" t="n"/>
      <c r="R85" s="96" t="n"/>
      <c r="S85" s="96" t="n"/>
      <c r="T85" s="96" t="n"/>
      <c r="U85" s="96" t="n"/>
      <c r="V85" s="161" t="n"/>
      <c r="W85" s="96" t="n"/>
      <c r="X85" s="161" t="n"/>
      <c r="Y85" s="97" t="n"/>
      <c r="Z85" s="97" t="n"/>
      <c r="AA85" s="97" t="n"/>
      <c r="AB85" s="97" t="n"/>
      <c r="AC85" s="97" t="n"/>
      <c r="AD85" s="161" t="n"/>
      <c r="AE85" s="174" t="n"/>
      <c r="AF85" s="96" t="n"/>
      <c r="AG85" s="97" t="n"/>
      <c r="AH85" s="97" t="n"/>
      <c r="AI85" s="97" t="n"/>
      <c r="AJ85" s="96" t="n"/>
      <c r="AK85" s="130" t="n"/>
    </row>
    <row r="86" ht="12" customHeight="1">
      <c r="A86" s="108" t="inlineStr">
        <is>
          <t>SKHU9913299</t>
        </is>
      </c>
      <c r="B86" s="108" t="n"/>
      <c r="C86" s="108" t="n"/>
      <c r="D86" s="172" t="n"/>
      <c r="E86" s="173" t="n"/>
      <c r="F86" s="96" t="n"/>
      <c r="G86" s="96" t="n"/>
      <c r="H86" s="111" t="n"/>
      <c r="I86" s="96" t="n"/>
      <c r="J86" s="96" t="n"/>
      <c r="K86" s="96" t="n"/>
      <c r="L86" s="111" t="n"/>
      <c r="M86" s="96" t="n"/>
      <c r="N86" s="96" t="n"/>
      <c r="O86" s="111" t="n"/>
      <c r="P86" s="111" t="n"/>
      <c r="Q86" s="111" t="n"/>
      <c r="R86" s="96" t="n"/>
      <c r="S86" s="96" t="n"/>
      <c r="T86" s="96" t="n"/>
      <c r="U86" s="96" t="n"/>
      <c r="V86" s="161" t="n"/>
      <c r="W86" s="96" t="n"/>
      <c r="X86" s="161" t="n"/>
      <c r="Y86" s="97" t="n"/>
      <c r="Z86" s="97" t="n"/>
      <c r="AA86" s="97" t="n"/>
      <c r="AB86" s="97" t="n"/>
      <c r="AC86" s="97" t="n"/>
      <c r="AD86" s="161" t="n"/>
      <c r="AE86" s="174" t="n"/>
      <c r="AF86" s="96" t="n"/>
      <c r="AG86" s="97" t="n"/>
      <c r="AH86" s="97" t="n"/>
      <c r="AI86" s="97" t="n"/>
      <c r="AJ86" s="96" t="n"/>
      <c r="AK86" s="130" t="n"/>
    </row>
    <row r="87" ht="12" customHeight="1">
      <c r="A87" s="108" t="inlineStr">
        <is>
          <t>SKLU0715325</t>
        </is>
      </c>
      <c r="B87" s="108" t="n"/>
      <c r="C87" s="108" t="n"/>
      <c r="D87" s="172" t="n"/>
      <c r="E87" s="173" t="n"/>
      <c r="F87" s="96" t="n"/>
      <c r="G87" s="96" t="n"/>
      <c r="H87" s="111" t="n"/>
      <c r="I87" s="96" t="n"/>
      <c r="J87" s="96" t="n"/>
      <c r="K87" s="96" t="n"/>
      <c r="L87" s="111" t="n"/>
      <c r="M87" s="96" t="n"/>
      <c r="N87" s="96" t="n"/>
      <c r="O87" s="111" t="n"/>
      <c r="P87" s="111" t="n"/>
      <c r="Q87" s="111" t="n"/>
      <c r="R87" s="96" t="n"/>
      <c r="S87" s="96" t="n"/>
      <c r="T87" s="96" t="n"/>
      <c r="U87" s="96" t="n"/>
      <c r="V87" s="161" t="n"/>
      <c r="W87" s="96" t="n"/>
      <c r="X87" s="161" t="n"/>
      <c r="Y87" s="97" t="n"/>
      <c r="Z87" s="97" t="n"/>
      <c r="AA87" s="97" t="n"/>
      <c r="AB87" s="97" t="n"/>
      <c r="AC87" s="97" t="n"/>
      <c r="AD87" s="161" t="n"/>
      <c r="AE87" s="174" t="n"/>
      <c r="AF87" s="96" t="n"/>
      <c r="AG87" s="97" t="n"/>
      <c r="AH87" s="97" t="n"/>
      <c r="AI87" s="97" t="n"/>
      <c r="AJ87" s="96" t="n"/>
      <c r="AK87" s="130" t="n"/>
    </row>
    <row r="88" ht="12" customHeight="1">
      <c r="A88" s="108" t="inlineStr">
        <is>
          <t>SKLU1004825</t>
        </is>
      </c>
      <c r="B88" s="108" t="n"/>
      <c r="C88" s="108" t="n"/>
      <c r="D88" s="172" t="n"/>
      <c r="E88" s="173" t="n"/>
      <c r="F88" s="96" t="n"/>
      <c r="G88" s="96" t="n"/>
      <c r="H88" s="111" t="n"/>
      <c r="I88" s="96" t="n"/>
      <c r="J88" s="96" t="n"/>
      <c r="K88" s="96" t="n"/>
      <c r="L88" s="111" t="n"/>
      <c r="M88" s="96" t="n"/>
      <c r="N88" s="96" t="n"/>
      <c r="O88" s="111" t="n"/>
      <c r="P88" s="111" t="n"/>
      <c r="Q88" s="111" t="n"/>
      <c r="R88" s="96" t="n"/>
      <c r="S88" s="96" t="n"/>
      <c r="T88" s="96" t="n"/>
      <c r="U88" s="96" t="n"/>
      <c r="V88" s="161" t="n"/>
      <c r="W88" s="96" t="n"/>
      <c r="X88" s="161" t="n"/>
      <c r="Y88" s="97" t="n"/>
      <c r="Z88" s="97" t="n"/>
      <c r="AA88" s="97" t="n"/>
      <c r="AB88" s="97" t="n"/>
      <c r="AC88" s="97" t="n"/>
      <c r="AD88" s="161" t="n"/>
      <c r="AE88" s="174" t="n"/>
      <c r="AF88" s="96" t="n"/>
      <c r="AG88" s="97" t="n"/>
      <c r="AH88" s="97" t="n"/>
      <c r="AI88" s="97" t="n"/>
      <c r="AJ88" s="96" t="n"/>
      <c r="AK88" s="130" t="n"/>
    </row>
    <row r="89" ht="12" customHeight="1">
      <c r="A89" s="108" t="inlineStr">
        <is>
          <t>SKLU1419014</t>
        </is>
      </c>
      <c r="B89" s="108" t="n"/>
      <c r="C89" s="108" t="n"/>
      <c r="D89" s="172" t="n"/>
      <c r="E89" s="173" t="n"/>
      <c r="F89" s="96" t="n"/>
      <c r="G89" s="96" t="n"/>
      <c r="H89" s="111" t="n"/>
      <c r="I89" s="96" t="n"/>
      <c r="J89" s="96" t="n"/>
      <c r="K89" s="96" t="n"/>
      <c r="L89" s="111" t="n"/>
      <c r="M89" s="96" t="n"/>
      <c r="N89" s="96" t="n"/>
      <c r="O89" s="111" t="n"/>
      <c r="P89" s="111" t="n"/>
      <c r="Q89" s="111" t="n"/>
      <c r="R89" s="96" t="n"/>
      <c r="S89" s="96" t="n"/>
      <c r="T89" s="96" t="n"/>
      <c r="U89" s="96" t="n"/>
      <c r="V89" s="161" t="n"/>
      <c r="W89" s="96" t="n"/>
      <c r="X89" s="161" t="n"/>
      <c r="Y89" s="97" t="n"/>
      <c r="Z89" s="97" t="n"/>
      <c r="AA89" s="97" t="n"/>
      <c r="AB89" s="97" t="n"/>
      <c r="AC89" s="97" t="n"/>
      <c r="AD89" s="161" t="n"/>
      <c r="AE89" s="174" t="n"/>
      <c r="AF89" s="96" t="n"/>
      <c r="AG89" s="97" t="n"/>
      <c r="AH89" s="97" t="n"/>
      <c r="AI89" s="97" t="n"/>
      <c r="AJ89" s="96" t="n"/>
      <c r="AK89" s="130" t="n"/>
    </row>
    <row r="90" ht="12" customHeight="1">
      <c r="A90" s="108" t="inlineStr">
        <is>
          <t>SKLU1546214</t>
        </is>
      </c>
      <c r="B90" s="108" t="n"/>
      <c r="C90" s="108" t="n"/>
      <c r="D90" s="172" t="n"/>
      <c r="E90" s="173" t="n"/>
      <c r="F90" s="96" t="n"/>
      <c r="G90" s="96" t="n"/>
      <c r="H90" s="111" t="n"/>
      <c r="I90" s="96" t="n"/>
      <c r="J90" s="96" t="n"/>
      <c r="K90" s="96" t="n"/>
      <c r="L90" s="111" t="n"/>
      <c r="M90" s="96" t="n"/>
      <c r="N90" s="96" t="n"/>
      <c r="O90" s="111" t="n"/>
      <c r="P90" s="111" t="n"/>
      <c r="Q90" s="111" t="n"/>
      <c r="R90" s="96" t="n"/>
      <c r="S90" s="96" t="n"/>
      <c r="T90" s="96" t="n"/>
      <c r="U90" s="96" t="n"/>
      <c r="V90" s="161" t="n"/>
      <c r="W90" s="96" t="n"/>
      <c r="X90" s="161" t="n"/>
      <c r="Y90" s="97" t="n"/>
      <c r="Z90" s="97" t="n"/>
      <c r="AA90" s="97" t="n"/>
      <c r="AB90" s="97" t="n"/>
      <c r="AC90" s="97" t="n"/>
      <c r="AD90" s="161" t="n"/>
      <c r="AE90" s="174" t="n"/>
      <c r="AF90" s="96" t="n"/>
      <c r="AG90" s="97" t="n"/>
      <c r="AH90" s="97" t="n"/>
      <c r="AI90" s="97" t="n"/>
      <c r="AJ90" s="96" t="n"/>
      <c r="AK90" s="130" t="n"/>
    </row>
    <row r="91" ht="12" customHeight="1">
      <c r="A91" s="108" t="inlineStr">
        <is>
          <t>SKLU1583434</t>
        </is>
      </c>
      <c r="B91" s="108" t="n"/>
      <c r="C91" s="108" t="n"/>
      <c r="D91" s="172" t="n"/>
      <c r="E91" s="173" t="n"/>
      <c r="F91" s="96" t="n"/>
      <c r="G91" s="96" t="n"/>
      <c r="H91" s="111" t="n"/>
      <c r="I91" s="96" t="n"/>
      <c r="J91" s="96" t="n"/>
      <c r="K91" s="96" t="n"/>
      <c r="L91" s="111" t="n"/>
      <c r="M91" s="96" t="n"/>
      <c r="N91" s="96" t="n"/>
      <c r="O91" s="111" t="n"/>
      <c r="P91" s="111" t="n"/>
      <c r="Q91" s="111" t="n"/>
      <c r="R91" s="96" t="n"/>
      <c r="S91" s="96" t="n"/>
      <c r="T91" s="96" t="n"/>
      <c r="U91" s="96" t="n"/>
      <c r="V91" s="161" t="n"/>
      <c r="W91" s="96" t="n"/>
      <c r="X91" s="161" t="n"/>
      <c r="Y91" s="97" t="n"/>
      <c r="Z91" s="97" t="n"/>
      <c r="AA91" s="97" t="n"/>
      <c r="AB91" s="97" t="n"/>
      <c r="AC91" s="97" t="n"/>
      <c r="AD91" s="161" t="n"/>
      <c r="AE91" s="174" t="n"/>
      <c r="AF91" s="96" t="n"/>
      <c r="AG91" s="97" t="n"/>
      <c r="AH91" s="97" t="n"/>
      <c r="AI91" s="97" t="n"/>
      <c r="AJ91" s="96" t="n"/>
      <c r="AK91" s="130" t="n"/>
    </row>
    <row r="92" ht="12" customHeight="1">
      <c r="A92" s="108" t="inlineStr">
        <is>
          <t>SKLU1597464</t>
        </is>
      </c>
      <c r="B92" s="108" t="n"/>
      <c r="C92" s="108" t="n"/>
      <c r="D92" s="172" t="n"/>
      <c r="E92" s="173" t="n"/>
      <c r="F92" s="96" t="n"/>
      <c r="G92" s="96" t="n"/>
      <c r="H92" s="111" t="n"/>
      <c r="I92" s="96" t="n"/>
      <c r="J92" s="96" t="n"/>
      <c r="K92" s="96" t="n"/>
      <c r="L92" s="111" t="n"/>
      <c r="M92" s="96" t="n"/>
      <c r="N92" s="96" t="n"/>
      <c r="O92" s="111" t="n"/>
      <c r="P92" s="111" t="n"/>
      <c r="Q92" s="111" t="n"/>
      <c r="R92" s="96" t="n"/>
      <c r="S92" s="96" t="n"/>
      <c r="T92" s="96" t="n"/>
      <c r="U92" s="96" t="n"/>
      <c r="V92" s="161" t="n"/>
      <c r="W92" s="96" t="n"/>
      <c r="X92" s="161" t="n"/>
      <c r="Y92" s="97" t="n"/>
      <c r="Z92" s="97" t="n"/>
      <c r="AA92" s="97" t="n"/>
      <c r="AB92" s="97" t="n"/>
      <c r="AC92" s="97" t="n"/>
      <c r="AD92" s="161" t="n"/>
      <c r="AE92" s="174" t="n"/>
      <c r="AF92" s="96" t="n"/>
      <c r="AG92" s="97" t="n"/>
      <c r="AH92" s="97" t="n"/>
      <c r="AI92" s="97" t="n"/>
      <c r="AJ92" s="96" t="n"/>
      <c r="AK92" s="130" t="n"/>
    </row>
    <row r="93" ht="12" customHeight="1">
      <c r="A93" s="108" t="inlineStr">
        <is>
          <t>SKLU1622274</t>
        </is>
      </c>
      <c r="B93" s="108" t="n"/>
      <c r="C93" s="108" t="n"/>
      <c r="D93" s="172" t="n"/>
      <c r="E93" s="173" t="n"/>
      <c r="F93" s="96" t="n"/>
      <c r="G93" s="96" t="n"/>
      <c r="H93" s="111" t="n"/>
      <c r="I93" s="96" t="n"/>
      <c r="J93" s="96" t="n"/>
      <c r="K93" s="96" t="n"/>
      <c r="L93" s="111" t="n"/>
      <c r="M93" s="96" t="n"/>
      <c r="N93" s="96" t="n"/>
      <c r="O93" s="111" t="n"/>
      <c r="P93" s="111" t="n"/>
      <c r="Q93" s="111" t="n"/>
      <c r="R93" s="96" t="n"/>
      <c r="S93" s="96" t="n"/>
      <c r="T93" s="96" t="n"/>
      <c r="U93" s="96" t="n"/>
      <c r="V93" s="161" t="n"/>
      <c r="W93" s="96" t="n"/>
      <c r="X93" s="161" t="n"/>
      <c r="Y93" s="97" t="n"/>
      <c r="Z93" s="97" t="n"/>
      <c r="AA93" s="97" t="n"/>
      <c r="AB93" s="97" t="n"/>
      <c r="AC93" s="97" t="n"/>
      <c r="AD93" s="161" t="n"/>
      <c r="AE93" s="174" t="n"/>
      <c r="AF93" s="96" t="n"/>
      <c r="AG93" s="97" t="n"/>
      <c r="AH93" s="97" t="n"/>
      <c r="AI93" s="97" t="n"/>
      <c r="AJ93" s="96" t="n"/>
      <c r="AK93" s="130" t="n"/>
    </row>
    <row r="94" ht="12" customHeight="1">
      <c r="A94" s="108" t="inlineStr">
        <is>
          <t>SKLU1807160</t>
        </is>
      </c>
      <c r="B94" s="108" t="n"/>
      <c r="C94" s="108" t="n"/>
      <c r="D94" s="172" t="n"/>
      <c r="E94" s="173" t="n"/>
      <c r="F94" s="96" t="n"/>
      <c r="G94" s="96" t="n"/>
      <c r="H94" s="111" t="n"/>
      <c r="I94" s="96" t="n"/>
      <c r="J94" s="96" t="n"/>
      <c r="K94" s="96" t="n"/>
      <c r="L94" s="111" t="n"/>
      <c r="M94" s="96" t="n"/>
      <c r="N94" s="96" t="n"/>
      <c r="O94" s="111" t="n"/>
      <c r="P94" s="111" t="n"/>
      <c r="Q94" s="111" t="n"/>
      <c r="R94" s="96" t="n"/>
      <c r="S94" s="96" t="n"/>
      <c r="T94" s="96" t="n"/>
      <c r="U94" s="96" t="n"/>
      <c r="V94" s="161" t="n"/>
      <c r="W94" s="96" t="n"/>
      <c r="X94" s="161" t="n"/>
      <c r="Y94" s="97" t="n"/>
      <c r="Z94" s="97" t="n"/>
      <c r="AA94" s="97" t="n"/>
      <c r="AB94" s="97" t="n"/>
      <c r="AC94" s="97" t="n"/>
      <c r="AD94" s="161" t="n"/>
      <c r="AE94" s="174" t="n"/>
      <c r="AF94" s="96" t="n"/>
      <c r="AG94" s="97" t="n"/>
      <c r="AH94" s="97" t="n"/>
      <c r="AI94" s="97" t="n"/>
      <c r="AJ94" s="96" t="n"/>
      <c r="AK94" s="130" t="n"/>
    </row>
    <row r="95" ht="12" customHeight="1">
      <c r="A95" s="108" t="inlineStr">
        <is>
          <t>SKLU2073311</t>
        </is>
      </c>
      <c r="B95" s="108" t="n"/>
      <c r="C95" s="108" t="n"/>
      <c r="D95" s="172" t="n"/>
      <c r="E95" s="173" t="n"/>
      <c r="F95" s="96" t="n"/>
      <c r="G95" s="96" t="n"/>
      <c r="H95" s="111" t="n"/>
      <c r="I95" s="96" t="n"/>
      <c r="J95" s="96" t="n"/>
      <c r="K95" s="96" t="n"/>
      <c r="L95" s="111" t="n"/>
      <c r="M95" s="96" t="n"/>
      <c r="N95" s="96" t="n"/>
      <c r="O95" s="111" t="n"/>
      <c r="P95" s="111" t="n"/>
      <c r="Q95" s="111" t="n"/>
      <c r="R95" s="96" t="n"/>
      <c r="S95" s="96" t="n"/>
      <c r="T95" s="96" t="n"/>
      <c r="U95" s="96" t="n"/>
      <c r="V95" s="161" t="n"/>
      <c r="W95" s="96" t="n"/>
      <c r="X95" s="161" t="n"/>
      <c r="Y95" s="97" t="n"/>
      <c r="Z95" s="97" t="n"/>
      <c r="AA95" s="97" t="n"/>
      <c r="AB95" s="97" t="n"/>
      <c r="AC95" s="97" t="n"/>
      <c r="AD95" s="161" t="n"/>
      <c r="AE95" s="174" t="n"/>
      <c r="AF95" s="96" t="n"/>
      <c r="AG95" s="97" t="n"/>
      <c r="AH95" s="97" t="n"/>
      <c r="AI95" s="97" t="n"/>
      <c r="AJ95" s="96" t="n"/>
      <c r="AK95" s="130" t="n"/>
    </row>
    <row r="96" ht="12" customHeight="1">
      <c r="A96" s="108" t="inlineStr">
        <is>
          <t>SKLU2303862</t>
        </is>
      </c>
      <c r="B96" s="108" t="n"/>
      <c r="C96" s="108" t="n"/>
      <c r="D96" s="172" t="n"/>
      <c r="E96" s="173" t="n"/>
      <c r="F96" s="96" t="n"/>
      <c r="G96" s="96" t="n"/>
      <c r="H96" s="111" t="n"/>
      <c r="I96" s="96" t="n"/>
      <c r="J96" s="96" t="n"/>
      <c r="K96" s="96" t="n"/>
      <c r="L96" s="111" t="n"/>
      <c r="M96" s="96" t="n"/>
      <c r="N96" s="96" t="n"/>
      <c r="O96" s="111" t="n"/>
      <c r="P96" s="111" t="n"/>
      <c r="Q96" s="111" t="n"/>
      <c r="R96" s="96" t="n"/>
      <c r="S96" s="96" t="n"/>
      <c r="T96" s="96" t="n"/>
      <c r="U96" s="96" t="n"/>
      <c r="V96" s="161" t="n"/>
      <c r="W96" s="96" t="n"/>
      <c r="X96" s="161" t="n"/>
      <c r="Y96" s="97" t="n"/>
      <c r="Z96" s="97" t="n"/>
      <c r="AA96" s="97" t="n"/>
      <c r="AB96" s="97" t="n"/>
      <c r="AC96" s="97" t="n"/>
      <c r="AD96" s="161" t="n"/>
      <c r="AE96" s="174" t="n"/>
      <c r="AF96" s="96" t="n"/>
      <c r="AG96" s="97" t="n"/>
      <c r="AH96" s="97" t="n"/>
      <c r="AI96" s="97" t="n"/>
      <c r="AJ96" s="96" t="n"/>
      <c r="AK96" s="130" t="n"/>
    </row>
    <row r="97" ht="12" customHeight="1">
      <c r="A97" s="108" t="inlineStr">
        <is>
          <t>SKLU2416534</t>
        </is>
      </c>
      <c r="B97" s="108" t="n"/>
      <c r="C97" s="108" t="n"/>
      <c r="D97" s="172" t="n"/>
      <c r="E97" s="173" t="n"/>
      <c r="F97" s="96" t="n"/>
      <c r="G97" s="96" t="n"/>
      <c r="H97" s="111" t="n"/>
      <c r="I97" s="96" t="n"/>
      <c r="J97" s="96" t="n"/>
      <c r="K97" s="96" t="n"/>
      <c r="L97" s="111" t="n"/>
      <c r="M97" s="96" t="n"/>
      <c r="N97" s="96" t="n"/>
      <c r="O97" s="111" t="n"/>
      <c r="P97" s="111" t="n"/>
      <c r="Q97" s="111" t="n"/>
      <c r="R97" s="96" t="n"/>
      <c r="S97" s="96" t="n"/>
      <c r="T97" s="96" t="n"/>
      <c r="U97" s="96" t="n"/>
      <c r="V97" s="161" t="n"/>
      <c r="W97" s="96" t="n"/>
      <c r="X97" s="161" t="n"/>
      <c r="Y97" s="97" t="n"/>
      <c r="Z97" s="97" t="n"/>
      <c r="AA97" s="97" t="n"/>
      <c r="AB97" s="97" t="n"/>
      <c r="AC97" s="97" t="n"/>
      <c r="AD97" s="161" t="n"/>
      <c r="AE97" s="174" t="n"/>
      <c r="AF97" s="96" t="n"/>
      <c r="AG97" s="97" t="n"/>
      <c r="AH97" s="97" t="n"/>
      <c r="AI97" s="97" t="n"/>
      <c r="AJ97" s="96" t="n"/>
      <c r="AK97" s="130" t="n"/>
    </row>
    <row r="98" ht="12" customHeight="1">
      <c r="A98" s="108" t="inlineStr">
        <is>
          <t>SKLU2475901</t>
        </is>
      </c>
      <c r="B98" s="108" t="n"/>
      <c r="C98" s="108" t="n"/>
      <c r="D98" s="172" t="n"/>
      <c r="E98" s="173" t="n"/>
      <c r="F98" s="96" t="n"/>
      <c r="G98" s="96" t="n"/>
      <c r="H98" s="111" t="n"/>
      <c r="I98" s="96" t="n"/>
      <c r="J98" s="96" t="n"/>
      <c r="K98" s="96" t="n"/>
      <c r="L98" s="111" t="n"/>
      <c r="M98" s="96" t="n"/>
      <c r="N98" s="96" t="n"/>
      <c r="O98" s="111" t="n"/>
      <c r="P98" s="111" t="n"/>
      <c r="Q98" s="111" t="n"/>
      <c r="R98" s="96" t="n"/>
      <c r="S98" s="96" t="n"/>
      <c r="T98" s="96" t="n"/>
      <c r="U98" s="96" t="n"/>
      <c r="V98" s="161" t="n"/>
      <c r="W98" s="96" t="n"/>
      <c r="X98" s="161" t="n"/>
      <c r="Y98" s="97" t="n"/>
      <c r="Z98" s="97" t="n"/>
      <c r="AA98" s="97" t="n"/>
      <c r="AB98" s="97" t="n"/>
      <c r="AC98" s="97" t="n"/>
      <c r="AD98" s="161" t="n"/>
      <c r="AE98" s="174" t="n"/>
      <c r="AF98" s="96" t="n"/>
      <c r="AG98" s="97" t="n"/>
      <c r="AH98" s="97" t="n"/>
      <c r="AI98" s="97" t="n"/>
      <c r="AJ98" s="96" t="n"/>
      <c r="AK98" s="130" t="n"/>
    </row>
    <row r="99" ht="12" customHeight="1">
      <c r="A99" s="108" t="inlineStr">
        <is>
          <t>SKRU9602893</t>
        </is>
      </c>
      <c r="B99" s="108" t="n"/>
      <c r="C99" s="108" t="n"/>
      <c r="D99" s="172" t="n"/>
      <c r="E99" s="173" t="n"/>
      <c r="F99" s="96" t="n"/>
      <c r="G99" s="96" t="n"/>
      <c r="H99" s="111" t="n"/>
      <c r="I99" s="96" t="n"/>
      <c r="J99" s="96" t="n"/>
      <c r="K99" s="96" t="n"/>
      <c r="L99" s="111" t="n"/>
      <c r="M99" s="96" t="n"/>
      <c r="N99" s="96" t="n"/>
      <c r="O99" s="111" t="n"/>
      <c r="P99" s="111" t="n"/>
      <c r="Q99" s="111" t="n"/>
      <c r="R99" s="96" t="n"/>
      <c r="S99" s="96" t="n"/>
      <c r="T99" s="96" t="n"/>
      <c r="U99" s="96" t="n"/>
      <c r="V99" s="161" t="n"/>
      <c r="W99" s="96" t="n"/>
      <c r="X99" s="161" t="n"/>
      <c r="Y99" s="97" t="n"/>
      <c r="Z99" s="97" t="n"/>
      <c r="AA99" s="97" t="n"/>
      <c r="AB99" s="97" t="n"/>
      <c r="AC99" s="97" t="n"/>
      <c r="AD99" s="161" t="n"/>
      <c r="AE99" s="174" t="n"/>
      <c r="AF99" s="96" t="n"/>
      <c r="AG99" s="97" t="n"/>
      <c r="AH99" s="97" t="n"/>
      <c r="AI99" s="97" t="n"/>
      <c r="AJ99" s="96" t="n"/>
      <c r="AK99" s="130" t="n"/>
    </row>
    <row r="100" ht="12" customHeight="1">
      <c r="A100" s="108" t="inlineStr">
        <is>
          <t>TCKU2824258</t>
        </is>
      </c>
      <c r="B100" s="108" t="n"/>
      <c r="C100" s="108" t="n"/>
      <c r="D100" s="172" t="n"/>
      <c r="E100" s="173" t="n"/>
      <c r="F100" s="96" t="n"/>
      <c r="G100" s="96" t="n"/>
      <c r="H100" s="111" t="n"/>
      <c r="I100" s="96" t="n"/>
      <c r="J100" s="96" t="n"/>
      <c r="K100" s="96" t="n"/>
      <c r="L100" s="111" t="n"/>
      <c r="M100" s="96" t="n"/>
      <c r="N100" s="96" t="n"/>
      <c r="O100" s="111" t="n"/>
      <c r="P100" s="111" t="n"/>
      <c r="Q100" s="111" t="n"/>
      <c r="R100" s="96" t="n"/>
      <c r="S100" s="96" t="n"/>
      <c r="T100" s="96" t="n"/>
      <c r="U100" s="96" t="n"/>
      <c r="V100" s="161" t="n"/>
      <c r="W100" s="96" t="n"/>
      <c r="X100" s="161" t="n"/>
      <c r="Y100" s="97" t="n"/>
      <c r="Z100" s="97" t="n"/>
      <c r="AA100" s="97" t="n"/>
      <c r="AB100" s="97" t="n"/>
      <c r="AC100" s="97" t="n"/>
      <c r="AD100" s="161" t="n"/>
      <c r="AE100" s="174" t="n"/>
      <c r="AF100" s="96" t="n"/>
      <c r="AG100" s="97" t="n"/>
      <c r="AH100" s="97" t="n"/>
      <c r="AI100" s="97" t="n"/>
      <c r="AJ100" s="96" t="n"/>
      <c r="AK100" s="130" t="n"/>
    </row>
    <row r="101" ht="12" customHeight="1">
      <c r="A101" s="108" t="inlineStr">
        <is>
          <t>TGCU2400350</t>
        </is>
      </c>
      <c r="B101" s="108" t="n"/>
      <c r="C101" s="108" t="n"/>
      <c r="D101" s="172" t="n"/>
      <c r="E101" s="173" t="n"/>
      <c r="F101" s="96" t="n"/>
      <c r="G101" s="96" t="n"/>
      <c r="H101" s="111" t="n"/>
      <c r="I101" s="96" t="n"/>
      <c r="J101" s="96" t="n"/>
      <c r="K101" s="96" t="n"/>
      <c r="L101" s="111" t="n"/>
      <c r="M101" s="96" t="n"/>
      <c r="N101" s="96" t="n"/>
      <c r="O101" s="111" t="n"/>
      <c r="P101" s="111" t="n"/>
      <c r="Q101" s="111" t="n"/>
      <c r="R101" s="96" t="n"/>
      <c r="S101" s="96" t="n"/>
      <c r="T101" s="96" t="n"/>
      <c r="U101" s="96" t="n"/>
      <c r="V101" s="161" t="n"/>
      <c r="W101" s="96" t="n"/>
      <c r="X101" s="161" t="n"/>
      <c r="Y101" s="97" t="n"/>
      <c r="Z101" s="97" t="n"/>
      <c r="AA101" s="97" t="n"/>
      <c r="AB101" s="97" t="n"/>
      <c r="AC101" s="97" t="n"/>
      <c r="AD101" s="161" t="n"/>
      <c r="AE101" s="174" t="n"/>
      <c r="AF101" s="96" t="n"/>
      <c r="AG101" s="97" t="n"/>
      <c r="AH101" s="97" t="n"/>
      <c r="AI101" s="97" t="n"/>
      <c r="AJ101" s="96" t="n"/>
      <c r="AK101" s="130" t="n"/>
    </row>
    <row r="102" ht="12" customHeight="1">
      <c r="A102" s="108" t="inlineStr">
        <is>
          <t>TGCU2422616</t>
        </is>
      </c>
      <c r="B102" s="108" t="n"/>
      <c r="C102" s="108" t="n"/>
      <c r="D102" s="172" t="n"/>
      <c r="E102" s="173" t="n"/>
      <c r="F102" s="96" t="n"/>
      <c r="G102" s="96" t="n"/>
      <c r="H102" s="111" t="n"/>
      <c r="I102" s="96" t="n"/>
      <c r="J102" s="96" t="n"/>
      <c r="K102" s="96" t="n"/>
      <c r="L102" s="111" t="n"/>
      <c r="M102" s="96" t="n"/>
      <c r="N102" s="96" t="n"/>
      <c r="O102" s="111" t="n"/>
      <c r="P102" s="111" t="n"/>
      <c r="Q102" s="111" t="n"/>
      <c r="R102" s="96" t="n"/>
      <c r="S102" s="96" t="n"/>
      <c r="T102" s="96" t="n"/>
      <c r="U102" s="96" t="n"/>
      <c r="V102" s="161" t="n"/>
      <c r="W102" s="96" t="n"/>
      <c r="X102" s="161" t="n"/>
      <c r="Y102" s="97" t="n"/>
      <c r="Z102" s="97" t="n"/>
      <c r="AA102" s="97" t="n"/>
      <c r="AB102" s="97" t="n"/>
      <c r="AC102" s="97" t="n"/>
      <c r="AD102" s="161" t="n"/>
      <c r="AE102" s="174" t="n"/>
      <c r="AF102" s="96" t="n"/>
      <c r="AG102" s="97" t="n"/>
      <c r="AH102" s="97" t="n"/>
      <c r="AI102" s="97" t="n"/>
      <c r="AJ102" s="96" t="n"/>
      <c r="AK102" s="130" t="n"/>
    </row>
    <row r="103" ht="12" customHeight="1">
      <c r="A103" s="108" t="inlineStr">
        <is>
          <t>TGCU2423130</t>
        </is>
      </c>
      <c r="B103" s="108" t="n"/>
      <c r="C103" s="108" t="n"/>
      <c r="D103" s="172" t="n"/>
      <c r="E103" s="173" t="n"/>
      <c r="F103" s="96" t="n"/>
      <c r="G103" s="96" t="n"/>
      <c r="H103" s="111" t="n"/>
      <c r="I103" s="96" t="n"/>
      <c r="J103" s="96" t="n"/>
      <c r="K103" s="96" t="n"/>
      <c r="L103" s="111" t="n"/>
      <c r="M103" s="96" t="n"/>
      <c r="N103" s="96" t="n"/>
      <c r="O103" s="111" t="n"/>
      <c r="P103" s="111" t="n"/>
      <c r="Q103" s="111" t="n"/>
      <c r="R103" s="96" t="n"/>
      <c r="S103" s="96" t="n"/>
      <c r="T103" s="96" t="n"/>
      <c r="U103" s="96" t="n"/>
      <c r="V103" s="161" t="n"/>
      <c r="W103" s="96" t="n"/>
      <c r="X103" s="161" t="n"/>
      <c r="Y103" s="97" t="n"/>
      <c r="Z103" s="97" t="n"/>
      <c r="AA103" s="97" t="n"/>
      <c r="AB103" s="97" t="n"/>
      <c r="AC103" s="97" t="n"/>
      <c r="AD103" s="161" t="n"/>
      <c r="AE103" s="174" t="n"/>
      <c r="AF103" s="96" t="n"/>
      <c r="AG103" s="97" t="n"/>
      <c r="AH103" s="97" t="n"/>
      <c r="AI103" s="97" t="n"/>
      <c r="AJ103" s="96" t="n"/>
      <c r="AK103" s="130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3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1800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1800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FBIU5086896</t>
        </is>
      </c>
      <c r="B3" s="4" t="str">
        <f>IF(C3=Charge!$M$1,Charge!$J$1,IF(C3=Charge!$M$23,Charge!$J$23,IF(C3=Charge!$M$17,Charge!$J$17,IF(C3=Charge!$N$17,Charge!$J$17,Charge!$J$7))))</f>
        <v>G4</v>
      </c>
      <c r="C3" s="61" t="str">
        <f>VLOOKUP(A3,'1.Loading'!A:R,14,FALSE)</f>
        <v>BKK02</v>
      </c>
      <c r="D3" s="61" t="str">
        <f>VLOOKUP(A3,'1.Loading'!A:R,17,FALSE)</f>
        <v>HASLS22260901042</v>
      </c>
      <c r="E3" s="62" t="str">
        <f>VLOOKUP(D3,'2.Bookinglist'!A:CT,27,FALSE)</f>
        <v>THAI UNION MANUFACTURING CO., LTD.</v>
      </c>
      <c r="F3" s="62" t="str">
        <f>VLOOKUP(D3,'2.Bookinglist'!A:CT,28,FALSE)</f>
        <v>THAI UNION MANUFACTURING CO., LTD.</v>
      </c>
      <c r="G3" s="60">
        <f>VLOOKUP(D3,'2.Bookinglist'!A:E,5,FALSE)</f>
        <v>0</v>
      </c>
      <c r="H3" s="61" t="str">
        <f>VLOOKUP(D3,'2.Bookinglist'!A:CT,15,FALSE)</f>
        <v>THBKK</v>
      </c>
      <c r="I3" s="61" t="str">
        <f>VLOOKUP(D3,'2.Bookinglist'!A:CT,19,FALSE)</f>
        <v>KRPUS</v>
      </c>
      <c r="J3" s="61">
        <f>VLOOKUP(D3,'2.Bookinglist'!A:CT,26,FALSE)</f>
        <v>0</v>
      </c>
      <c r="K3" s="61" t="str">
        <f>VLOOKUP(A3,'1.Loading'!A:R,5,FALSE)</f>
        <v>45RE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>RF</v>
      </c>
      <c r="O3" s="61" t="str">
        <f>VLOOKUP(A3,'1.Loading'!A:R,3,FALSE)</f>
        <v>DJCF</v>
      </c>
      <c r="P3" s="61" t="str">
        <f>VLOOKUP(A3,'1.Loading'!A:R,4,FALSE)</f>
        <v>0152N</v>
      </c>
      <c r="Q3" s="61" t="str">
        <f>VLOOKUP(D3,'2.Bookinglist'!A:CT,12,FALSE)</f>
        <v>NTX</v>
      </c>
      <c r="R3" s="60" t="str">
        <f>IF(LEFT(K3,2)="22","20'","40'")</f>
        <v>40'</v>
      </c>
      <c r="S3" s="101" t="n"/>
      <c r="T3" s="61" t="str">
        <f>VLOOKUP(A3,'1.Loading'!A:R,2,FALSE)</f>
        <v>2026-10-11</v>
      </c>
      <c r="U3" s="63">
        <f>T3-S3</f>
        <v>46306</v>
      </c>
      <c r="V3" s="178" t="n"/>
      <c r="W3" s="61" t="str">
        <f>VLOOKUP(A3,'3.GateMove'!A:D,4,FALSE)</f>
        <v>2026-10-08</v>
      </c>
      <c r="X3" s="63">
        <f>((T3-W3)+1)</f>
        <v>4</v>
      </c>
      <c r="Y3" s="64">
        <f>IF(AND(OR(C3="BKK01",C3="BKK04"),L3="CFS/CY"),0,IF(M3="DG",1,IF(LEFT(C3,3)="LCH",7,IF(C3="BKK02",5,3))))</f>
        <v>5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3</v>
      </c>
      <c r="AE3" s="63">
        <f>(T3-V3)+1</f>
        <v>46307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Nustsireerach</v>
      </c>
      <c r="AL3" s="60" t="str">
        <f>VLOOKUP(D3,'2.Bookinglist'!A:CW,101,FALSE)</f>
        <v>2026-10-10</v>
      </c>
      <c r="AM3" s="60" t="str">
        <f>VLOOKUP(D3,'2.Bookinglist'!A:BK,63,FALSE)</f>
        <v>BKK27</v>
      </c>
      <c r="AN3" s="62" t="str">
        <f>VLOOKUP(D3,'2.Bookinglist'!A:AZ,52,FALSE)</f>
        <v>Pickup : 2026-10-06, Return : 2026-10-07 RF45REx1 (Temp -20.0 / Vent Close) 
 CLS TIME : 09/10/2026 @12.00 </v>
      </c>
      <c r="AO3" s="62">
        <f>VLOOKUP(D3,'2.Bookinglist'!A:CY,103,FALSE)</f>
        <v>0</v>
      </c>
    </row>
    <row r="4" ht="12.95" customHeight="1">
      <c r="A4" s="96" t="inlineStr">
        <is>
          <t>FBIU5089690</t>
        </is>
      </c>
      <c r="B4" s="184" t="str">
        <f>IF(C4=Charge!$M$1,Charge!$J$1,IF(C4=Charge!$M$23,Charge!$J$23,IF(C4=Charge!$M$17,Charge!$J$17,IF(C4=Charge!$N$17,Charge!$J$17,Charge!$J$7))))</f>
        <v>G4</v>
      </c>
      <c r="C4" s="61" t="str">
        <f>VLOOKUP(A4,'1.Loading'!A:R,14,FALSE)</f>
        <v>BKK02</v>
      </c>
      <c r="D4" s="61" t="str">
        <f>VLOOKUP(A4,'1.Loading'!A:R,17,FALSE)</f>
        <v>HASLS22260901487</v>
      </c>
      <c r="E4" s="62" t="str">
        <f>VLOOKUP(D4,'2.Bookinglist'!A:CT,27,FALSE)</f>
        <v>OPENSEA CARGO SERVICE CO., LTD.</v>
      </c>
      <c r="F4" s="62" t="str">
        <f>VLOOKUP(D4,'2.Bookinglist'!A:CT,28,FALSE)</f>
        <v>KCG CORPORATION PUBLIC COMPANY LIMITED</v>
      </c>
      <c r="G4" s="60">
        <f>VLOOKUP(D4,'2.Bookinglist'!A:E,5,FALSE)</f>
        <v>0</v>
      </c>
      <c r="H4" s="61" t="str">
        <f>VLOOKUP(D4,'2.Bookinglist'!A:CT,15,FALSE)</f>
        <v>THBKK</v>
      </c>
      <c r="I4" s="61" t="str">
        <f>VLOOKUP(D4,'2.Bookinglist'!A:CT,19,FALSE)</f>
        <v>VNSGN</v>
      </c>
      <c r="J4" s="61">
        <f>VLOOKUP(D4,'2.Bookinglist'!A:CT,26,FALSE)</f>
        <v>0</v>
      </c>
      <c r="K4" s="61" t="str">
        <f>VLOOKUP(A4,'1.Loading'!A:R,5,FALSE)</f>
        <v>45RE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>RF</v>
      </c>
      <c r="O4" s="61" t="str">
        <f>VLOOKUP(A4,'1.Loading'!A:R,3,FALSE)</f>
        <v>DJCF</v>
      </c>
      <c r="P4" s="61" t="str">
        <f>VLOOKUP(A4,'1.Loading'!A:R,4,FALSE)</f>
        <v>0152N</v>
      </c>
      <c r="Q4" s="61" t="str">
        <f>VLOOKUP(D4,'2.Bookinglist'!A:CT,12,FALSE)</f>
        <v>NTX</v>
      </c>
      <c r="R4" s="60" t="str">
        <f>IF(LEFT(K4,2)="22","20'","40'")</f>
        <v>40'</v>
      </c>
      <c r="S4" s="185" t="n"/>
      <c r="T4" s="61" t="str">
        <f>VLOOKUP(A4,'1.Loading'!A:R,2,FALSE)</f>
        <v>2026-10-11</v>
      </c>
      <c r="U4" s="63">
        <f>T4-S4</f>
        <v>46306</v>
      </c>
      <c r="V4" s="186" t="n"/>
      <c r="W4" s="61" t="str">
        <f>VLOOKUP(A4,'3.GateMove'!A:D,4,FALSE)</f>
        <v>2026-10-08</v>
      </c>
      <c r="X4" s="63">
        <f>((T4-W4)+1)</f>
        <v>4</v>
      </c>
      <c r="Y4" s="64">
        <f>IF(AND(OR(C4="BKK01",C4="BKK04"),L4="CFS/CY"),0,IF(M4="DG",1,IF(LEFT(C4,3)="LCH",7,IF(C4="BKK02",5,3))))</f>
        <v>5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3</v>
      </c>
      <c r="AE4" s="63">
        <f>(T4-V4)+1</f>
        <v>46307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Sukunpoj Damrongying</v>
      </c>
      <c r="AL4" s="60" t="str">
        <f>VLOOKUP(D4,'2.Bookinglist'!A:CW,101,FALSE)</f>
        <v>2026-10-11</v>
      </c>
      <c r="AM4" s="60" t="str">
        <f>VLOOKUP(D4,'2.Bookinglist'!A:BK,63,FALSE)</f>
        <v>BKK27</v>
      </c>
      <c r="AN4" s="62" t="str">
        <f>VLOOKUP(D4,'2.Bookinglist'!A:AZ,52,FALSE)</f>
        <v>Pickup : 2026-10-08, Return : 2026-10-08 (Temp +0.0 / Vent Close) *PRECOOL*
CLS TIME 09/10/26 @23.59 COST PRECOOL = 1,200 BAHT</v>
      </c>
      <c r="AO4" s="62">
        <f>VLOOKUP(D4,'2.Bookinglist'!A:CY,103,FALSE)</f>
        <v>0</v>
      </c>
    </row>
    <row r="5" ht="12.95" customHeight="1">
      <c r="A5" s="96" t="inlineStr">
        <is>
          <t>FSCU5888803</t>
        </is>
      </c>
      <c r="B5" s="184" t="str">
        <f>IF(C5=Charge!$M$1,Charge!$J$1,IF(C5=Charge!$M$23,Charge!$J$23,IF(C5=Charge!$M$17,Charge!$J$17,IF(C5=Charge!$N$17,Charge!$J$17,Charge!$J$7))))</f>
        <v>G4</v>
      </c>
      <c r="C5" s="61" t="str">
        <f>VLOOKUP(A5,'1.Loading'!A:R,14,FALSE)</f>
        <v>BKK02</v>
      </c>
      <c r="D5" s="61" t="str">
        <f>VLOOKUP(A5,'1.Loading'!A:R,17,FALSE)</f>
        <v>HASLS22260902719</v>
      </c>
      <c r="E5" s="62" t="str">
        <f>VLOOKUP(D5,'2.Bookinglist'!A:CT,27,FALSE)</f>
        <v>YUSEN LOGISTICS (THAILAND) CO., LTD.</v>
      </c>
      <c r="F5" s="62" t="str">
        <f>VLOOKUP(D5,'2.Bookinglist'!A:CT,28,FALSE)</f>
        <v>DAIICHI SANKYO (THAILAND) CO., LTD  </v>
      </c>
      <c r="G5" s="60">
        <f>VLOOKUP(D5,'2.Bookinglist'!A:E,5,FALSE)</f>
        <v>0</v>
      </c>
      <c r="H5" s="61" t="str">
        <f>VLOOKUP(D5,'2.Bookinglist'!A:CT,15,FALSE)</f>
        <v>THBKK</v>
      </c>
      <c r="I5" s="61" t="str">
        <f>VLOOKUP(D5,'2.Bookinglist'!A:CT,19,FALSE)</f>
        <v>VNSGN</v>
      </c>
      <c r="J5" s="61">
        <f>VLOOKUP(D5,'2.Bookinglist'!A:CT,26,FALSE)</f>
        <v>0</v>
      </c>
      <c r="K5" s="61" t="str">
        <f>VLOOKUP(A5,'1.Loading'!A:R,5,FALSE)</f>
        <v>45RE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>RF</v>
      </c>
      <c r="O5" s="61" t="str">
        <f>VLOOKUP(A5,'1.Loading'!A:R,3,FALSE)</f>
        <v>DJCF</v>
      </c>
      <c r="P5" s="61" t="str">
        <f>VLOOKUP(A5,'1.Loading'!A:R,4,FALSE)</f>
        <v>0152N</v>
      </c>
      <c r="Q5" s="61" t="str">
        <f>VLOOKUP(D5,'2.Bookinglist'!A:CT,12,FALSE)</f>
        <v>NTX</v>
      </c>
      <c r="R5" s="60" t="str">
        <f>IF(LEFT(K5,2)="22","20'","40'")</f>
        <v>40'</v>
      </c>
      <c r="S5" s="185" t="n"/>
      <c r="T5" s="61" t="str">
        <f>VLOOKUP(A5,'1.Loading'!A:R,2,FALSE)</f>
        <v>2026-10-11</v>
      </c>
      <c r="U5" s="63">
        <f>T5-S5</f>
        <v>46306</v>
      </c>
      <c r="V5" s="186" t="n"/>
      <c r="W5" s="61" t="str">
        <f>VLOOKUP(A5,'3.GateMove'!A:D,4,FALSE)</f>
        <v>2026-10-08</v>
      </c>
      <c r="X5" s="63">
        <f>((T5-W5)+1)</f>
        <v>4</v>
      </c>
      <c r="Y5" s="64">
        <f>IF(AND(OR(C5="BKK01",C5="BKK04"),L5="CFS/CY"),0,IF(M5="DG",1,IF(LEFT(C5,3)="LCH",7,IF(C5="BKK02",5,3))))</f>
        <v>5</v>
      </c>
      <c r="Z5" s="63">
        <f>IF(IF(AND(AC5="TML",AB5&gt;0),((T5-W5)+1)-AB5,((T5-W5)+1)-Y5)&gt;0,IF(AND(AC5="TML",AB5&gt;0),((T5-W5)+1)-AB5,((T5-W5)+1)-Y5),0)</f>
        <v>0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0</v>
      </c>
      <c r="AB5" s="184" t="n"/>
      <c r="AC5" s="184" t="n"/>
      <c r="AD5" s="60">
        <f>IF(M5="DG",3,IF(N5="RF",3,5))+IF(AND(LEFT(C5,3)="BKK",N5="RF",Q5="KTS"),1,0)+IF(Q5="KHS",1,0)</f>
        <v>3</v>
      </c>
      <c r="AE5" s="63">
        <f>(T5-V5)+1</f>
        <v>46307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0</v>
      </c>
      <c r="AJ5" s="188" t="n"/>
      <c r="AK5" s="62" t="str">
        <f>VLOOKUP(D5,'2.Bookinglist'!A:CT,40,FALSE)</f>
        <v>Vilaiporn</v>
      </c>
      <c r="AL5" s="60" t="str">
        <f>VLOOKUP(D5,'2.Bookinglist'!A:CW,101,FALSE)</f>
        <v>2026-10-11</v>
      </c>
      <c r="AM5" s="60" t="str">
        <f>VLOOKUP(D5,'2.Bookinglist'!A:BK,63,FALSE)</f>
        <v>BKK27</v>
      </c>
      <c r="AN5" s="62" t="str">
        <f>VLOOKUP(D5,'2.Bookinglist'!A:AZ,52,FALSE)</f>
        <v>Pickup : 2026-10-08, Return : 2026-10-08 (Temp +15.0 / Vent Close) *PRECOOL*
CLS TIME 09/10/26 @23.59 COST PRECOOL = 1,200 BAHT</v>
      </c>
      <c r="AO5" s="62">
        <f>VLOOKUP(D5,'2.Bookinglist'!A:CY,103,FALSE)</f>
        <v>0</v>
      </c>
    </row>
    <row r="6" ht="12.95" customHeight="1">
      <c r="A6" s="96" t="inlineStr">
        <is>
          <t>HALU2027547</t>
        </is>
      </c>
      <c r="B6" s="184" t="str">
        <f>IF(C6=Charge!$M$1,Charge!$J$1,IF(C6=Charge!$M$23,Charge!$J$23,IF(C6=Charge!$M$17,Charge!$J$17,IF(C6=Charge!$N$17,Charge!$J$17,Charge!$J$7))))</f>
        <v>G4</v>
      </c>
      <c r="C6" s="61" t="str">
        <f>VLOOKUP(A6,'1.Loading'!A:R,14,FALSE)</f>
        <v>BKK02</v>
      </c>
      <c r="D6" s="61" t="str">
        <f>VLOOKUP(A6,'1.Loading'!A:R,17,FALSE)</f>
        <v>HASLS22260801939</v>
      </c>
      <c r="E6" s="62" t="str">
        <f>VLOOKUP(D6,'2.Bookinglist'!A:CT,27,FALSE)</f>
        <v>QUANTERM LOGISTICS (THAILAND) CO., LTD.</v>
      </c>
      <c r="F6" s="62" t="str">
        <f>VLOOKUP(D6,'2.Bookinglist'!A:CT,28,FALSE)</f>
        <v>THAI GYPSUM PRODUCTS PCL.</v>
      </c>
      <c r="G6" s="60">
        <f>VLOOKUP(D6,'2.Bookinglist'!A:E,5,FALSE)</f>
        <v>0</v>
      </c>
      <c r="H6" s="61" t="str">
        <f>VLOOKUP(D6,'2.Bookinglist'!A:CT,15,FALSE)</f>
        <v>THBKK</v>
      </c>
      <c r="I6" s="61" t="str">
        <f>VLOOKUP(D6,'2.Bookinglist'!A:CT,19,FALSE)</f>
        <v>VNSGN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DJCF</v>
      </c>
      <c r="P6" s="61" t="str">
        <f>VLOOKUP(A6,'1.Loading'!A:R,4,FALSE)</f>
        <v>0152N</v>
      </c>
      <c r="Q6" s="61" t="str">
        <f>VLOOKUP(D6,'2.Bookinglist'!A:CT,12,FALSE)</f>
        <v>NTX</v>
      </c>
      <c r="R6" s="60" t="str">
        <f>IF(LEFT(K6,2)="22","20'","40'")</f>
        <v>20'</v>
      </c>
      <c r="S6" s="185" t="n"/>
      <c r="T6" s="61" t="str">
        <f>VLOOKUP(A6,'1.Loading'!A:R,2,FALSE)</f>
        <v>2026-10-11</v>
      </c>
      <c r="U6" s="63">
        <f>T6-S6</f>
        <v>46306</v>
      </c>
      <c r="V6" s="186" t="n"/>
      <c r="W6" s="61" t="str">
        <f>VLOOKUP(A6,'3.GateMove'!A:D,4,FALSE)</f>
        <v>2026-10-01</v>
      </c>
      <c r="X6" s="63">
        <f>((T6-W6)+1)</f>
        <v>11</v>
      </c>
      <c r="Y6" s="64">
        <f>IF(AND(OR(C6="BKK01",C6="BKK04"),L6="CFS/CY"),0,IF(M6="DG",1,IF(LEFT(C6,3)="LCH",7,IF(C6="BKK02",5,3))))</f>
        <v>5</v>
      </c>
      <c r="Z6" s="63">
        <f>IF(IF(AND(AC6="TML",AB6&gt;0),((T6-W6)+1)-AB6,((T6-W6)+1)-Y6)&gt;0,IF(AND(AC6="TML",AB6&gt;0),((T6-W6)+1)-AB6,((T6-W6)+1)-Y6),0)</f>
        <v>6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300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46307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300</v>
      </c>
      <c r="AJ6" s="188" t="n"/>
      <c r="AK6" s="62" t="str">
        <f>VLOOKUP(D6,'2.Bookinglist'!A:CT,40,FALSE)</f>
        <v>Arunphat W. (Aiw)</v>
      </c>
      <c r="AL6" s="60" t="str">
        <f>VLOOKUP(D6,'2.Bookinglist'!A:CW,101,FALSE)</f>
        <v>2026-10-11</v>
      </c>
      <c r="AM6" s="60" t="str">
        <f>VLOOKUP(D6,'2.Bookinglist'!A:BK,63,FALSE)</f>
        <v>BKK27</v>
      </c>
      <c r="AN6" s="62" t="str">
        <f>VLOOKUP(D6,'2.Bookinglist'!A:AZ,52,FALSE)</f>
        <v>Pickup : 2026-09-29, Return : 2026-10-01  [1ST RETURN CNTR DD.01/10/2026 WITHOUT RENT]</v>
      </c>
      <c r="AO6" s="62">
        <f>VLOOKUP(D6,'2.Bookinglist'!A:CY,103,FALSE)</f>
        <v>0</v>
      </c>
    </row>
    <row r="7" ht="12.95" customHeight="1">
      <c r="A7" s="96" t="inlineStr">
        <is>
          <t>HALU2042515</t>
        </is>
      </c>
      <c r="B7" s="184" t="str">
        <f>IF(C7=Charge!$M$1,Charge!$J$1,IF(C7=Charge!$M$23,Charge!$J$23,IF(C7=Charge!$M$17,Charge!$J$17,IF(C7=Charge!$N$17,Charge!$J$17,Charge!$J$7))))</f>
        <v>G4</v>
      </c>
      <c r="C7" s="61" t="str">
        <f>VLOOKUP(A7,'1.Loading'!A:R,14,FALSE)</f>
        <v>BKK02</v>
      </c>
      <c r="D7" s="61" t="str">
        <f>VLOOKUP(A7,'1.Loading'!A:R,17,FALSE)</f>
        <v>HASLS22260902672</v>
      </c>
      <c r="E7" s="62" t="str">
        <f>VLOOKUP(D7,'2.Bookinglist'!A:CT,27,FALSE)</f>
        <v>FREIGHT LINKS EXPRESS (THAILAND) CO., LTD.</v>
      </c>
      <c r="F7" s="62" t="str">
        <f>VLOOKUP(D7,'2.Bookinglist'!A:CT,28,FALSE)</f>
        <v>SPK MOTORPARTS CO., LTD.</v>
      </c>
      <c r="G7" s="60">
        <f>VLOOKUP(D7,'2.Bookinglist'!A:E,5,FALSE)</f>
        <v>0</v>
      </c>
      <c r="H7" s="61" t="str">
        <f>VLOOKUP(D7,'2.Bookinglist'!A:CT,15,FALSE)</f>
        <v>THBKK</v>
      </c>
      <c r="I7" s="61" t="str">
        <f>VLOOKUP(D7,'2.Bookinglist'!A:CT,19,FALSE)</f>
        <v>RUVVO</v>
      </c>
      <c r="J7" s="61" t="str">
        <f>VLOOKUP(D7,'2.Bookinglist'!A:CT,26,FALSE)</f>
        <v>KRPUS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DJCF</v>
      </c>
      <c r="P7" s="61" t="str">
        <f>VLOOKUP(A7,'1.Loading'!A:R,4,FALSE)</f>
        <v>0152N</v>
      </c>
      <c r="Q7" s="61" t="str">
        <f>VLOOKUP(D7,'2.Bookinglist'!A:CT,12,FALSE)</f>
        <v>NTX</v>
      </c>
      <c r="R7" s="60" t="str">
        <f>IF(LEFT(K7,2)="22","20'","40'")</f>
        <v>20'</v>
      </c>
      <c r="S7" s="185" t="n"/>
      <c r="T7" s="61" t="str">
        <f>VLOOKUP(A7,'1.Loading'!A:R,2,FALSE)</f>
        <v>2026-10-11</v>
      </c>
      <c r="U7" s="63">
        <f>T7-S7</f>
        <v>46306</v>
      </c>
      <c r="V7" s="186" t="n"/>
      <c r="W7" s="61" t="str">
        <f>VLOOKUP(A7,'3.GateMove'!A:D,4,FALSE)</f>
        <v>2026-10-07</v>
      </c>
      <c r="X7" s="63">
        <f>((T7-W7)+1)</f>
        <v>5</v>
      </c>
      <c r="Y7" s="64">
        <f>IF(AND(OR(C7="BKK01",C7="BKK04"),L7="CFS/CY"),0,IF(M7="DG",1,IF(LEFT(C7,3)="LCH",7,IF(C7="BKK02",5,3))))</f>
        <v>5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46307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Nustsireerach</v>
      </c>
      <c r="AL7" s="60" t="str">
        <f>VLOOKUP(D7,'2.Bookinglist'!A:CW,101,FALSE)</f>
        <v>2026-10-11</v>
      </c>
      <c r="AM7" s="60" t="str">
        <f>VLOOKUP(D7,'2.Bookinglist'!A:BK,63,FALSE)</f>
        <v>BKK27</v>
      </c>
      <c r="AN7" s="62" t="str">
        <f>VLOOKUP(D7,'2.Bookinglist'!A:AZ,52,FALSE)</f>
        <v>DJCF/0152N/10/22[FIX] Pickup : 2026-10-06, Return : 2026-10-07</v>
      </c>
      <c r="AO7" s="62">
        <f>VLOOKUP(D7,'2.Bookinglist'!A:CY,103,FALSE)</f>
        <v>0</v>
      </c>
    </row>
    <row r="8" ht="12.95" customHeight="1">
      <c r="A8" s="96" t="inlineStr">
        <is>
          <t>HALU2078462</t>
        </is>
      </c>
      <c r="B8" s="184" t="str">
        <f>IF(C8=Charge!$M$1,Charge!$J$1,IF(C8=Charge!$M$23,Charge!$J$23,IF(C8=Charge!$M$17,Charge!$J$17,IF(C8=Charge!$N$17,Charge!$J$17,Charge!$J$7))))</f>
        <v>G4</v>
      </c>
      <c r="C8" s="61" t="str">
        <f>VLOOKUP(A8,'1.Loading'!A:R,14,FALSE)</f>
        <v>BKK02</v>
      </c>
      <c r="D8" s="61" t="str">
        <f>VLOOKUP(A8,'1.Loading'!A:R,17,FALSE)</f>
        <v>HASLS22260901854</v>
      </c>
      <c r="E8" s="62" t="str">
        <f>VLOOKUP(D8,'2.Bookinglist'!A:CT,27,FALSE)</f>
        <v>CAPRICORN LOGISTICS CO., LTD.</v>
      </c>
      <c r="F8" s="62" t="str">
        <f>VLOOKUP(D8,'2.Bookinglist'!A:CT,28,FALSE)</f>
        <v>THAI GYPSUM PRODUCTS PCL.</v>
      </c>
      <c r="G8" s="60">
        <f>VLOOKUP(D8,'2.Bookinglist'!A:E,5,FALSE)</f>
        <v>0</v>
      </c>
      <c r="H8" s="61" t="str">
        <f>VLOOKUP(D8,'2.Bookinglist'!A:CT,15,FALSE)</f>
        <v>THBKK</v>
      </c>
      <c r="I8" s="61" t="str">
        <f>VLOOKUP(D8,'2.Bookinglist'!A:CT,19,FALSE)</f>
        <v>VNSGN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DJCF</v>
      </c>
      <c r="P8" s="61" t="str">
        <f>VLOOKUP(A8,'1.Loading'!A:R,4,FALSE)</f>
        <v>0152N</v>
      </c>
      <c r="Q8" s="61" t="str">
        <f>VLOOKUP(D8,'2.Bookinglist'!A:CT,12,FALSE)</f>
        <v>NTX</v>
      </c>
      <c r="R8" s="60" t="str">
        <f>IF(LEFT(K8,2)="22","20'","40'")</f>
        <v>20'</v>
      </c>
      <c r="S8" s="185" t="n"/>
      <c r="T8" s="61" t="str">
        <f>VLOOKUP(A8,'1.Loading'!A:R,2,FALSE)</f>
        <v>2026-10-11</v>
      </c>
      <c r="U8" s="63">
        <f>T8-S8</f>
        <v>46306</v>
      </c>
      <c r="V8" s="186" t="n"/>
      <c r="W8" s="61" t="str">
        <f>VLOOKUP(A8,'3.GateMove'!A:D,4,FALSE)</f>
        <v>2026-10-06</v>
      </c>
      <c r="X8" s="63">
        <f>((T8-W8)+1)</f>
        <v>6</v>
      </c>
      <c r="Y8" s="64">
        <f>IF(AND(OR(C8="BKK01",C8="BKK04"),L8="CFS/CY"),0,IF(M8="DG",1,IF(LEFT(C8,3)="LCH",7,IF(C8="BKK02",5,3))))</f>
        <v>5</v>
      </c>
      <c r="Z8" s="63">
        <f>IF(IF(AND(AC8="TML",AB8&gt;0),((T8-W8)+1)-AB8,((T8-W8)+1)-Y8)&gt;0,IF(AND(AC8="TML",AB8&gt;0),((T8-W8)+1)-AB8,((T8-W8)+1)-Y8),0)</f>
        <v>1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50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46307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50</v>
      </c>
      <c r="AJ8" s="188" t="n"/>
      <c r="AK8" s="62" t="str">
        <f>VLOOKUP(D8,'2.Bookinglist'!A:CT,40,FALSE)</f>
        <v>Sukunpoj Damrongying</v>
      </c>
      <c r="AL8" s="60" t="str">
        <f>VLOOKUP(D8,'2.Bookinglist'!A:CW,101,FALSE)</f>
        <v>2026-10-11</v>
      </c>
      <c r="AM8" s="60" t="str">
        <f>VLOOKUP(D8,'2.Bookinglist'!A:BK,63,FALSE)</f>
        <v>BKK27</v>
      </c>
      <c r="AN8" s="62" t="str">
        <f>VLOOKUP(D8,'2.Bookinglist'!A:AZ,52,FALSE)</f>
        <v>Pickup : 2026-10-05, Return : 2026-10-06 (1ST RTN DD: 07/10/26 WO/RENT)</v>
      </c>
      <c r="AO8" s="62">
        <f>VLOOKUP(D8,'2.Bookinglist'!A:CY,103,FALSE)</f>
        <v>0</v>
      </c>
    </row>
    <row r="9" ht="12.95" customHeight="1">
      <c r="A9" s="96" t="inlineStr">
        <is>
          <t>HALU2308375</t>
        </is>
      </c>
      <c r="B9" s="184" t="str">
        <f>IF(C9=Charge!$M$1,Charge!$J$1,IF(C9=Charge!$M$23,Charge!$J$23,IF(C9=Charge!$M$17,Charge!$J$17,IF(C9=Charge!$N$17,Charge!$J$17,Charge!$J$7))))</f>
        <v>G4</v>
      </c>
      <c r="C9" s="61" t="str">
        <f>VLOOKUP(A9,'1.Loading'!A:R,14,FALSE)</f>
        <v>BKK02</v>
      </c>
      <c r="D9" s="61" t="str">
        <f>VLOOKUP(A9,'1.Loading'!A:R,17,FALSE)</f>
        <v>HASLS22260900960</v>
      </c>
      <c r="E9" s="62" t="str">
        <f>VLOOKUP(D9,'2.Bookinglist'!A:CT,27,FALSE)</f>
        <v>INITIAL FREIGHT CO., LTD.</v>
      </c>
      <c r="F9" s="62" t="str">
        <f>VLOOKUP(D9,'2.Bookinglist'!A:CT,28,FALSE)</f>
        <v>THAI SIN RUBBER INDUSTRY CO., LTD.</v>
      </c>
      <c r="G9" s="60">
        <f>VLOOKUP(D9,'2.Bookinglist'!A:E,5,FALSE)</f>
        <v>0</v>
      </c>
      <c r="H9" s="61" t="str">
        <f>VLOOKUP(D9,'2.Bookinglist'!A:CT,15,FALSE)</f>
        <v>THBKK</v>
      </c>
      <c r="I9" s="61" t="str">
        <f>VLOOKUP(D9,'2.Bookinglist'!A:CT,19,FALSE)</f>
        <v>VNSGN</v>
      </c>
      <c r="J9" s="61">
        <f>VLOOKUP(D9,'2.Bookinglist'!A:CT,26,FALSE)</f>
        <v>0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DJCF</v>
      </c>
      <c r="P9" s="61" t="str">
        <f>VLOOKUP(A9,'1.Loading'!A:R,4,FALSE)</f>
        <v>0152N</v>
      </c>
      <c r="Q9" s="61" t="str">
        <f>VLOOKUP(D9,'2.Bookinglist'!A:CT,12,FALSE)</f>
        <v>NTX</v>
      </c>
      <c r="R9" s="60" t="str">
        <f>IF(LEFT(K9,2)="22","20'","40'")</f>
        <v>20'</v>
      </c>
      <c r="S9" s="185" t="n"/>
      <c r="T9" s="61" t="str">
        <f>VLOOKUP(A9,'1.Loading'!A:R,2,FALSE)</f>
        <v>2026-10-11</v>
      </c>
      <c r="U9" s="63">
        <f>T9-S9</f>
        <v>46306</v>
      </c>
      <c r="V9" s="186" t="n"/>
      <c r="W9" s="61" t="str">
        <f>VLOOKUP(A9,'3.GateMove'!A:D,4,FALSE)</f>
        <v>2026-10-07</v>
      </c>
      <c r="X9" s="63">
        <f>((T9-W9)+1)</f>
        <v>5</v>
      </c>
      <c r="Y9" s="64">
        <f>IF(AND(OR(C9="BKK01",C9="BKK04"),L9="CFS/CY"),0,IF(M9="DG",1,IF(LEFT(C9,3)="LCH",7,IF(C9="BKK02",5,3))))</f>
        <v>5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46307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Vilaiporn</v>
      </c>
      <c r="AL9" s="60" t="str">
        <f>VLOOKUP(D9,'2.Bookinglist'!A:CW,101,FALSE)</f>
        <v>2026-10-11</v>
      </c>
      <c r="AM9" s="60" t="str">
        <f>VLOOKUP(D9,'2.Bookinglist'!A:BK,63,FALSE)</f>
        <v>BKK25</v>
      </c>
      <c r="AN9" s="62" t="str">
        <f>VLOOKUP(D9,'2.Bookinglist'!A:AZ,52,FALSE)</f>
        <v>Pickup : 2026-10-06, Return : 2026-10-07</v>
      </c>
      <c r="AO9" s="62">
        <f>VLOOKUP(D9,'2.Bookinglist'!A:CY,103,FALSE)</f>
        <v>0</v>
      </c>
    </row>
    <row r="10" ht="12.95" customHeight="1">
      <c r="A10" s="96" t="inlineStr">
        <is>
          <t>HALU2401699</t>
        </is>
      </c>
      <c r="B10" s="184" t="str">
        <f>IF(C10=Charge!$M$1,Charge!$J$1,IF(C10=Charge!$M$23,Charge!$J$23,IF(C10=Charge!$M$17,Charge!$J$17,IF(C10=Charge!$N$17,Charge!$J$17,Charge!$J$7))))</f>
        <v>G4</v>
      </c>
      <c r="C10" s="61" t="str">
        <f>VLOOKUP(A10,'1.Loading'!A:R,14,FALSE)</f>
        <v>BKK02</v>
      </c>
      <c r="D10" s="61" t="str">
        <f>VLOOKUP(A10,'1.Loading'!A:R,17,FALSE)</f>
        <v>HASLS22261000197</v>
      </c>
      <c r="E10" s="62" t="str">
        <f>VLOOKUP(D10,'2.Bookinglist'!A:CT,27,FALSE)</f>
        <v>SCANWELL LOGISTICS (THAILAND) CO., LTD.</v>
      </c>
      <c r="F10" s="62" t="str">
        <f>VLOOKUP(D10,'2.Bookinglist'!A:CT,28,FALSE)</f>
        <v>FOOD GRAVITY CO.,LTD.</v>
      </c>
      <c r="G10" s="60">
        <f>VLOOKUP(D10,'2.Bookinglist'!A:E,5,FALSE)</f>
        <v>0</v>
      </c>
      <c r="H10" s="61" t="str">
        <f>VLOOKUP(D10,'2.Bookinglist'!A:CT,15,FALSE)</f>
        <v>THBKK</v>
      </c>
      <c r="I10" s="61" t="str">
        <f>VLOOKUP(D10,'2.Bookinglist'!A:CT,19,FALSE)</f>
        <v>VNSGN</v>
      </c>
      <c r="J10" s="61">
        <f>VLOOKUP(D10,'2.Bookinglist'!A:CT,26,FALSE)</f>
        <v>0</v>
      </c>
      <c r="K10" s="61" t="str">
        <f>VLOOKUP(A10,'1.Loading'!A:R,5,FALSE)</f>
        <v>22GP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DJCF</v>
      </c>
      <c r="P10" s="61" t="str">
        <f>VLOOKUP(A10,'1.Loading'!A:R,4,FALSE)</f>
        <v>0152N</v>
      </c>
      <c r="Q10" s="61" t="str">
        <f>VLOOKUP(D10,'2.Bookinglist'!A:CT,12,FALSE)</f>
        <v>NTX</v>
      </c>
      <c r="R10" s="60" t="str">
        <f>IF(LEFT(K10,2)="22","20'","40'")</f>
        <v>20'</v>
      </c>
      <c r="S10" s="185" t="n"/>
      <c r="T10" s="61" t="str">
        <f>VLOOKUP(A10,'1.Loading'!A:R,2,FALSE)</f>
        <v>2026-10-11</v>
      </c>
      <c r="U10" s="63">
        <f>T10-S10</f>
        <v>46306</v>
      </c>
      <c r="V10" s="186" t="n"/>
      <c r="W10" s="61" t="str">
        <f>VLOOKUP(A10,'3.GateMove'!A:D,4,FALSE)</f>
        <v>2026-10-07</v>
      </c>
      <c r="X10" s="63">
        <f>((T10-W10)+1)</f>
        <v>5</v>
      </c>
      <c r="Y10" s="64">
        <f>IF(AND(OR(C10="BKK01",C10="BKK04"),L10="CFS/CY"),0,IF(M10="DG",1,IF(LEFT(C10,3)="LCH",7,IF(C10="BKK02",5,3))))</f>
        <v>5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46307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Sukunpoj Damrongying</v>
      </c>
      <c r="AL10" s="60" t="str">
        <f>VLOOKUP(D10,'2.Bookinglist'!A:CW,101,FALSE)</f>
        <v>2026-10-11</v>
      </c>
      <c r="AM10" s="60" t="str">
        <f>VLOOKUP(D10,'2.Bookinglist'!A:BK,63,FALSE)</f>
        <v>BKK27</v>
      </c>
      <c r="AN10" s="62" t="str">
        <f>VLOOKUP(D10,'2.Bookinglist'!A:AZ,52,FALSE)</f>
        <v>Pickup : 2026-10-06, Return : 2026-10-07</v>
      </c>
      <c r="AO10" s="62">
        <f>VLOOKUP(D10,'2.Bookinglist'!A:CY,103,FALSE)</f>
        <v>0</v>
      </c>
    </row>
    <row r="11" ht="12.95" customHeight="1">
      <c r="A11" s="96" t="inlineStr">
        <is>
          <t>HALU2415060</t>
        </is>
      </c>
      <c r="B11" s="184" t="str">
        <f>IF(C11=Charge!$M$1,Charge!$J$1,IF(C11=Charge!$M$23,Charge!$J$23,IF(C11=Charge!$M$17,Charge!$J$17,IF(C11=Charge!$N$17,Charge!$J$17,Charge!$J$7))))</f>
        <v>G4</v>
      </c>
      <c r="C11" s="61" t="str">
        <f>VLOOKUP(A11,'1.Loading'!A:R,14,FALSE)</f>
        <v>BKK02</v>
      </c>
      <c r="D11" s="61" t="str">
        <f>VLOOKUP(A11,'1.Loading'!A:R,17,FALSE)</f>
        <v>HASLS22260900445</v>
      </c>
      <c r="E11" s="62" t="str">
        <f>VLOOKUP(D11,'2.Bookinglist'!A:CT,27,FALSE)</f>
        <v>BANGKOK STARCH INDUSTRIAL CO., LTD.</v>
      </c>
      <c r="F11" s="62" t="str">
        <f>VLOOKUP(D11,'2.Bookinglist'!A:CT,28,FALSE)</f>
        <v>BANGKOK STARCH INDUSTRIAL CO., LTD.</v>
      </c>
      <c r="G11" s="60">
        <f>VLOOKUP(D11,'2.Bookinglist'!A:E,5,FALSE)</f>
        <v>0</v>
      </c>
      <c r="H11" s="61" t="str">
        <f>VLOOKUP(D11,'2.Bookinglist'!A:CT,15,FALSE)</f>
        <v>THBKK</v>
      </c>
      <c r="I11" s="61" t="str">
        <f>VLOOKUP(D11,'2.Bookinglist'!A:CT,19,FALSE)</f>
        <v>JPSMZ</v>
      </c>
      <c r="J11" s="61" t="str">
        <f>VLOOKUP(D11,'2.Bookinglist'!A:CT,26,FALSE)</f>
        <v>KRPUS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DJCF</v>
      </c>
      <c r="P11" s="61" t="str">
        <f>VLOOKUP(A11,'1.Loading'!A:R,4,FALSE)</f>
        <v>0152N</v>
      </c>
      <c r="Q11" s="61" t="str">
        <f>VLOOKUP(D11,'2.Bookinglist'!A:CT,12,FALSE)</f>
        <v>NTX</v>
      </c>
      <c r="R11" s="60" t="str">
        <f>IF(LEFT(K11,2)="22","20'","40'")</f>
        <v>20'</v>
      </c>
      <c r="S11" s="185" t="n"/>
      <c r="T11" s="61" t="str">
        <f>VLOOKUP(A11,'1.Loading'!A:R,2,FALSE)</f>
        <v>2026-10-11</v>
      </c>
      <c r="U11" s="63">
        <f>T11-S11</f>
        <v>46306</v>
      </c>
      <c r="V11" s="186" t="n"/>
      <c r="W11" s="61" t="str">
        <f>VLOOKUP(A11,'3.GateMove'!A:D,4,FALSE)</f>
        <v>2026-10-09</v>
      </c>
      <c r="X11" s="63">
        <f>((T11-W11)+1)</f>
        <v>3</v>
      </c>
      <c r="Y11" s="64">
        <f>IF(AND(OR(C11="BKK01",C11="BKK04"),L11="CFS/CY"),0,IF(M11="DG",1,IF(LEFT(C11,3)="LCH",7,IF(C11="BKK02",5,3))))</f>
        <v>5</v>
      </c>
      <c r="Z11" s="63">
        <f>IF(IF(AND(AC11="TML",AB11&gt;0),((T11-W11)+1)-AB11,((T11-W11)+1)-Y11)&gt;0,IF(AND(AC11="TML",AB11&gt;0),((T11-W11)+1)-AB11,((T11-W11)+1)-Y11),0)</f>
        <v>0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46307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0</v>
      </c>
      <c r="AJ11" s="188" t="n"/>
      <c r="AK11" s="62" t="str">
        <f>VLOOKUP(D11,'2.Bookinglist'!A:CT,40,FALSE)</f>
        <v>Vilaiporn</v>
      </c>
      <c r="AL11" s="60" t="str">
        <f>VLOOKUP(D11,'2.Bookinglist'!A:CW,101,FALSE)</f>
        <v>2026-10-11</v>
      </c>
      <c r="AM11" s="60" t="str">
        <f>VLOOKUP(D11,'2.Bookinglist'!A:BK,63,FALSE)</f>
        <v>BKK27</v>
      </c>
      <c r="AN11" s="62" t="str">
        <f>VLOOKUP(D11,'2.Bookinglist'!A:AZ,52,FALSE)</f>
        <v>Pickup : 2026-10-08, Return : 2026-10-09 
CLS TIME DD.09/10/2026 @ 2359</v>
      </c>
      <c r="AO11" s="62">
        <f>VLOOKUP(D11,'2.Bookinglist'!A:CY,103,FALSE)</f>
        <v>0</v>
      </c>
    </row>
    <row r="12" ht="12.95" customHeight="1">
      <c r="A12" s="96" t="inlineStr">
        <is>
          <t>HALU2422114</t>
        </is>
      </c>
      <c r="B12" s="184" t="str">
        <f>IF(C12=Charge!$M$1,Charge!$J$1,IF(C12=Charge!$M$23,Charge!$J$23,IF(C12=Charge!$M$17,Charge!$J$17,IF(C12=Charge!$N$17,Charge!$J$17,Charge!$J$7))))</f>
        <v>G4</v>
      </c>
      <c r="C12" s="61" t="str">
        <f>VLOOKUP(A12,'1.Loading'!A:R,14,FALSE)</f>
        <v>BKK02</v>
      </c>
      <c r="D12" s="61" t="str">
        <f>VLOOKUP(A12,'1.Loading'!A:R,17,FALSE)</f>
        <v>HASLS22260902782</v>
      </c>
      <c r="E12" s="62" t="str">
        <f>VLOOKUP(D12,'2.Bookinglist'!A:CT,27,FALSE)</f>
        <v>KNS PLUS LOGISTICS (THAILAND) CO., LTD.</v>
      </c>
      <c r="F12" s="62" t="str">
        <f>VLOOKUP(D12,'2.Bookinglist'!A:CT,28,FALSE)</f>
        <v>NEO AGRO BUSINESS CO.,LTD. </v>
      </c>
      <c r="G12" s="60">
        <f>VLOOKUP(D12,'2.Bookinglist'!A:E,5,FALSE)</f>
        <v>0</v>
      </c>
      <c r="H12" s="61" t="str">
        <f>VLOOKUP(D12,'2.Bookinglist'!A:CT,15,FALSE)</f>
        <v>THBKK</v>
      </c>
      <c r="I12" s="61" t="str">
        <f>VLOOKUP(D12,'2.Bookinglist'!A:CT,19,FALSE)</f>
        <v>VNSGN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CFS/CY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DJCF</v>
      </c>
      <c r="P12" s="61" t="str">
        <f>VLOOKUP(A12,'1.Loading'!A:R,4,FALSE)</f>
        <v>0152N</v>
      </c>
      <c r="Q12" s="61" t="str">
        <f>VLOOKUP(D12,'2.Bookinglist'!A:CT,12,FALSE)</f>
        <v>NTX</v>
      </c>
      <c r="R12" s="60" t="str">
        <f>IF(LEFT(K12,2)="22","20'","40'")</f>
        <v>20'</v>
      </c>
      <c r="S12" s="185" t="n"/>
      <c r="T12" s="61" t="str">
        <f>VLOOKUP(A12,'1.Loading'!A:R,2,FALSE)</f>
        <v>2026-10-11</v>
      </c>
      <c r="U12" s="63">
        <f>T12-S12</f>
        <v>46306</v>
      </c>
      <c r="V12" s="186" t="n"/>
      <c r="W12" s="61" t="str">
        <f>VLOOKUP(A12,'3.GateMove'!A:D,4,FALSE)</f>
        <v>2026-10-09</v>
      </c>
      <c r="X12" s="63">
        <f>((T12-W12)+1)</f>
        <v>3</v>
      </c>
      <c r="Y12" s="64">
        <f>IF(AND(OR(C12="BKK01",C12="BKK04"),L12="CFS/CY"),0,IF(M12="DG",1,IF(LEFT(C12,3)="LCH",7,IF(C12="BKK02",5,3))))</f>
        <v>5</v>
      </c>
      <c r="Z12" s="63">
        <f>IF(IF(AND(AC12="TML",AB12&gt;0),((T12-W12)+1)-AB12,((T12-W12)+1)-Y12)&gt;0,IF(AND(AC12="TML",AB12&gt;0),((T12-W12)+1)-AB12,((T12-W12)+1)-Y12),0)</f>
        <v>0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46307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0</v>
      </c>
      <c r="AJ12" s="188" t="n"/>
      <c r="AK12" s="62" t="str">
        <f>VLOOKUP(D12,'2.Bookinglist'!A:CT,40,FALSE)</f>
        <v>Pattarapong Saengthong</v>
      </c>
      <c r="AL12" s="60" t="str">
        <f>VLOOKUP(D12,'2.Bookinglist'!A:CW,101,FALSE)</f>
        <v>2026-10-11</v>
      </c>
      <c r="AM12" s="60" t="str">
        <f>VLOOKUP(D12,'2.Bookinglist'!A:BK,63,FALSE)</f>
        <v>BKK02</v>
      </c>
      <c r="AN12" s="62" t="str">
        <f>VLOOKUP(D12,'2.Bookinglist'!A:AZ,52,FALSE)</f>
        <v>STUFFING @UNITHAI DD.09/10/26 *CLS TIME CFS DD.09/10/26 - 17:00HRS.*</v>
      </c>
      <c r="AO12" s="62">
        <f>VLOOKUP(D12,'2.Bookinglist'!A:CY,103,FALSE)</f>
        <v>0</v>
      </c>
    </row>
    <row r="13" ht="12.95" customHeight="1">
      <c r="A13" s="96" t="inlineStr">
        <is>
          <t>HALU2465395</t>
        </is>
      </c>
      <c r="B13" s="184" t="str">
        <f>IF(C13=Charge!$M$1,Charge!$J$1,IF(C13=Charge!$M$23,Charge!$J$23,IF(C13=Charge!$M$17,Charge!$J$17,IF(C13=Charge!$N$17,Charge!$J$17,Charge!$J$7))))</f>
        <v>G4</v>
      </c>
      <c r="C13" s="61" t="str">
        <f>VLOOKUP(A13,'1.Loading'!A:R,14,FALSE)</f>
        <v>BKK02</v>
      </c>
      <c r="D13" s="61" t="str">
        <f>VLOOKUP(A13,'1.Loading'!A:R,17,FALSE)</f>
        <v>HASLS22260901835</v>
      </c>
      <c r="E13" s="62" t="str">
        <f>VLOOKUP(D13,'2.Bookinglist'!A:CT,27,FALSE)</f>
        <v>ACCORD PILOT LOGISTICS (THAILAND) CO., LTD.</v>
      </c>
      <c r="F13" s="62" t="str">
        <f>VLOOKUP(D13,'2.Bookinglist'!A:CT,28,FALSE)</f>
        <v>JIRAKORN CO., LTD.</v>
      </c>
      <c r="G13" s="60">
        <f>VLOOKUP(D13,'2.Bookinglist'!A:E,5,FALSE)</f>
        <v>0</v>
      </c>
      <c r="H13" s="61" t="str">
        <f>VLOOKUP(D13,'2.Bookinglist'!A:CT,15,FALSE)</f>
        <v>THBKK</v>
      </c>
      <c r="I13" s="61" t="str">
        <f>VLOOKUP(D13,'2.Bookinglist'!A:CT,19,FALSE)</f>
        <v>VNSGN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DJCF</v>
      </c>
      <c r="P13" s="61" t="str">
        <f>VLOOKUP(A13,'1.Loading'!A:R,4,FALSE)</f>
        <v>0152N</v>
      </c>
      <c r="Q13" s="61" t="str">
        <f>VLOOKUP(D13,'2.Bookinglist'!A:CT,12,FALSE)</f>
        <v>NTX</v>
      </c>
      <c r="R13" s="60" t="str">
        <f>IF(LEFT(K13,2)="22","20'","40'")</f>
        <v>20'</v>
      </c>
      <c r="S13" s="185" t="n"/>
      <c r="T13" s="61" t="str">
        <f>VLOOKUP(A13,'1.Loading'!A:R,2,FALSE)</f>
        <v>2026-10-11</v>
      </c>
      <c r="U13" s="63">
        <f>T13-S13</f>
        <v>46306</v>
      </c>
      <c r="V13" s="186" t="n"/>
      <c r="W13" s="61" t="str">
        <f>VLOOKUP(A13,'3.GateMove'!A:D,4,FALSE)</f>
        <v>2026-10-05</v>
      </c>
      <c r="X13" s="63">
        <f>((T13-W13)+1)</f>
        <v>7</v>
      </c>
      <c r="Y13" s="64">
        <f>IF(AND(OR(C13="BKK01",C13="BKK04"),L13="CFS/CY"),0,IF(M13="DG",1,IF(LEFT(C13,3)="LCH",7,IF(C13="BKK02",5,3))))</f>
        <v>5</v>
      </c>
      <c r="Z13" s="63">
        <f>IF(IF(AND(AC13="TML",AB13&gt;0),((T13-W13)+1)-AB13,((T13-W13)+1)-Y13)&gt;0,IF(AND(AC13="TML",AB13&gt;0),((T13-W13)+1)-AB13,((T13-W13)+1)-Y13),0)</f>
        <v>2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100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46307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100</v>
      </c>
      <c r="AJ13" s="188" t="n"/>
      <c r="AK13" s="62" t="str">
        <f>VLOOKUP(D13,'2.Bookinglist'!A:CT,40,FALSE)</f>
        <v>Kanokporn</v>
      </c>
      <c r="AL13" s="60" t="str">
        <f>VLOOKUP(D13,'2.Bookinglist'!A:CW,101,FALSE)</f>
        <v>2026-10-10</v>
      </c>
      <c r="AM13" s="60" t="str">
        <f>VLOOKUP(D13,'2.Bookinglist'!A:BK,63,FALSE)</f>
        <v>BKK27</v>
      </c>
      <c r="AN13" s="62" t="str">
        <f>VLOOKUP(D13,'2.Bookinglist'!A:AZ,52,FALSE)</f>
        <v>Pickup : 2026-10-05, Return : 2026-10-05 (1ST RTN DD: 06/10/26 WO/RENT)</v>
      </c>
      <c r="AO13" s="62">
        <f>VLOOKUP(D13,'2.Bookinglist'!A:CY,103,FALSE)</f>
        <v>0</v>
      </c>
    </row>
    <row r="14" ht="12.95" customHeight="1">
      <c r="A14" s="96" t="inlineStr">
        <is>
          <t>HALU2515120</t>
        </is>
      </c>
      <c r="B14" s="184" t="str">
        <f>IF(C14=Charge!$M$1,Charge!$J$1,IF(C14=Charge!$M$23,Charge!$J$23,IF(C14=Charge!$M$17,Charge!$J$17,IF(C14=Charge!$N$17,Charge!$J$17,Charge!$J$7))))</f>
        <v>G4</v>
      </c>
      <c r="C14" s="61" t="str">
        <f>VLOOKUP(A14,'1.Loading'!A:R,14,FALSE)</f>
        <v>BKK02</v>
      </c>
      <c r="D14" s="61" t="str">
        <f>VLOOKUP(A14,'1.Loading'!A:R,17,FALSE)</f>
        <v>HASLS22260901791</v>
      </c>
      <c r="E14" s="62" t="str">
        <f>VLOOKUP(D14,'2.Bookinglist'!A:CT,27,FALSE)</f>
        <v>ACCORD PILOT LOGISTICS (THAILAND) CO., LTD.</v>
      </c>
      <c r="F14" s="62" t="str">
        <f>VLOOKUP(D14,'2.Bookinglist'!A:CT,28,FALSE)</f>
        <v>JIRAKORN CO., LTD.</v>
      </c>
      <c r="G14" s="60">
        <f>VLOOKUP(D14,'2.Bookinglist'!A:E,5,FALSE)</f>
        <v>0</v>
      </c>
      <c r="H14" s="61" t="str">
        <f>VLOOKUP(D14,'2.Bookinglist'!A:CT,15,FALSE)</f>
        <v>THBKK</v>
      </c>
      <c r="I14" s="61" t="str">
        <f>VLOOKUP(D14,'2.Bookinglist'!A:CT,19,FALSE)</f>
        <v>VNSGN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DJCF</v>
      </c>
      <c r="P14" s="61" t="str">
        <f>VLOOKUP(A14,'1.Loading'!A:R,4,FALSE)</f>
        <v>0152N</v>
      </c>
      <c r="Q14" s="61" t="str">
        <f>VLOOKUP(D14,'2.Bookinglist'!A:CT,12,FALSE)</f>
        <v>NTX</v>
      </c>
      <c r="R14" s="60" t="str">
        <f>IF(LEFT(K14,2)="22","20'","40'")</f>
        <v>20'</v>
      </c>
      <c r="S14" s="185" t="n"/>
      <c r="T14" s="61" t="str">
        <f>VLOOKUP(A14,'1.Loading'!A:R,2,FALSE)</f>
        <v>2026-10-11</v>
      </c>
      <c r="U14" s="63">
        <f>T14-S14</f>
        <v>46306</v>
      </c>
      <c r="V14" s="186" t="n"/>
      <c r="W14" s="61" t="str">
        <f>VLOOKUP(A14,'3.GateMove'!A:D,4,FALSE)</f>
        <v>2026-10-06</v>
      </c>
      <c r="X14" s="63">
        <f>((T14-W14)+1)</f>
        <v>6</v>
      </c>
      <c r="Y14" s="64">
        <f>IF(AND(OR(C14="BKK01",C14="BKK04"),L14="CFS/CY"),0,IF(M14="DG",1,IF(LEFT(C14,3)="LCH",7,IF(C14="BKK02",5,3))))</f>
        <v>5</v>
      </c>
      <c r="Z14" s="63">
        <f>IF(IF(AND(AC14="TML",AB14&gt;0),((T14-W14)+1)-AB14,((T14-W14)+1)-Y14)&gt;0,IF(AND(AC14="TML",AB14&gt;0),((T14-W14)+1)-AB14,((T14-W14)+1)-Y14),0)</f>
        <v>1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50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46307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50</v>
      </c>
      <c r="AJ14" s="188" t="n"/>
      <c r="AK14" s="62" t="str">
        <f>VLOOKUP(D14,'2.Bookinglist'!A:CT,40,FALSE)</f>
        <v>Kanokporn</v>
      </c>
      <c r="AL14" s="60" t="str">
        <f>VLOOKUP(D14,'2.Bookinglist'!A:CW,101,FALSE)</f>
        <v>2026-10-10</v>
      </c>
      <c r="AM14" s="60" t="str">
        <f>VLOOKUP(D14,'2.Bookinglist'!A:BK,63,FALSE)</f>
        <v>BKK27</v>
      </c>
      <c r="AN14" s="62" t="str">
        <f>VLOOKUP(D14,'2.Bookinglist'!A:AZ,52,FALSE)</f>
        <v>Pickup : 2026-10-06, Return : 2026-10-06</v>
      </c>
      <c r="AO14" s="62">
        <f>VLOOKUP(D14,'2.Bookinglist'!A:CY,103,FALSE)</f>
        <v>0</v>
      </c>
    </row>
    <row r="15" ht="12.95" customHeight="1">
      <c r="A15" s="96" t="inlineStr">
        <is>
          <t>HALU2538906</t>
        </is>
      </c>
      <c r="B15" s="184" t="str">
        <f>IF(C15=Charge!$M$1,Charge!$J$1,IF(C15=Charge!$M$23,Charge!$J$23,IF(C15=Charge!$M$17,Charge!$J$17,IF(C15=Charge!$N$17,Charge!$J$17,Charge!$J$7))))</f>
        <v>G4</v>
      </c>
      <c r="C15" s="61" t="str">
        <f>VLOOKUP(A15,'1.Loading'!A:R,14,FALSE)</f>
        <v>BKK02</v>
      </c>
      <c r="D15" s="61" t="str">
        <f>VLOOKUP(A15,'1.Loading'!A:R,17,FALSE)</f>
        <v>HASLS22260901147</v>
      </c>
      <c r="E15" s="62" t="str">
        <f>VLOOKUP(D15,'2.Bookinglist'!A:CT,27,FALSE)</f>
        <v>BILLION LOGISTICS CO., LTD.</v>
      </c>
      <c r="F15" s="62" t="str">
        <f>VLOOKUP(D15,'2.Bookinglist'!A:CT,28,FALSE)</f>
        <v>NEWLY WEDS FOODS (THAILAND) LIMITED</v>
      </c>
      <c r="G15" s="60">
        <f>VLOOKUP(D15,'2.Bookinglist'!A:E,5,FALSE)</f>
        <v>0</v>
      </c>
      <c r="H15" s="61" t="str">
        <f>VLOOKUP(D15,'2.Bookinglist'!A:CT,15,FALSE)</f>
        <v>THBKK</v>
      </c>
      <c r="I15" s="61" t="str">
        <f>VLOOKUP(D15,'2.Bookinglist'!A:CT,19,FALSE)</f>
        <v>VNSGN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DJCF</v>
      </c>
      <c r="P15" s="61" t="str">
        <f>VLOOKUP(A15,'1.Loading'!A:R,4,FALSE)</f>
        <v>0152N</v>
      </c>
      <c r="Q15" s="61" t="str">
        <f>VLOOKUP(D15,'2.Bookinglist'!A:CT,12,FALSE)</f>
        <v>NTX</v>
      </c>
      <c r="R15" s="60" t="str">
        <f>IF(LEFT(K15,2)="22","20'","40'")</f>
        <v>20'</v>
      </c>
      <c r="S15" s="185" t="n"/>
      <c r="T15" s="61" t="str">
        <f>VLOOKUP(A15,'1.Loading'!A:R,2,FALSE)</f>
        <v>2026-10-11</v>
      </c>
      <c r="U15" s="63">
        <f>T15-S15</f>
        <v>46306</v>
      </c>
      <c r="V15" s="186" t="n"/>
      <c r="W15" s="61" t="str">
        <f>VLOOKUP(A15,'3.GateMove'!A:D,4,FALSE)</f>
        <v>2026-10-07</v>
      </c>
      <c r="X15" s="63">
        <f>((T15-W15)+1)</f>
        <v>5</v>
      </c>
      <c r="Y15" s="64">
        <f>IF(AND(OR(C15="BKK01",C15="BKK04"),L15="CFS/CY"),0,IF(M15="DG",1,IF(LEFT(C15,3)="LCH",7,IF(C15="BKK02",5,3))))</f>
        <v>5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46307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Vilaiporn</v>
      </c>
      <c r="AL15" s="60" t="str">
        <f>VLOOKUP(D15,'2.Bookinglist'!A:CW,101,FALSE)</f>
        <v>2026-10-11</v>
      </c>
      <c r="AM15" s="60" t="str">
        <f>VLOOKUP(D15,'2.Bookinglist'!A:BK,63,FALSE)</f>
        <v>BKK27</v>
      </c>
      <c r="AN15" s="62" t="str">
        <f>VLOOKUP(D15,'2.Bookinglist'!A:AZ,52,FALSE)</f>
        <v>Pickup : 2026-10-06, Return : 2026-10-07</v>
      </c>
      <c r="AO15" s="62">
        <f>VLOOKUP(D15,'2.Bookinglist'!A:CY,103,FALSE)</f>
        <v>0</v>
      </c>
    </row>
    <row r="16" ht="12.95" customHeight="1">
      <c r="A16" s="96" t="inlineStr">
        <is>
          <t>HALU2567680</t>
        </is>
      </c>
      <c r="B16" s="184" t="str">
        <f>IF(C16=Charge!$M$1,Charge!$J$1,IF(C16=Charge!$M$23,Charge!$J$23,IF(C16=Charge!$M$17,Charge!$J$17,IF(C16=Charge!$N$17,Charge!$J$17,Charge!$J$7))))</f>
        <v>G4</v>
      </c>
      <c r="C16" s="61" t="str">
        <f>VLOOKUP(A16,'1.Loading'!A:R,14,FALSE)</f>
        <v>BKK02</v>
      </c>
      <c r="D16" s="61" t="str">
        <f>VLOOKUP(A16,'1.Loading'!A:R,17,FALSE)</f>
        <v>HASLS22260900445</v>
      </c>
      <c r="E16" s="62" t="str">
        <f>VLOOKUP(D16,'2.Bookinglist'!A:CT,27,FALSE)</f>
        <v>BANGKOK STARCH INDUSTRIAL CO., LTD.</v>
      </c>
      <c r="F16" s="62" t="str">
        <f>VLOOKUP(D16,'2.Bookinglist'!A:CT,28,FALSE)</f>
        <v>BANGKOK STARCH INDUSTRIAL CO., LTD.</v>
      </c>
      <c r="G16" s="60">
        <f>VLOOKUP(D16,'2.Bookinglist'!A:E,5,FALSE)</f>
        <v>0</v>
      </c>
      <c r="H16" s="61" t="str">
        <f>VLOOKUP(D16,'2.Bookinglist'!A:CT,15,FALSE)</f>
        <v>THBKK</v>
      </c>
      <c r="I16" s="61" t="str">
        <f>VLOOKUP(D16,'2.Bookinglist'!A:CT,19,FALSE)</f>
        <v>JPSMZ</v>
      </c>
      <c r="J16" s="61" t="str">
        <f>VLOOKUP(D16,'2.Bookinglist'!A:CT,26,FALSE)</f>
        <v>KRPUS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DJCF</v>
      </c>
      <c r="P16" s="61" t="str">
        <f>VLOOKUP(A16,'1.Loading'!A:R,4,FALSE)</f>
        <v>0152N</v>
      </c>
      <c r="Q16" s="61" t="str">
        <f>VLOOKUP(D16,'2.Bookinglist'!A:CT,12,FALSE)</f>
        <v>NTX</v>
      </c>
      <c r="R16" s="60" t="str">
        <f>IF(LEFT(K16,2)="22","20'","40'")</f>
        <v>20'</v>
      </c>
      <c r="S16" s="185" t="n"/>
      <c r="T16" s="61" t="str">
        <f>VLOOKUP(A16,'1.Loading'!A:R,2,FALSE)</f>
        <v>2026-10-11</v>
      </c>
      <c r="U16" s="63">
        <f>T16-S16</f>
        <v>46306</v>
      </c>
      <c r="V16" s="186" t="n"/>
      <c r="W16" s="61" t="str">
        <f>VLOOKUP(A16,'3.GateMove'!A:D,4,FALSE)</f>
        <v>2026-10-09</v>
      </c>
      <c r="X16" s="63">
        <f>((T16-W16)+1)</f>
        <v>3</v>
      </c>
      <c r="Y16" s="64">
        <f>IF(AND(OR(C16="BKK01",C16="BKK04"),L16="CFS/CY"),0,IF(M16="DG",1,IF(LEFT(C16,3)="LCH",7,IF(C16="BKK02",5,3))))</f>
        <v>5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46307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Vilaiporn</v>
      </c>
      <c r="AL16" s="60" t="str">
        <f>VLOOKUP(D16,'2.Bookinglist'!A:CW,101,FALSE)</f>
        <v>2026-10-11</v>
      </c>
      <c r="AM16" s="60" t="str">
        <f>VLOOKUP(D16,'2.Bookinglist'!A:BK,63,FALSE)</f>
        <v>BKK27</v>
      </c>
      <c r="AN16" s="62" t="str">
        <f>VLOOKUP(D16,'2.Bookinglist'!A:AZ,52,FALSE)</f>
        <v>Pickup : 2026-10-08, Return : 2026-10-09 
CLS TIME DD.09/10/2026 @ 2359</v>
      </c>
      <c r="AO16" s="62">
        <f>VLOOKUP(D16,'2.Bookinglist'!A:CY,103,FALSE)</f>
        <v>0</v>
      </c>
    </row>
    <row r="17" ht="12.95" customHeight="1">
      <c r="A17" s="96" t="inlineStr">
        <is>
          <t>HALU5690954</t>
        </is>
      </c>
      <c r="B17" s="184" t="str">
        <f>IF(C17=Charge!$M$1,Charge!$J$1,IF(C17=Charge!$M$23,Charge!$J$23,IF(C17=Charge!$M$17,Charge!$J$17,IF(C17=Charge!$N$17,Charge!$J$17,Charge!$J$7))))</f>
        <v>G4</v>
      </c>
      <c r="C17" s="61" t="str">
        <f>VLOOKUP(A17,'1.Loading'!A:R,14,FALSE)</f>
        <v>BKK02</v>
      </c>
      <c r="D17" s="61" t="str">
        <f>VLOOKUP(A17,'1.Loading'!A:R,17,FALSE)</f>
        <v>HASLS22261000179</v>
      </c>
      <c r="E17" s="62" t="str">
        <f>VLOOKUP(D17,'2.Bookinglist'!A:CT,27,FALSE)</f>
        <v>KORCHINA FREIGHT (THAILAND) CO., LTD.</v>
      </c>
      <c r="F17" s="62" t="str">
        <f>VLOOKUP(D17,'2.Bookinglist'!A:CT,28,FALSE)</f>
        <v>OTANI RADIAL CO., LTD.</v>
      </c>
      <c r="G17" s="60">
        <f>VLOOKUP(D17,'2.Bookinglist'!A:E,5,FALSE)</f>
        <v>0</v>
      </c>
      <c r="H17" s="61" t="str">
        <f>VLOOKUP(D17,'2.Bookinglist'!A:CT,15,FALSE)</f>
        <v>THBKK</v>
      </c>
      <c r="I17" s="61" t="str">
        <f>VLOOKUP(D17,'2.Bookinglist'!A:CT,19,FALSE)</f>
        <v>VNSGN</v>
      </c>
      <c r="J17" s="61">
        <f>VLOOKUP(D17,'2.Bookinglist'!A:CT,26,FALSE)</f>
        <v>0</v>
      </c>
      <c r="K17" s="61" t="str">
        <f>VLOOKUP(A17,'1.Loading'!A:R,5,FALSE)</f>
        <v>45GP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DJCF</v>
      </c>
      <c r="P17" s="61" t="str">
        <f>VLOOKUP(A17,'1.Loading'!A:R,4,FALSE)</f>
        <v>0152N</v>
      </c>
      <c r="Q17" s="61" t="str">
        <f>VLOOKUP(D17,'2.Bookinglist'!A:CT,12,FALSE)</f>
        <v>NTX</v>
      </c>
      <c r="R17" s="60" t="str">
        <f>IF(LEFT(K17,2)="22","20'","40'")</f>
        <v>40'</v>
      </c>
      <c r="S17" s="185" t="n"/>
      <c r="T17" s="61" t="str">
        <f>VLOOKUP(A17,'1.Loading'!A:R,2,FALSE)</f>
        <v>2026-10-11</v>
      </c>
      <c r="U17" s="63">
        <f>T17-S17</f>
        <v>46306</v>
      </c>
      <c r="V17" s="186" t="n"/>
      <c r="W17" s="61" t="str">
        <f>VLOOKUP(A17,'3.GateMove'!A:D,4,FALSE)</f>
        <v>2026-10-08</v>
      </c>
      <c r="X17" s="63">
        <f>((T17-W17)+1)</f>
        <v>4</v>
      </c>
      <c r="Y17" s="64">
        <f>IF(AND(OR(C17="BKK01",C17="BKK04"),L17="CFS/CY"),0,IF(M17="DG",1,IF(LEFT(C17,3)="LCH",7,IF(C17="BKK02",5,3))))</f>
        <v>5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46307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LEE HWA DONG</v>
      </c>
      <c r="AL17" s="60" t="str">
        <f>VLOOKUP(D17,'2.Bookinglist'!A:CW,101,FALSE)</f>
        <v>2026-10-11</v>
      </c>
      <c r="AM17" s="60" t="str">
        <f>VLOOKUP(D17,'2.Bookinglist'!A:BK,63,FALSE)</f>
        <v>BKK27</v>
      </c>
      <c r="AN17" s="62" t="str">
        <f>VLOOKUP(D17,'2.Bookinglist'!A:AZ,52,FALSE)</f>
        <v>Pickup : 2026-10-07, Return : 2026-10-08 </v>
      </c>
      <c r="AO17" s="62">
        <f>VLOOKUP(D17,'2.Bookinglist'!A:CY,103,FALSE)</f>
        <v>0</v>
      </c>
    </row>
    <row r="18" ht="12.95" customHeight="1">
      <c r="A18" s="96" t="inlineStr">
        <is>
          <t>HLHU6407495</t>
        </is>
      </c>
      <c r="B18" s="184" t="str">
        <f>IF(C18=Charge!$M$1,Charge!$J$1,IF(C18=Charge!$M$23,Charge!$J$23,IF(C18=Charge!$M$17,Charge!$J$17,IF(C18=Charge!$N$17,Charge!$J$17,Charge!$J$7))))</f>
        <v>G4</v>
      </c>
      <c r="C18" s="61" t="str">
        <f>VLOOKUP(A18,'1.Loading'!A:R,14,FALSE)</f>
        <v>BKK02</v>
      </c>
      <c r="D18" s="61" t="str">
        <f>VLOOKUP(A18,'1.Loading'!A:R,17,FALSE)</f>
        <v>HASLS22260902221</v>
      </c>
      <c r="E18" s="62" t="str">
        <f>VLOOKUP(D18,'2.Bookinglist'!A:CT,27,FALSE)</f>
        <v>CAPRICORN LOGISTICS CO., LTD.</v>
      </c>
      <c r="F18" s="62" t="str">
        <f>VLOOKUP(D18,'2.Bookinglist'!A:CT,28,FALSE)</f>
        <v>SWAN INDUSTRIES (THAILAND) LTD.</v>
      </c>
      <c r="G18" s="60">
        <f>VLOOKUP(D18,'2.Bookinglist'!A:E,5,FALSE)</f>
        <v>0</v>
      </c>
      <c r="H18" s="61" t="str">
        <f>VLOOKUP(D18,'2.Bookinglist'!A:CT,15,FALSE)</f>
        <v>THBKK</v>
      </c>
      <c r="I18" s="61" t="str">
        <f>VLOOKUP(D18,'2.Bookinglist'!A:CT,19,FALSE)</f>
        <v>VNSGN</v>
      </c>
      <c r="J18" s="61">
        <f>VLOOKUP(D18,'2.Bookinglist'!A:CT,26,FALSE)</f>
        <v>0</v>
      </c>
      <c r="K18" s="61" t="str">
        <f>VLOOKUP(A18,'1.Loading'!A:R,5,FALSE)</f>
        <v>45GP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DJCF</v>
      </c>
      <c r="P18" s="61" t="str">
        <f>VLOOKUP(A18,'1.Loading'!A:R,4,FALSE)</f>
        <v>0152N</v>
      </c>
      <c r="Q18" s="61" t="str">
        <f>VLOOKUP(D18,'2.Bookinglist'!A:CT,12,FALSE)</f>
        <v>NTX</v>
      </c>
      <c r="R18" s="60" t="str">
        <f>IF(LEFT(K18,2)="22","20'","40'")</f>
        <v>40'</v>
      </c>
      <c r="S18" s="185" t="n"/>
      <c r="T18" s="61" t="str">
        <f>VLOOKUP(A18,'1.Loading'!A:R,2,FALSE)</f>
        <v>2026-10-11</v>
      </c>
      <c r="U18" s="63">
        <f>T18-S18</f>
        <v>46306</v>
      </c>
      <c r="V18" s="186" t="n"/>
      <c r="W18" s="61" t="str">
        <f>VLOOKUP(A18,'3.GateMove'!A:D,4,FALSE)</f>
        <v>2026-10-08</v>
      </c>
      <c r="X18" s="63">
        <f>((T18-W18)+1)</f>
        <v>4</v>
      </c>
      <c r="Y18" s="64">
        <f>IF(AND(OR(C18="BKK01",C18="BKK04"),L18="CFS/CY"),0,IF(M18="DG",1,IF(LEFT(C18,3)="LCH",7,IF(C18="BKK02",5,3))))</f>
        <v>5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46307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Nguyen Xuan Toan</v>
      </c>
      <c r="AL18" s="60" t="str">
        <f>VLOOKUP(D18,'2.Bookinglist'!A:CW,101,FALSE)</f>
        <v>2026-10-11</v>
      </c>
      <c r="AM18" s="60" t="str">
        <f>VLOOKUP(D18,'2.Bookinglist'!A:BK,63,FALSE)</f>
        <v>BKK27</v>
      </c>
      <c r="AN18" s="62" t="str">
        <f>VLOOKUP(D18,'2.Bookinglist'!A:AZ,52,FALSE)</f>
        <v>Pickup : 2026-10-06, Return : 2026-10-07 
CLS TIME DD.09/10/2026 @ 23.59 </v>
      </c>
      <c r="AO18" s="62">
        <f>VLOOKUP(D18,'2.Bookinglist'!A:CY,103,FALSE)</f>
        <v>0</v>
      </c>
    </row>
    <row r="19" ht="12.95" customHeight="1">
      <c r="A19" s="96" t="inlineStr">
        <is>
          <t>HLHU6411849</t>
        </is>
      </c>
      <c r="B19" s="184" t="str">
        <f>IF(C19=Charge!$M$1,Charge!$J$1,IF(C19=Charge!$M$23,Charge!$J$23,IF(C19=Charge!$M$17,Charge!$J$17,IF(C19=Charge!$N$17,Charge!$J$17,Charge!$J$7))))</f>
        <v>G4</v>
      </c>
      <c r="C19" s="61" t="str">
        <f>VLOOKUP(A19,'1.Loading'!A:R,14,FALSE)</f>
        <v>BKK02</v>
      </c>
      <c r="D19" s="61" t="str">
        <f>VLOOKUP(A19,'1.Loading'!A:R,17,FALSE)</f>
        <v>HASLS22260901037</v>
      </c>
      <c r="E19" s="62" t="str">
        <f>VLOOKUP(D19,'2.Bookinglist'!A:CT,27,FALSE)</f>
        <v>PISIA INTERFREIGHT CO.,LTD.</v>
      </c>
      <c r="F19" s="62" t="str">
        <f>VLOOKUP(D19,'2.Bookinglist'!A:CT,28,FALSE)</f>
        <v>KANGWAL POLYESTER CO., LTD.</v>
      </c>
      <c r="G19" s="60">
        <f>VLOOKUP(D19,'2.Bookinglist'!A:E,5,FALSE)</f>
        <v>0</v>
      </c>
      <c r="H19" s="61" t="str">
        <f>VLOOKUP(D19,'2.Bookinglist'!A:CT,15,FALSE)</f>
        <v>THBKK</v>
      </c>
      <c r="I19" s="61" t="str">
        <f>VLOOKUP(D19,'2.Bookinglist'!A:CT,19,FALSE)</f>
        <v>VNSGN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DJCF</v>
      </c>
      <c r="P19" s="61" t="str">
        <f>VLOOKUP(A19,'1.Loading'!A:R,4,FALSE)</f>
        <v>0152N</v>
      </c>
      <c r="Q19" s="61" t="str">
        <f>VLOOKUP(D19,'2.Bookinglist'!A:CT,12,FALSE)</f>
        <v>NTX</v>
      </c>
      <c r="R19" s="60" t="str">
        <f>IF(LEFT(K19,2)="22","20'","40'")</f>
        <v>40'</v>
      </c>
      <c r="S19" s="185" t="n"/>
      <c r="T19" s="61" t="str">
        <f>VLOOKUP(A19,'1.Loading'!A:R,2,FALSE)</f>
        <v>2026-10-11</v>
      </c>
      <c r="U19" s="63">
        <f>T19-S19</f>
        <v>46306</v>
      </c>
      <c r="V19" s="186" t="n"/>
      <c r="W19" s="61" t="str">
        <f>VLOOKUP(A19,'3.GateMove'!A:D,4,FALSE)</f>
        <v>2026-10-07</v>
      </c>
      <c r="X19" s="63">
        <f>((T19-W19)+1)</f>
        <v>5</v>
      </c>
      <c r="Y19" s="64">
        <f>IF(AND(OR(C19="BKK01",C19="BKK04"),L19="CFS/CY"),0,IF(M19="DG",1,IF(LEFT(C19,3)="LCH",7,IF(C19="BKK02",5,3))))</f>
        <v>5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46307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Nannaapust Sukporntaweewat</v>
      </c>
      <c r="AL19" s="60" t="str">
        <f>VLOOKUP(D19,'2.Bookinglist'!A:CW,101,FALSE)</f>
        <v>2026-10-10</v>
      </c>
      <c r="AM19" s="60" t="str">
        <f>VLOOKUP(D19,'2.Bookinglist'!A:BK,63,FALSE)</f>
        <v>BKK25</v>
      </c>
      <c r="AN19" s="62" t="str">
        <f>VLOOKUP(D19,'2.Bookinglist'!A:AZ,52,FALSE)</f>
        <v>Pickup : 2026-10-06, Return : 2026-10-07</v>
      </c>
      <c r="AO19" s="62">
        <f>VLOOKUP(D19,'2.Bookinglist'!A:CY,103,FALSE)</f>
        <v>0</v>
      </c>
    </row>
    <row r="20" ht="12.95" customHeight="1">
      <c r="A20" s="96" t="inlineStr">
        <is>
          <t>HLHU8345643</t>
        </is>
      </c>
      <c r="B20" s="184" t="str">
        <f>IF(C20=Charge!$M$1,Charge!$J$1,IF(C20=Charge!$M$23,Charge!$J$23,IF(C20=Charge!$M$17,Charge!$J$17,IF(C20=Charge!$N$17,Charge!$J$17,Charge!$J$7))))</f>
        <v>G4</v>
      </c>
      <c r="C20" s="61" t="str">
        <f>VLOOKUP(A20,'1.Loading'!A:R,14,FALSE)</f>
        <v>BKK02</v>
      </c>
      <c r="D20" s="61" t="str">
        <f>VLOOKUP(A20,'1.Loading'!A:R,17,FALSE)</f>
        <v>HASLS22260901754</v>
      </c>
      <c r="E20" s="62" t="str">
        <f>VLOOKUP(D20,'2.Bookinglist'!A:CT,27,FALSE)</f>
        <v>PROFREIGHT INTERNATIONAL CO., LTD.</v>
      </c>
      <c r="F20" s="62" t="str">
        <f>VLOOKUP(D20,'2.Bookinglist'!A:CT,28,FALSE)</f>
        <v>SIAM BROTHERS CORP.,LTD.</v>
      </c>
      <c r="G20" s="60">
        <f>VLOOKUP(D20,'2.Bookinglist'!A:E,5,FALSE)</f>
        <v>0</v>
      </c>
      <c r="H20" s="61" t="str">
        <f>VLOOKUP(D20,'2.Bookinglist'!A:CT,15,FALSE)</f>
        <v>THBKK</v>
      </c>
      <c r="I20" s="61" t="str">
        <f>VLOOKUP(D20,'2.Bookinglist'!A:CT,19,FALSE)</f>
        <v>VNSGN</v>
      </c>
      <c r="J20" s="61">
        <f>VLOOKUP(D20,'2.Bookinglist'!A:CT,26,FALSE)</f>
        <v>0</v>
      </c>
      <c r="K20" s="61" t="str">
        <f>VLOOKUP(A20,'1.Loading'!A:R,5,FALSE)</f>
        <v>45GP</v>
      </c>
      <c r="L20" s="60" t="str">
        <f>VLOOKUP(D20,'2.Bookinglist'!A:CT,85,FALSE)</f>
        <v>CFS/CY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DJCF</v>
      </c>
      <c r="P20" s="61" t="str">
        <f>VLOOKUP(A20,'1.Loading'!A:R,4,FALSE)</f>
        <v>0152N</v>
      </c>
      <c r="Q20" s="61" t="str">
        <f>VLOOKUP(D20,'2.Bookinglist'!A:CT,12,FALSE)</f>
        <v>NTX</v>
      </c>
      <c r="R20" s="60" t="str">
        <f>IF(LEFT(K20,2)="22","20'","40'")</f>
        <v>40'</v>
      </c>
      <c r="S20" s="185" t="n"/>
      <c r="T20" s="61" t="str">
        <f>VLOOKUP(A20,'1.Loading'!A:R,2,FALSE)</f>
        <v>2026-10-11</v>
      </c>
      <c r="U20" s="63">
        <f>T20-S20</f>
        <v>46306</v>
      </c>
      <c r="V20" s="186" t="n"/>
      <c r="W20" s="61" t="str">
        <f>VLOOKUP(A20,'3.GateMove'!A:D,4,FALSE)</f>
        <v>2026-10-09</v>
      </c>
      <c r="X20" s="63">
        <f>((T20-W20)+1)</f>
        <v>3</v>
      </c>
      <c r="Y20" s="64">
        <f>IF(AND(OR(C20="BKK01",C20="BKK04"),L20="CFS/CY"),0,IF(M20="DG",1,IF(LEFT(C20,3)="LCH",7,IF(C20="BKK02",5,3))))</f>
        <v>5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46307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Nustsireerach</v>
      </c>
      <c r="AL20" s="60" t="str">
        <f>VLOOKUP(D20,'2.Bookinglist'!A:CW,101,FALSE)</f>
        <v>2026-10-11</v>
      </c>
      <c r="AM20" s="60" t="str">
        <f>VLOOKUP(D20,'2.Bookinglist'!A:BK,63,FALSE)</f>
        <v>BKK02</v>
      </c>
      <c r="AN20" s="62" t="str">
        <f>VLOOKUP(D20,'2.Bookinglist'!A:AZ,52,FALSE)</f>
        <v>STUFFING CARGO @UNITHAI DD.09/10/26 CLS TIME CFS DD.09/10/26 - 17:00HRS.
 </v>
      </c>
      <c r="AO20" s="62">
        <f>VLOOKUP(D20,'2.Bookinglist'!A:CY,103,FALSE)</f>
        <v>0</v>
      </c>
    </row>
    <row r="21" ht="12.95" customHeight="1">
      <c r="A21" s="96" t="inlineStr">
        <is>
          <t>HLHU8451579</t>
        </is>
      </c>
      <c r="B21" s="184" t="str">
        <f>IF(C21=Charge!$M$1,Charge!$J$1,IF(C21=Charge!$M$23,Charge!$J$23,IF(C21=Charge!$M$17,Charge!$J$17,IF(C21=Charge!$N$17,Charge!$J$17,Charge!$J$7))))</f>
        <v>G4</v>
      </c>
      <c r="C21" s="61" t="str">
        <f>VLOOKUP(A21,'1.Loading'!A:R,14,FALSE)</f>
        <v>BKK02</v>
      </c>
      <c r="D21" s="61" t="str">
        <f>VLOOKUP(A21,'1.Loading'!A:R,17,FALSE)</f>
        <v>HASLS22261000463</v>
      </c>
      <c r="E21" s="62" t="str">
        <f>VLOOKUP(D21,'2.Bookinglist'!A:CT,27,FALSE)</f>
        <v>H &amp; FRIENDS GTL (THAILAND) CO., LTD.</v>
      </c>
      <c r="F21" s="62" t="str">
        <f>VLOOKUP(D21,'2.Bookinglist'!A:CT,28,FALSE)</f>
        <v>AUTOLIV (THAILAND) LIMITED</v>
      </c>
      <c r="G21" s="60">
        <f>VLOOKUP(D21,'2.Bookinglist'!A:E,5,FALSE)</f>
        <v>0</v>
      </c>
      <c r="H21" s="61" t="str">
        <f>VLOOKUP(D21,'2.Bookinglist'!A:CT,15,FALSE)</f>
        <v>THBKK</v>
      </c>
      <c r="I21" s="61" t="str">
        <f>VLOOKUP(D21,'2.Bookinglist'!A:CT,19,FALSE)</f>
        <v>KRINC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>DG</v>
      </c>
      <c r="N21" s="60" t="str">
        <f>IF(RIGHT(K21,2)="RE","RF","")</f>
        <v/>
      </c>
      <c r="O21" s="61" t="str">
        <f>VLOOKUP(A21,'1.Loading'!A:R,3,FALSE)</f>
        <v>DJCF</v>
      </c>
      <c r="P21" s="61" t="str">
        <f>VLOOKUP(A21,'1.Loading'!A:R,4,FALSE)</f>
        <v>0152N</v>
      </c>
      <c r="Q21" s="61" t="str">
        <f>VLOOKUP(D21,'2.Bookinglist'!A:CT,12,FALSE)</f>
        <v>NTX</v>
      </c>
      <c r="R21" s="60" t="str">
        <f>IF(LEFT(K21,2)="22","20'","40'")</f>
        <v>40'</v>
      </c>
      <c r="S21" s="185" t="n"/>
      <c r="T21" s="61" t="str">
        <f>VLOOKUP(A21,'1.Loading'!A:R,2,FALSE)</f>
        <v>2026-10-11</v>
      </c>
      <c r="U21" s="63">
        <f>T21-S21</f>
        <v>46306</v>
      </c>
      <c r="V21" s="186" t="n"/>
      <c r="W21" s="61" t="str">
        <f>VLOOKUP(A21,'3.GateMove'!A:D,4,FALSE)</f>
        <v>2026-10-09</v>
      </c>
      <c r="X21" s="63">
        <f>((T21-W21)+1)</f>
        <v>3</v>
      </c>
      <c r="Y21" s="64">
        <f>IF(AND(OR(C21="BKK01",C21="BKK04"),L21="CFS/CY"),0,IF(M21="DG",1,IF(LEFT(C21,3)="LCH",7,IF(C21="BKK02",5,3))))</f>
        <v>1</v>
      </c>
      <c r="Z21" s="63">
        <f>IF(IF(AND(AC21="TML",AB21&gt;0),((T21-W21)+1)-AB21,((T21-W21)+1)-Y21)&gt;0,IF(AND(AC21="TML",AB21&gt;0),((T21-W21)+1)-AB21,((T21-W21)+1)-Y21),0)</f>
        <v>2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600</v>
      </c>
      <c r="AB21" s="184" t="n"/>
      <c r="AC21" s="184" t="n"/>
      <c r="AD21" s="60">
        <f>IF(M21="DG",3,IF(N21="RF",3,5))+IF(AND(LEFT(C21,3)="BKK",N21="RF",Q21="KTS"),1,0)+IF(Q21="KHS",1,0)</f>
        <v>3</v>
      </c>
      <c r="AE21" s="63">
        <f>(T21-V21)+1</f>
        <v>46307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600</v>
      </c>
      <c r="AJ21" s="188" t="n"/>
      <c r="AK21" s="62" t="str">
        <f>VLOOKUP(D21,'2.Bookinglist'!A:CT,40,FALSE)</f>
        <v>Tarn(Supaporn)</v>
      </c>
      <c r="AL21" s="60" t="str">
        <f>VLOOKUP(D21,'2.Bookinglist'!A:CW,101,FALSE)</f>
        <v>2026-10-11</v>
      </c>
      <c r="AM21" s="60" t="str">
        <f>VLOOKUP(D21,'2.Bookinglist'!A:BK,63,FALSE)</f>
        <v>BKK27</v>
      </c>
      <c r="AN21" s="62" t="str">
        <f>VLOOKUP(D21,'2.Bookinglist'!A:AZ,52,FALSE)</f>
        <v>APPROVAL BY MR.LEE SEONG HYEOK DD.07/10/2026  **DG45GPx1 (CLS 9 / UN 3268)**
Pickup : 2026-10-09, Return : 2026-10-09
CLS TIME DD.09/10/2026 @ 23.59</v>
      </c>
      <c r="AO21" s="62">
        <f>VLOOKUP(D21,'2.Bookinglist'!A:CY,103,FALSE)</f>
        <v>0</v>
      </c>
    </row>
    <row r="22" ht="12.95" customHeight="1">
      <c r="A22" s="96" t="inlineStr">
        <is>
          <t>HLHU8469515</t>
        </is>
      </c>
      <c r="B22" s="184" t="str">
        <f>IF(C22=Charge!$M$1,Charge!$J$1,IF(C22=Charge!$M$23,Charge!$J$23,IF(C22=Charge!$M$17,Charge!$J$17,IF(C22=Charge!$N$17,Charge!$J$17,Charge!$J$7))))</f>
        <v>G4</v>
      </c>
      <c r="C22" s="61" t="str">
        <f>VLOOKUP(A22,'1.Loading'!A:R,14,FALSE)</f>
        <v>BKK02</v>
      </c>
      <c r="D22" s="61" t="str">
        <f>VLOOKUP(A22,'1.Loading'!A:R,17,FALSE)</f>
        <v>HASLS22260902379</v>
      </c>
      <c r="E22" s="62" t="str">
        <f>VLOOKUP(D22,'2.Bookinglist'!A:CT,27,FALSE)</f>
        <v>ACCORD PILOT LOGISTICS (THAILAND) CO., LTD.</v>
      </c>
      <c r="F22" s="62" t="str">
        <f>VLOOKUP(D22,'2.Bookinglist'!A:CT,28,FALSE)</f>
        <v>ASIAN-PACIFIC CAN CO., LTD.</v>
      </c>
      <c r="G22" s="60">
        <f>VLOOKUP(D22,'2.Bookinglist'!A:E,5,FALSE)</f>
        <v>0</v>
      </c>
      <c r="H22" s="61" t="str">
        <f>VLOOKUP(D22,'2.Bookinglist'!A:CT,15,FALSE)</f>
        <v>THBKK</v>
      </c>
      <c r="I22" s="61" t="str">
        <f>VLOOKUP(D22,'2.Bookinglist'!A:CT,19,FALSE)</f>
        <v>VNSGN</v>
      </c>
      <c r="J22" s="61">
        <f>VLOOKUP(D22,'2.Bookinglist'!A:CT,26,FALSE)</f>
        <v>0</v>
      </c>
      <c r="K22" s="61" t="str">
        <f>VLOOKUP(A22,'1.Loading'!A:R,5,FALSE)</f>
        <v>45GP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DJCF</v>
      </c>
      <c r="P22" s="61" t="str">
        <f>VLOOKUP(A22,'1.Loading'!A:R,4,FALSE)</f>
        <v>0152N</v>
      </c>
      <c r="Q22" s="61" t="str">
        <f>VLOOKUP(D22,'2.Bookinglist'!A:CT,12,FALSE)</f>
        <v>NTX</v>
      </c>
      <c r="R22" s="60" t="str">
        <f>IF(LEFT(K22,2)="22","20'","40'")</f>
        <v>40'</v>
      </c>
      <c r="S22" s="185" t="n"/>
      <c r="T22" s="61" t="str">
        <f>VLOOKUP(A22,'1.Loading'!A:R,2,FALSE)</f>
        <v>2026-10-11</v>
      </c>
      <c r="U22" s="63">
        <f>T22-S22</f>
        <v>46306</v>
      </c>
      <c r="V22" s="186" t="n"/>
      <c r="W22" s="61" t="str">
        <f>VLOOKUP(A22,'3.GateMove'!A:D,4,FALSE)</f>
        <v>2026-10-08</v>
      </c>
      <c r="X22" s="63">
        <f>((T22-W22)+1)</f>
        <v>4</v>
      </c>
      <c r="Y22" s="64">
        <f>IF(AND(OR(C22="BKK01",C22="BKK04"),L22="CFS/CY"),0,IF(M22="DG",1,IF(LEFT(C22,3)="LCH",7,IF(C22="BKK02",5,3))))</f>
        <v>5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46307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Nguyen Van Nam</v>
      </c>
      <c r="AL22" s="60" t="str">
        <f>VLOOKUP(D22,'2.Bookinglist'!A:CW,101,FALSE)</f>
        <v>2026-10-11</v>
      </c>
      <c r="AM22" s="60" t="str">
        <f>VLOOKUP(D22,'2.Bookinglist'!A:BK,63,FALSE)</f>
        <v>BKK27</v>
      </c>
      <c r="AN22" s="62" t="str">
        <f>VLOOKUP(D22,'2.Bookinglist'!A:AZ,52,FALSE)</f>
        <v>Pickup : 2026-10-07, Return : 2026-10-08</v>
      </c>
      <c r="AO22" s="62">
        <f>VLOOKUP(D22,'2.Bookinglist'!A:CY,103,FALSE)</f>
        <v>0</v>
      </c>
    </row>
    <row r="23" ht="12.95" customHeight="1">
      <c r="A23" s="96" t="inlineStr">
        <is>
          <t>HLHU8483175</t>
        </is>
      </c>
      <c r="B23" s="184" t="str">
        <f>IF(C23=Charge!$M$1,Charge!$J$1,IF(C23=Charge!$M$23,Charge!$J$23,IF(C23=Charge!$M$17,Charge!$J$17,IF(C23=Charge!$N$17,Charge!$J$17,Charge!$J$7))))</f>
        <v>G4</v>
      </c>
      <c r="C23" s="61" t="str">
        <f>VLOOKUP(A23,'1.Loading'!A:R,14,FALSE)</f>
        <v>BKK02</v>
      </c>
      <c r="D23" s="61" t="str">
        <f>VLOOKUP(A23,'1.Loading'!A:R,17,FALSE)</f>
        <v>HASLS22260901037</v>
      </c>
      <c r="E23" s="62" t="str">
        <f>VLOOKUP(D23,'2.Bookinglist'!A:CT,27,FALSE)</f>
        <v>PISIA INTERFREIGHT CO.,LTD.</v>
      </c>
      <c r="F23" s="62" t="str">
        <f>VLOOKUP(D23,'2.Bookinglist'!A:CT,28,FALSE)</f>
        <v>KANGWAL POLYESTER CO., LTD.</v>
      </c>
      <c r="G23" s="60">
        <f>VLOOKUP(D23,'2.Bookinglist'!A:E,5,FALSE)</f>
        <v>0</v>
      </c>
      <c r="H23" s="61" t="str">
        <f>VLOOKUP(D23,'2.Bookinglist'!A:CT,15,FALSE)</f>
        <v>THBKK</v>
      </c>
      <c r="I23" s="61" t="str">
        <f>VLOOKUP(D23,'2.Bookinglist'!A:CT,19,FALSE)</f>
        <v>VNSGN</v>
      </c>
      <c r="J23" s="61">
        <f>VLOOKUP(D23,'2.Bookinglist'!A:CT,26,FALSE)</f>
        <v>0</v>
      </c>
      <c r="K23" s="61" t="str">
        <f>VLOOKUP(A23,'1.Loading'!A:R,5,FALSE)</f>
        <v>45GP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DJCF</v>
      </c>
      <c r="P23" s="61" t="str">
        <f>VLOOKUP(A23,'1.Loading'!A:R,4,FALSE)</f>
        <v>0152N</v>
      </c>
      <c r="Q23" s="61" t="str">
        <f>VLOOKUP(D23,'2.Bookinglist'!A:CT,12,FALSE)</f>
        <v>NTX</v>
      </c>
      <c r="R23" s="60" t="str">
        <f>IF(LEFT(K23,2)="22","20'","40'")</f>
        <v>40'</v>
      </c>
      <c r="S23" s="185" t="n"/>
      <c r="T23" s="61" t="str">
        <f>VLOOKUP(A23,'1.Loading'!A:R,2,FALSE)</f>
        <v>2026-10-11</v>
      </c>
      <c r="U23" s="63">
        <f>T23-S23</f>
        <v>46306</v>
      </c>
      <c r="V23" s="186" t="n"/>
      <c r="W23" s="61" t="str">
        <f>VLOOKUP(A23,'3.GateMove'!A:D,4,FALSE)</f>
        <v>2026-10-07</v>
      </c>
      <c r="X23" s="63">
        <f>((T23-W23)+1)</f>
        <v>5</v>
      </c>
      <c r="Y23" s="64">
        <f>IF(AND(OR(C23="BKK01",C23="BKK04"),L23="CFS/CY"),0,IF(M23="DG",1,IF(LEFT(C23,3)="LCH",7,IF(C23="BKK02",5,3))))</f>
        <v>5</v>
      </c>
      <c r="Z23" s="63">
        <f>IF(IF(AND(AC23="TML",AB23&gt;0),((T23-W23)+1)-AB23,((T23-W23)+1)-Y23)&gt;0,IF(AND(AC23="TML",AB23&gt;0),((T23-W23)+1)-AB23,((T23-W23)+1)-Y23),0)</f>
        <v>0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46307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0</v>
      </c>
      <c r="AJ23" s="188" t="n"/>
      <c r="AK23" s="62" t="str">
        <f>VLOOKUP(D23,'2.Bookinglist'!A:CT,40,FALSE)</f>
        <v>Nannaapust Sukporntaweewat</v>
      </c>
      <c r="AL23" s="60" t="str">
        <f>VLOOKUP(D23,'2.Bookinglist'!A:CW,101,FALSE)</f>
        <v>2026-10-10</v>
      </c>
      <c r="AM23" s="60" t="str">
        <f>VLOOKUP(D23,'2.Bookinglist'!A:BK,63,FALSE)</f>
        <v>BKK25</v>
      </c>
      <c r="AN23" s="62" t="str">
        <f>VLOOKUP(D23,'2.Bookinglist'!A:AZ,52,FALSE)</f>
        <v>Pickup : 2026-10-06, Return : 2026-10-07</v>
      </c>
      <c r="AO23" s="62">
        <f>VLOOKUP(D23,'2.Bookinglist'!A:CY,103,FALSE)</f>
        <v>0</v>
      </c>
    </row>
    <row r="24" ht="12.95" customHeight="1">
      <c r="A24" s="96" t="inlineStr">
        <is>
          <t>HLHU8488053</t>
        </is>
      </c>
      <c r="B24" s="184" t="str">
        <f>IF(C24=Charge!$M$1,Charge!$J$1,IF(C24=Charge!$M$23,Charge!$J$23,IF(C24=Charge!$M$17,Charge!$J$17,IF(C24=Charge!$N$17,Charge!$J$17,Charge!$J$7))))</f>
        <v>G4</v>
      </c>
      <c r="C24" s="61" t="str">
        <f>VLOOKUP(A24,'1.Loading'!A:R,14,FALSE)</f>
        <v>BKK02</v>
      </c>
      <c r="D24" s="61" t="str">
        <f>VLOOKUP(A24,'1.Loading'!A:R,17,FALSE)</f>
        <v>HASLS22260801526</v>
      </c>
      <c r="E24" s="62" t="str">
        <f>VLOOKUP(D24,'2.Bookinglist'!A:CT,27,FALSE)</f>
        <v>NIMBLE LOGISTICS CO., LTD.</v>
      </c>
      <c r="F24" s="62" t="str">
        <f>VLOOKUP(D24,'2.Bookinglist'!A:CT,28,FALSE)</f>
        <v>WELLGROW GLASS INDUSTRY CO., LTD.</v>
      </c>
      <c r="G24" s="60">
        <f>VLOOKUP(D24,'2.Bookinglist'!A:E,5,FALSE)</f>
        <v>0</v>
      </c>
      <c r="H24" s="61" t="str">
        <f>VLOOKUP(D24,'2.Bookinglist'!A:CT,15,FALSE)</f>
        <v>THBKK</v>
      </c>
      <c r="I24" s="61" t="str">
        <f>VLOOKUP(D24,'2.Bookinglist'!A:CT,19,FALSE)</f>
        <v>VNSGN</v>
      </c>
      <c r="J24" s="61">
        <f>VLOOKUP(D24,'2.Bookinglist'!A:CT,26,FALSE)</f>
        <v>0</v>
      </c>
      <c r="K24" s="61" t="str">
        <f>VLOOKUP(A24,'1.Loading'!A:R,5,FALSE)</f>
        <v>45GP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DJCF</v>
      </c>
      <c r="P24" s="61" t="str">
        <f>VLOOKUP(A24,'1.Loading'!A:R,4,FALSE)</f>
        <v>0152N</v>
      </c>
      <c r="Q24" s="61" t="str">
        <f>VLOOKUP(D24,'2.Bookinglist'!A:CT,12,FALSE)</f>
        <v>NTX</v>
      </c>
      <c r="R24" s="60" t="str">
        <f>IF(LEFT(K24,2)="22","20'","40'")</f>
        <v>40'</v>
      </c>
      <c r="S24" s="185" t="n"/>
      <c r="T24" s="61" t="str">
        <f>VLOOKUP(A24,'1.Loading'!A:R,2,FALSE)</f>
        <v>2026-10-11</v>
      </c>
      <c r="U24" s="63">
        <f>T24-S24</f>
        <v>46306</v>
      </c>
      <c r="V24" s="186" t="n"/>
      <c r="W24" s="61" t="str">
        <f>VLOOKUP(A24,'3.GateMove'!A:D,4,FALSE)</f>
        <v>2026-10-08</v>
      </c>
      <c r="X24" s="63">
        <f>((T24-W24)+1)</f>
        <v>4</v>
      </c>
      <c r="Y24" s="64">
        <f>IF(AND(OR(C24="BKK01",C24="BKK04"),L24="CFS/CY"),0,IF(M24="DG",1,IF(LEFT(C24,3)="LCH",7,IF(C24="BKK02",5,3))))</f>
        <v>5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46307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Vilaiporn</v>
      </c>
      <c r="AL24" s="60" t="str">
        <f>VLOOKUP(D24,'2.Bookinglist'!A:CW,101,FALSE)</f>
        <v>2026-10-10</v>
      </c>
      <c r="AM24" s="60" t="str">
        <f>VLOOKUP(D24,'2.Bookinglist'!A:BK,63,FALSE)</f>
        <v>BKK27</v>
      </c>
      <c r="AN24" s="62" t="str">
        <f>VLOOKUP(D24,'2.Bookinglist'!A:AZ,52,FALSE)</f>
        <v>Pickup : 2026-10-07, Return : 2026-10-08</v>
      </c>
      <c r="AO24" s="62">
        <f>VLOOKUP(D24,'2.Bookinglist'!A:CY,103,FALSE)</f>
        <v>0</v>
      </c>
    </row>
    <row r="25" ht="12.95" customHeight="1">
      <c r="A25" s="96" t="inlineStr">
        <is>
          <t>HLHU8523370</t>
        </is>
      </c>
      <c r="B25" s="184" t="str">
        <f>IF(C25=Charge!$M$1,Charge!$J$1,IF(C25=Charge!$M$23,Charge!$J$23,IF(C25=Charge!$M$17,Charge!$J$17,IF(C25=Charge!$N$17,Charge!$J$17,Charge!$J$7))))</f>
        <v>G4</v>
      </c>
      <c r="C25" s="61" t="str">
        <f>VLOOKUP(A25,'1.Loading'!A:R,14,FALSE)</f>
        <v>BKK02</v>
      </c>
      <c r="D25" s="61" t="str">
        <f>VLOOKUP(A25,'1.Loading'!A:R,17,FALSE)</f>
        <v>HASLS22261000007</v>
      </c>
      <c r="E25" s="62" t="str">
        <f>VLOOKUP(D25,'2.Bookinglist'!A:CT,27,FALSE)</f>
        <v>SDS-ACUTECH CO., LTD.</v>
      </c>
      <c r="F25" s="62" t="str">
        <f>VLOOKUP(D25,'2.Bookinglist'!A:CT,28,FALSE)</f>
        <v>APEX CIRCUIT (THAILAND) CO., LTD.</v>
      </c>
      <c r="G25" s="60">
        <f>VLOOKUP(D25,'2.Bookinglist'!A:E,5,FALSE)</f>
        <v>0</v>
      </c>
      <c r="H25" s="61" t="str">
        <f>VLOOKUP(D25,'2.Bookinglist'!A:CT,15,FALSE)</f>
        <v>THBKK</v>
      </c>
      <c r="I25" s="61" t="str">
        <f>VLOOKUP(D25,'2.Bookinglist'!A:CT,19,FALSE)</f>
        <v>VNSGN</v>
      </c>
      <c r="J25" s="61">
        <f>VLOOKUP(D25,'2.Bookinglist'!A:CT,26,FALSE)</f>
        <v>0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DJCF</v>
      </c>
      <c r="P25" s="61" t="str">
        <f>VLOOKUP(A25,'1.Loading'!A:R,4,FALSE)</f>
        <v>0152N</v>
      </c>
      <c r="Q25" s="61" t="str">
        <f>VLOOKUP(D25,'2.Bookinglist'!A:CT,12,FALSE)</f>
        <v>NTX</v>
      </c>
      <c r="R25" s="60" t="str">
        <f>IF(LEFT(K25,2)="22","20'","40'")</f>
        <v>40'</v>
      </c>
      <c r="S25" s="185" t="n"/>
      <c r="T25" s="61" t="str">
        <f>VLOOKUP(A25,'1.Loading'!A:R,2,FALSE)</f>
        <v>2026-10-11</v>
      </c>
      <c r="U25" s="63">
        <f>T25-S25</f>
        <v>46306</v>
      </c>
      <c r="V25" s="186" t="n"/>
      <c r="W25" s="61" t="str">
        <f>VLOOKUP(A25,'3.GateMove'!A:D,4,FALSE)</f>
        <v>2026-10-08</v>
      </c>
      <c r="X25" s="63">
        <f>((T25-W25)+1)</f>
        <v>4</v>
      </c>
      <c r="Y25" s="64">
        <f>IF(AND(OR(C25="BKK01",C25="BKK04"),L25="CFS/CY"),0,IF(M25="DG",1,IF(LEFT(C25,3)="LCH",7,IF(C25="BKK02",5,3))))</f>
        <v>5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46307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LEE SEUNG MIN</v>
      </c>
      <c r="AL25" s="60" t="str">
        <f>VLOOKUP(D25,'2.Bookinglist'!A:CW,101,FALSE)</f>
        <v>2026-10-11</v>
      </c>
      <c r="AM25" s="60" t="str">
        <f>VLOOKUP(D25,'2.Bookinglist'!A:BK,63,FALSE)</f>
        <v>BKK27</v>
      </c>
      <c r="AN25" s="62" t="str">
        <f>VLOOKUP(D25,'2.Bookinglist'!A:AZ,52,FALSE)</f>
        <v>Pickup : 2026-10-05, Return : 2026-10-07 </v>
      </c>
      <c r="AO25" s="62">
        <f>VLOOKUP(D25,'2.Bookinglist'!A:CY,103,FALSE)</f>
        <v>0</v>
      </c>
    </row>
    <row r="26" ht="12.95" customHeight="1">
      <c r="A26" s="96" t="inlineStr">
        <is>
          <t>HLHU8591930</t>
        </is>
      </c>
      <c r="B26" s="184" t="str">
        <f>IF(C26=Charge!$M$1,Charge!$J$1,IF(C26=Charge!$M$23,Charge!$J$23,IF(C26=Charge!$M$17,Charge!$J$17,IF(C26=Charge!$N$17,Charge!$J$17,Charge!$J$7))))</f>
        <v>G4</v>
      </c>
      <c r="C26" s="61" t="str">
        <f>VLOOKUP(A26,'1.Loading'!A:R,14,FALSE)</f>
        <v>BKK02</v>
      </c>
      <c r="D26" s="61" t="str">
        <f>VLOOKUP(A26,'1.Loading'!A:R,17,FALSE)</f>
        <v>HASLS22260901037</v>
      </c>
      <c r="E26" s="62" t="str">
        <f>VLOOKUP(D26,'2.Bookinglist'!A:CT,27,FALSE)</f>
        <v>PISIA INTERFREIGHT CO.,LTD.</v>
      </c>
      <c r="F26" s="62" t="str">
        <f>VLOOKUP(D26,'2.Bookinglist'!A:CT,28,FALSE)</f>
        <v>KANGWAL POLYESTER CO., LTD.</v>
      </c>
      <c r="G26" s="60">
        <f>VLOOKUP(D26,'2.Bookinglist'!A:E,5,FALSE)</f>
        <v>0</v>
      </c>
      <c r="H26" s="61" t="str">
        <f>VLOOKUP(D26,'2.Bookinglist'!A:CT,15,FALSE)</f>
        <v>THBKK</v>
      </c>
      <c r="I26" s="61" t="str">
        <f>VLOOKUP(D26,'2.Bookinglist'!A:CT,19,FALSE)</f>
        <v>VNSGN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DJCF</v>
      </c>
      <c r="P26" s="61" t="str">
        <f>VLOOKUP(A26,'1.Loading'!A:R,4,FALSE)</f>
        <v>0152N</v>
      </c>
      <c r="Q26" s="61" t="str">
        <f>VLOOKUP(D26,'2.Bookinglist'!A:CT,12,FALSE)</f>
        <v>NTX</v>
      </c>
      <c r="R26" s="60" t="str">
        <f>IF(LEFT(K26,2)="22","20'","40'")</f>
        <v>40'</v>
      </c>
      <c r="S26" s="185" t="n"/>
      <c r="T26" s="61" t="str">
        <f>VLOOKUP(A26,'1.Loading'!A:R,2,FALSE)</f>
        <v>2026-10-11</v>
      </c>
      <c r="U26" s="63">
        <f>T26-S26</f>
        <v>46306</v>
      </c>
      <c r="V26" s="186" t="n"/>
      <c r="W26" s="61" t="str">
        <f>VLOOKUP(A26,'3.GateMove'!A:D,4,FALSE)</f>
        <v>2026-10-07</v>
      </c>
      <c r="X26" s="63">
        <f>((T26-W26)+1)</f>
        <v>5</v>
      </c>
      <c r="Y26" s="64">
        <f>IF(AND(OR(C26="BKK01",C26="BKK04"),L26="CFS/CY"),0,IF(M26="DG",1,IF(LEFT(C26,3)="LCH",7,IF(C26="BKK02",5,3))))</f>
        <v>5</v>
      </c>
      <c r="Z26" s="63">
        <f>IF(IF(AND(AC26="TML",AB26&gt;0),((T26-W26)+1)-AB26,((T26-W26)+1)-Y26)&gt;0,IF(AND(AC26="TML",AB26&gt;0),((T26-W26)+1)-AB26,((T26-W26)+1)-Y26),0)</f>
        <v>0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46307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0</v>
      </c>
      <c r="AJ26" s="188" t="n"/>
      <c r="AK26" s="62" t="str">
        <f>VLOOKUP(D26,'2.Bookinglist'!A:CT,40,FALSE)</f>
        <v>Nannaapust Sukporntaweewat</v>
      </c>
      <c r="AL26" s="60" t="str">
        <f>VLOOKUP(D26,'2.Bookinglist'!A:CW,101,FALSE)</f>
        <v>2026-10-10</v>
      </c>
      <c r="AM26" s="60" t="str">
        <f>VLOOKUP(D26,'2.Bookinglist'!A:BK,63,FALSE)</f>
        <v>BKK25</v>
      </c>
      <c r="AN26" s="62" t="str">
        <f>VLOOKUP(D26,'2.Bookinglist'!A:AZ,52,FALSE)</f>
        <v>Pickup : 2026-10-06, Return : 2026-10-07</v>
      </c>
      <c r="AO26" s="62">
        <f>VLOOKUP(D26,'2.Bookinglist'!A:CY,103,FALSE)</f>
        <v>0</v>
      </c>
    </row>
    <row r="27" ht="12.95" customHeight="1">
      <c r="A27" s="96" t="inlineStr">
        <is>
          <t>MAGU2538221</t>
        </is>
      </c>
      <c r="B27" s="184" t="str">
        <f>IF(C27=Charge!$M$1,Charge!$J$1,IF(C27=Charge!$M$23,Charge!$J$23,IF(C27=Charge!$M$17,Charge!$J$17,IF(C27=Charge!$N$17,Charge!$J$17,Charge!$J$7))))</f>
        <v>G4</v>
      </c>
      <c r="C27" s="61" t="str">
        <f>VLOOKUP(A27,'1.Loading'!A:R,14,FALSE)</f>
        <v>BKK02</v>
      </c>
      <c r="D27" s="61" t="str">
        <f>VLOOKUP(A27,'1.Loading'!A:R,17,FALSE)</f>
        <v>HASLS22261000056</v>
      </c>
      <c r="E27" s="62" t="str">
        <f>VLOOKUP(D27,'2.Bookinglist'!A:CT,27,FALSE)</f>
        <v>YUSEN LOGISTICS (THAILAND) CO., LTD.</v>
      </c>
      <c r="F27" s="62" t="str">
        <f>VLOOKUP(D27,'2.Bookinglist'!A:CT,28,FALSE)</f>
        <v>KANG YONG ELECTRIC PUBLIC COMPANY LIMITED</v>
      </c>
      <c r="G27" s="60">
        <f>VLOOKUP(D27,'2.Bookinglist'!A:E,5,FALSE)</f>
        <v>0</v>
      </c>
      <c r="H27" s="61" t="str">
        <f>VLOOKUP(D27,'2.Bookinglist'!A:CT,15,FALSE)</f>
        <v>THBKK</v>
      </c>
      <c r="I27" s="61" t="str">
        <f>VLOOKUP(D27,'2.Bookinglist'!A:CT,19,FALSE)</f>
        <v>VNSGN</v>
      </c>
      <c r="J27" s="61">
        <f>VLOOKUP(D27,'2.Bookinglist'!A:CT,26,FALSE)</f>
        <v>0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DJCF</v>
      </c>
      <c r="P27" s="61" t="str">
        <f>VLOOKUP(A27,'1.Loading'!A:R,4,FALSE)</f>
        <v>0152N</v>
      </c>
      <c r="Q27" s="61" t="str">
        <f>VLOOKUP(D27,'2.Bookinglist'!A:CT,12,FALSE)</f>
        <v>NTX</v>
      </c>
      <c r="R27" s="60" t="str">
        <f>IF(LEFT(K27,2)="22","20'","40'")</f>
        <v>20'</v>
      </c>
      <c r="S27" s="185" t="n"/>
      <c r="T27" s="61" t="str">
        <f>VLOOKUP(A27,'1.Loading'!A:R,2,FALSE)</f>
        <v>2026-10-11</v>
      </c>
      <c r="U27" s="63">
        <f>T27-S27</f>
        <v>46306</v>
      </c>
      <c r="V27" s="186" t="n"/>
      <c r="W27" s="61" t="str">
        <f>VLOOKUP(A27,'3.GateMove'!A:D,4,FALSE)</f>
        <v>2026-10-08</v>
      </c>
      <c r="X27" s="63">
        <f>((T27-W27)+1)</f>
        <v>4</v>
      </c>
      <c r="Y27" s="64">
        <f>IF(AND(OR(C27="BKK01",C27="BKK04"),L27="CFS/CY"),0,IF(M27="DG",1,IF(LEFT(C27,3)="LCH",7,IF(C27="BKK02",5,3))))</f>
        <v>5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46307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Vilaiporn</v>
      </c>
      <c r="AL27" s="60" t="str">
        <f>VLOOKUP(D27,'2.Bookinglist'!A:CW,101,FALSE)</f>
        <v>2026-10-11</v>
      </c>
      <c r="AM27" s="60" t="str">
        <f>VLOOKUP(D27,'2.Bookinglist'!A:BK,63,FALSE)</f>
        <v>BKK27</v>
      </c>
      <c r="AN27" s="62" t="str">
        <f>VLOOKUP(D27,'2.Bookinglist'!A:AZ,52,FALSE)</f>
        <v>Pickup : 2026-10-08, Return : 2026-10-08</v>
      </c>
      <c r="AO27" s="62">
        <f>VLOOKUP(D27,'2.Bookinglist'!A:CY,103,FALSE)</f>
        <v>0</v>
      </c>
    </row>
    <row r="28" ht="12.95" customHeight="1">
      <c r="A28" s="96" t="inlineStr">
        <is>
          <t>SKHU6371677</t>
        </is>
      </c>
      <c r="B28" s="184" t="str">
        <f>IF(C28=Charge!$M$1,Charge!$J$1,IF(C28=Charge!$M$23,Charge!$J$23,IF(C28=Charge!$M$17,Charge!$J$17,IF(C28=Charge!$N$17,Charge!$J$17,Charge!$J$7))))</f>
        <v>G4</v>
      </c>
      <c r="C28" s="61" t="str">
        <f>VLOOKUP(A28,'1.Loading'!A:R,14,FALSE)</f>
        <v>BKK02</v>
      </c>
      <c r="D28" s="61" t="str">
        <f>VLOOKUP(A28,'1.Loading'!A:R,17,FALSE)</f>
        <v>HASLS22260901039</v>
      </c>
      <c r="E28" s="62" t="str">
        <f>VLOOKUP(D28,'2.Bookinglist'!A:CT,27,FALSE)</f>
        <v>C.P. INTERTRADE CO., LTD.</v>
      </c>
      <c r="F28" s="62" t="str">
        <f>VLOOKUP(D28,'2.Bookinglist'!A:CT,28,FALSE)</f>
        <v>PERFECT COMPANION GROUP CO., LTD.</v>
      </c>
      <c r="G28" s="60">
        <f>VLOOKUP(D28,'2.Bookinglist'!A:E,5,FALSE)</f>
        <v>0</v>
      </c>
      <c r="H28" s="61" t="str">
        <f>VLOOKUP(D28,'2.Bookinglist'!A:CT,15,FALSE)</f>
        <v>THBKK</v>
      </c>
      <c r="I28" s="61" t="str">
        <f>VLOOKUP(D28,'2.Bookinglist'!A:CT,19,FALSE)</f>
        <v>JPMYJ</v>
      </c>
      <c r="J28" s="61" t="str">
        <f>VLOOKUP(D28,'2.Bookinglist'!A:CT,26,FALSE)</f>
        <v>KRPUS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DJCF</v>
      </c>
      <c r="P28" s="61" t="str">
        <f>VLOOKUP(A28,'1.Loading'!A:R,4,FALSE)</f>
        <v>0152N</v>
      </c>
      <c r="Q28" s="61" t="str">
        <f>VLOOKUP(D28,'2.Bookinglist'!A:CT,12,FALSE)</f>
        <v>NTX</v>
      </c>
      <c r="R28" s="60" t="str">
        <f>IF(LEFT(K28,2)="22","20'","40'")</f>
        <v>40'</v>
      </c>
      <c r="S28" s="185" t="n"/>
      <c r="T28" s="61" t="str">
        <f>VLOOKUP(A28,'1.Loading'!A:R,2,FALSE)</f>
        <v>2026-10-11</v>
      </c>
      <c r="U28" s="63">
        <f>T28-S28</f>
        <v>46306</v>
      </c>
      <c r="V28" s="186" t="n"/>
      <c r="W28" s="61" t="str">
        <f>VLOOKUP(A28,'3.GateMove'!A:D,4,FALSE)</f>
        <v>2026-10-05</v>
      </c>
      <c r="X28" s="63">
        <f>((T28-W28)+1)</f>
        <v>7</v>
      </c>
      <c r="Y28" s="64">
        <f>IF(AND(OR(C28="BKK01",C28="BKK04"),L28="CFS/CY"),0,IF(M28="DG",1,IF(LEFT(C28,3)="LCH",7,IF(C28="BKK02",5,3))))</f>
        <v>5</v>
      </c>
      <c r="Z28" s="63">
        <f>IF(IF(AND(AC28="TML",AB28&gt;0),((T28-W28)+1)-AB28,((T28-W28)+1)-Y28)&gt;0,IF(AND(AC28="TML",AB28&gt;0),((T28-W28)+1)-AB28,((T28-W28)+1)-Y28),0)</f>
        <v>2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200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46307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200</v>
      </c>
      <c r="AJ28" s="188" t="n"/>
      <c r="AK28" s="62" t="str">
        <f>VLOOKUP(D28,'2.Bookinglist'!A:CT,40,FALSE)</f>
        <v>OH JEONGSEOK</v>
      </c>
      <c r="AL28" s="60" t="str">
        <f>VLOOKUP(D28,'2.Bookinglist'!A:CW,101,FALSE)</f>
        <v>2026-10-11</v>
      </c>
      <c r="AM28" s="60" t="str">
        <f>VLOOKUP(D28,'2.Bookinglist'!A:BK,63,FALSE)</f>
        <v>BKK27</v>
      </c>
      <c r="AN28" s="62" t="str">
        <f>VLOOKUP(D28,'2.Bookinglist'!A:AZ,52,FALSE)</f>
        <v>Pickup : 2026-10-03, Return : 2026-10-05</v>
      </c>
      <c r="AO28" s="62">
        <f>VLOOKUP(D28,'2.Bookinglist'!A:CY,103,FALSE)</f>
        <v>0</v>
      </c>
    </row>
    <row r="29" ht="12.95" customHeight="1">
      <c r="A29" s="96" t="inlineStr">
        <is>
          <t>SKHU6412061</t>
        </is>
      </c>
      <c r="B29" s="184" t="str">
        <f>IF(C29=Charge!$M$1,Charge!$J$1,IF(C29=Charge!$M$23,Charge!$J$23,IF(C29=Charge!$M$17,Charge!$J$17,IF(C29=Charge!$N$17,Charge!$J$17,Charge!$J$7))))</f>
        <v>G4</v>
      </c>
      <c r="C29" s="61" t="str">
        <f>VLOOKUP(A29,'1.Loading'!A:R,14,FALSE)</f>
        <v>BKK02</v>
      </c>
      <c r="D29" s="61" t="str">
        <f>VLOOKUP(A29,'1.Loading'!A:R,17,FALSE)</f>
        <v>HASLS22260902379</v>
      </c>
      <c r="E29" s="62" t="str">
        <f>VLOOKUP(D29,'2.Bookinglist'!A:CT,27,FALSE)</f>
        <v>ACCORD PILOT LOGISTICS (THAILAND) CO., LTD.</v>
      </c>
      <c r="F29" s="62" t="str">
        <f>VLOOKUP(D29,'2.Bookinglist'!A:CT,28,FALSE)</f>
        <v>ASIAN-PACIFIC CAN CO., LTD.</v>
      </c>
      <c r="G29" s="60">
        <f>VLOOKUP(D29,'2.Bookinglist'!A:E,5,FALSE)</f>
        <v>0</v>
      </c>
      <c r="H29" s="61" t="str">
        <f>VLOOKUP(D29,'2.Bookinglist'!A:CT,15,FALSE)</f>
        <v>THBKK</v>
      </c>
      <c r="I29" s="61" t="str">
        <f>VLOOKUP(D29,'2.Bookinglist'!A:CT,19,FALSE)</f>
        <v>VNSGN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DJCF</v>
      </c>
      <c r="P29" s="61" t="str">
        <f>VLOOKUP(A29,'1.Loading'!A:R,4,FALSE)</f>
        <v>0152N</v>
      </c>
      <c r="Q29" s="61" t="str">
        <f>VLOOKUP(D29,'2.Bookinglist'!A:CT,12,FALSE)</f>
        <v>NTX</v>
      </c>
      <c r="R29" s="60" t="str">
        <f>IF(LEFT(K29,2)="22","20'","40'")</f>
        <v>40'</v>
      </c>
      <c r="S29" s="185" t="n"/>
      <c r="T29" s="61" t="str">
        <f>VLOOKUP(A29,'1.Loading'!A:R,2,FALSE)</f>
        <v>2026-10-11</v>
      </c>
      <c r="U29" s="63">
        <f>T29-S29</f>
        <v>46306</v>
      </c>
      <c r="V29" s="186" t="n"/>
      <c r="W29" s="61" t="str">
        <f>VLOOKUP(A29,'3.GateMove'!A:D,4,FALSE)</f>
        <v>2026-10-08</v>
      </c>
      <c r="X29" s="63">
        <f>((T29-W29)+1)</f>
        <v>4</v>
      </c>
      <c r="Y29" s="64">
        <f>IF(AND(OR(C29="BKK01",C29="BKK04"),L29="CFS/CY"),0,IF(M29="DG",1,IF(LEFT(C29,3)="LCH",7,IF(C29="BKK02",5,3))))</f>
        <v>5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46307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Nguyen Van Nam</v>
      </c>
      <c r="AL29" s="60" t="str">
        <f>VLOOKUP(D29,'2.Bookinglist'!A:CW,101,FALSE)</f>
        <v>2026-10-11</v>
      </c>
      <c r="AM29" s="60" t="str">
        <f>VLOOKUP(D29,'2.Bookinglist'!A:BK,63,FALSE)</f>
        <v>BKK27</v>
      </c>
      <c r="AN29" s="62" t="str">
        <f>VLOOKUP(D29,'2.Bookinglist'!A:AZ,52,FALSE)</f>
        <v>Pickup : 2026-10-07, Return : 2026-10-08</v>
      </c>
      <c r="AO29" s="62">
        <f>VLOOKUP(D29,'2.Bookinglist'!A:CY,103,FALSE)</f>
        <v>0</v>
      </c>
    </row>
    <row r="30" ht="12.95" customHeight="1">
      <c r="A30" s="96" t="inlineStr">
        <is>
          <t>SKHU6431518</t>
        </is>
      </c>
      <c r="B30" s="184" t="str">
        <f>IF(C30=Charge!$M$1,Charge!$J$1,IF(C30=Charge!$M$23,Charge!$J$23,IF(C30=Charge!$M$17,Charge!$J$17,IF(C30=Charge!$N$17,Charge!$J$17,Charge!$J$7))))</f>
        <v>G4</v>
      </c>
      <c r="C30" s="61" t="str">
        <f>VLOOKUP(A30,'1.Loading'!A:R,14,FALSE)</f>
        <v>BKK02</v>
      </c>
      <c r="D30" s="61" t="str">
        <f>VLOOKUP(A30,'1.Loading'!A:R,17,FALSE)</f>
        <v>HASLS22260902221</v>
      </c>
      <c r="E30" s="62" t="str">
        <f>VLOOKUP(D30,'2.Bookinglist'!A:CT,27,FALSE)</f>
        <v>CAPRICORN LOGISTICS CO., LTD.</v>
      </c>
      <c r="F30" s="62" t="str">
        <f>VLOOKUP(D30,'2.Bookinglist'!A:CT,28,FALSE)</f>
        <v>SWAN INDUSTRIES (THAILAND) LTD.</v>
      </c>
      <c r="G30" s="60">
        <f>VLOOKUP(D30,'2.Bookinglist'!A:E,5,FALSE)</f>
        <v>0</v>
      </c>
      <c r="H30" s="61" t="str">
        <f>VLOOKUP(D30,'2.Bookinglist'!A:CT,15,FALSE)</f>
        <v>THBKK</v>
      </c>
      <c r="I30" s="61" t="str">
        <f>VLOOKUP(D30,'2.Bookinglist'!A:CT,19,FALSE)</f>
        <v>VNSGN</v>
      </c>
      <c r="J30" s="61">
        <f>VLOOKUP(D30,'2.Bookinglist'!A:CT,26,FALSE)</f>
        <v>0</v>
      </c>
      <c r="K30" s="61" t="str">
        <f>VLOOKUP(A30,'1.Loading'!A:R,5,FALSE)</f>
        <v>45GP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DJCF</v>
      </c>
      <c r="P30" s="61" t="str">
        <f>VLOOKUP(A30,'1.Loading'!A:R,4,FALSE)</f>
        <v>0152N</v>
      </c>
      <c r="Q30" s="61" t="str">
        <f>VLOOKUP(D30,'2.Bookinglist'!A:CT,12,FALSE)</f>
        <v>NTX</v>
      </c>
      <c r="R30" s="60" t="str">
        <f>IF(LEFT(K30,2)="22","20'","40'")</f>
        <v>40'</v>
      </c>
      <c r="S30" s="185" t="n"/>
      <c r="T30" s="61" t="str">
        <f>VLOOKUP(A30,'1.Loading'!A:R,2,FALSE)</f>
        <v>2026-10-11</v>
      </c>
      <c r="U30" s="63">
        <f>T30-S30</f>
        <v>46306</v>
      </c>
      <c r="V30" s="186" t="n"/>
      <c r="W30" s="61" t="str">
        <f>VLOOKUP(A30,'3.GateMove'!A:D,4,FALSE)</f>
        <v>2026-10-07</v>
      </c>
      <c r="X30" s="63">
        <f>((T30-W30)+1)</f>
        <v>5</v>
      </c>
      <c r="Y30" s="64">
        <f>IF(AND(OR(C30="BKK01",C30="BKK04"),L30="CFS/CY"),0,IF(M30="DG",1,IF(LEFT(C30,3)="LCH",7,IF(C30="BKK02",5,3))))</f>
        <v>5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46307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Nguyen Xuan Toan</v>
      </c>
      <c r="AL30" s="60" t="str">
        <f>VLOOKUP(D30,'2.Bookinglist'!A:CW,101,FALSE)</f>
        <v>2026-10-11</v>
      </c>
      <c r="AM30" s="60" t="str">
        <f>VLOOKUP(D30,'2.Bookinglist'!A:BK,63,FALSE)</f>
        <v>BKK27</v>
      </c>
      <c r="AN30" s="62" t="str">
        <f>VLOOKUP(D30,'2.Bookinglist'!A:AZ,52,FALSE)</f>
        <v>Pickup : 2026-10-06, Return : 2026-10-07 
CLS TIME DD.09/10/2026 @ 23.59 </v>
      </c>
      <c r="AO30" s="62">
        <f>VLOOKUP(D30,'2.Bookinglist'!A:CY,103,FALSE)</f>
        <v>0</v>
      </c>
    </row>
    <row r="31" ht="12.95" customHeight="1">
      <c r="A31" s="96" t="inlineStr">
        <is>
          <t>SKHU8714060</t>
        </is>
      </c>
      <c r="B31" s="184" t="str">
        <f>IF(C31=Charge!$M$1,Charge!$J$1,IF(C31=Charge!$M$23,Charge!$J$23,IF(C31=Charge!$M$17,Charge!$J$17,IF(C31=Charge!$N$17,Charge!$J$17,Charge!$J$7))))</f>
        <v>G4</v>
      </c>
      <c r="C31" s="61" t="str">
        <f>VLOOKUP(A31,'1.Loading'!A:R,14,FALSE)</f>
        <v>BKK02</v>
      </c>
      <c r="D31" s="61" t="str">
        <f>VLOOKUP(A31,'1.Loading'!A:R,17,FALSE)</f>
        <v>HASLS22260902221</v>
      </c>
      <c r="E31" s="62" t="str">
        <f>VLOOKUP(D31,'2.Bookinglist'!A:CT,27,FALSE)</f>
        <v>CAPRICORN LOGISTICS CO., LTD.</v>
      </c>
      <c r="F31" s="62" t="str">
        <f>VLOOKUP(D31,'2.Bookinglist'!A:CT,28,FALSE)</f>
        <v>SWAN INDUSTRIES (THAILAND) LTD.</v>
      </c>
      <c r="G31" s="60">
        <f>VLOOKUP(D31,'2.Bookinglist'!A:E,5,FALSE)</f>
        <v>0</v>
      </c>
      <c r="H31" s="61" t="str">
        <f>VLOOKUP(D31,'2.Bookinglist'!A:CT,15,FALSE)</f>
        <v>THBKK</v>
      </c>
      <c r="I31" s="61" t="str">
        <f>VLOOKUP(D31,'2.Bookinglist'!A:CT,19,FALSE)</f>
        <v>VNSGN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DJCF</v>
      </c>
      <c r="P31" s="61" t="str">
        <f>VLOOKUP(A31,'1.Loading'!A:R,4,FALSE)</f>
        <v>0152N</v>
      </c>
      <c r="Q31" s="61" t="str">
        <f>VLOOKUP(D31,'2.Bookinglist'!A:CT,12,FALSE)</f>
        <v>NTX</v>
      </c>
      <c r="R31" s="60" t="str">
        <f>IF(LEFT(K31,2)="22","20'","40'")</f>
        <v>40'</v>
      </c>
      <c r="S31" s="185" t="n"/>
      <c r="T31" s="61" t="str">
        <f>VLOOKUP(A31,'1.Loading'!A:R,2,FALSE)</f>
        <v>2026-10-11</v>
      </c>
      <c r="U31" s="63">
        <f>T31-S31</f>
        <v>46306</v>
      </c>
      <c r="V31" s="186" t="n"/>
      <c r="W31" s="61" t="str">
        <f>VLOOKUP(A31,'3.GateMove'!A:D,4,FALSE)</f>
        <v>2026-10-08</v>
      </c>
      <c r="X31" s="63">
        <f>((T31-W31)+1)</f>
        <v>4</v>
      </c>
      <c r="Y31" s="64">
        <f>IF(AND(OR(C31="BKK01",C31="BKK04"),L31="CFS/CY"),0,IF(M31="DG",1,IF(LEFT(C31,3)="LCH",7,IF(C31="BKK02",5,3))))</f>
        <v>5</v>
      </c>
      <c r="Z31" s="63">
        <f>IF(IF(AND(AC31="TML",AB31&gt;0),((T31-W31)+1)-AB31,((T31-W31)+1)-Y31)&gt;0,IF(AND(AC31="TML",AB31&gt;0),((T31-W31)+1)-AB31,((T31-W31)+1)-Y31),0)</f>
        <v>0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46307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0</v>
      </c>
      <c r="AJ31" s="188" t="n"/>
      <c r="AK31" s="62" t="str">
        <f>VLOOKUP(D31,'2.Bookinglist'!A:CT,40,FALSE)</f>
        <v>Nguyen Xuan Toan</v>
      </c>
      <c r="AL31" s="60" t="str">
        <f>VLOOKUP(D31,'2.Bookinglist'!A:CW,101,FALSE)</f>
        <v>2026-10-11</v>
      </c>
      <c r="AM31" s="60" t="str">
        <f>VLOOKUP(D31,'2.Bookinglist'!A:BK,63,FALSE)</f>
        <v>BKK27</v>
      </c>
      <c r="AN31" s="62" t="str">
        <f>VLOOKUP(D31,'2.Bookinglist'!A:AZ,52,FALSE)</f>
        <v>Pickup : 2026-10-06, Return : 2026-10-07 
CLS TIME DD.09/10/2026 @ 23.59 </v>
      </c>
      <c r="AO31" s="62">
        <f>VLOOKUP(D31,'2.Bookinglist'!A:CY,103,FALSE)</f>
        <v>0</v>
      </c>
    </row>
    <row r="32" ht="12.95" customHeight="1">
      <c r="A32" s="96" t="inlineStr">
        <is>
          <t>SKHU8933794</t>
        </is>
      </c>
      <c r="B32" s="184" t="str">
        <f>IF(C32=Charge!$M$1,Charge!$J$1,IF(C32=Charge!$M$23,Charge!$J$23,IF(C32=Charge!$M$17,Charge!$J$17,IF(C32=Charge!$N$17,Charge!$J$17,Charge!$J$7))))</f>
        <v>G4</v>
      </c>
      <c r="C32" s="61" t="str">
        <f>VLOOKUP(A32,'1.Loading'!A:R,14,FALSE)</f>
        <v>BKK02</v>
      </c>
      <c r="D32" s="61" t="str">
        <f>VLOOKUP(A32,'1.Loading'!A:R,17,FALSE)</f>
        <v>HASLS22260901037</v>
      </c>
      <c r="E32" s="62" t="str">
        <f>VLOOKUP(D32,'2.Bookinglist'!A:CT,27,FALSE)</f>
        <v>PISIA INTERFREIGHT CO.,LTD.</v>
      </c>
      <c r="F32" s="62" t="str">
        <f>VLOOKUP(D32,'2.Bookinglist'!A:CT,28,FALSE)</f>
        <v>KANGWAL POLYESTER CO., LTD.</v>
      </c>
      <c r="G32" s="60">
        <f>VLOOKUP(D32,'2.Bookinglist'!A:E,5,FALSE)</f>
        <v>0</v>
      </c>
      <c r="H32" s="61" t="str">
        <f>VLOOKUP(D32,'2.Bookinglist'!A:CT,15,FALSE)</f>
        <v>THBKK</v>
      </c>
      <c r="I32" s="61" t="str">
        <f>VLOOKUP(D32,'2.Bookinglist'!A:CT,19,FALSE)</f>
        <v>VNSGN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DJCF</v>
      </c>
      <c r="P32" s="61" t="str">
        <f>VLOOKUP(A32,'1.Loading'!A:R,4,FALSE)</f>
        <v>0152N</v>
      </c>
      <c r="Q32" s="61" t="str">
        <f>VLOOKUP(D32,'2.Bookinglist'!A:CT,12,FALSE)</f>
        <v>NTX</v>
      </c>
      <c r="R32" s="60" t="str">
        <f>IF(LEFT(K32,2)="22","20'","40'")</f>
        <v>40'</v>
      </c>
      <c r="S32" s="185" t="n"/>
      <c r="T32" s="61" t="str">
        <f>VLOOKUP(A32,'1.Loading'!A:R,2,FALSE)</f>
        <v>2026-10-11</v>
      </c>
      <c r="U32" s="63">
        <f>T32-S32</f>
        <v>46306</v>
      </c>
      <c r="V32" s="186" t="n"/>
      <c r="W32" s="61" t="str">
        <f>VLOOKUP(A32,'3.GateMove'!A:D,4,FALSE)</f>
        <v>2026-10-07</v>
      </c>
      <c r="X32" s="63">
        <f>((T32-W32)+1)</f>
        <v>5</v>
      </c>
      <c r="Y32" s="64">
        <f>IF(AND(OR(C32="BKK01",C32="BKK04"),L32="CFS/CY"),0,IF(M32="DG",1,IF(LEFT(C32,3)="LCH",7,IF(C32="BKK02",5,3))))</f>
        <v>5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46307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Nannaapust Sukporntaweewat</v>
      </c>
      <c r="AL32" s="60" t="str">
        <f>VLOOKUP(D32,'2.Bookinglist'!A:CW,101,FALSE)</f>
        <v>2026-10-10</v>
      </c>
      <c r="AM32" s="60" t="str">
        <f>VLOOKUP(D32,'2.Bookinglist'!A:BK,63,FALSE)</f>
        <v>BKK25</v>
      </c>
      <c r="AN32" s="62" t="str">
        <f>VLOOKUP(D32,'2.Bookinglist'!A:AZ,52,FALSE)</f>
        <v>Pickup : 2026-10-06, Return : 2026-10-07</v>
      </c>
      <c r="AO32" s="62">
        <f>VLOOKUP(D32,'2.Bookinglist'!A:CY,103,FALSE)</f>
        <v>0</v>
      </c>
    </row>
    <row r="33" ht="12.95" customHeight="1">
      <c r="A33" s="96" t="inlineStr">
        <is>
          <t>SKHU9405600</t>
        </is>
      </c>
      <c r="B33" s="184" t="str">
        <f>IF(C33=Charge!$M$1,Charge!$J$1,IF(C33=Charge!$M$23,Charge!$J$23,IF(C33=Charge!$M$17,Charge!$J$17,IF(C33=Charge!$N$17,Charge!$J$17,Charge!$J$7))))</f>
        <v>G4</v>
      </c>
      <c r="C33" s="61" t="str">
        <f>VLOOKUP(A33,'1.Loading'!A:R,14,FALSE)</f>
        <v>BKK02</v>
      </c>
      <c r="D33" s="61" t="str">
        <f>VLOOKUP(A33,'1.Loading'!A:R,17,FALSE)</f>
        <v>HASLS22261000179</v>
      </c>
      <c r="E33" s="62" t="str">
        <f>VLOOKUP(D33,'2.Bookinglist'!A:CT,27,FALSE)</f>
        <v>KORCHINA FREIGHT (THAILAND) CO., LTD.</v>
      </c>
      <c r="F33" s="62" t="str">
        <f>VLOOKUP(D33,'2.Bookinglist'!A:CT,28,FALSE)</f>
        <v>OTANI RADIAL CO., LTD.</v>
      </c>
      <c r="G33" s="60">
        <f>VLOOKUP(D33,'2.Bookinglist'!A:E,5,FALSE)</f>
        <v>0</v>
      </c>
      <c r="H33" s="61" t="str">
        <f>VLOOKUP(D33,'2.Bookinglist'!A:CT,15,FALSE)</f>
        <v>THBKK</v>
      </c>
      <c r="I33" s="61" t="str">
        <f>VLOOKUP(D33,'2.Bookinglist'!A:CT,19,FALSE)</f>
        <v>VNSGN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DJCF</v>
      </c>
      <c r="P33" s="61" t="str">
        <f>VLOOKUP(A33,'1.Loading'!A:R,4,FALSE)</f>
        <v>0152N</v>
      </c>
      <c r="Q33" s="61" t="str">
        <f>VLOOKUP(D33,'2.Bookinglist'!A:CT,12,FALSE)</f>
        <v>NTX</v>
      </c>
      <c r="R33" s="60" t="str">
        <f>IF(LEFT(K33,2)="22","20'","40'")</f>
        <v>40'</v>
      </c>
      <c r="S33" s="185" t="n"/>
      <c r="T33" s="61" t="str">
        <f>VLOOKUP(A33,'1.Loading'!A:R,2,FALSE)</f>
        <v>2026-10-11</v>
      </c>
      <c r="U33" s="63">
        <f>T33-S33</f>
        <v>46306</v>
      </c>
      <c r="V33" s="186" t="n"/>
      <c r="W33" s="61" t="str">
        <f>VLOOKUP(A33,'3.GateMove'!A:D,4,FALSE)</f>
        <v>2026-10-08</v>
      </c>
      <c r="X33" s="63">
        <f>((T33-W33)+1)</f>
        <v>4</v>
      </c>
      <c r="Y33" s="64">
        <f>IF(AND(OR(C33="BKK01",C33="BKK04"),L33="CFS/CY"),0,IF(M33="DG",1,IF(LEFT(C33,3)="LCH",7,IF(C33="BKK02",5,3))))</f>
        <v>5</v>
      </c>
      <c r="Z33" s="63">
        <f>IF(IF(AND(AC33="TML",AB33&gt;0),((T33-W33)+1)-AB33,((T33-W33)+1)-Y33)&gt;0,IF(AND(AC33="TML",AB33&gt;0),((T33-W33)+1)-AB33,((T33-W33)+1)-Y33),0)</f>
        <v>0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46307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0</v>
      </c>
      <c r="AJ33" s="188" t="n"/>
      <c r="AK33" s="62" t="str">
        <f>VLOOKUP(D33,'2.Bookinglist'!A:CT,40,FALSE)</f>
        <v>LEE HWA DONG</v>
      </c>
      <c r="AL33" s="60" t="str">
        <f>VLOOKUP(D33,'2.Bookinglist'!A:CW,101,FALSE)</f>
        <v>2026-10-11</v>
      </c>
      <c r="AM33" s="60" t="str">
        <f>VLOOKUP(D33,'2.Bookinglist'!A:BK,63,FALSE)</f>
        <v>BKK27</v>
      </c>
      <c r="AN33" s="62" t="str">
        <f>VLOOKUP(D33,'2.Bookinglist'!A:AZ,52,FALSE)</f>
        <v>Pickup : 2026-10-07, Return : 2026-10-08 </v>
      </c>
      <c r="AO33" s="62">
        <f>VLOOKUP(D33,'2.Bookinglist'!A:CY,103,FALSE)</f>
        <v>0</v>
      </c>
    </row>
    <row r="34" ht="12.95" customHeight="1">
      <c r="A34" s="96" t="inlineStr">
        <is>
          <t>SKHU9514724</t>
        </is>
      </c>
      <c r="B34" s="184" t="str">
        <f>IF(C34=Charge!$M$1,Charge!$J$1,IF(C34=Charge!$M$23,Charge!$J$23,IF(C34=Charge!$M$17,Charge!$J$17,IF(C34=Charge!$N$17,Charge!$J$17,Charge!$J$7))))</f>
        <v>G4</v>
      </c>
      <c r="C34" s="61" t="str">
        <f>VLOOKUP(A34,'1.Loading'!A:R,14,FALSE)</f>
        <v>BKK02</v>
      </c>
      <c r="D34" s="61" t="str">
        <f>VLOOKUP(A34,'1.Loading'!A:R,17,FALSE)</f>
        <v>HASLS22260902221</v>
      </c>
      <c r="E34" s="62" t="str">
        <f>VLOOKUP(D34,'2.Bookinglist'!A:CT,27,FALSE)</f>
        <v>CAPRICORN LOGISTICS CO., LTD.</v>
      </c>
      <c r="F34" s="62" t="str">
        <f>VLOOKUP(D34,'2.Bookinglist'!A:CT,28,FALSE)</f>
        <v>SWAN INDUSTRIES (THAILAND) LTD.</v>
      </c>
      <c r="G34" s="60">
        <f>VLOOKUP(D34,'2.Bookinglist'!A:E,5,FALSE)</f>
        <v>0</v>
      </c>
      <c r="H34" s="61" t="str">
        <f>VLOOKUP(D34,'2.Bookinglist'!A:CT,15,FALSE)</f>
        <v>THBKK</v>
      </c>
      <c r="I34" s="61" t="str">
        <f>VLOOKUP(D34,'2.Bookinglist'!A:CT,19,FALSE)</f>
        <v>VNSGN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DJCF</v>
      </c>
      <c r="P34" s="61" t="str">
        <f>VLOOKUP(A34,'1.Loading'!A:R,4,FALSE)</f>
        <v>0152N</v>
      </c>
      <c r="Q34" s="61" t="str">
        <f>VLOOKUP(D34,'2.Bookinglist'!A:CT,12,FALSE)</f>
        <v>NTX</v>
      </c>
      <c r="R34" s="60" t="str">
        <f>IF(LEFT(K34,2)="22","20'","40'")</f>
        <v>40'</v>
      </c>
      <c r="S34" s="185" t="n"/>
      <c r="T34" s="61" t="str">
        <f>VLOOKUP(A34,'1.Loading'!A:R,2,FALSE)</f>
        <v>2026-10-11</v>
      </c>
      <c r="U34" s="63">
        <f>T34-S34</f>
        <v>46306</v>
      </c>
      <c r="V34" s="186" t="n"/>
      <c r="W34" s="61" t="str">
        <f>VLOOKUP(A34,'3.GateMove'!A:D,4,FALSE)</f>
        <v>2026-10-07</v>
      </c>
      <c r="X34" s="63">
        <f>((T34-W34)+1)</f>
        <v>5</v>
      </c>
      <c r="Y34" s="64">
        <f>IF(AND(OR(C34="BKK01",C34="BKK04"),L34="CFS/CY"),0,IF(M34="DG",1,IF(LEFT(C34,3)="LCH",7,IF(C34="BKK02",5,3))))</f>
        <v>5</v>
      </c>
      <c r="Z34" s="63">
        <f>IF(IF(AND(AC34="TML",AB34&gt;0),((T34-W34)+1)-AB34,((T34-W34)+1)-Y34)&gt;0,IF(AND(AC34="TML",AB34&gt;0),((T34-W34)+1)-AB34,((T34-W34)+1)-Y34),0)</f>
        <v>0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46307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0</v>
      </c>
      <c r="AJ34" s="188" t="n"/>
      <c r="AK34" s="62" t="str">
        <f>VLOOKUP(D34,'2.Bookinglist'!A:CT,40,FALSE)</f>
        <v>Nguyen Xuan Toan</v>
      </c>
      <c r="AL34" s="60" t="str">
        <f>VLOOKUP(D34,'2.Bookinglist'!A:CW,101,FALSE)</f>
        <v>2026-10-11</v>
      </c>
      <c r="AM34" s="60" t="str">
        <f>VLOOKUP(D34,'2.Bookinglist'!A:BK,63,FALSE)</f>
        <v>BKK27</v>
      </c>
      <c r="AN34" s="62" t="str">
        <f>VLOOKUP(D34,'2.Bookinglist'!A:AZ,52,FALSE)</f>
        <v>Pickup : 2026-10-06, Return : 2026-10-07 
CLS TIME DD.09/10/2026 @ 23.59 </v>
      </c>
      <c r="AO34" s="62">
        <f>VLOOKUP(D34,'2.Bookinglist'!A:CY,103,FALSE)</f>
        <v>0</v>
      </c>
    </row>
    <row r="35" ht="12.95" customHeight="1">
      <c r="A35" s="96" t="inlineStr">
        <is>
          <t>SKHU9615680</t>
        </is>
      </c>
      <c r="B35" s="184" t="str">
        <f>IF(C35=Charge!$M$1,Charge!$J$1,IF(C35=Charge!$M$23,Charge!$J$23,IF(C35=Charge!$M$17,Charge!$J$17,IF(C35=Charge!$N$17,Charge!$J$17,Charge!$J$7))))</f>
        <v>G4</v>
      </c>
      <c r="C35" s="61" t="str">
        <f>VLOOKUP(A35,'1.Loading'!A:R,14,FALSE)</f>
        <v>BKK02</v>
      </c>
      <c r="D35" s="61" t="str">
        <f>VLOOKUP(A35,'1.Loading'!A:R,17,FALSE)</f>
        <v>HASLS22260902379</v>
      </c>
      <c r="E35" s="62" t="str">
        <f>VLOOKUP(D35,'2.Bookinglist'!A:CT,27,FALSE)</f>
        <v>ACCORD PILOT LOGISTICS (THAILAND) CO., LTD.</v>
      </c>
      <c r="F35" s="62" t="str">
        <f>VLOOKUP(D35,'2.Bookinglist'!A:CT,28,FALSE)</f>
        <v>ASIAN-PACIFIC CAN CO., LTD.</v>
      </c>
      <c r="G35" s="60">
        <f>VLOOKUP(D35,'2.Bookinglist'!A:E,5,FALSE)</f>
        <v>0</v>
      </c>
      <c r="H35" s="61" t="str">
        <f>VLOOKUP(D35,'2.Bookinglist'!A:CT,15,FALSE)</f>
        <v>THBKK</v>
      </c>
      <c r="I35" s="61" t="str">
        <f>VLOOKUP(D35,'2.Bookinglist'!A:CT,19,FALSE)</f>
        <v>VNSGN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DJCF</v>
      </c>
      <c r="P35" s="61" t="str">
        <f>VLOOKUP(A35,'1.Loading'!A:R,4,FALSE)</f>
        <v>0152N</v>
      </c>
      <c r="Q35" s="61" t="str">
        <f>VLOOKUP(D35,'2.Bookinglist'!A:CT,12,FALSE)</f>
        <v>NTX</v>
      </c>
      <c r="R35" s="60" t="str">
        <f>IF(LEFT(K35,2)="22","20'","40'")</f>
        <v>40'</v>
      </c>
      <c r="S35" s="185" t="n"/>
      <c r="T35" s="61" t="str">
        <f>VLOOKUP(A35,'1.Loading'!A:R,2,FALSE)</f>
        <v>2026-10-11</v>
      </c>
      <c r="U35" s="63">
        <f>T35-S35</f>
        <v>46306</v>
      </c>
      <c r="V35" s="186" t="n"/>
      <c r="W35" s="61" t="str">
        <f>VLOOKUP(A35,'3.GateMove'!A:D,4,FALSE)</f>
        <v>2026-10-08</v>
      </c>
      <c r="X35" s="63">
        <f>((T35-W35)+1)</f>
        <v>4</v>
      </c>
      <c r="Y35" s="64">
        <f>IF(AND(OR(C35="BKK01",C35="BKK04"),L35="CFS/CY"),0,IF(M35="DG",1,IF(LEFT(C35,3)="LCH",7,IF(C35="BKK02",5,3))))</f>
        <v>5</v>
      </c>
      <c r="Z35" s="63">
        <f>IF(IF(AND(AC35="TML",AB35&gt;0),((T35-W35)+1)-AB35,((T35-W35)+1)-Y35)&gt;0,IF(AND(AC35="TML",AB35&gt;0),((T35-W35)+1)-AB35,((T35-W35)+1)-Y35),0)</f>
        <v>0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46307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0</v>
      </c>
      <c r="AJ35" s="188" t="n"/>
      <c r="AK35" s="62" t="str">
        <f>VLOOKUP(D35,'2.Bookinglist'!A:CT,40,FALSE)</f>
        <v>Nguyen Van Nam</v>
      </c>
      <c r="AL35" s="60" t="str">
        <f>VLOOKUP(D35,'2.Bookinglist'!A:CW,101,FALSE)</f>
        <v>2026-10-11</v>
      </c>
      <c r="AM35" s="60" t="str">
        <f>VLOOKUP(D35,'2.Bookinglist'!A:BK,63,FALSE)</f>
        <v>BKK27</v>
      </c>
      <c r="AN35" s="62" t="str">
        <f>VLOOKUP(D35,'2.Bookinglist'!A:AZ,52,FALSE)</f>
        <v>Pickup : 2026-10-07, Return : 2026-10-08</v>
      </c>
      <c r="AO35" s="62">
        <f>VLOOKUP(D35,'2.Bookinglist'!A:CY,103,FALSE)</f>
        <v>0</v>
      </c>
    </row>
    <row r="36" ht="12.95" customHeight="1">
      <c r="A36" s="96" t="inlineStr">
        <is>
          <t>SKHU9913299</t>
        </is>
      </c>
      <c r="B36" s="184" t="str">
        <f>IF(C36=Charge!$M$1,Charge!$J$1,IF(C36=Charge!$M$23,Charge!$J$23,IF(C36=Charge!$M$17,Charge!$J$17,IF(C36=Charge!$N$17,Charge!$J$17,Charge!$J$7))))</f>
        <v>G4</v>
      </c>
      <c r="C36" s="61" t="str">
        <f>VLOOKUP(A36,'1.Loading'!A:R,14,FALSE)</f>
        <v>BKK02</v>
      </c>
      <c r="D36" s="61" t="str">
        <f>VLOOKUP(A36,'1.Loading'!A:R,17,FALSE)</f>
        <v>HASLS22260902221</v>
      </c>
      <c r="E36" s="62" t="str">
        <f>VLOOKUP(D36,'2.Bookinglist'!A:CT,27,FALSE)</f>
        <v>CAPRICORN LOGISTICS CO., LTD.</v>
      </c>
      <c r="F36" s="62" t="str">
        <f>VLOOKUP(D36,'2.Bookinglist'!A:CT,28,FALSE)</f>
        <v>SWAN INDUSTRIES (THAILAND) LTD.</v>
      </c>
      <c r="G36" s="60">
        <f>VLOOKUP(D36,'2.Bookinglist'!A:E,5,FALSE)</f>
        <v>0</v>
      </c>
      <c r="H36" s="61" t="str">
        <f>VLOOKUP(D36,'2.Bookinglist'!A:CT,15,FALSE)</f>
        <v>THBKK</v>
      </c>
      <c r="I36" s="61" t="str">
        <f>VLOOKUP(D36,'2.Bookinglist'!A:CT,19,FALSE)</f>
        <v>VNSGN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DJCF</v>
      </c>
      <c r="P36" s="61" t="str">
        <f>VLOOKUP(A36,'1.Loading'!A:R,4,FALSE)</f>
        <v>0152N</v>
      </c>
      <c r="Q36" s="61" t="str">
        <f>VLOOKUP(D36,'2.Bookinglist'!A:CT,12,FALSE)</f>
        <v>NTX</v>
      </c>
      <c r="R36" s="60" t="str">
        <f>IF(LEFT(K36,2)="22","20'","40'")</f>
        <v>40'</v>
      </c>
      <c r="S36" s="185" t="n"/>
      <c r="T36" s="61" t="str">
        <f>VLOOKUP(A36,'1.Loading'!A:R,2,FALSE)</f>
        <v>2026-10-11</v>
      </c>
      <c r="U36" s="63">
        <f>T36-S36</f>
        <v>46306</v>
      </c>
      <c r="V36" s="186" t="n"/>
      <c r="W36" s="61" t="str">
        <f>VLOOKUP(A36,'3.GateMove'!A:D,4,FALSE)</f>
        <v>2026-10-08</v>
      </c>
      <c r="X36" s="63">
        <f>((T36-W36)+1)</f>
        <v>4</v>
      </c>
      <c r="Y36" s="64">
        <f>IF(AND(OR(C36="BKK01",C36="BKK04"),L36="CFS/CY"),0,IF(M36="DG",1,IF(LEFT(C36,3)="LCH",7,IF(C36="BKK02",5,3))))</f>
        <v>5</v>
      </c>
      <c r="Z36" s="63">
        <f>IF(IF(AND(AC36="TML",AB36&gt;0),((T36-W36)+1)-AB36,((T36-W36)+1)-Y36)&gt;0,IF(AND(AC36="TML",AB36&gt;0),((T36-W36)+1)-AB36,((T36-W36)+1)-Y36),0)</f>
        <v>0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46307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0</v>
      </c>
      <c r="AJ36" s="188" t="n"/>
      <c r="AK36" s="62" t="str">
        <f>VLOOKUP(D36,'2.Bookinglist'!A:CT,40,FALSE)</f>
        <v>Nguyen Xuan Toan</v>
      </c>
      <c r="AL36" s="60" t="str">
        <f>VLOOKUP(D36,'2.Bookinglist'!A:CW,101,FALSE)</f>
        <v>2026-10-11</v>
      </c>
      <c r="AM36" s="60" t="str">
        <f>VLOOKUP(D36,'2.Bookinglist'!A:BK,63,FALSE)</f>
        <v>BKK27</v>
      </c>
      <c r="AN36" s="62" t="str">
        <f>VLOOKUP(D36,'2.Bookinglist'!A:AZ,52,FALSE)</f>
        <v>Pickup : 2026-10-06, Return : 2026-10-07 
CLS TIME DD.09/10/2026 @ 23.59 </v>
      </c>
      <c r="AO36" s="62">
        <f>VLOOKUP(D36,'2.Bookinglist'!A:CY,103,FALSE)</f>
        <v>0</v>
      </c>
    </row>
    <row r="37" ht="12.95" customHeight="1">
      <c r="A37" s="96" t="inlineStr">
        <is>
          <t>SKLU0715325</t>
        </is>
      </c>
      <c r="B37" s="184" t="str">
        <f>IF(C37=Charge!$M$1,Charge!$J$1,IF(C37=Charge!$M$23,Charge!$J$23,IF(C37=Charge!$M$17,Charge!$J$17,IF(C37=Charge!$N$17,Charge!$J$17,Charge!$J$7))))</f>
        <v>G4</v>
      </c>
      <c r="C37" s="61" t="str">
        <f>VLOOKUP(A37,'1.Loading'!A:R,14,FALSE)</f>
        <v>BKK02</v>
      </c>
      <c r="D37" s="61" t="str">
        <f>VLOOKUP(A37,'1.Loading'!A:R,17,FALSE)</f>
        <v>HASLS22260901854</v>
      </c>
      <c r="E37" s="62" t="str">
        <f>VLOOKUP(D37,'2.Bookinglist'!A:CT,27,FALSE)</f>
        <v>CAPRICORN LOGISTICS CO., LTD.</v>
      </c>
      <c r="F37" s="62" t="str">
        <f>VLOOKUP(D37,'2.Bookinglist'!A:CT,28,FALSE)</f>
        <v>THAI GYPSUM PRODUCTS PCL.</v>
      </c>
      <c r="G37" s="60">
        <f>VLOOKUP(D37,'2.Bookinglist'!A:E,5,FALSE)</f>
        <v>0</v>
      </c>
      <c r="H37" s="61" t="str">
        <f>VLOOKUP(D37,'2.Bookinglist'!A:CT,15,FALSE)</f>
        <v>THBKK</v>
      </c>
      <c r="I37" s="61" t="str">
        <f>VLOOKUP(D37,'2.Bookinglist'!A:CT,19,FALSE)</f>
        <v>VNSGN</v>
      </c>
      <c r="J37" s="61">
        <f>VLOOKUP(D37,'2.Bookinglist'!A:CT,26,FALSE)</f>
        <v>0</v>
      </c>
      <c r="K37" s="61" t="str">
        <f>VLOOKUP(A37,'1.Loading'!A:R,5,FALSE)</f>
        <v>22GP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DJCF</v>
      </c>
      <c r="P37" s="61" t="str">
        <f>VLOOKUP(A37,'1.Loading'!A:R,4,FALSE)</f>
        <v>0152N</v>
      </c>
      <c r="Q37" s="61" t="str">
        <f>VLOOKUP(D37,'2.Bookinglist'!A:CT,12,FALSE)</f>
        <v>NTX</v>
      </c>
      <c r="R37" s="60" t="str">
        <f>IF(LEFT(K37,2)="22","20'","40'")</f>
        <v>20'</v>
      </c>
      <c r="S37" s="185" t="n"/>
      <c r="T37" s="61" t="str">
        <f>VLOOKUP(A37,'1.Loading'!A:R,2,FALSE)</f>
        <v>2026-10-11</v>
      </c>
      <c r="U37" s="63">
        <f>T37-S37</f>
        <v>46306</v>
      </c>
      <c r="V37" s="186" t="n"/>
      <c r="W37" s="61" t="str">
        <f>VLOOKUP(A37,'3.GateMove'!A:D,4,FALSE)</f>
        <v>2026-10-06</v>
      </c>
      <c r="X37" s="63">
        <f>((T37-W37)+1)</f>
        <v>6</v>
      </c>
      <c r="Y37" s="64">
        <f>IF(AND(OR(C37="BKK01",C37="BKK04"),L37="CFS/CY"),0,IF(M37="DG",1,IF(LEFT(C37,3)="LCH",7,IF(C37="BKK02",5,3))))</f>
        <v>5</v>
      </c>
      <c r="Z37" s="63">
        <f>IF(IF(AND(AC37="TML",AB37&gt;0),((T37-W37)+1)-AB37,((T37-W37)+1)-Y37)&gt;0,IF(AND(AC37="TML",AB37&gt;0),((T37-W37)+1)-AB37,((T37-W37)+1)-Y37),0)</f>
        <v>1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50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46307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50</v>
      </c>
      <c r="AJ37" s="188" t="n"/>
      <c r="AK37" s="62" t="str">
        <f>VLOOKUP(D37,'2.Bookinglist'!A:CT,40,FALSE)</f>
        <v>Sukunpoj Damrongying</v>
      </c>
      <c r="AL37" s="60" t="str">
        <f>VLOOKUP(D37,'2.Bookinglist'!A:CW,101,FALSE)</f>
        <v>2026-10-11</v>
      </c>
      <c r="AM37" s="60" t="str">
        <f>VLOOKUP(D37,'2.Bookinglist'!A:BK,63,FALSE)</f>
        <v>BKK27</v>
      </c>
      <c r="AN37" s="62" t="str">
        <f>VLOOKUP(D37,'2.Bookinglist'!A:AZ,52,FALSE)</f>
        <v>Pickup : 2026-10-05, Return : 2026-10-06 (1ST RTN DD: 07/10/26 WO/RENT)</v>
      </c>
      <c r="AO37" s="62">
        <f>VLOOKUP(D37,'2.Bookinglist'!A:CY,103,FALSE)</f>
        <v>0</v>
      </c>
    </row>
    <row r="38" ht="12.95" customHeight="1">
      <c r="A38" s="96" t="inlineStr">
        <is>
          <t>SKLU1004825</t>
        </is>
      </c>
      <c r="B38" s="184" t="str">
        <f>IF(C38=Charge!$M$1,Charge!$J$1,IF(C38=Charge!$M$23,Charge!$J$23,IF(C38=Charge!$M$17,Charge!$J$17,IF(C38=Charge!$N$17,Charge!$J$17,Charge!$J$7))))</f>
        <v>G4</v>
      </c>
      <c r="C38" s="61" t="str">
        <f>VLOOKUP(A38,'1.Loading'!A:R,14,FALSE)</f>
        <v>BKK02</v>
      </c>
      <c r="D38" s="61" t="str">
        <f>VLOOKUP(A38,'1.Loading'!A:R,17,FALSE)</f>
        <v>HASLS22260901854</v>
      </c>
      <c r="E38" s="62" t="str">
        <f>VLOOKUP(D38,'2.Bookinglist'!A:CT,27,FALSE)</f>
        <v>CAPRICORN LOGISTICS CO., LTD.</v>
      </c>
      <c r="F38" s="62" t="str">
        <f>VLOOKUP(D38,'2.Bookinglist'!A:CT,28,FALSE)</f>
        <v>THAI GYPSUM PRODUCTS PCL.</v>
      </c>
      <c r="G38" s="60">
        <f>VLOOKUP(D38,'2.Bookinglist'!A:E,5,FALSE)</f>
        <v>0</v>
      </c>
      <c r="H38" s="61" t="str">
        <f>VLOOKUP(D38,'2.Bookinglist'!A:CT,15,FALSE)</f>
        <v>THBKK</v>
      </c>
      <c r="I38" s="61" t="str">
        <f>VLOOKUP(D38,'2.Bookinglist'!A:CT,19,FALSE)</f>
        <v>VNSGN</v>
      </c>
      <c r="J38" s="61">
        <f>VLOOKUP(D38,'2.Bookinglist'!A:CT,26,FALSE)</f>
        <v>0</v>
      </c>
      <c r="K38" s="61" t="str">
        <f>VLOOKUP(A38,'1.Loading'!A:R,5,FALSE)</f>
        <v>22GP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DJCF</v>
      </c>
      <c r="P38" s="61" t="str">
        <f>VLOOKUP(A38,'1.Loading'!A:R,4,FALSE)</f>
        <v>0152N</v>
      </c>
      <c r="Q38" s="61" t="str">
        <f>VLOOKUP(D38,'2.Bookinglist'!A:CT,12,FALSE)</f>
        <v>NTX</v>
      </c>
      <c r="R38" s="60" t="str">
        <f>IF(LEFT(K38,2)="22","20'","40'")</f>
        <v>20'</v>
      </c>
      <c r="S38" s="185" t="n"/>
      <c r="T38" s="61" t="str">
        <f>VLOOKUP(A38,'1.Loading'!A:R,2,FALSE)</f>
        <v>2026-10-11</v>
      </c>
      <c r="U38" s="63">
        <f>T38-S38</f>
        <v>46306</v>
      </c>
      <c r="V38" s="186" t="n"/>
      <c r="W38" s="61" t="str">
        <f>VLOOKUP(A38,'3.GateMove'!A:D,4,FALSE)</f>
        <v>2026-10-06</v>
      </c>
      <c r="X38" s="63">
        <f>((T38-W38)+1)</f>
        <v>6</v>
      </c>
      <c r="Y38" s="64">
        <f>IF(AND(OR(C38="BKK01",C38="BKK04"),L38="CFS/CY"),0,IF(M38="DG",1,IF(LEFT(C38,3)="LCH",7,IF(C38="BKK02",5,3))))</f>
        <v>5</v>
      </c>
      <c r="Z38" s="63">
        <f>IF(IF(AND(AC38="TML",AB38&gt;0),((T38-W38)+1)-AB38,((T38-W38)+1)-Y38)&gt;0,IF(AND(AC38="TML",AB38&gt;0),((T38-W38)+1)-AB38,((T38-W38)+1)-Y38),0)</f>
        <v>1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50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46307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50</v>
      </c>
      <c r="AJ38" s="188" t="n"/>
      <c r="AK38" s="62" t="str">
        <f>VLOOKUP(D38,'2.Bookinglist'!A:CT,40,FALSE)</f>
        <v>Sukunpoj Damrongying</v>
      </c>
      <c r="AL38" s="60" t="str">
        <f>VLOOKUP(D38,'2.Bookinglist'!A:CW,101,FALSE)</f>
        <v>2026-10-11</v>
      </c>
      <c r="AM38" s="60" t="str">
        <f>VLOOKUP(D38,'2.Bookinglist'!A:BK,63,FALSE)</f>
        <v>BKK27</v>
      </c>
      <c r="AN38" s="62" t="str">
        <f>VLOOKUP(D38,'2.Bookinglist'!A:AZ,52,FALSE)</f>
        <v>Pickup : 2026-10-05, Return : 2026-10-06 (1ST RTN DD: 07/10/26 WO/RENT)</v>
      </c>
      <c r="AO38" s="62">
        <f>VLOOKUP(D38,'2.Bookinglist'!A:CY,103,FALSE)</f>
        <v>0</v>
      </c>
    </row>
    <row r="39" ht="12.95" customHeight="1">
      <c r="A39" s="96" t="inlineStr">
        <is>
          <t>SKLU1419014</t>
        </is>
      </c>
      <c r="B39" s="184" t="str">
        <f>IF(C39=Charge!$M$1,Charge!$J$1,IF(C39=Charge!$M$23,Charge!$J$23,IF(C39=Charge!$M$17,Charge!$J$17,IF(C39=Charge!$N$17,Charge!$J$17,Charge!$J$7))))</f>
        <v>G4</v>
      </c>
      <c r="C39" s="61" t="str">
        <f>VLOOKUP(A39,'1.Loading'!A:R,14,FALSE)</f>
        <v>BKK02</v>
      </c>
      <c r="D39" s="61" t="str">
        <f>VLOOKUP(A39,'1.Loading'!A:R,17,FALSE)</f>
        <v>HASLS22260901854</v>
      </c>
      <c r="E39" s="62" t="str">
        <f>VLOOKUP(D39,'2.Bookinglist'!A:CT,27,FALSE)</f>
        <v>CAPRICORN LOGISTICS CO., LTD.</v>
      </c>
      <c r="F39" s="62" t="str">
        <f>VLOOKUP(D39,'2.Bookinglist'!A:CT,28,FALSE)</f>
        <v>THAI GYPSUM PRODUCTS PCL.</v>
      </c>
      <c r="G39" s="60">
        <f>VLOOKUP(D39,'2.Bookinglist'!A:E,5,FALSE)</f>
        <v>0</v>
      </c>
      <c r="H39" s="61" t="str">
        <f>VLOOKUP(D39,'2.Bookinglist'!A:CT,15,FALSE)</f>
        <v>THBKK</v>
      </c>
      <c r="I39" s="61" t="str">
        <f>VLOOKUP(D39,'2.Bookinglist'!A:CT,19,FALSE)</f>
        <v>VNSGN</v>
      </c>
      <c r="J39" s="61">
        <f>VLOOKUP(D39,'2.Bookinglist'!A:CT,26,FALSE)</f>
        <v>0</v>
      </c>
      <c r="K39" s="61" t="str">
        <f>VLOOKUP(A39,'1.Loading'!A:R,5,FALSE)</f>
        <v>22GP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DJCF</v>
      </c>
      <c r="P39" s="61" t="str">
        <f>VLOOKUP(A39,'1.Loading'!A:R,4,FALSE)</f>
        <v>0152N</v>
      </c>
      <c r="Q39" s="61" t="str">
        <f>VLOOKUP(D39,'2.Bookinglist'!A:CT,12,FALSE)</f>
        <v>NTX</v>
      </c>
      <c r="R39" s="60" t="str">
        <f>IF(LEFT(K39,2)="22","20'","40'")</f>
        <v>20'</v>
      </c>
      <c r="S39" s="185" t="n"/>
      <c r="T39" s="61" t="str">
        <f>VLOOKUP(A39,'1.Loading'!A:R,2,FALSE)</f>
        <v>2026-10-11</v>
      </c>
      <c r="U39" s="63">
        <f>T39-S39</f>
        <v>46306</v>
      </c>
      <c r="V39" s="186" t="n"/>
      <c r="W39" s="61" t="str">
        <f>VLOOKUP(A39,'3.GateMove'!A:D,4,FALSE)</f>
        <v>2026-10-06</v>
      </c>
      <c r="X39" s="63">
        <f>((T39-W39)+1)</f>
        <v>6</v>
      </c>
      <c r="Y39" s="64">
        <f>IF(AND(OR(C39="BKK01",C39="BKK04"),L39="CFS/CY"),0,IF(M39="DG",1,IF(LEFT(C39,3)="LCH",7,IF(C39="BKK02",5,3))))</f>
        <v>5</v>
      </c>
      <c r="Z39" s="63">
        <f>IF(IF(AND(AC39="TML",AB39&gt;0),((T39-W39)+1)-AB39,((T39-W39)+1)-Y39)&gt;0,IF(AND(AC39="TML",AB39&gt;0),((T39-W39)+1)-AB39,((T39-W39)+1)-Y39),0)</f>
        <v>1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50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46307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50</v>
      </c>
      <c r="AJ39" s="188" t="n"/>
      <c r="AK39" s="62" t="str">
        <f>VLOOKUP(D39,'2.Bookinglist'!A:CT,40,FALSE)</f>
        <v>Sukunpoj Damrongying</v>
      </c>
      <c r="AL39" s="60" t="str">
        <f>VLOOKUP(D39,'2.Bookinglist'!A:CW,101,FALSE)</f>
        <v>2026-10-11</v>
      </c>
      <c r="AM39" s="60" t="str">
        <f>VLOOKUP(D39,'2.Bookinglist'!A:BK,63,FALSE)</f>
        <v>BKK27</v>
      </c>
      <c r="AN39" s="62" t="str">
        <f>VLOOKUP(D39,'2.Bookinglist'!A:AZ,52,FALSE)</f>
        <v>Pickup : 2026-10-05, Return : 2026-10-06 (1ST RTN DD: 07/10/26 WO/RENT)</v>
      </c>
      <c r="AO39" s="62">
        <f>VLOOKUP(D39,'2.Bookinglist'!A:CY,103,FALSE)</f>
        <v>0</v>
      </c>
    </row>
    <row r="40" ht="12.95" customHeight="1">
      <c r="A40" s="96" t="inlineStr">
        <is>
          <t>SKLU1546214</t>
        </is>
      </c>
      <c r="B40" s="184" t="str">
        <f>IF(C40=Charge!$M$1,Charge!$J$1,IF(C40=Charge!$M$23,Charge!$J$23,IF(C40=Charge!$M$17,Charge!$J$17,IF(C40=Charge!$N$17,Charge!$J$17,Charge!$J$7))))</f>
        <v>G4</v>
      </c>
      <c r="C40" s="61" t="str">
        <f>VLOOKUP(A40,'1.Loading'!A:R,14,FALSE)</f>
        <v>BKK02</v>
      </c>
      <c r="D40" s="61" t="str">
        <f>VLOOKUP(A40,'1.Loading'!A:R,17,FALSE)</f>
        <v>HASLS22260902065</v>
      </c>
      <c r="E40" s="62" t="str">
        <f>VLOOKUP(D40,'2.Bookinglist'!A:CT,27,FALSE)</f>
        <v>CPS SHIPPING &amp; LOGISTICS CO., LTD.</v>
      </c>
      <c r="F40" s="62" t="str">
        <f>VLOOKUP(D40,'2.Bookinglist'!A:CT,28,FALSE)</f>
        <v>THE BEAN LATEX THAL CO.,LTD</v>
      </c>
      <c r="G40" s="60">
        <f>VLOOKUP(D40,'2.Bookinglist'!A:E,5,FALSE)</f>
        <v>0</v>
      </c>
      <c r="H40" s="61" t="str">
        <f>VLOOKUP(D40,'2.Bookinglist'!A:CT,15,FALSE)</f>
        <v>THBKK</v>
      </c>
      <c r="I40" s="61" t="str">
        <f>VLOOKUP(D40,'2.Bookinglist'!A:CT,19,FALSE)</f>
        <v>KRINC</v>
      </c>
      <c r="J40" s="61">
        <f>VLOOKUP(D40,'2.Bookinglist'!A:CT,26,FALSE)</f>
        <v>0</v>
      </c>
      <c r="K40" s="61" t="str">
        <f>VLOOKUP(A40,'1.Loading'!A:R,5,FALSE)</f>
        <v>22GP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DJCF</v>
      </c>
      <c r="P40" s="61" t="str">
        <f>VLOOKUP(A40,'1.Loading'!A:R,4,FALSE)</f>
        <v>0152N</v>
      </c>
      <c r="Q40" s="61" t="str">
        <f>VLOOKUP(D40,'2.Bookinglist'!A:CT,12,FALSE)</f>
        <v>NTX</v>
      </c>
      <c r="R40" s="60" t="str">
        <f>IF(LEFT(K40,2)="22","20'","40'")</f>
        <v>20'</v>
      </c>
      <c r="S40" s="185" t="n"/>
      <c r="T40" s="61" t="str">
        <f>VLOOKUP(A40,'1.Loading'!A:R,2,FALSE)</f>
        <v>2026-10-11</v>
      </c>
      <c r="U40" s="63">
        <f>T40-S40</f>
        <v>46306</v>
      </c>
      <c r="V40" s="186" t="n"/>
      <c r="W40" s="61" t="str">
        <f>VLOOKUP(A40,'3.GateMove'!A:D,4,FALSE)</f>
        <v>2026-10-07</v>
      </c>
      <c r="X40" s="63">
        <f>((T40-W40)+1)</f>
        <v>5</v>
      </c>
      <c r="Y40" s="64">
        <f>IF(AND(OR(C40="BKK01",C40="BKK04"),L40="CFS/CY"),0,IF(M40="DG",1,IF(LEFT(C40,3)="LCH",7,IF(C40="BKK02",5,3))))</f>
        <v>5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46307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Arunphat W. (Aiw)</v>
      </c>
      <c r="AL40" s="60" t="str">
        <f>VLOOKUP(D40,'2.Bookinglist'!A:CW,101,FALSE)</f>
        <v>2026-10-10</v>
      </c>
      <c r="AM40" s="60" t="str">
        <f>VLOOKUP(D40,'2.Bookinglist'!A:BK,63,FALSE)</f>
        <v>BKK27</v>
      </c>
      <c r="AN40" s="62" t="str">
        <f>VLOOKUP(D40,'2.Bookinglist'!A:AZ,52,FALSE)</f>
        <v>Pickup : 2026-10-07, Return : 2026-10-07</v>
      </c>
      <c r="AO40" s="62">
        <f>VLOOKUP(D40,'2.Bookinglist'!A:CY,103,FALSE)</f>
        <v>0</v>
      </c>
    </row>
    <row r="41" ht="12.95" customHeight="1">
      <c r="A41" s="96" t="inlineStr">
        <is>
          <t>SKLU1583434</t>
        </is>
      </c>
      <c r="B41" s="184" t="str">
        <f>IF(C41=Charge!$M$1,Charge!$J$1,IF(C41=Charge!$M$23,Charge!$J$23,IF(C41=Charge!$M$17,Charge!$J$17,IF(C41=Charge!$N$17,Charge!$J$17,Charge!$J$7))))</f>
        <v>G4</v>
      </c>
      <c r="C41" s="61" t="str">
        <f>VLOOKUP(A41,'1.Loading'!A:R,14,FALSE)</f>
        <v>BKK02</v>
      </c>
      <c r="D41" s="61" t="str">
        <f>VLOOKUP(A41,'1.Loading'!A:R,17,FALSE)</f>
        <v>HASLS22260900835</v>
      </c>
      <c r="E41" s="62" t="str">
        <f>VLOOKUP(D41,'2.Bookinglist'!A:CT,27,FALSE)</f>
        <v>YAMATO UNYU (THAILAND) CO., LTD.</v>
      </c>
      <c r="F41" s="62" t="str">
        <f>VLOOKUP(D41,'2.Bookinglist'!A:CT,28,FALSE)</f>
        <v>LOGTHAI-OROTEX CO,LTD</v>
      </c>
      <c r="G41" s="60">
        <f>VLOOKUP(D41,'2.Bookinglist'!A:E,5,FALSE)</f>
        <v>0</v>
      </c>
      <c r="H41" s="61" t="str">
        <f>VLOOKUP(D41,'2.Bookinglist'!A:CT,15,FALSE)</f>
        <v>THBKK</v>
      </c>
      <c r="I41" s="61" t="str">
        <f>VLOOKUP(D41,'2.Bookinglist'!A:CT,19,FALSE)</f>
        <v>VNSGN</v>
      </c>
      <c r="J41" s="61">
        <f>VLOOKUP(D41,'2.Bookinglist'!A:CT,26,FALSE)</f>
        <v>0</v>
      </c>
      <c r="K41" s="61" t="str">
        <f>VLOOKUP(A41,'1.Loading'!A:R,5,FALSE)</f>
        <v>22GP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DJCF</v>
      </c>
      <c r="P41" s="61" t="str">
        <f>VLOOKUP(A41,'1.Loading'!A:R,4,FALSE)</f>
        <v>0152N</v>
      </c>
      <c r="Q41" s="61" t="str">
        <f>VLOOKUP(D41,'2.Bookinglist'!A:CT,12,FALSE)</f>
        <v>NTX</v>
      </c>
      <c r="R41" s="60" t="str">
        <f>IF(LEFT(K41,2)="22","20'","40'")</f>
        <v>20'</v>
      </c>
      <c r="S41" s="185" t="n"/>
      <c r="T41" s="61" t="str">
        <f>VLOOKUP(A41,'1.Loading'!A:R,2,FALSE)</f>
        <v>2026-10-11</v>
      </c>
      <c r="U41" s="63">
        <f>T41-S41</f>
        <v>46306</v>
      </c>
      <c r="V41" s="186" t="n"/>
      <c r="W41" s="61" t="str">
        <f>VLOOKUP(A41,'3.GateMove'!A:D,4,FALSE)</f>
        <v>2026-10-06</v>
      </c>
      <c r="X41" s="63">
        <f>((T41-W41)+1)</f>
        <v>6</v>
      </c>
      <c r="Y41" s="64">
        <f>IF(AND(OR(C41="BKK01",C41="BKK04"),L41="CFS/CY"),0,IF(M41="DG",1,IF(LEFT(C41,3)="LCH",7,IF(C41="BKK02",5,3))))</f>
        <v>5</v>
      </c>
      <c r="Z41" s="63">
        <f>IF(IF(AND(AC41="TML",AB41&gt;0),((T41-W41)+1)-AB41,((T41-W41)+1)-Y41)&gt;0,IF(AND(AC41="TML",AB41&gt;0),((T41-W41)+1)-AB41,((T41-W41)+1)-Y41),0)</f>
        <v>1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50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46307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50</v>
      </c>
      <c r="AJ41" s="188" t="n"/>
      <c r="AK41" s="62" t="str">
        <f>VLOOKUP(D41,'2.Bookinglist'!A:CT,40,FALSE)</f>
        <v>Nannaapust Sukporntaweewat</v>
      </c>
      <c r="AL41" s="60" t="str">
        <f>VLOOKUP(D41,'2.Bookinglist'!A:CW,101,FALSE)</f>
        <v>2026-10-10</v>
      </c>
      <c r="AM41" s="60" t="str">
        <f>VLOOKUP(D41,'2.Bookinglist'!A:BK,63,FALSE)</f>
        <v>BKK25</v>
      </c>
      <c r="AN41" s="62" t="str">
        <f>VLOOKUP(D41,'2.Bookinglist'!A:AZ,52,FALSE)</f>
        <v>Pickup : 2026-10-05, Return : 2026-10-06</v>
      </c>
      <c r="AO41" s="62">
        <f>VLOOKUP(D41,'2.Bookinglist'!A:CY,103,FALSE)</f>
        <v>0</v>
      </c>
    </row>
    <row r="42" ht="12.95" customHeight="1">
      <c r="A42" s="96" t="inlineStr">
        <is>
          <t>SKLU1597464</t>
        </is>
      </c>
      <c r="B42" s="184" t="str">
        <f>IF(C42=Charge!$M$1,Charge!$J$1,IF(C42=Charge!$M$23,Charge!$J$23,IF(C42=Charge!$M$17,Charge!$J$17,IF(C42=Charge!$N$17,Charge!$J$17,Charge!$J$7))))</f>
        <v>G4</v>
      </c>
      <c r="C42" s="61" t="str">
        <f>VLOOKUP(A42,'1.Loading'!A:R,14,FALSE)</f>
        <v>BKK02</v>
      </c>
      <c r="D42" s="61" t="str">
        <f>VLOOKUP(A42,'1.Loading'!A:R,17,FALSE)</f>
        <v>HASLS22260901191</v>
      </c>
      <c r="E42" s="62" t="str">
        <f>VLOOKUP(D42,'2.Bookinglist'!A:CT,27,FALSE)</f>
        <v>CELESTIAL XPRESS LOGISTICS (THAILAND) CO., LTD.</v>
      </c>
      <c r="F42" s="62" t="str">
        <f>VLOOKUP(D42,'2.Bookinglist'!A:CT,28,FALSE)</f>
        <v>I-TAIL CORPORATION PUBLIC COMPANY LIMITED</v>
      </c>
      <c r="G42" s="60">
        <f>VLOOKUP(D42,'2.Bookinglist'!A:E,5,FALSE)</f>
        <v>0</v>
      </c>
      <c r="H42" s="61" t="str">
        <f>VLOOKUP(D42,'2.Bookinglist'!A:CT,15,FALSE)</f>
        <v>THBKK</v>
      </c>
      <c r="I42" s="61" t="str">
        <f>VLOOKUP(D42,'2.Bookinglist'!A:CT,19,FALSE)</f>
        <v>KRINC</v>
      </c>
      <c r="J42" s="61">
        <f>VLOOKUP(D42,'2.Bookinglist'!A:CT,26,FALSE)</f>
        <v>0</v>
      </c>
      <c r="K42" s="61" t="str">
        <f>VLOOKUP(A42,'1.Loading'!A:R,5,FALSE)</f>
        <v>22GP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DJCF</v>
      </c>
      <c r="P42" s="61" t="str">
        <f>VLOOKUP(A42,'1.Loading'!A:R,4,FALSE)</f>
        <v>0152N</v>
      </c>
      <c r="Q42" s="61" t="str">
        <f>VLOOKUP(D42,'2.Bookinglist'!A:CT,12,FALSE)</f>
        <v>NTX</v>
      </c>
      <c r="R42" s="60" t="str">
        <f>IF(LEFT(K42,2)="22","20'","40'")</f>
        <v>20'</v>
      </c>
      <c r="S42" s="185" t="n"/>
      <c r="T42" s="61" t="str">
        <f>VLOOKUP(A42,'1.Loading'!A:R,2,FALSE)</f>
        <v>2026-10-11</v>
      </c>
      <c r="U42" s="63">
        <f>T42-S42</f>
        <v>46306</v>
      </c>
      <c r="V42" s="186" t="n"/>
      <c r="W42" s="61" t="str">
        <f>VLOOKUP(A42,'3.GateMove'!A:D,4,FALSE)</f>
        <v>2026-10-08</v>
      </c>
      <c r="X42" s="63">
        <f>((T42-W42)+1)</f>
        <v>4</v>
      </c>
      <c r="Y42" s="64">
        <f>IF(AND(OR(C42="BKK01",C42="BKK04"),L42="CFS/CY"),0,IF(M42="DG",1,IF(LEFT(C42,3)="LCH",7,IF(C42="BKK02",5,3))))</f>
        <v>5</v>
      </c>
      <c r="Z42" s="63">
        <f>IF(IF(AND(AC42="TML",AB42&gt;0),((T42-W42)+1)-AB42,((T42-W42)+1)-Y42)&gt;0,IF(AND(AC42="TML",AB42&gt;0),((T42-W42)+1)-AB42,((T42-W42)+1)-Y42),0)</f>
        <v>0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46307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0</v>
      </c>
      <c r="AJ42" s="188" t="n"/>
      <c r="AK42" s="62" t="str">
        <f>VLOOKUP(D42,'2.Bookinglist'!A:CT,40,FALSE)</f>
        <v>Kim jaewon</v>
      </c>
      <c r="AL42" s="60" t="str">
        <f>VLOOKUP(D42,'2.Bookinglist'!A:CW,101,FALSE)</f>
        <v>2026-10-10</v>
      </c>
      <c r="AM42" s="60" t="str">
        <f>VLOOKUP(D42,'2.Bookinglist'!A:BK,63,FALSE)</f>
        <v>BKK25</v>
      </c>
      <c r="AN42" s="62" t="str">
        <f>VLOOKUP(D42,'2.Bookinglist'!A:AZ,52,FALSE)</f>
        <v>Pickup : 2026-10-05, Return : 2026-10-06</v>
      </c>
      <c r="AO42" s="62">
        <f>VLOOKUP(D42,'2.Bookinglist'!A:CY,103,FALSE)</f>
        <v>0</v>
      </c>
    </row>
    <row r="43" ht="12.95" customHeight="1">
      <c r="A43" s="96" t="inlineStr">
        <is>
          <t>SKLU1622274</t>
        </is>
      </c>
      <c r="B43" s="184" t="str">
        <f>IF(C43=Charge!$M$1,Charge!$J$1,IF(C43=Charge!$M$23,Charge!$J$23,IF(C43=Charge!$M$17,Charge!$J$17,IF(C43=Charge!$N$17,Charge!$J$17,Charge!$J$7))))</f>
        <v>G4</v>
      </c>
      <c r="C43" s="61" t="str">
        <f>VLOOKUP(A43,'1.Loading'!A:R,14,FALSE)</f>
        <v>BKK02</v>
      </c>
      <c r="D43" s="61" t="str">
        <f>VLOOKUP(A43,'1.Loading'!A:R,17,FALSE)</f>
        <v>HASLS22260901078</v>
      </c>
      <c r="E43" s="62" t="str">
        <f>VLOOKUP(D43,'2.Bookinglist'!A:CT,27,FALSE)</f>
        <v>EAST-LINK CORPORATION CO., LTD.</v>
      </c>
      <c r="F43" s="62" t="str">
        <f>VLOOKUP(D43,'2.Bookinglist'!A:CT,28,FALSE)</f>
        <v>SIAM FUKOKU CO.,LTD.</v>
      </c>
      <c r="G43" s="60">
        <f>VLOOKUP(D43,'2.Bookinglist'!A:E,5,FALSE)</f>
        <v>0</v>
      </c>
      <c r="H43" s="61" t="str">
        <f>VLOOKUP(D43,'2.Bookinglist'!A:CT,15,FALSE)</f>
        <v>THBKK</v>
      </c>
      <c r="I43" s="61" t="str">
        <f>VLOOKUP(D43,'2.Bookinglist'!A:CT,19,FALSE)</f>
        <v>VNSGN</v>
      </c>
      <c r="J43" s="61">
        <f>VLOOKUP(D43,'2.Bookinglist'!A:CT,26,FALSE)</f>
        <v>0</v>
      </c>
      <c r="K43" s="61" t="str">
        <f>VLOOKUP(A43,'1.Loading'!A:R,5,FALSE)</f>
        <v>22GP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DJCF</v>
      </c>
      <c r="P43" s="61" t="str">
        <f>VLOOKUP(A43,'1.Loading'!A:R,4,FALSE)</f>
        <v>0152N</v>
      </c>
      <c r="Q43" s="61" t="str">
        <f>VLOOKUP(D43,'2.Bookinglist'!A:CT,12,FALSE)</f>
        <v>NTX</v>
      </c>
      <c r="R43" s="60" t="str">
        <f>IF(LEFT(K43,2)="22","20'","40'")</f>
        <v>20'</v>
      </c>
      <c r="S43" s="185" t="n"/>
      <c r="T43" s="61" t="str">
        <f>VLOOKUP(A43,'1.Loading'!A:R,2,FALSE)</f>
        <v>2026-10-11</v>
      </c>
      <c r="U43" s="63">
        <f>T43-S43</f>
        <v>46306</v>
      </c>
      <c r="V43" s="186" t="n"/>
      <c r="W43" s="61" t="str">
        <f>VLOOKUP(A43,'3.GateMove'!A:D,4,FALSE)</f>
        <v>2026-10-10</v>
      </c>
      <c r="X43" s="63">
        <f>((T43-W43)+1)</f>
        <v>2</v>
      </c>
      <c r="Y43" s="64">
        <f>IF(AND(OR(C43="BKK01",C43="BKK04"),L43="CFS/CY"),0,IF(M43="DG",1,IF(LEFT(C43,3)="LCH",7,IF(C43="BKK02",5,3))))</f>
        <v>5</v>
      </c>
      <c r="Z43" s="63">
        <f>IF(IF(AND(AC43="TML",AB43&gt;0),((T43-W43)+1)-AB43,((T43-W43)+1)-Y43)&gt;0,IF(AND(AC43="TML",AB43&gt;0),((T43-W43)+1)-AB43,((T43-W43)+1)-Y43),0)</f>
        <v>0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46307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0</v>
      </c>
      <c r="AJ43" s="188" t="n"/>
      <c r="AK43" s="62" t="str">
        <f>VLOOKUP(D43,'2.Bookinglist'!A:CT,40,FALSE)</f>
        <v>Dharaporn</v>
      </c>
      <c r="AL43" s="60" t="str">
        <f>VLOOKUP(D43,'2.Bookinglist'!A:CW,101,FALSE)</f>
        <v>2026-10-11</v>
      </c>
      <c r="AM43" s="60" t="str">
        <f>VLOOKUP(D43,'2.Bookinglist'!A:BK,63,FALSE)</f>
        <v>BKK25</v>
      </c>
      <c r="AN43" s="62" t="str">
        <f>VLOOKUP(D43,'2.Bookinglist'!A:AZ,52,FALSE)</f>
        <v>Pickup : 2026-10-08, Return : 2026-10-09
CLS TIME DD.10/10/2026 @ 12.00</v>
      </c>
      <c r="AO43" s="62">
        <f>VLOOKUP(D43,'2.Bookinglist'!A:CY,103,FALSE)</f>
        <v>0</v>
      </c>
    </row>
    <row r="44" ht="12.95" customHeight="1">
      <c r="A44" s="96" t="inlineStr">
        <is>
          <t>SKLU1807160</t>
        </is>
      </c>
      <c r="B44" s="184" t="str">
        <f>IF(C44=Charge!$M$1,Charge!$J$1,IF(C44=Charge!$M$23,Charge!$J$23,IF(C44=Charge!$M$17,Charge!$J$17,IF(C44=Charge!$N$17,Charge!$J$17,Charge!$J$7))))</f>
        <v>G4</v>
      </c>
      <c r="C44" s="61" t="str">
        <f>VLOOKUP(A44,'1.Loading'!A:R,14,FALSE)</f>
        <v>BKK02</v>
      </c>
      <c r="D44" s="61" t="str">
        <f>VLOOKUP(A44,'1.Loading'!A:R,17,FALSE)</f>
        <v>HASLS22261000118</v>
      </c>
      <c r="E44" s="62" t="str">
        <f>VLOOKUP(D44,'2.Bookinglist'!A:CT,27,FALSE)</f>
        <v>MASS PORT LOGISTICS CO., LTD.</v>
      </c>
      <c r="F44" s="62" t="str">
        <f>VLOOKUP(D44,'2.Bookinglist'!A:CT,28,FALSE)</f>
        <v>SIAM MACHINERY AND EQUIPMENT CO., LTD.</v>
      </c>
      <c r="G44" s="60">
        <f>VLOOKUP(D44,'2.Bookinglist'!A:E,5,FALSE)</f>
        <v>0</v>
      </c>
      <c r="H44" s="61" t="str">
        <f>VLOOKUP(D44,'2.Bookinglist'!A:CT,15,FALSE)</f>
        <v>THBKK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22GP</v>
      </c>
      <c r="L44" s="60" t="str">
        <f>VLOOKUP(D44,'2.Bookinglist'!A:CT,85,FALSE)</f>
        <v>CFS/CY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DJCF</v>
      </c>
      <c r="P44" s="61" t="str">
        <f>VLOOKUP(A44,'1.Loading'!A:R,4,FALSE)</f>
        <v>0152N</v>
      </c>
      <c r="Q44" s="61" t="str">
        <f>VLOOKUP(D44,'2.Bookinglist'!A:CT,12,FALSE)</f>
        <v>NTX</v>
      </c>
      <c r="R44" s="60" t="str">
        <f>IF(LEFT(K44,2)="22","20'","40'")</f>
        <v>20'</v>
      </c>
      <c r="S44" s="185" t="n"/>
      <c r="T44" s="61" t="str">
        <f>VLOOKUP(A44,'1.Loading'!A:R,2,FALSE)</f>
        <v>2026-10-11</v>
      </c>
      <c r="U44" s="63">
        <f>T44-S44</f>
        <v>46306</v>
      </c>
      <c r="V44" s="186" t="n"/>
      <c r="W44" s="61" t="str">
        <f>VLOOKUP(A44,'3.GateMove'!A:D,4,FALSE)</f>
        <v>2026-10-10</v>
      </c>
      <c r="X44" s="63">
        <f>((T44-W44)+1)</f>
        <v>2</v>
      </c>
      <c r="Y44" s="64">
        <f>IF(AND(OR(C44="BKK01",C44="BKK04"),L44="CFS/CY"),0,IF(M44="DG",1,IF(LEFT(C44,3)="LCH",7,IF(C44="BKK02",5,3))))</f>
        <v>5</v>
      </c>
      <c r="Z44" s="63">
        <f>IF(IF(AND(AC44="TML",AB44&gt;0),((T44-W44)+1)-AB44,((T44-W44)+1)-Y44)&gt;0,IF(AND(AC44="TML",AB44&gt;0),((T44-W44)+1)-AB44,((T44-W44)+1)-Y44),0)</f>
        <v>0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46307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0</v>
      </c>
      <c r="AJ44" s="188" t="n"/>
      <c r="AK44" s="62" t="str">
        <f>VLOOKUP(D44,'2.Bookinglist'!A:CT,40,FALSE)</f>
        <v>Pattarapong Saengthong</v>
      </c>
      <c r="AL44" s="60" t="str">
        <f>VLOOKUP(D44,'2.Bookinglist'!A:CW,101,FALSE)</f>
        <v>2026-10-11</v>
      </c>
      <c r="AM44" s="60" t="str">
        <f>VLOOKUP(D44,'2.Bookinglist'!A:BK,63,FALSE)</f>
        <v>BKK02</v>
      </c>
      <c r="AN44" s="62" t="str">
        <f>VLOOKUP(D44,'2.Bookinglist'!A:AZ,52,FALSE)</f>
        <v>STUFFING @UNITHAI DD.09/10/26 *CLS TIME CFS DD.09/10/26 - 17:00HRS.*</v>
      </c>
      <c r="AO44" s="62">
        <f>VLOOKUP(D44,'2.Bookinglist'!A:CY,103,FALSE)</f>
        <v>0</v>
      </c>
    </row>
    <row r="45" ht="12.95" customHeight="1">
      <c r="A45" s="96" t="inlineStr">
        <is>
          <t>SKLU2073311</t>
        </is>
      </c>
      <c r="B45" s="184" t="str">
        <f>IF(C45=Charge!$M$1,Charge!$J$1,IF(C45=Charge!$M$23,Charge!$J$23,IF(C45=Charge!$M$17,Charge!$J$17,IF(C45=Charge!$N$17,Charge!$J$17,Charge!$J$7))))</f>
        <v>G4</v>
      </c>
      <c r="C45" s="61" t="str">
        <f>VLOOKUP(A45,'1.Loading'!A:R,14,FALSE)</f>
        <v>BKK02</v>
      </c>
      <c r="D45" s="61" t="str">
        <f>VLOOKUP(A45,'1.Loading'!A:R,17,FALSE)</f>
        <v>HASLS22260900303</v>
      </c>
      <c r="E45" s="62" t="str">
        <f>VLOOKUP(D45,'2.Bookinglist'!A:CT,27,FALSE)</f>
        <v>CELESTIAL XPRESS LOGISTICS (THAILAND) CO., LTD.</v>
      </c>
      <c r="F45" s="62" t="str">
        <f>VLOOKUP(D45,'2.Bookinglist'!A:CT,28,FALSE)</f>
        <v>CHOTIWAT MANUFACTURING PUBLIC COMPANY LIMITED</v>
      </c>
      <c r="G45" s="60">
        <f>VLOOKUP(D45,'2.Bookinglist'!A:E,5,FALSE)</f>
        <v>0</v>
      </c>
      <c r="H45" s="61" t="str">
        <f>VLOOKUP(D45,'2.Bookinglist'!A:CT,15,FALSE)</f>
        <v>THBKK</v>
      </c>
      <c r="I45" s="61" t="str">
        <f>VLOOKUP(D45,'2.Bookinglist'!A:CT,19,FALSE)</f>
        <v>KRINC</v>
      </c>
      <c r="J45" s="61">
        <f>VLOOKUP(D45,'2.Bookinglist'!A:CT,26,FALSE)</f>
        <v>0</v>
      </c>
      <c r="K45" s="61" t="str">
        <f>VLOOKUP(A45,'1.Loading'!A:R,5,FALSE)</f>
        <v>22GP</v>
      </c>
      <c r="L45" s="60" t="str">
        <f>VLOOKUP(D45,'2.Bookinglist'!A:CT,85,FALSE)</f>
        <v>CFS/CY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DJCF</v>
      </c>
      <c r="P45" s="61" t="str">
        <f>VLOOKUP(A45,'1.Loading'!A:R,4,FALSE)</f>
        <v>0152N</v>
      </c>
      <c r="Q45" s="61" t="str">
        <f>VLOOKUP(D45,'2.Bookinglist'!A:CT,12,FALSE)</f>
        <v>NTX</v>
      </c>
      <c r="R45" s="60" t="str">
        <f>IF(LEFT(K45,2)="22","20'","40'")</f>
        <v>20'</v>
      </c>
      <c r="S45" s="185" t="n"/>
      <c r="T45" s="61" t="str">
        <f>VLOOKUP(A45,'1.Loading'!A:R,2,FALSE)</f>
        <v>2026-10-11</v>
      </c>
      <c r="U45" s="63">
        <f>T45-S45</f>
        <v>46306</v>
      </c>
      <c r="V45" s="186" t="n"/>
      <c r="W45" s="61" t="str">
        <f>VLOOKUP(A45,'3.GateMove'!A:D,4,FALSE)</f>
        <v>2026-10-09</v>
      </c>
      <c r="X45" s="63">
        <f>((T45-W45)+1)</f>
        <v>3</v>
      </c>
      <c r="Y45" s="64">
        <f>IF(AND(OR(C45="BKK01",C45="BKK04"),L45="CFS/CY"),0,IF(M45="DG",1,IF(LEFT(C45,3)="LCH",7,IF(C45="BKK02",5,3))))</f>
        <v>5</v>
      </c>
      <c r="Z45" s="63">
        <f>IF(IF(AND(AC45="TML",AB45&gt;0),((T45-W45)+1)-AB45,((T45-W45)+1)-Y45)&gt;0,IF(AND(AC45="TML",AB45&gt;0),((T45-W45)+1)-AB45,((T45-W45)+1)-Y45),0)</f>
        <v>0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46307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0</v>
      </c>
      <c r="AJ45" s="188" t="n"/>
      <c r="AK45" s="62" t="str">
        <f>VLOOKUP(D45,'2.Bookinglist'!A:CT,40,FALSE)</f>
        <v>Kim jaewon</v>
      </c>
      <c r="AL45" s="60" t="str">
        <f>VLOOKUP(D45,'2.Bookinglist'!A:CW,101,FALSE)</f>
        <v>2026-10-11</v>
      </c>
      <c r="AM45" s="60" t="str">
        <f>VLOOKUP(D45,'2.Bookinglist'!A:BK,63,FALSE)</f>
        <v>BKK02</v>
      </c>
      <c r="AN45" s="62" t="str">
        <f>VLOOKUP(D45,'2.Bookinglist'!A:AZ,52,FALSE)</f>
        <v>STUFFING @UNITHAI DD.09/10/26 *CLS TIME CFS DD.09/10/26 - 17:00HRS.*</v>
      </c>
      <c r="AO45" s="62">
        <f>VLOOKUP(D45,'2.Bookinglist'!A:CY,103,FALSE)</f>
        <v>0</v>
      </c>
    </row>
    <row r="46" ht="12.95" customHeight="1">
      <c r="A46" s="96" t="inlineStr">
        <is>
          <t>SKLU2303862</t>
        </is>
      </c>
      <c r="B46" s="184" t="str">
        <f>IF(C46=Charge!$M$1,Charge!$J$1,IF(C46=Charge!$M$23,Charge!$J$23,IF(C46=Charge!$M$17,Charge!$J$17,IF(C46=Charge!$N$17,Charge!$J$17,Charge!$J$7))))</f>
        <v>G4</v>
      </c>
      <c r="C46" s="61" t="str">
        <f>VLOOKUP(A46,'1.Loading'!A:R,14,FALSE)</f>
        <v>BKK02</v>
      </c>
      <c r="D46" s="61" t="str">
        <f>VLOOKUP(A46,'1.Loading'!A:R,17,FALSE)</f>
        <v>HASLS22260901354</v>
      </c>
      <c r="E46" s="62" t="str">
        <f>VLOOKUP(D46,'2.Bookinglist'!A:CT,27,FALSE)</f>
        <v>KORCHINA FREIGHT (THAILAND) CO., LTD.</v>
      </c>
      <c r="F46" s="62" t="str">
        <f>VLOOKUP(D46,'2.Bookinglist'!A:CT,28,FALSE)</f>
        <v>ORIENTAL FOODS LIMITED PARTNERSHIP</v>
      </c>
      <c r="G46" s="60">
        <f>VLOOKUP(D46,'2.Bookinglist'!A:E,5,FALSE)</f>
        <v>0</v>
      </c>
      <c r="H46" s="61" t="str">
        <f>VLOOKUP(D46,'2.Bookinglist'!A:CT,15,FALSE)</f>
        <v>THBKK</v>
      </c>
      <c r="I46" s="61" t="str">
        <f>VLOOKUP(D46,'2.Bookinglist'!A:CT,19,FALSE)</f>
        <v>KRINC</v>
      </c>
      <c r="J46" s="61">
        <f>VLOOKUP(D46,'2.Bookinglist'!A:CT,26,FALSE)</f>
        <v>0</v>
      </c>
      <c r="K46" s="61" t="str">
        <f>VLOOKUP(A46,'1.Loading'!A:R,5,FALSE)</f>
        <v>22GP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DJCF</v>
      </c>
      <c r="P46" s="61" t="str">
        <f>VLOOKUP(A46,'1.Loading'!A:R,4,FALSE)</f>
        <v>0152N</v>
      </c>
      <c r="Q46" s="61" t="str">
        <f>VLOOKUP(D46,'2.Bookinglist'!A:CT,12,FALSE)</f>
        <v>NTX</v>
      </c>
      <c r="R46" s="60" t="str">
        <f>IF(LEFT(K46,2)="22","20'","40'")</f>
        <v>20'</v>
      </c>
      <c r="S46" s="185" t="n"/>
      <c r="T46" s="61" t="str">
        <f>VLOOKUP(A46,'1.Loading'!A:R,2,FALSE)</f>
        <v>2026-10-11</v>
      </c>
      <c r="U46" s="63">
        <f>T46-S46</f>
        <v>46306</v>
      </c>
      <c r="V46" s="186" t="n"/>
      <c r="W46" s="61" t="str">
        <f>VLOOKUP(A46,'3.GateMove'!A:D,4,FALSE)</f>
        <v>2026-10-09</v>
      </c>
      <c r="X46" s="63">
        <f>((T46-W46)+1)</f>
        <v>3</v>
      </c>
      <c r="Y46" s="64">
        <f>IF(AND(OR(C46="BKK01",C46="BKK04"),L46="CFS/CY"),0,IF(M46="DG",1,IF(LEFT(C46,3)="LCH",7,IF(C46="BKK02",5,3))))</f>
        <v>5</v>
      </c>
      <c r="Z46" s="63">
        <f>IF(IF(AND(AC46="TML",AB46&gt;0),((T46-W46)+1)-AB46,((T46-W46)+1)-Y46)&gt;0,IF(AND(AC46="TML",AB46&gt;0),((T46-W46)+1)-AB46,((T46-W46)+1)-Y46),0)</f>
        <v>0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46307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0</v>
      </c>
      <c r="AJ46" s="188" t="n"/>
      <c r="AK46" s="62" t="str">
        <f>VLOOKUP(D46,'2.Bookinglist'!A:CT,40,FALSE)</f>
        <v>Pattarapong Saengthong</v>
      </c>
      <c r="AL46" s="60" t="str">
        <f>VLOOKUP(D46,'2.Bookinglist'!A:CW,101,FALSE)</f>
        <v>2026-10-11</v>
      </c>
      <c r="AM46" s="60" t="str">
        <f>VLOOKUP(D46,'2.Bookinglist'!A:BK,63,FALSE)</f>
        <v>BKK25</v>
      </c>
      <c r="AN46" s="62" t="str">
        <f>VLOOKUP(D46,'2.Bookinglist'!A:AZ,52,FALSE)</f>
        <v>Pickup : 2026-10-07, Return : 2026-10-08
CLS TIME DD.10/10/20206 @12.00</v>
      </c>
      <c r="AO46" s="62">
        <f>VLOOKUP(D46,'2.Bookinglist'!A:CY,103,FALSE)</f>
        <v>0</v>
      </c>
    </row>
    <row r="47" ht="12.95" customHeight="1">
      <c r="A47" s="96" t="inlineStr">
        <is>
          <t>SKLU2416534</t>
        </is>
      </c>
      <c r="B47" s="184" t="str">
        <f>IF(C47=Charge!$M$1,Charge!$J$1,IF(C47=Charge!$M$23,Charge!$J$23,IF(C47=Charge!$M$17,Charge!$J$17,IF(C47=Charge!$N$17,Charge!$J$17,Charge!$J$7))))</f>
        <v>G4</v>
      </c>
      <c r="C47" s="61" t="str">
        <f>VLOOKUP(A47,'1.Loading'!A:R,14,FALSE)</f>
        <v>BKK02</v>
      </c>
      <c r="D47" s="61" t="str">
        <f>VLOOKUP(A47,'1.Loading'!A:R,17,FALSE)</f>
        <v>HASLS22261000264</v>
      </c>
      <c r="E47" s="62" t="str">
        <f>VLOOKUP(D47,'2.Bookinglist'!A:CT,27,FALSE)</f>
        <v>C.H. ROBINSON FREIGHT SERVICES (THAILAND) LIMITED</v>
      </c>
      <c r="F47" s="62" t="str">
        <f>VLOOKUP(D47,'2.Bookinglist'!A:CT,28,FALSE)</f>
        <v>IPD PACKAGING LTD.</v>
      </c>
      <c r="G47" s="60">
        <f>VLOOKUP(D47,'2.Bookinglist'!A:E,5,FALSE)</f>
        <v>0</v>
      </c>
      <c r="H47" s="61" t="str">
        <f>VLOOKUP(D47,'2.Bookinglist'!A:CT,15,FALSE)</f>
        <v>THBKK</v>
      </c>
      <c r="I47" s="61" t="str">
        <f>VLOOKUP(D47,'2.Bookinglist'!A:CT,19,FALSE)</f>
        <v>KRINC</v>
      </c>
      <c r="J47" s="61">
        <f>VLOOKUP(D47,'2.Bookinglist'!A:CT,26,FALSE)</f>
        <v>0</v>
      </c>
      <c r="K47" s="61" t="str">
        <f>VLOOKUP(A47,'1.Loading'!A:R,5,FALSE)</f>
        <v>22GP</v>
      </c>
      <c r="L47" s="60" t="str">
        <f>VLOOKUP(D47,'2.Bookinglist'!A:CT,85,FALSE)</f>
        <v>CFS/CY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DJCF</v>
      </c>
      <c r="P47" s="61" t="str">
        <f>VLOOKUP(A47,'1.Loading'!A:R,4,FALSE)</f>
        <v>0152N</v>
      </c>
      <c r="Q47" s="61" t="str">
        <f>VLOOKUP(D47,'2.Bookinglist'!A:CT,12,FALSE)</f>
        <v>NTX</v>
      </c>
      <c r="R47" s="60" t="str">
        <f>IF(LEFT(K47,2)="22","20'","40'")</f>
        <v>20'</v>
      </c>
      <c r="S47" s="185" t="n"/>
      <c r="T47" s="61" t="str">
        <f>VLOOKUP(A47,'1.Loading'!A:R,2,FALSE)</f>
        <v>2026-10-11</v>
      </c>
      <c r="U47" s="63">
        <f>T47-S47</f>
        <v>46306</v>
      </c>
      <c r="V47" s="186" t="n"/>
      <c r="W47" s="61" t="str">
        <f>VLOOKUP(A47,'3.GateMove'!A:D,4,FALSE)</f>
        <v>2026-10-08</v>
      </c>
      <c r="X47" s="63">
        <f>((T47-W47)+1)</f>
        <v>4</v>
      </c>
      <c r="Y47" s="64">
        <f>IF(AND(OR(C47="BKK01",C47="BKK04"),L47="CFS/CY"),0,IF(M47="DG",1,IF(LEFT(C47,3)="LCH",7,IF(C47="BKK02",5,3))))</f>
        <v>5</v>
      </c>
      <c r="Z47" s="63">
        <f>IF(IF(AND(AC47="TML",AB47&gt;0),((T47-W47)+1)-AB47,((T47-W47)+1)-Y47)&gt;0,IF(AND(AC47="TML",AB47&gt;0),((T47-W47)+1)-AB47,((T47-W47)+1)-Y47),0)</f>
        <v>0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46307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0</v>
      </c>
      <c r="AJ47" s="188" t="n"/>
      <c r="AK47" s="62" t="str">
        <f>VLOOKUP(D47,'2.Bookinglist'!A:CT,40,FALSE)</f>
        <v>Nannaapust Sukporntaweewat</v>
      </c>
      <c r="AL47" s="60" t="str">
        <f>VLOOKUP(D47,'2.Bookinglist'!A:CW,101,FALSE)</f>
        <v>2026-10-11</v>
      </c>
      <c r="AM47" s="60" t="str">
        <f>VLOOKUP(D47,'2.Bookinglist'!A:BK,63,FALSE)</f>
        <v>BKK02</v>
      </c>
      <c r="AN47" s="62" t="str">
        <f>VLOOKUP(D47,'2.Bookinglist'!A:AZ,52,FALSE)</f>
        <v>STUFFING AT UNITHAI DD.08/10/2026 
CLS TIME DD.09/10/2026 @ 17.00 *1ST CFS DD.08/10/2026*</v>
      </c>
      <c r="AO47" s="62">
        <f>VLOOKUP(D47,'2.Bookinglist'!A:CY,103,FALSE)</f>
        <v>0</v>
      </c>
    </row>
    <row r="48" ht="12.95" customHeight="1">
      <c r="A48" s="96" t="inlineStr">
        <is>
          <t>SKLU2475901</t>
        </is>
      </c>
      <c r="B48" s="184" t="str">
        <f>IF(C48=Charge!$M$1,Charge!$J$1,IF(C48=Charge!$M$23,Charge!$J$23,IF(C48=Charge!$M$17,Charge!$J$17,IF(C48=Charge!$N$17,Charge!$J$17,Charge!$J$7))))</f>
        <v>G4</v>
      </c>
      <c r="C48" s="61" t="str">
        <f>VLOOKUP(A48,'1.Loading'!A:R,14,FALSE)</f>
        <v>BKK02</v>
      </c>
      <c r="D48" s="61" t="str">
        <f>VLOOKUP(A48,'1.Loading'!A:R,17,FALSE)</f>
        <v>HASLS22261000141</v>
      </c>
      <c r="E48" s="62" t="str">
        <f>VLOOKUP(D48,'2.Bookinglist'!A:CT,27,FALSE)</f>
        <v>CELESTIAL XPRESS LOGISTICS (THAILAND) CO., LTD.</v>
      </c>
      <c r="F48" s="62" t="str">
        <f>VLOOKUP(D48,'2.Bookinglist'!A:CT,28,FALSE)</f>
        <v>UNICORD PUBLIC COMPANY LIMITED</v>
      </c>
      <c r="G48" s="60">
        <f>VLOOKUP(D48,'2.Bookinglist'!A:E,5,FALSE)</f>
        <v>0</v>
      </c>
      <c r="H48" s="61" t="str">
        <f>VLOOKUP(D48,'2.Bookinglist'!A:CT,15,FALSE)</f>
        <v>THBKK</v>
      </c>
      <c r="I48" s="61" t="str">
        <f>VLOOKUP(D48,'2.Bookinglist'!A:CT,19,FALSE)</f>
        <v>KRINC</v>
      </c>
      <c r="J48" s="61">
        <f>VLOOKUP(D48,'2.Bookinglist'!A:CT,26,FALSE)</f>
        <v>0</v>
      </c>
      <c r="K48" s="61" t="str">
        <f>VLOOKUP(A48,'1.Loading'!A:R,5,FALSE)</f>
        <v>22GP</v>
      </c>
      <c r="L48" s="60" t="str">
        <f>VLOOKUP(D48,'2.Bookinglist'!A:CT,85,FALSE)</f>
        <v>CFS/CY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DJCF</v>
      </c>
      <c r="P48" s="61" t="str">
        <f>VLOOKUP(A48,'1.Loading'!A:R,4,FALSE)</f>
        <v>0152N</v>
      </c>
      <c r="Q48" s="61" t="str">
        <f>VLOOKUP(D48,'2.Bookinglist'!A:CT,12,FALSE)</f>
        <v>NTX</v>
      </c>
      <c r="R48" s="60" t="str">
        <f>IF(LEFT(K48,2)="22","20'","40'")</f>
        <v>20'</v>
      </c>
      <c r="S48" s="185" t="n"/>
      <c r="T48" s="61" t="str">
        <f>VLOOKUP(A48,'1.Loading'!A:R,2,FALSE)</f>
        <v>2026-10-11</v>
      </c>
      <c r="U48" s="63">
        <f>T48-S48</f>
        <v>46306</v>
      </c>
      <c r="V48" s="186" t="n"/>
      <c r="W48" s="61" t="str">
        <f>VLOOKUP(A48,'3.GateMove'!A:D,4,FALSE)</f>
        <v>2026-10-09</v>
      </c>
      <c r="X48" s="63">
        <f>((T48-W48)+1)</f>
        <v>3</v>
      </c>
      <c r="Y48" s="64">
        <f>IF(AND(OR(C48="BKK01",C48="BKK04"),L48="CFS/CY"),0,IF(M48="DG",1,IF(LEFT(C48,3)="LCH",7,IF(C48="BKK02",5,3))))</f>
        <v>5</v>
      </c>
      <c r="Z48" s="63">
        <f>IF(IF(AND(AC48="TML",AB48&gt;0),((T48-W48)+1)-AB48,((T48-W48)+1)-Y48)&gt;0,IF(AND(AC48="TML",AB48&gt;0),((T48-W48)+1)-AB48,((T48-W48)+1)-Y48),0)</f>
        <v>0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46307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0</v>
      </c>
      <c r="AJ48" s="188" t="n"/>
      <c r="AK48" s="62" t="str">
        <f>VLOOKUP(D48,'2.Bookinglist'!A:CT,40,FALSE)</f>
        <v>Kim jaewon</v>
      </c>
      <c r="AL48" s="60" t="str">
        <f>VLOOKUP(D48,'2.Bookinglist'!A:CW,101,FALSE)</f>
        <v>2026-10-11</v>
      </c>
      <c r="AM48" s="60" t="str">
        <f>VLOOKUP(D48,'2.Bookinglist'!A:BK,63,FALSE)</f>
        <v>BKK02</v>
      </c>
      <c r="AN48" s="62" t="str">
        <f>VLOOKUP(D48,'2.Bookinglist'!A:AZ,52,FALSE)</f>
        <v>STUFFING @UNITHAI DD.09/10/26 *CLS TIME CFS DD.09/10/26 - 17:00HRS.*</v>
      </c>
      <c r="AO48" s="62">
        <f>VLOOKUP(D48,'2.Bookinglist'!A:CY,103,FALSE)</f>
        <v>0</v>
      </c>
    </row>
    <row r="49" ht="12.95" customHeight="1">
      <c r="A49" s="96" t="inlineStr">
        <is>
          <t>SKRU9602893</t>
        </is>
      </c>
      <c r="B49" s="184" t="str">
        <f>IF(C49=Charge!$M$1,Charge!$J$1,IF(C49=Charge!$M$23,Charge!$J$23,IF(C49=Charge!$M$17,Charge!$J$17,IF(C49=Charge!$N$17,Charge!$J$17,Charge!$J$7))))</f>
        <v>G4</v>
      </c>
      <c r="C49" s="61" t="str">
        <f>VLOOKUP(A49,'1.Loading'!A:R,14,FALSE)</f>
        <v>BKK02</v>
      </c>
      <c r="D49" s="61" t="str">
        <f>VLOOKUP(A49,'1.Loading'!A:R,17,FALSE)</f>
        <v>HASLS22260901381</v>
      </c>
      <c r="E49" s="62" t="str">
        <f>VLOOKUP(D49,'2.Bookinglist'!A:CT,27,FALSE)</f>
        <v>FIBS LOGISTICS CO., LTD.</v>
      </c>
      <c r="F49" s="62" t="str">
        <f>VLOOKUP(D49,'2.Bookinglist'!A:CT,28,FALSE)</f>
        <v>KIBUN (THAILAND) CO., LTD.</v>
      </c>
      <c r="G49" s="60">
        <f>VLOOKUP(D49,'2.Bookinglist'!A:E,5,FALSE)</f>
        <v>0</v>
      </c>
      <c r="H49" s="61" t="str">
        <f>VLOOKUP(D49,'2.Bookinglist'!A:CT,15,FALSE)</f>
        <v>THBKK</v>
      </c>
      <c r="I49" s="61" t="str">
        <f>VLOOKUP(D49,'2.Bookinglist'!A:CT,19,FALSE)</f>
        <v>VNSGN</v>
      </c>
      <c r="J49" s="61">
        <f>VLOOKUP(D49,'2.Bookinglist'!A:CT,26,FALSE)</f>
        <v>0</v>
      </c>
      <c r="K49" s="61" t="str">
        <f>VLOOKUP(A49,'1.Loading'!A:R,5,FALSE)</f>
        <v>45RE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>RF</v>
      </c>
      <c r="O49" s="61" t="str">
        <f>VLOOKUP(A49,'1.Loading'!A:R,3,FALSE)</f>
        <v>DJCF</v>
      </c>
      <c r="P49" s="61" t="str">
        <f>VLOOKUP(A49,'1.Loading'!A:R,4,FALSE)</f>
        <v>0152N</v>
      </c>
      <c r="Q49" s="61" t="str">
        <f>VLOOKUP(D49,'2.Bookinglist'!A:CT,12,FALSE)</f>
        <v>NTX</v>
      </c>
      <c r="R49" s="60" t="str">
        <f>IF(LEFT(K49,2)="22","20'","40'")</f>
        <v>40'</v>
      </c>
      <c r="S49" s="185" t="n"/>
      <c r="T49" s="61" t="str">
        <f>VLOOKUP(A49,'1.Loading'!A:R,2,FALSE)</f>
        <v>2026-10-11</v>
      </c>
      <c r="U49" s="63">
        <f>T49-S49</f>
        <v>46306</v>
      </c>
      <c r="V49" s="186" t="n"/>
      <c r="W49" s="61" t="str">
        <f>VLOOKUP(A49,'3.GateMove'!A:D,4,FALSE)</f>
        <v>2026-10-09</v>
      </c>
      <c r="X49" s="63">
        <f>((T49-W49)+1)</f>
        <v>3</v>
      </c>
      <c r="Y49" s="64">
        <f>IF(AND(OR(C49="BKK01",C49="BKK04"),L49="CFS/CY"),0,IF(M49="DG",1,IF(LEFT(C49,3)="LCH",7,IF(C49="BKK02",5,3))))</f>
        <v>5</v>
      </c>
      <c r="Z49" s="63">
        <f>IF(IF(AND(AC49="TML",AB49&gt;0),((T49-W49)+1)-AB49,((T49-W49)+1)-Y49)&gt;0,IF(AND(AC49="TML",AB49&gt;0),((T49-W49)+1)-AB49,((T49-W49)+1)-Y49),0)</f>
        <v>0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0</v>
      </c>
      <c r="AB49" s="184" t="n"/>
      <c r="AC49" s="184" t="n"/>
      <c r="AD49" s="60">
        <f>IF(M49="DG",3,IF(N49="RF",3,5))+IF(AND(LEFT(C49,3)="BKK",N49="RF",Q49="KTS"),1,0)+IF(Q49="KHS",1,0)</f>
        <v>3</v>
      </c>
      <c r="AE49" s="63">
        <f>(T49-V49)+1</f>
        <v>46307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0</v>
      </c>
      <c r="AJ49" s="188" t="n"/>
      <c r="AK49" s="62" t="str">
        <f>VLOOKUP(D49,'2.Bookinglist'!A:CT,40,FALSE)</f>
        <v>Nannaapust Sukporntaweewat</v>
      </c>
      <c r="AL49" s="60" t="str">
        <f>VLOOKUP(D49,'2.Bookinglist'!A:CW,101,FALSE)</f>
        <v>2026-10-10</v>
      </c>
      <c r="AM49" s="60" t="str">
        <f>VLOOKUP(D49,'2.Bookinglist'!A:BK,63,FALSE)</f>
        <v>BKK27</v>
      </c>
      <c r="AN49" s="62" t="str">
        <f>VLOOKUP(D49,'2.Bookinglist'!A:AZ,52,FALSE)</f>
        <v>Pickup : 2026-10-07, Return : 2026-10-08 RF45REx1 (Temp -20.0 / Vent Close)  
CLS TIME : 09/10/2026 @23.59 </v>
      </c>
      <c r="AO49" s="62">
        <f>VLOOKUP(D49,'2.Bookinglist'!A:CY,103,FALSE)</f>
        <v>0</v>
      </c>
    </row>
    <row r="50" ht="12.95" customHeight="1">
      <c r="A50" s="96" t="inlineStr">
        <is>
          <t>TCKU2824258</t>
        </is>
      </c>
      <c r="B50" s="184" t="str">
        <f>IF(C50=Charge!$M$1,Charge!$J$1,IF(C50=Charge!$M$23,Charge!$J$23,IF(C50=Charge!$M$17,Charge!$J$17,IF(C50=Charge!$N$17,Charge!$J$17,Charge!$J$7))))</f>
        <v>G4</v>
      </c>
      <c r="C50" s="61" t="str">
        <f>VLOOKUP(A50,'1.Loading'!A:R,14,FALSE)</f>
        <v>BKK02</v>
      </c>
      <c r="D50" s="61" t="str">
        <f>VLOOKUP(A50,'1.Loading'!A:R,17,FALSE)</f>
        <v>HASLS22260801939</v>
      </c>
      <c r="E50" s="62" t="str">
        <f>VLOOKUP(D50,'2.Bookinglist'!A:CT,27,FALSE)</f>
        <v>QUANTERM LOGISTICS (THAILAND) CO., LTD.</v>
      </c>
      <c r="F50" s="62" t="str">
        <f>VLOOKUP(D50,'2.Bookinglist'!A:CT,28,FALSE)</f>
        <v>THAI GYPSUM PRODUCTS PCL.</v>
      </c>
      <c r="G50" s="60">
        <f>VLOOKUP(D50,'2.Bookinglist'!A:E,5,FALSE)</f>
        <v>0</v>
      </c>
      <c r="H50" s="61" t="str">
        <f>VLOOKUP(D50,'2.Bookinglist'!A:CT,15,FALSE)</f>
        <v>THBKK</v>
      </c>
      <c r="I50" s="61" t="str">
        <f>VLOOKUP(D50,'2.Bookinglist'!A:CT,19,FALSE)</f>
        <v>VNSGN</v>
      </c>
      <c r="J50" s="61">
        <f>VLOOKUP(D50,'2.Bookinglist'!A:CT,26,FALSE)</f>
        <v>0</v>
      </c>
      <c r="K50" s="61" t="str">
        <f>VLOOKUP(A50,'1.Loading'!A:R,5,FALSE)</f>
        <v>22GP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DJCF</v>
      </c>
      <c r="P50" s="61" t="str">
        <f>VLOOKUP(A50,'1.Loading'!A:R,4,FALSE)</f>
        <v>0152N</v>
      </c>
      <c r="Q50" s="61" t="str">
        <f>VLOOKUP(D50,'2.Bookinglist'!A:CT,12,FALSE)</f>
        <v>NTX</v>
      </c>
      <c r="R50" s="60" t="str">
        <f>IF(LEFT(K50,2)="22","20'","40'")</f>
        <v>20'</v>
      </c>
      <c r="S50" s="185" t="n"/>
      <c r="T50" s="61" t="str">
        <f>VLOOKUP(A50,'1.Loading'!A:R,2,FALSE)</f>
        <v>2026-10-11</v>
      </c>
      <c r="U50" s="63">
        <f>T50-S50</f>
        <v>46306</v>
      </c>
      <c r="V50" s="186" t="n"/>
      <c r="W50" s="61" t="str">
        <f>VLOOKUP(A50,'3.GateMove'!A:D,4,FALSE)</f>
        <v>2026-10-01</v>
      </c>
      <c r="X50" s="63">
        <f>((T50-W50)+1)</f>
        <v>11</v>
      </c>
      <c r="Y50" s="64">
        <f>IF(AND(OR(C50="BKK01",C50="BKK04"),L50="CFS/CY"),0,IF(M50="DG",1,IF(LEFT(C50,3)="LCH",7,IF(C50="BKK02",5,3))))</f>
        <v>5</v>
      </c>
      <c r="Z50" s="63">
        <f>IF(IF(AND(AC50="TML",AB50&gt;0),((T50-W50)+1)-AB50,((T50-W50)+1)-Y50)&gt;0,IF(AND(AC50="TML",AB50&gt;0),((T50-W50)+1)-AB50,((T50-W50)+1)-Y50),0)</f>
        <v>6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300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46307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300</v>
      </c>
      <c r="AJ50" s="188" t="n"/>
      <c r="AK50" s="62" t="str">
        <f>VLOOKUP(D50,'2.Bookinglist'!A:CT,40,FALSE)</f>
        <v>Arunphat W. (Aiw)</v>
      </c>
      <c r="AL50" s="60" t="str">
        <f>VLOOKUP(D50,'2.Bookinglist'!A:CW,101,FALSE)</f>
        <v>2026-10-11</v>
      </c>
      <c r="AM50" s="60" t="str">
        <f>VLOOKUP(D50,'2.Bookinglist'!A:BK,63,FALSE)</f>
        <v>BKK27</v>
      </c>
      <c r="AN50" s="62" t="str">
        <f>VLOOKUP(D50,'2.Bookinglist'!A:AZ,52,FALSE)</f>
        <v>Pickup : 2026-09-29, Return : 2026-10-01  [1ST RETURN CNTR DD.01/10/2026 WITHOUT RENT]</v>
      </c>
      <c r="AO50" s="62">
        <f>VLOOKUP(D50,'2.Bookinglist'!A:CY,103,FALSE)</f>
        <v>0</v>
      </c>
    </row>
    <row r="51" ht="12.95" customHeight="1">
      <c r="A51" s="96" t="inlineStr">
        <is>
          <t>TGCU2400350</t>
        </is>
      </c>
      <c r="B51" s="184" t="str">
        <f>IF(C51=Charge!$M$1,Charge!$J$1,IF(C51=Charge!$M$23,Charge!$J$23,IF(C51=Charge!$M$17,Charge!$J$17,IF(C51=Charge!$N$17,Charge!$J$17,Charge!$J$7))))</f>
        <v>G4</v>
      </c>
      <c r="C51" s="61" t="str">
        <f>VLOOKUP(A51,'1.Loading'!A:R,14,FALSE)</f>
        <v>BKK02</v>
      </c>
      <c r="D51" s="61" t="str">
        <f>VLOOKUP(A51,'1.Loading'!A:R,17,FALSE)</f>
        <v>HASLS22261000097</v>
      </c>
      <c r="E51" s="62" t="str">
        <f>VLOOKUP(D51,'2.Bookinglist'!A:CT,27,FALSE)</f>
        <v>RTN LOGISTICS CO., LTD.</v>
      </c>
      <c r="F51" s="62" t="str">
        <f>VLOOKUP(D51,'2.Bookinglist'!A:CT,28,FALSE)</f>
        <v>CHIA TAI SEEDS CO., LTD.</v>
      </c>
      <c r="G51" s="60">
        <f>VLOOKUP(D51,'2.Bookinglist'!A:E,5,FALSE)</f>
        <v>0</v>
      </c>
      <c r="H51" s="61" t="str">
        <f>VLOOKUP(D51,'2.Bookinglist'!A:CT,15,FALSE)</f>
        <v>THBKK</v>
      </c>
      <c r="I51" s="61" t="str">
        <f>VLOOKUP(D51,'2.Bookinglist'!A:CT,19,FALSE)</f>
        <v>VNSGN</v>
      </c>
      <c r="J51" s="61">
        <f>VLOOKUP(D51,'2.Bookinglist'!A:CT,26,FALSE)</f>
        <v>0</v>
      </c>
      <c r="K51" s="61" t="str">
        <f>VLOOKUP(A51,'1.Loading'!A:R,5,FALSE)</f>
        <v>22GP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DJCF</v>
      </c>
      <c r="P51" s="61" t="str">
        <f>VLOOKUP(A51,'1.Loading'!A:R,4,FALSE)</f>
        <v>0152N</v>
      </c>
      <c r="Q51" s="61" t="str">
        <f>VLOOKUP(D51,'2.Bookinglist'!A:CT,12,FALSE)</f>
        <v>NTX</v>
      </c>
      <c r="R51" s="60" t="str">
        <f>IF(LEFT(K51,2)="22","20'","40'")</f>
        <v>20'</v>
      </c>
      <c r="S51" s="185" t="n"/>
      <c r="T51" s="61" t="str">
        <f>VLOOKUP(A51,'1.Loading'!A:R,2,FALSE)</f>
        <v>2026-10-11</v>
      </c>
      <c r="U51" s="63">
        <f>T51-S51</f>
        <v>46306</v>
      </c>
      <c r="V51" s="186" t="n"/>
      <c r="W51" s="61" t="str">
        <f>VLOOKUP(A51,'3.GateMove'!A:D,4,FALSE)</f>
        <v>2026-10-09</v>
      </c>
      <c r="X51" s="63">
        <f>((T51-W51)+1)</f>
        <v>3</v>
      </c>
      <c r="Y51" s="64">
        <f>IF(AND(OR(C51="BKK01",C51="BKK04"),L51="CFS/CY"),0,IF(M51="DG",1,IF(LEFT(C51,3)="LCH",7,IF(C51="BKK02",5,3))))</f>
        <v>5</v>
      </c>
      <c r="Z51" s="63">
        <f>IF(IF(AND(AC51="TML",AB51&gt;0),((T51-W51)+1)-AB51,((T51-W51)+1)-Y51)&gt;0,IF(AND(AC51="TML",AB51&gt;0),((T51-W51)+1)-AB51,((T51-W51)+1)-Y51),0)</f>
        <v>0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0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46307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0</v>
      </c>
      <c r="AJ51" s="188" t="n"/>
      <c r="AK51" s="62" t="str">
        <f>VLOOKUP(D51,'2.Bookinglist'!A:CT,40,FALSE)</f>
        <v>Arunphat W. (Aiw)</v>
      </c>
      <c r="AL51" s="60" t="str">
        <f>VLOOKUP(D51,'2.Bookinglist'!A:CW,101,FALSE)</f>
        <v>2026-10-11</v>
      </c>
      <c r="AM51" s="60" t="str">
        <f>VLOOKUP(D51,'2.Bookinglist'!A:BK,63,FALSE)</f>
        <v>BKK27</v>
      </c>
      <c r="AN51" s="62" t="str">
        <f>VLOOKUP(D51,'2.Bookinglist'!A:AZ,52,FALSE)</f>
        <v>Pickup : 2026-10-08, Return : 2026-10-09</v>
      </c>
      <c r="AO51" s="62">
        <f>VLOOKUP(D51,'2.Bookinglist'!A:CY,103,FALSE)</f>
        <v>0</v>
      </c>
    </row>
    <row r="52" ht="12.95" customHeight="1">
      <c r="A52" s="96" t="inlineStr">
        <is>
          <t>TGCU2422616</t>
        </is>
      </c>
      <c r="B52" s="184" t="str">
        <f>IF(C52=Charge!$M$1,Charge!$J$1,IF(C52=Charge!$M$23,Charge!$J$23,IF(C52=Charge!$M$17,Charge!$J$17,IF(C52=Charge!$N$17,Charge!$J$17,Charge!$J$7))))</f>
        <v>G4</v>
      </c>
      <c r="C52" s="61" t="str">
        <f>VLOOKUP(A52,'1.Loading'!A:R,14,FALSE)</f>
        <v>BKK02</v>
      </c>
      <c r="D52" s="61" t="str">
        <f>VLOOKUP(A52,'1.Loading'!A:R,17,FALSE)</f>
        <v>HASLS22261000287</v>
      </c>
      <c r="E52" s="62" t="str">
        <f>VLOOKUP(D52,'2.Bookinglist'!A:CT,27,FALSE)</f>
        <v>H &amp; FRIENDS GTL (THAILAND) CO., LTD.</v>
      </c>
      <c r="F52" s="62" t="str">
        <f>VLOOKUP(D52,'2.Bookinglist'!A:CT,28,FALSE)</f>
        <v>TE CONNECTIVITY MANUFACTURING (THAILAND) CO., LTD.</v>
      </c>
      <c r="G52" s="60">
        <f>VLOOKUP(D52,'2.Bookinglist'!A:E,5,FALSE)</f>
        <v>0</v>
      </c>
      <c r="H52" s="61" t="str">
        <f>VLOOKUP(D52,'2.Bookinglist'!A:CT,15,FALSE)</f>
        <v>THBKK</v>
      </c>
      <c r="I52" s="61" t="str">
        <f>VLOOKUP(D52,'2.Bookinglist'!A:CT,19,FALSE)</f>
        <v>VNSGN</v>
      </c>
      <c r="J52" s="61">
        <f>VLOOKUP(D52,'2.Bookinglist'!A:CT,26,FALSE)</f>
        <v>0</v>
      </c>
      <c r="K52" s="61" t="str">
        <f>VLOOKUP(A52,'1.Loading'!A:R,5,FALSE)</f>
        <v>22GP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DJCF</v>
      </c>
      <c r="P52" s="61" t="str">
        <f>VLOOKUP(A52,'1.Loading'!A:R,4,FALSE)</f>
        <v>0152N</v>
      </c>
      <c r="Q52" s="61" t="str">
        <f>VLOOKUP(D52,'2.Bookinglist'!A:CT,12,FALSE)</f>
        <v>NTX</v>
      </c>
      <c r="R52" s="60" t="str">
        <f>IF(LEFT(K52,2)="22","20'","40'")</f>
        <v>20'</v>
      </c>
      <c r="S52" s="185" t="n"/>
      <c r="T52" s="61" t="str">
        <f>VLOOKUP(A52,'1.Loading'!A:R,2,FALSE)</f>
        <v>2026-10-11</v>
      </c>
      <c r="U52" s="63">
        <f>T52-S52</f>
        <v>46306</v>
      </c>
      <c r="V52" s="186" t="n"/>
      <c r="W52" s="61" t="str">
        <f>VLOOKUP(A52,'3.GateMove'!A:D,4,FALSE)</f>
        <v>2026-10-09</v>
      </c>
      <c r="X52" s="63">
        <f>((T52-W52)+1)</f>
        <v>3</v>
      </c>
      <c r="Y52" s="64">
        <f>IF(AND(OR(C52="BKK01",C52="BKK04"),L52="CFS/CY"),0,IF(M52="DG",1,IF(LEFT(C52,3)="LCH",7,IF(C52="BKK02",5,3))))</f>
        <v>5</v>
      </c>
      <c r="Z52" s="63">
        <f>IF(IF(AND(AC52="TML",AB52&gt;0),((T52-W52)+1)-AB52,((T52-W52)+1)-Y52)&gt;0,IF(AND(AC52="TML",AB52&gt;0),((T52-W52)+1)-AB52,((T52-W52)+1)-Y52),0)</f>
        <v>0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46307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0</v>
      </c>
      <c r="AJ52" s="188" t="n"/>
      <c r="AK52" s="62" t="str">
        <f>VLOOKUP(D52,'2.Bookinglist'!A:CT,40,FALSE)</f>
        <v>Tarn(Supaporn)</v>
      </c>
      <c r="AL52" s="60" t="str">
        <f>VLOOKUP(D52,'2.Bookinglist'!A:CW,101,FALSE)</f>
        <v>2026-10-11</v>
      </c>
      <c r="AM52" s="60" t="str">
        <f>VLOOKUP(D52,'2.Bookinglist'!A:BK,63,FALSE)</f>
        <v>BKK27</v>
      </c>
      <c r="AN52" s="62" t="str">
        <f>VLOOKUP(D52,'2.Bookinglist'!A:AZ,52,FALSE)</f>
        <v>Pickup : 2026-10-08, Return : 2026-10-09 // CLS TIME 09/10 @23.59 
 </v>
      </c>
      <c r="AO52" s="62">
        <f>VLOOKUP(D52,'2.Bookinglist'!A:CY,103,FALSE)</f>
        <v>0</v>
      </c>
    </row>
    <row r="53" ht="12.95" customHeight="1">
      <c r="A53" s="96" t="inlineStr">
        <is>
          <t>TGCU2423130</t>
        </is>
      </c>
      <c r="B53" s="184" t="str">
        <f>IF(C53=Charge!$M$1,Charge!$J$1,IF(C53=Charge!$M$23,Charge!$J$23,IF(C53=Charge!$M$17,Charge!$J$17,IF(C53=Charge!$N$17,Charge!$J$17,Charge!$J$7))))</f>
        <v>G4</v>
      </c>
      <c r="C53" s="61" t="str">
        <f>VLOOKUP(A53,'1.Loading'!A:R,14,FALSE)</f>
        <v>BKK02</v>
      </c>
      <c r="D53" s="61" t="str">
        <f>VLOOKUP(A53,'1.Loading'!A:R,17,FALSE)</f>
        <v>HASLS22260801972</v>
      </c>
      <c r="E53" s="62" t="str">
        <f>VLOOKUP(D53,'2.Bookinglist'!A:CT,27,FALSE)</f>
        <v>ECO LOGISTICS (THAILAND) CO., LTD.</v>
      </c>
      <c r="F53" s="62" t="str">
        <f>VLOOKUP(D53,'2.Bookinglist'!A:CT,28,FALSE)</f>
        <v>ASIAN HONDA MOTOR CO., LTD.</v>
      </c>
      <c r="G53" s="60">
        <f>VLOOKUP(D53,'2.Bookinglist'!A:E,5,FALSE)</f>
        <v>0</v>
      </c>
      <c r="H53" s="61" t="str">
        <f>VLOOKUP(D53,'2.Bookinglist'!A:CT,15,FALSE)</f>
        <v>THBKK</v>
      </c>
      <c r="I53" s="61" t="str">
        <f>VLOOKUP(D53,'2.Bookinglist'!A:CT,19,FALSE)</f>
        <v>KRINC</v>
      </c>
      <c r="J53" s="61">
        <f>VLOOKUP(D53,'2.Bookinglist'!A:CT,26,FALSE)</f>
        <v>0</v>
      </c>
      <c r="K53" s="61" t="str">
        <f>VLOOKUP(A53,'1.Loading'!A:R,5,FALSE)</f>
        <v>22GP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DJCF</v>
      </c>
      <c r="P53" s="61" t="str">
        <f>VLOOKUP(A53,'1.Loading'!A:R,4,FALSE)</f>
        <v>0152N</v>
      </c>
      <c r="Q53" s="61" t="str">
        <f>VLOOKUP(D53,'2.Bookinglist'!A:CT,12,FALSE)</f>
        <v>NTX</v>
      </c>
      <c r="R53" s="60" t="str">
        <f>IF(LEFT(K53,2)="22","20'","40'")</f>
        <v>20'</v>
      </c>
      <c r="S53" s="185" t="n"/>
      <c r="T53" s="61" t="str">
        <f>VLOOKUP(A53,'1.Loading'!A:R,2,FALSE)</f>
        <v>2026-10-11</v>
      </c>
      <c r="U53" s="63">
        <f>T53-S53</f>
        <v>46306</v>
      </c>
      <c r="V53" s="186" t="n"/>
      <c r="W53" s="61" t="str">
        <f>VLOOKUP(A53,'3.GateMove'!A:D,4,FALSE)</f>
        <v>2026-10-07</v>
      </c>
      <c r="X53" s="63">
        <f>((T53-W53)+1)</f>
        <v>5</v>
      </c>
      <c r="Y53" s="64">
        <f>IF(AND(OR(C53="BKK01",C53="BKK04"),L53="CFS/CY"),0,IF(M53="DG",1,IF(LEFT(C53,3)="LCH",7,IF(C53="BKK02",5,3))))</f>
        <v>5</v>
      </c>
      <c r="Z53" s="63">
        <f>IF(IF(AND(AC53="TML",AB53&gt;0),((T53-W53)+1)-AB53,((T53-W53)+1)-Y53)&gt;0,IF(AND(AC53="TML",AB53&gt;0),((T53-W53)+1)-AB53,((T53-W53)+1)-Y53),0)</f>
        <v>0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46307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0</v>
      </c>
      <c r="AJ53" s="188" t="n"/>
      <c r="AK53" s="62" t="str">
        <f>VLOOKUP(D53,'2.Bookinglist'!A:CT,40,FALSE)</f>
        <v>Lee suk hyun</v>
      </c>
      <c r="AL53" s="60" t="str">
        <f>VLOOKUP(D53,'2.Bookinglist'!A:CW,101,FALSE)</f>
        <v>2026-10-11</v>
      </c>
      <c r="AM53" s="60" t="str">
        <f>VLOOKUP(D53,'2.Bookinglist'!A:BK,63,FALSE)</f>
        <v>BKK25</v>
      </c>
      <c r="AN53" s="62" t="str">
        <f>VLOOKUP(D53,'2.Bookinglist'!A:AZ,52,FALSE)</f>
        <v>Pickup : 2026-10-07, Return : 2026-10-07 
 </v>
      </c>
      <c r="AO53" s="62">
        <f>VLOOKUP(D53,'2.Bookinglist'!A:CY,103,FALSE)</f>
        <v>0</v>
      </c>
    </row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2026-10-14T07:19:29Z</dcterms:modified>
  <cp:lastModifiedBy>office4</cp:lastModifiedBy>
  <cp:lastPrinted>2019-11-19T03:03:39Z</cp:lastPrinted>
</cp:coreProperties>
</file>