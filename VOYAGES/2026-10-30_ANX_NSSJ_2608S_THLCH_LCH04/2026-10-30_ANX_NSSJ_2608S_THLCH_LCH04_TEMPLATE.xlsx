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HALU5671023</t>
        </is>
      </c>
      <c r="B2" s="161" t="inlineStr">
        <is>
          <t>2026-10-30</t>
        </is>
      </c>
      <c r="C2" s="96" t="inlineStr">
        <is>
          <t>NSSJ</t>
        </is>
      </c>
      <c r="D2" s="96" t="inlineStr">
        <is>
          <t>2608S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IDJKT</t>
        </is>
      </c>
      <c r="J2" s="96" t="inlineStr">
        <is>
          <t>IDJKT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HASLS22261001121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ANX</t>
        </is>
      </c>
      <c r="U2" s="97" t="n"/>
      <c r="V2" s="96" t="inlineStr">
        <is>
          <t>SHK15002</t>
        </is>
      </c>
      <c r="W2" s="96" t="inlineStr">
        <is>
          <t>UNITED MARINE LOGISTIC CO., LTD.</t>
        </is>
      </c>
      <c r="X2" s="96" t="inlineStr">
        <is>
          <t>VFD</t>
        </is>
      </c>
      <c r="Y2" s="96" t="inlineStr">
        <is>
          <t>PT. ERATEX DJAJA TBK.,</t>
        </is>
      </c>
      <c r="Z2" s="96" t="inlineStr">
        <is>
          <t>PT. JAGUAR LOGISTIK INDONESIA</t>
        </is>
      </c>
      <c r="AA2" s="97" t="n">
        <v>14217.77</v>
      </c>
      <c r="AB2" s="96" t="inlineStr">
        <is>
          <t>LCH04</t>
        </is>
      </c>
      <c r="AC2" s="96" t="inlineStr">
        <is>
          <t>JKT02</t>
        </is>
      </c>
    </row>
    <row r="3" ht="12" customHeight="1">
      <c r="A3" s="96" t="inlineStr">
        <is>
          <t>HALU2077213</t>
        </is>
      </c>
      <c r="B3" s="161" t="inlineStr">
        <is>
          <t>2026-10-30</t>
        </is>
      </c>
      <c r="C3" s="96" t="inlineStr">
        <is>
          <t>NSSJ</t>
        </is>
      </c>
      <c r="D3" s="96" t="inlineStr">
        <is>
          <t>2608S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IDJKT</t>
        </is>
      </c>
      <c r="J3" s="96" t="inlineStr">
        <is>
          <t>IDJKT</t>
        </is>
      </c>
      <c r="K3" s="96" t="inlineStr">
        <is>
          <t>F</t>
        </is>
      </c>
      <c r="L3" s="96" t="inlineStr">
        <is>
          <t>OWN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HASLS22261000892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ANX</t>
        </is>
      </c>
      <c r="U3" s="97" t="n"/>
      <c r="V3" s="96" t="inlineStr">
        <is>
          <t>TXG15006</t>
        </is>
      </c>
      <c r="W3" s="96" t="inlineStr">
        <is>
          <t>YUSEN LOGISTICS (THAILAND) CO., LTD</t>
        </is>
      </c>
      <c r="X3" s="96" t="inlineStr">
        <is>
          <t>VFD</t>
        </is>
      </c>
      <c r="Y3" s="96" t="inlineStr">
        <is>
          <t>PT. SUZUKI INDOMOBIL MOTOR</t>
        </is>
      </c>
      <c r="Z3" s="96" t="inlineStr">
        <is>
          <t>PT. YUSEN LOGISTICS INDONESIA</t>
        </is>
      </c>
      <c r="AA3" s="97" t="n">
        <v>2988.8</v>
      </c>
      <c r="AB3" s="96" t="inlineStr">
        <is>
          <t>LCH04</t>
        </is>
      </c>
      <c r="AC3" s="96" t="inlineStr">
        <is>
          <t>JKT02</t>
        </is>
      </c>
    </row>
    <row r="4" ht="12" customHeight="1">
      <c r="A4" s="96" t="inlineStr">
        <is>
          <t>SKHU6329110</t>
        </is>
      </c>
      <c r="B4" s="161" t="inlineStr">
        <is>
          <t>2026-10-30</t>
        </is>
      </c>
      <c r="C4" s="96" t="inlineStr">
        <is>
          <t>NSSJ</t>
        </is>
      </c>
      <c r="D4" s="96" t="inlineStr">
        <is>
          <t>2608S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THLKR</t>
        </is>
      </c>
      <c r="H4" s="96" t="inlineStr">
        <is>
          <t>THLCH</t>
        </is>
      </c>
      <c r="I4" s="96" t="inlineStr">
        <is>
          <t>IDJKT</t>
        </is>
      </c>
      <c r="J4" s="96" t="inlineStr">
        <is>
          <t>IDJKT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HASLS22260902800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ANX</t>
        </is>
      </c>
      <c r="U4" s="97" t="n"/>
      <c r="V4" s="96" t="inlineStr">
        <is>
          <t>K0120023</t>
        </is>
      </c>
      <c r="W4" s="96" t="inlineStr">
        <is>
          <t>Q-LOG THAI CO.,LTD.</t>
        </is>
      </c>
      <c r="X4" s="96" t="inlineStr">
        <is>
          <t>VFD</t>
        </is>
      </c>
      <c r="Y4" s="96" t="inlineStr">
        <is>
          <t>CV. NOSREDNA</t>
        </is>
      </c>
      <c r="Z4" s="96" t="inlineStr">
        <is>
          <t>PT. CONSOLTAINER TRANSPORT</t>
        </is>
      </c>
      <c r="AA4" s="97" t="n">
        <v>6287.37</v>
      </c>
      <c r="AB4" s="96" t="inlineStr">
        <is>
          <t>LCH04</t>
        </is>
      </c>
      <c r="AC4" s="96" t="inlineStr">
        <is>
          <t>JKT02</t>
        </is>
      </c>
    </row>
    <row r="5" ht="12" customHeight="1">
      <c r="A5" s="96" t="inlineStr">
        <is>
          <t>SKHU6576471</t>
        </is>
      </c>
      <c r="B5" s="161" t="inlineStr">
        <is>
          <t>2026-10-30</t>
        </is>
      </c>
      <c r="C5" s="96" t="inlineStr">
        <is>
          <t>NSSJ</t>
        </is>
      </c>
      <c r="D5" s="96" t="inlineStr">
        <is>
          <t>2608S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THLKR</t>
        </is>
      </c>
      <c r="H5" s="96" t="inlineStr">
        <is>
          <t>THLCH</t>
        </is>
      </c>
      <c r="I5" s="96" t="inlineStr">
        <is>
          <t>IDJKT</t>
        </is>
      </c>
      <c r="J5" s="96" t="inlineStr">
        <is>
          <t>IDJKT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HASLS22260900492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ANX</t>
        </is>
      </c>
      <c r="U5" s="97" t="n"/>
      <c r="V5" s="96" t="inlineStr">
        <is>
          <t>K0120023</t>
        </is>
      </c>
      <c r="W5" s="96" t="inlineStr">
        <is>
          <t>THAI PLASPAC PUBLIC COMPANY</t>
        </is>
      </c>
      <c r="X5" s="96" t="inlineStr">
        <is>
          <t>VFD</t>
        </is>
      </c>
      <c r="Y5" s="96" t="inlineStr">
        <is>
          <t>P.T. DIAMOND COLD STORAGE</t>
        </is>
      </c>
      <c r="Z5" s="96" t="inlineStr">
        <is>
          <t>P.T. DIAMOND COLD STORAGE</t>
        </is>
      </c>
      <c r="AA5" s="97" t="n">
        <v>9144</v>
      </c>
      <c r="AB5" s="96" t="inlineStr">
        <is>
          <t>LCH04</t>
        </is>
      </c>
      <c r="AC5" s="96" t="inlineStr">
        <is>
          <t>JKT02</t>
        </is>
      </c>
    </row>
    <row r="6" ht="12" customHeight="1">
      <c r="A6" s="96" t="inlineStr">
        <is>
          <t>SKHU9623807</t>
        </is>
      </c>
      <c r="B6" s="161" t="inlineStr">
        <is>
          <t>2026-10-30</t>
        </is>
      </c>
      <c r="C6" s="96" t="inlineStr">
        <is>
          <t>NSSJ</t>
        </is>
      </c>
      <c r="D6" s="96" t="inlineStr">
        <is>
          <t>2608S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IDJKT</t>
        </is>
      </c>
      <c r="J6" s="96" t="inlineStr">
        <is>
          <t>IDJKT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HASLS22261000803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ANX</t>
        </is>
      </c>
      <c r="U6" s="97" t="n"/>
      <c r="V6" s="96" t="inlineStr">
        <is>
          <t>K0120023</t>
        </is>
      </c>
      <c r="W6" s="96" t="inlineStr">
        <is>
          <t>ALUCON PUBLIC COMPANY LIMITED</t>
        </is>
      </c>
      <c r="X6" s="96" t="inlineStr">
        <is>
          <t>VED</t>
        </is>
      </c>
      <c r="Y6" s="96" t="inlineStr">
        <is>
          <t>PT TAISHO PHARMACEUTICAL INDONESIA</t>
        </is>
      </c>
      <c r="Z6" s="96" t="inlineStr">
        <is>
          <t>PT TAISHO PHARMACEUTICAL INDONESIA</t>
        </is>
      </c>
      <c r="AA6" s="97" t="n">
        <v>3154.1</v>
      </c>
      <c r="AB6" s="96" t="inlineStr">
        <is>
          <t>LCH04</t>
        </is>
      </c>
      <c r="AC6" s="96" t="inlineStr">
        <is>
          <t>JKT02</t>
        </is>
      </c>
    </row>
    <row r="7" ht="12" customHeight="1">
      <c r="A7" s="96" t="inlineStr">
        <is>
          <t>SKHU9105916</t>
        </is>
      </c>
      <c r="B7" s="161" t="inlineStr">
        <is>
          <t>2026-10-30</t>
        </is>
      </c>
      <c r="C7" s="96" t="inlineStr">
        <is>
          <t>NSSJ</t>
        </is>
      </c>
      <c r="D7" s="96" t="inlineStr">
        <is>
          <t>2608S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IDJKT</t>
        </is>
      </c>
      <c r="J7" s="96" t="inlineStr">
        <is>
          <t>IDJKT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HASLS22261000841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ANX</t>
        </is>
      </c>
      <c r="U7" s="97" t="n"/>
      <c r="V7" s="96" t="inlineStr">
        <is>
          <t>K0120023</t>
        </is>
      </c>
      <c r="W7" s="96" t="inlineStr">
        <is>
          <t>JUPITER LOGISTICS (THAILAND)</t>
        </is>
      </c>
      <c r="X7" s="96" t="inlineStr">
        <is>
          <t>VFD</t>
        </is>
      </c>
      <c r="Y7" s="96" t="inlineStr">
        <is>
          <t>PT DENSO INDONESIA-BEKASI PLANT</t>
        </is>
      </c>
      <c r="Z7" s="96" t="inlineStr">
        <is>
          <t>FAJAR INSAN NUSANTARA</t>
        </is>
      </c>
      <c r="AA7" s="97" t="n">
        <v>24400</v>
      </c>
      <c r="AB7" s="96" t="inlineStr">
        <is>
          <t>LCH04</t>
        </is>
      </c>
      <c r="AC7" s="96" t="inlineStr">
        <is>
          <t>JKT02</t>
        </is>
      </c>
    </row>
    <row r="8" ht="12" customHeight="1">
      <c r="A8" s="96" t="inlineStr">
        <is>
          <t>TCNU4935358</t>
        </is>
      </c>
      <c r="B8" s="161" t="inlineStr">
        <is>
          <t>2026-10-30</t>
        </is>
      </c>
      <c r="C8" s="96" t="inlineStr">
        <is>
          <t>NSSJ</t>
        </is>
      </c>
      <c r="D8" s="96" t="inlineStr">
        <is>
          <t>2608S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IDJKT</t>
        </is>
      </c>
      <c r="J8" s="96" t="inlineStr">
        <is>
          <t>IDJKT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HASLS22261000841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ANX</t>
        </is>
      </c>
      <c r="U8" s="97" t="n"/>
      <c r="V8" s="96" t="inlineStr">
        <is>
          <t>K0120023</t>
        </is>
      </c>
      <c r="W8" s="96" t="inlineStr">
        <is>
          <t>JUPITER LOGISTICS (THAILAND)</t>
        </is>
      </c>
      <c r="X8" s="96" t="inlineStr">
        <is>
          <t>VFD</t>
        </is>
      </c>
      <c r="Y8" s="96" t="inlineStr">
        <is>
          <t>PT DENSO INDONESIA-BEKASI PLANT</t>
        </is>
      </c>
      <c r="Z8" s="96" t="inlineStr">
        <is>
          <t>FAJAR INSAN NUSANTARA</t>
        </is>
      </c>
      <c r="AA8" s="97" t="n">
        <v>24400</v>
      </c>
      <c r="AB8" s="96" t="inlineStr">
        <is>
          <t>LCH04</t>
        </is>
      </c>
      <c r="AC8" s="96" t="inlineStr">
        <is>
          <t>JKT02</t>
        </is>
      </c>
    </row>
    <row r="9" ht="12" customHeight="1">
      <c r="A9" s="96" t="inlineStr">
        <is>
          <t>SKRU8900527</t>
        </is>
      </c>
      <c r="B9" s="161" t="inlineStr">
        <is>
          <t>2026-10-30</t>
        </is>
      </c>
      <c r="C9" s="96" t="inlineStr">
        <is>
          <t>NSSJ</t>
        </is>
      </c>
      <c r="D9" s="96" t="inlineStr">
        <is>
          <t>2608S</t>
        </is>
      </c>
      <c r="E9" s="96" t="inlineStr">
        <is>
          <t>45RE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IDJKT</t>
        </is>
      </c>
      <c r="J9" s="96" t="inlineStr">
        <is>
          <t>IDJKT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HASLS22261001845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ANX</t>
        </is>
      </c>
      <c r="U9" s="97" t="n"/>
      <c r="V9" s="96" t="inlineStr">
        <is>
          <t>K0120025</t>
        </is>
      </c>
      <c r="W9" s="96" t="inlineStr">
        <is>
          <t>HI HAPPY TRADING CO., LTD.</t>
        </is>
      </c>
      <c r="X9" s="96" t="inlineStr">
        <is>
          <t>VFD</t>
        </is>
      </c>
      <c r="Y9" s="96" t="inlineStr">
        <is>
          <t>PT. SUSILO KARUNIA SENTOSA</t>
        </is>
      </c>
      <c r="Z9" s="96" t="inlineStr">
        <is>
          <t>PT. SUSILO KARUNIA SENTOSA</t>
        </is>
      </c>
      <c r="AA9" s="97" t="n">
        <v>28938</v>
      </c>
      <c r="AB9" s="96" t="inlineStr">
        <is>
          <t>LCH04</t>
        </is>
      </c>
      <c r="AC9" s="96" t="inlineStr">
        <is>
          <t>JKT02</t>
        </is>
      </c>
    </row>
    <row r="10" ht="12" customHeight="1">
      <c r="A10" s="96" t="inlineStr">
        <is>
          <t>CXRU1319153</t>
        </is>
      </c>
      <c r="B10" s="161" t="inlineStr">
        <is>
          <t>2026-10-30</t>
        </is>
      </c>
      <c r="C10" s="96" t="inlineStr">
        <is>
          <t>NSSJ</t>
        </is>
      </c>
      <c r="D10" s="96" t="inlineStr">
        <is>
          <t>2608S</t>
        </is>
      </c>
      <c r="E10" s="96" t="inlineStr">
        <is>
          <t>45RE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IDJKT</t>
        </is>
      </c>
      <c r="J10" s="96" t="inlineStr">
        <is>
          <t>IDJKT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HASLS22261000237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ANX</t>
        </is>
      </c>
      <c r="U10" s="97" t="n"/>
      <c r="V10" s="96" t="inlineStr">
        <is>
          <t>K0120025</t>
        </is>
      </c>
      <c r="W10" s="96" t="inlineStr">
        <is>
          <t>SUCCESS IMPORT &amp; EXPORT CO.,LTD.</t>
        </is>
      </c>
      <c r="X10" s="96" t="inlineStr">
        <is>
          <t>VFD</t>
        </is>
      </c>
      <c r="Y10" s="96" t="inlineStr">
        <is>
          <t>PT. METRO PERSADA SENTOSA</t>
        </is>
      </c>
      <c r="Z10" s="96" t="inlineStr">
        <is>
          <t>PT. METRO PERSADA SENTOSA</t>
        </is>
      </c>
      <c r="AA10" s="97" t="n">
        <v>28125</v>
      </c>
      <c r="AB10" s="96" t="inlineStr">
        <is>
          <t>LCH04</t>
        </is>
      </c>
      <c r="AC10" s="96" t="inlineStr">
        <is>
          <t>JKT02</t>
        </is>
      </c>
    </row>
    <row r="11" ht="12" customHeight="1">
      <c r="A11" s="96" t="inlineStr">
        <is>
          <t>FBIU5093004</t>
        </is>
      </c>
      <c r="B11" s="161" t="inlineStr">
        <is>
          <t>2026-10-30</t>
        </is>
      </c>
      <c r="C11" s="96" t="inlineStr">
        <is>
          <t>NSSJ</t>
        </is>
      </c>
      <c r="D11" s="96" t="inlineStr">
        <is>
          <t>2608S</t>
        </is>
      </c>
      <c r="E11" s="96" t="inlineStr">
        <is>
          <t>45RE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IDJKT</t>
        </is>
      </c>
      <c r="J11" s="96" t="inlineStr">
        <is>
          <t>IDJKT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HASLS22261000239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ANX</t>
        </is>
      </c>
      <c r="U11" s="97" t="n"/>
      <c r="V11" s="96" t="inlineStr">
        <is>
          <t>K0120025</t>
        </is>
      </c>
      <c r="W11" s="96" t="inlineStr">
        <is>
          <t>ON PROMO CO.,LTD.</t>
        </is>
      </c>
      <c r="X11" s="96" t="inlineStr">
        <is>
          <t>VFD</t>
        </is>
      </c>
      <c r="Y11" s="96" t="inlineStr">
        <is>
          <t>PT. SEGAR ABADI SEDANA</t>
        </is>
      </c>
      <c r="Z11" s="96" t="inlineStr">
        <is>
          <t>PT. SEGAR ABADI SEDANA</t>
        </is>
      </c>
      <c r="AA11" s="97" t="n">
        <v>27825</v>
      </c>
      <c r="AB11" s="96" t="inlineStr">
        <is>
          <t>LCH04</t>
        </is>
      </c>
      <c r="AC11" s="96" t="inlineStr">
        <is>
          <t>JKT02</t>
        </is>
      </c>
    </row>
    <row r="12" ht="12" customHeight="1">
      <c r="A12" s="96" t="inlineStr">
        <is>
          <t>SKRU9501630</t>
        </is>
      </c>
      <c r="B12" s="161" t="inlineStr">
        <is>
          <t>2026-10-30</t>
        </is>
      </c>
      <c r="C12" s="96" t="inlineStr">
        <is>
          <t>NSSJ</t>
        </is>
      </c>
      <c r="D12" s="96" t="inlineStr">
        <is>
          <t>2608S</t>
        </is>
      </c>
      <c r="E12" s="96" t="inlineStr">
        <is>
          <t>45RE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IDJKT</t>
        </is>
      </c>
      <c r="J12" s="96" t="inlineStr">
        <is>
          <t>IDJKT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HASLS22260902290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ANX</t>
        </is>
      </c>
      <c r="U12" s="97" t="n"/>
      <c r="V12" s="96" t="inlineStr">
        <is>
          <t>K0120025</t>
        </is>
      </c>
      <c r="W12" s="96" t="inlineStr">
        <is>
          <t>INTER FRESH CO.,LTD</t>
        </is>
      </c>
      <c r="X12" s="96" t="inlineStr">
        <is>
          <t>VFD</t>
        </is>
      </c>
      <c r="Y12" s="96" t="inlineStr">
        <is>
          <t>PT. BUAH UTAMA MANDIRI</t>
        </is>
      </c>
      <c r="Z12" s="96" t="inlineStr">
        <is>
          <t>PT. BUAH UTAMA MANDIRI</t>
        </is>
      </c>
      <c r="AA12" s="97" t="n">
        <v>27162.5</v>
      </c>
      <c r="AB12" s="96" t="inlineStr">
        <is>
          <t>LCH04</t>
        </is>
      </c>
      <c r="AC12" s="96" t="inlineStr">
        <is>
          <t>JKT02</t>
        </is>
      </c>
    </row>
    <row r="13" ht="12" customHeight="1">
      <c r="A13" s="96" t="inlineStr">
        <is>
          <t>SKRU9500227</t>
        </is>
      </c>
      <c r="B13" s="161" t="inlineStr">
        <is>
          <t>2026-10-30</t>
        </is>
      </c>
      <c r="C13" s="96" t="inlineStr">
        <is>
          <t>NSSJ</t>
        </is>
      </c>
      <c r="D13" s="96" t="inlineStr">
        <is>
          <t>2608S</t>
        </is>
      </c>
      <c r="E13" s="96" t="inlineStr">
        <is>
          <t>45RE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IDJKT</t>
        </is>
      </c>
      <c r="J13" s="96" t="inlineStr">
        <is>
          <t>IDJKT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HASLS22261000238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ANX</t>
        </is>
      </c>
      <c r="U13" s="97" t="n"/>
      <c r="V13" s="96" t="inlineStr">
        <is>
          <t>K0120025</t>
        </is>
      </c>
      <c r="W13" s="96" t="inlineStr">
        <is>
          <t>SUCCESS IMPORT &amp; EXPORT CO.,LTD.</t>
        </is>
      </c>
      <c r="X13" s="96" t="inlineStr">
        <is>
          <t>VFD</t>
        </is>
      </c>
      <c r="Y13" s="96" t="inlineStr">
        <is>
          <t>PT. METRO PERSADA SENTOSA</t>
        </is>
      </c>
      <c r="Z13" s="96" t="inlineStr">
        <is>
          <t>PT. METRO PERSADA SENTOSA</t>
        </is>
      </c>
      <c r="AA13" s="97" t="n">
        <v>28125</v>
      </c>
      <c r="AB13" s="96" t="inlineStr">
        <is>
          <t>LCH04</t>
        </is>
      </c>
      <c r="AC13" s="96" t="inlineStr">
        <is>
          <t>JKT02</t>
        </is>
      </c>
    </row>
    <row r="14" ht="12" customHeight="1">
      <c r="A14" s="96" t="inlineStr">
        <is>
          <t>SKRU9201062</t>
        </is>
      </c>
      <c r="B14" s="161" t="inlineStr">
        <is>
          <t>2026-10-30</t>
        </is>
      </c>
      <c r="C14" s="96" t="inlineStr">
        <is>
          <t>NSSJ</t>
        </is>
      </c>
      <c r="D14" s="96" t="inlineStr">
        <is>
          <t>2608S</t>
        </is>
      </c>
      <c r="E14" s="96" t="inlineStr">
        <is>
          <t>45RE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IDJKT</t>
        </is>
      </c>
      <c r="J14" s="96" t="inlineStr">
        <is>
          <t>IDJKT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HASLS22260902291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ANX</t>
        </is>
      </c>
      <c r="U14" s="97" t="n"/>
      <c r="V14" s="96" t="inlineStr">
        <is>
          <t>K0120025</t>
        </is>
      </c>
      <c r="W14" s="96" t="inlineStr">
        <is>
          <t>INTER FRESH CO.,LTD</t>
        </is>
      </c>
      <c r="X14" s="96" t="inlineStr">
        <is>
          <t>VFD</t>
        </is>
      </c>
      <c r="Y14" s="96" t="inlineStr">
        <is>
          <t>PT. PUSAKA MAKMUR SEJATI</t>
        </is>
      </c>
      <c r="Z14" s="96" t="inlineStr">
        <is>
          <t>PT. PUSAKA MAKMUR SEJATI</t>
        </is>
      </c>
      <c r="AA14" s="97" t="n">
        <v>27162.5</v>
      </c>
      <c r="AB14" s="96" t="inlineStr">
        <is>
          <t>LCH04</t>
        </is>
      </c>
      <c r="AC14" s="96" t="inlineStr">
        <is>
          <t>JKT02</t>
        </is>
      </c>
    </row>
    <row r="15" ht="12" customHeight="1">
      <c r="A15" s="96" t="inlineStr">
        <is>
          <t>SKLU2306373</t>
        </is>
      </c>
      <c r="B15" s="161" t="inlineStr">
        <is>
          <t>2026-10-30</t>
        </is>
      </c>
      <c r="C15" s="96" t="inlineStr">
        <is>
          <t>NSSJ</t>
        </is>
      </c>
      <c r="D15" s="96" t="inlineStr">
        <is>
          <t>2608S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IDJKT</t>
        </is>
      </c>
      <c r="J15" s="96" t="inlineStr">
        <is>
          <t>IDJKT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HASLS22261000641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ANX</t>
        </is>
      </c>
      <c r="U15" s="97" t="n"/>
      <c r="V15" s="96" t="inlineStr">
        <is>
          <t>K0120021</t>
        </is>
      </c>
      <c r="W15" s="96" t="inlineStr">
        <is>
          <t>TPBI PUBLIC COMPANY LIMITED.</t>
        </is>
      </c>
      <c r="X15" s="96" t="inlineStr">
        <is>
          <t>VFD</t>
        </is>
      </c>
      <c r="Y15" s="96" t="inlineStr">
        <is>
          <t>PT. DETPAK INDONESIA</t>
        </is>
      </c>
      <c r="Z15" s="96" t="inlineStr">
        <is>
          <t>PT. DETPAK INDONESIA</t>
        </is>
      </c>
      <c r="AA15" s="97" t="n">
        <v>8926.6</v>
      </c>
      <c r="AB15" s="96" t="inlineStr">
        <is>
          <t>LCH04</t>
        </is>
      </c>
      <c r="AC15" s="96" t="inlineStr">
        <is>
          <t>JKT02</t>
        </is>
      </c>
    </row>
    <row r="16" ht="12" customHeight="1">
      <c r="A16" s="96" t="inlineStr">
        <is>
          <t>SKLU1924741</t>
        </is>
      </c>
      <c r="B16" s="161" t="inlineStr">
        <is>
          <t>2026-10-30</t>
        </is>
      </c>
      <c r="C16" s="96" t="inlineStr">
        <is>
          <t>NSSJ</t>
        </is>
      </c>
      <c r="D16" s="96" t="inlineStr">
        <is>
          <t>2608S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IDJKT</t>
        </is>
      </c>
      <c r="J16" s="96" t="inlineStr">
        <is>
          <t>IDJKT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HASLS22261000261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ANX</t>
        </is>
      </c>
      <c r="U16" s="97" t="n"/>
      <c r="V16" s="96" t="inlineStr">
        <is>
          <t>K0120021</t>
        </is>
      </c>
      <c r="W16" s="96" t="inlineStr">
        <is>
          <t>TROY SIAM COMPANY LIMITED</t>
        </is>
      </c>
      <c r="X16" s="96" t="inlineStr">
        <is>
          <t>VED</t>
        </is>
      </c>
      <c r="Y16" s="96" t="inlineStr">
        <is>
          <t>PT.WWRC INDONESIA</t>
        </is>
      </c>
      <c r="Z16" s="96" t="inlineStr">
        <is>
          <t>PT.WWRC INDONESIA</t>
        </is>
      </c>
      <c r="AA16" s="97" t="n">
        <v>15976.3</v>
      </c>
      <c r="AB16" s="96" t="inlineStr">
        <is>
          <t>LCH04</t>
        </is>
      </c>
      <c r="AC16" s="96" t="inlineStr">
        <is>
          <t>JKT02</t>
        </is>
      </c>
    </row>
    <row r="17" ht="12" customHeight="1">
      <c r="A17" s="96" t="inlineStr">
        <is>
          <t>TCKU3818650</t>
        </is>
      </c>
      <c r="B17" s="161" t="inlineStr">
        <is>
          <t>2026-10-30</t>
        </is>
      </c>
      <c r="C17" s="96" t="inlineStr">
        <is>
          <t>NSSJ</t>
        </is>
      </c>
      <c r="D17" s="96" t="inlineStr">
        <is>
          <t>2608S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IDJKT</t>
        </is>
      </c>
      <c r="J17" s="96" t="inlineStr">
        <is>
          <t>IDJKT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HASLS22261000354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ANX</t>
        </is>
      </c>
      <c r="U17" s="97" t="n"/>
      <c r="V17" s="96" t="inlineStr">
        <is>
          <t>K0120021</t>
        </is>
      </c>
      <c r="W17" s="96" t="inlineStr">
        <is>
          <t>Q-LOG THAI CO., LTD.</t>
        </is>
      </c>
      <c r="X17" s="96" t="inlineStr">
        <is>
          <t>VFD</t>
        </is>
      </c>
      <c r="Y17" s="96" t="inlineStr">
        <is>
          <t>PT. SUMMIT ADYAWINSA INDONESIA</t>
        </is>
      </c>
      <c r="Z17" s="96" t="inlineStr">
        <is>
          <t>PT. IP LOGISTICS INDONESIA</t>
        </is>
      </c>
      <c r="AA17" s="97" t="n">
        <v>5780.9</v>
      </c>
      <c r="AB17" s="96" t="inlineStr">
        <is>
          <t>LCH04</t>
        </is>
      </c>
      <c r="AC17" s="96" t="inlineStr">
        <is>
          <t>JKT02</t>
        </is>
      </c>
    </row>
    <row r="18" ht="12" customHeight="1">
      <c r="A18" s="96" t="inlineStr">
        <is>
          <t>SKLU2468482</t>
        </is>
      </c>
      <c r="B18" s="161" t="inlineStr">
        <is>
          <t>2026-10-30</t>
        </is>
      </c>
      <c r="C18" s="96" t="inlineStr">
        <is>
          <t>NSSJ</t>
        </is>
      </c>
      <c r="D18" s="96" t="inlineStr">
        <is>
          <t>2608S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IDJKT</t>
        </is>
      </c>
      <c r="J18" s="96" t="inlineStr">
        <is>
          <t>IDJKT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HASLS22261001895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ANX</t>
        </is>
      </c>
      <c r="U18" s="97" t="n"/>
      <c r="V18" s="96" t="inlineStr">
        <is>
          <t>K0120021</t>
        </is>
      </c>
      <c r="W18" s="96" t="inlineStr">
        <is>
          <t>UBE CHEMICALS (ASIA) PUBLIC</t>
        </is>
      </c>
      <c r="X18" s="96" t="inlineStr">
        <is>
          <t>VFD</t>
        </is>
      </c>
      <c r="Y18" s="96" t="inlineStr">
        <is>
          <t>PT. ITOCHU INDONESIA</t>
        </is>
      </c>
      <c r="Z18" s="96" t="inlineStr">
        <is>
          <t>PT. ITOCHU INDONESIA</t>
        </is>
      </c>
      <c r="AA18" s="97" t="n">
        <v>16370</v>
      </c>
      <c r="AB18" s="96" t="inlineStr">
        <is>
          <t>LCH04</t>
        </is>
      </c>
      <c r="AC18" s="96" t="inlineStr">
        <is>
          <t>JKT02</t>
        </is>
      </c>
    </row>
    <row r="19" ht="12" customHeight="1">
      <c r="A19" s="96" t="inlineStr">
        <is>
          <t>SKLU1321440</t>
        </is>
      </c>
      <c r="B19" s="161" t="inlineStr">
        <is>
          <t>2026-10-30</t>
        </is>
      </c>
      <c r="C19" s="96" t="inlineStr">
        <is>
          <t>NSSJ</t>
        </is>
      </c>
      <c r="D19" s="96" t="inlineStr">
        <is>
          <t>2608S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IDJKT</t>
        </is>
      </c>
      <c r="J19" s="96" t="inlineStr">
        <is>
          <t>IDJKT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HASLS22260900973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ANX</t>
        </is>
      </c>
      <c r="U19" s="97" t="n"/>
      <c r="V19" s="96" t="inlineStr">
        <is>
          <t>K0120021</t>
        </is>
      </c>
      <c r="W19" s="96" t="inlineStr">
        <is>
          <t>L.A.1 CO.,LTD.</t>
        </is>
      </c>
      <c r="X19" s="96" t="inlineStr">
        <is>
          <t>VED</t>
        </is>
      </c>
      <c r="Y19" s="96" t="inlineStr">
        <is>
          <t>PT. CHEMSTAR INDONESIA TBK</t>
        </is>
      </c>
      <c r="Z19" s="96" t="inlineStr">
        <is>
          <t>PT. 3S PRIME CONTINENTAL</t>
        </is>
      </c>
      <c r="AA19" s="97" t="n">
        <v>13180</v>
      </c>
      <c r="AB19" s="96" t="inlineStr">
        <is>
          <t>LCH04</t>
        </is>
      </c>
      <c r="AC19" s="96" t="inlineStr">
        <is>
          <t>JKT02</t>
        </is>
      </c>
    </row>
    <row r="20" ht="12" customHeight="1">
      <c r="A20" s="96" t="inlineStr">
        <is>
          <t>SKLU1968502</t>
        </is>
      </c>
      <c r="B20" s="161" t="inlineStr">
        <is>
          <t>2026-10-30</t>
        </is>
      </c>
      <c r="C20" s="96" t="inlineStr">
        <is>
          <t>NSSJ</t>
        </is>
      </c>
      <c r="D20" s="96" t="inlineStr">
        <is>
          <t>2608S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IDJKT</t>
        </is>
      </c>
      <c r="J20" s="96" t="inlineStr">
        <is>
          <t>IDJKT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HASLS22261000533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ANX</t>
        </is>
      </c>
      <c r="U20" s="97" t="n"/>
      <c r="V20" s="96" t="inlineStr">
        <is>
          <t>K0120021</t>
        </is>
      </c>
      <c r="W20" s="96" t="inlineStr">
        <is>
          <t>THAI MFC CO.,LTD.</t>
        </is>
      </c>
      <c r="X20" s="96" t="inlineStr">
        <is>
          <t>VFD</t>
        </is>
      </c>
      <c r="Y20" s="96" t="inlineStr">
        <is>
          <t>PT. MULTIRAYA INDAHABADI</t>
        </is>
      </c>
      <c r="Z20" s="96" t="inlineStr">
        <is>
          <t>PT. MULTIRAYA INDAHABADI</t>
        </is>
      </c>
      <c r="AA20" s="97" t="n">
        <v>18929.7</v>
      </c>
      <c r="AB20" s="96" t="inlineStr">
        <is>
          <t>LCH04</t>
        </is>
      </c>
      <c r="AC20" s="96" t="inlineStr">
        <is>
          <t>JKT02</t>
        </is>
      </c>
    </row>
    <row r="21" ht="12" customHeight="1">
      <c r="A21" s="96" t="inlineStr">
        <is>
          <t>SKLU2473684</t>
        </is>
      </c>
      <c r="B21" s="161" t="inlineStr">
        <is>
          <t>2026-10-30</t>
        </is>
      </c>
      <c r="C21" s="96" t="inlineStr">
        <is>
          <t>NSSJ</t>
        </is>
      </c>
      <c r="D21" s="96" t="inlineStr">
        <is>
          <t>2608S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THLKR</t>
        </is>
      </c>
      <c r="H21" s="96" t="inlineStr">
        <is>
          <t>THLCH</t>
        </is>
      </c>
      <c r="I21" s="96" t="inlineStr">
        <is>
          <t>IDJKT</t>
        </is>
      </c>
      <c r="J21" s="96" t="inlineStr">
        <is>
          <t>IDJKT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HASLS22261000657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ANX</t>
        </is>
      </c>
      <c r="U21" s="97" t="n"/>
      <c r="V21" s="96" t="inlineStr">
        <is>
          <t>K0120021</t>
        </is>
      </c>
      <c r="W21" s="96" t="inlineStr">
        <is>
          <t>PSN INTERFOOD CO., LTD.</t>
        </is>
      </c>
      <c r="X21" s="96" t="inlineStr">
        <is>
          <t>VFD</t>
        </is>
      </c>
      <c r="Y21" s="96" t="inlineStr">
        <is>
          <t>PT. SARI COFFEE INDONESIA</t>
        </is>
      </c>
      <c r="Z21" s="96" t="inlineStr">
        <is>
          <t>PT. SARI COFFEE INDONESIA</t>
        </is>
      </c>
      <c r="AA21" s="97" t="n">
        <v>1026</v>
      </c>
      <c r="AB21" s="96" t="inlineStr">
        <is>
          <t>LCH04</t>
        </is>
      </c>
      <c r="AC21" s="96" t="inlineStr">
        <is>
          <t>JKT02</t>
        </is>
      </c>
    </row>
    <row r="22" ht="12" customHeight="1">
      <c r="A22" s="96" t="inlineStr">
        <is>
          <t>SKLU2429980</t>
        </is>
      </c>
      <c r="B22" s="161" t="inlineStr">
        <is>
          <t>2026-10-30</t>
        </is>
      </c>
      <c r="C22" s="96" t="inlineStr">
        <is>
          <t>NSSJ</t>
        </is>
      </c>
      <c r="D22" s="96" t="inlineStr">
        <is>
          <t>2608S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IDJKT</t>
        </is>
      </c>
      <c r="J22" s="96" t="inlineStr">
        <is>
          <t>IDJKT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HASLS22261001524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ANX</t>
        </is>
      </c>
      <c r="U22" s="97" t="n"/>
      <c r="V22" s="96" t="inlineStr">
        <is>
          <t>K0120021</t>
        </is>
      </c>
      <c r="W22" s="96" t="inlineStr">
        <is>
          <t>SIAM I-LOGISTICS LTD.</t>
        </is>
      </c>
      <c r="X22" s="96" t="inlineStr">
        <is>
          <t>VFD</t>
        </is>
      </c>
      <c r="Y22" s="96" t="inlineStr">
        <is>
          <t>PT. SEIWA INDONESIA</t>
        </is>
      </c>
      <c r="Z22" s="96" t="inlineStr">
        <is>
          <t>PT. SEIWA INDONESIA</t>
        </is>
      </c>
      <c r="AA22" s="97" t="n">
        <v>6136</v>
      </c>
      <c r="AB22" s="96" t="inlineStr">
        <is>
          <t>LCH04</t>
        </is>
      </c>
      <c r="AC22" s="96" t="inlineStr">
        <is>
          <t>JKT02</t>
        </is>
      </c>
    </row>
    <row r="23" ht="12" customHeight="1">
      <c r="A23" s="96" t="inlineStr">
        <is>
          <t>SKLU2318754</t>
        </is>
      </c>
      <c r="B23" s="161" t="inlineStr">
        <is>
          <t>2026-10-30</t>
        </is>
      </c>
      <c r="C23" s="96" t="inlineStr">
        <is>
          <t>NSSJ</t>
        </is>
      </c>
      <c r="D23" s="96" t="inlineStr">
        <is>
          <t>2608S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THLKR</t>
        </is>
      </c>
      <c r="H23" s="96" t="inlineStr">
        <is>
          <t>THLCH</t>
        </is>
      </c>
      <c r="I23" s="96" t="inlineStr">
        <is>
          <t>IDJKT</t>
        </is>
      </c>
      <c r="J23" s="96" t="inlineStr">
        <is>
          <t>IDJKT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HASLS22261001199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ANX</t>
        </is>
      </c>
      <c r="U23" s="97" t="n"/>
      <c r="V23" s="96" t="inlineStr">
        <is>
          <t>K0120021</t>
        </is>
      </c>
      <c r="W23" s="96" t="inlineStr">
        <is>
          <t>KHON KAEN FISHING NET FACTORY</t>
        </is>
      </c>
      <c r="X23" s="96" t="inlineStr">
        <is>
          <t>VFD</t>
        </is>
      </c>
      <c r="Y23" s="96" t="inlineStr">
        <is>
          <t>CV. OCEANIA UTAMA RAYA</t>
        </is>
      </c>
      <c r="Z23" s="96" t="inlineStr">
        <is>
          <t>CV. OCEANIA UTAMA RAYA</t>
        </is>
      </c>
      <c r="AA23" s="97" t="n">
        <v>9492.870000000001</v>
      </c>
      <c r="AB23" s="96" t="inlineStr">
        <is>
          <t>LCH04</t>
        </is>
      </c>
      <c r="AC23" s="96" t="inlineStr">
        <is>
          <t>JKT02</t>
        </is>
      </c>
    </row>
    <row r="24" ht="12" customHeight="1">
      <c r="A24" s="96" t="inlineStr">
        <is>
          <t>SKLU2069815</t>
        </is>
      </c>
      <c r="B24" s="161" t="inlineStr">
        <is>
          <t>2026-10-30</t>
        </is>
      </c>
      <c r="C24" s="96" t="inlineStr">
        <is>
          <t>NSSJ</t>
        </is>
      </c>
      <c r="D24" s="96" t="inlineStr">
        <is>
          <t>2608S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THLKR</t>
        </is>
      </c>
      <c r="H24" s="96" t="inlineStr">
        <is>
          <t>THLCH</t>
        </is>
      </c>
      <c r="I24" s="96" t="inlineStr">
        <is>
          <t>IDJKT</t>
        </is>
      </c>
      <c r="J24" s="96" t="inlineStr">
        <is>
          <t>IDJKT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HASLS22261000977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ANX</t>
        </is>
      </c>
      <c r="U24" s="97" t="n"/>
      <c r="V24" s="96" t="inlineStr">
        <is>
          <t>K0120021</t>
        </is>
      </c>
      <c r="W24" s="96" t="inlineStr">
        <is>
          <t>GLOBAL QUALITY LOGISTICS (THAILAND)</t>
        </is>
      </c>
      <c r="X24" s="96" t="inlineStr">
        <is>
          <t>VFD</t>
        </is>
      </c>
      <c r="Y24" s="96" t="inlineStr">
        <is>
          <t>PT. ULTRA PRIMA ABADI,</t>
        </is>
      </c>
      <c r="Z24" s="96" t="inlineStr">
        <is>
          <t>PT. GPI LOGISTICS</t>
        </is>
      </c>
      <c r="AA24" s="97" t="n">
        <v>4138</v>
      </c>
      <c r="AB24" s="96" t="inlineStr">
        <is>
          <t>LCH04</t>
        </is>
      </c>
      <c r="AC24" s="96" t="inlineStr">
        <is>
          <t>JKT02</t>
        </is>
      </c>
    </row>
    <row r="25" ht="12" customHeight="1">
      <c r="A25" s="96" t="inlineStr">
        <is>
          <t>SKLU1819670</t>
        </is>
      </c>
      <c r="B25" s="161" t="inlineStr">
        <is>
          <t>2026-10-30</t>
        </is>
      </c>
      <c r="C25" s="96" t="inlineStr">
        <is>
          <t>NSSJ</t>
        </is>
      </c>
      <c r="D25" s="96" t="inlineStr">
        <is>
          <t>2608S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THLKR</t>
        </is>
      </c>
      <c r="H25" s="96" t="inlineStr">
        <is>
          <t>THLCH</t>
        </is>
      </c>
      <c r="I25" s="96" t="inlineStr">
        <is>
          <t>IDJKT</t>
        </is>
      </c>
      <c r="J25" s="96" t="inlineStr">
        <is>
          <t>IDJKT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HASLS22260902116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ANX</t>
        </is>
      </c>
      <c r="U25" s="97" t="n"/>
      <c r="V25" s="96" t="inlineStr">
        <is>
          <t>K0120021</t>
        </is>
      </c>
      <c r="W25" s="96" t="inlineStr">
        <is>
          <t>THAI PLASPAC PUBLIC COMPANY</t>
        </is>
      </c>
      <c r="X25" s="96" t="inlineStr">
        <is>
          <t>VFD</t>
        </is>
      </c>
      <c r="Y25" s="96" t="inlineStr">
        <is>
          <t>P.T. DIAMOND COLD STORAGE</t>
        </is>
      </c>
      <c r="Z25" s="96" t="inlineStr">
        <is>
          <t>P.T. DIAMOND COLD STORAGE</t>
        </is>
      </c>
      <c r="AA25" s="97" t="n">
        <v>4800</v>
      </c>
      <c r="AB25" s="96" t="inlineStr">
        <is>
          <t>LCH04</t>
        </is>
      </c>
      <c r="AC25" s="96" t="inlineStr">
        <is>
          <t>JKT02</t>
        </is>
      </c>
    </row>
    <row r="26" ht="12" customHeight="1">
      <c r="A26" s="96" t="inlineStr">
        <is>
          <t>SKLU2105635</t>
        </is>
      </c>
      <c r="B26" s="161" t="inlineStr">
        <is>
          <t>2026-10-30</t>
        </is>
      </c>
      <c r="C26" s="96" t="inlineStr">
        <is>
          <t>NSSJ</t>
        </is>
      </c>
      <c r="D26" s="96" t="inlineStr">
        <is>
          <t>2608S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THLKR</t>
        </is>
      </c>
      <c r="H26" s="96" t="inlineStr">
        <is>
          <t>THLCH</t>
        </is>
      </c>
      <c r="I26" s="96" t="inlineStr">
        <is>
          <t>IDJKT</t>
        </is>
      </c>
      <c r="J26" s="96" t="inlineStr">
        <is>
          <t>IDJKT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HASLS22260902829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ANX</t>
        </is>
      </c>
      <c r="U26" s="97" t="n"/>
      <c r="V26" s="96" t="inlineStr">
        <is>
          <t>K0120021</t>
        </is>
      </c>
      <c r="W26" s="96" t="inlineStr">
        <is>
          <t>DUNI (THAILAND) CO.,LTD</t>
        </is>
      </c>
      <c r="X26" s="96" t="inlineStr">
        <is>
          <t>VFD</t>
        </is>
      </c>
      <c r="Y26" s="96" t="inlineStr">
        <is>
          <t>PT PRAMBANAN KENCANA</t>
        </is>
      </c>
      <c r="Z26" s="96" t="inlineStr">
        <is>
          <t>PT PRAMBANAN KENCANA</t>
        </is>
      </c>
      <c r="AA26" s="97" t="n">
        <v>2334.5</v>
      </c>
      <c r="AB26" s="96" t="inlineStr">
        <is>
          <t>LCH04</t>
        </is>
      </c>
      <c r="AC26" s="96" t="inlineStr">
        <is>
          <t>JKT02</t>
        </is>
      </c>
    </row>
    <row r="27" ht="12" customHeight="1">
      <c r="A27" s="96" t="inlineStr">
        <is>
          <t>SKLU1811468</t>
        </is>
      </c>
      <c r="B27" s="161" t="inlineStr">
        <is>
          <t>2026-10-30</t>
        </is>
      </c>
      <c r="C27" s="96" t="inlineStr">
        <is>
          <t>NSSJ</t>
        </is>
      </c>
      <c r="D27" s="96" t="inlineStr">
        <is>
          <t>2608S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IDJKT</t>
        </is>
      </c>
      <c r="J27" s="96" t="inlineStr">
        <is>
          <t>IDJKT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HASLS22261001232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ANX</t>
        </is>
      </c>
      <c r="U27" s="97" t="n"/>
      <c r="V27" s="96" t="inlineStr">
        <is>
          <t>K0120021</t>
        </is>
      </c>
      <c r="W27" s="96" t="inlineStr">
        <is>
          <t>THAI MFC CO.,LTD.</t>
        </is>
      </c>
      <c r="X27" s="96" t="inlineStr">
        <is>
          <t>VED</t>
        </is>
      </c>
      <c r="Y27" s="96" t="inlineStr">
        <is>
          <t>PT ANDESEN JAYA PLASTIK</t>
        </is>
      </c>
      <c r="Z27" s="96" t="inlineStr">
        <is>
          <t>PT ANDESEN JAYA PLASTIK</t>
        </is>
      </c>
      <c r="AA27" s="97" t="n">
        <v>19327.61</v>
      </c>
      <c r="AB27" s="96" t="inlineStr">
        <is>
          <t>LCH04</t>
        </is>
      </c>
      <c r="AC27" s="96" t="inlineStr">
        <is>
          <t>JKT02</t>
        </is>
      </c>
    </row>
    <row r="28" ht="12" customHeight="1">
      <c r="A28" s="96" t="inlineStr">
        <is>
          <t>SKLU1649700</t>
        </is>
      </c>
      <c r="B28" s="161" t="inlineStr">
        <is>
          <t>2026-10-30</t>
        </is>
      </c>
      <c r="C28" s="96" t="inlineStr">
        <is>
          <t>NSSJ</t>
        </is>
      </c>
      <c r="D28" s="96" t="inlineStr">
        <is>
          <t>2608S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THLKR</t>
        </is>
      </c>
      <c r="H28" s="96" t="inlineStr">
        <is>
          <t>THLCH</t>
        </is>
      </c>
      <c r="I28" s="96" t="inlineStr">
        <is>
          <t>IDJKT</t>
        </is>
      </c>
      <c r="J28" s="96" t="inlineStr">
        <is>
          <t>IDJKT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HASLS22261001026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ANX</t>
        </is>
      </c>
      <c r="U28" s="97" t="n"/>
      <c r="V28" s="96" t="inlineStr">
        <is>
          <t>K0120021</t>
        </is>
      </c>
      <c r="W28" s="96" t="inlineStr">
        <is>
          <t>NIPPON EXPRESS LOGISTICS (THAILAND)</t>
        </is>
      </c>
      <c r="X28" s="96" t="inlineStr">
        <is>
          <t>VFD</t>
        </is>
      </c>
      <c r="Y28" s="96" t="inlineStr">
        <is>
          <t>PT. INABATA INDONESIA</t>
        </is>
      </c>
      <c r="Z28" s="96" t="inlineStr">
        <is>
          <t>PT.NX LEMO INDONESIA LOGISTIK</t>
        </is>
      </c>
      <c r="AA28" s="97" t="n">
        <v>7524</v>
      </c>
      <c r="AB28" s="96" t="inlineStr">
        <is>
          <t>LCH04</t>
        </is>
      </c>
      <c r="AC28" s="96" t="inlineStr">
        <is>
          <t>JKT02</t>
        </is>
      </c>
    </row>
    <row r="29" ht="12" customHeight="1">
      <c r="A29" s="96" t="inlineStr">
        <is>
          <t>RFCU2350770</t>
        </is>
      </c>
      <c r="B29" s="161" t="inlineStr">
        <is>
          <t>2026-10-30</t>
        </is>
      </c>
      <c r="C29" s="96" t="inlineStr">
        <is>
          <t>NSSJ</t>
        </is>
      </c>
      <c r="D29" s="96" t="inlineStr">
        <is>
          <t>2608S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IDJKT</t>
        </is>
      </c>
      <c r="J29" s="96" t="inlineStr">
        <is>
          <t>IDJKT</t>
        </is>
      </c>
      <c r="K29" s="96" t="inlineStr">
        <is>
          <t>F</t>
        </is>
      </c>
      <c r="L29" s="96" t="inlineStr">
        <is>
          <t>S/T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HASLS22261000972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ANX</t>
        </is>
      </c>
      <c r="U29" s="97" t="n"/>
      <c r="V29" s="96" t="inlineStr">
        <is>
          <t>SHA16L19</t>
        </is>
      </c>
      <c r="W29" s="96" t="inlineStr">
        <is>
          <t>TAA METAL (THAILAND) CO.,LTD.</t>
        </is>
      </c>
      <c r="X29" s="96" t="inlineStr">
        <is>
          <t>VFD</t>
        </is>
      </c>
      <c r="Y29" s="96" t="inlineStr">
        <is>
          <t>PT. DHARMA METAL INDONESIA</t>
        </is>
      </c>
      <c r="Z29" s="96" t="inlineStr">
        <is>
          <t>PT. DHARMA METAL INDONESIA</t>
        </is>
      </c>
      <c r="AA29" s="97" t="n">
        <v>26052</v>
      </c>
      <c r="AB29" s="96" t="inlineStr">
        <is>
          <t>LCH04</t>
        </is>
      </c>
      <c r="AC29" s="96" t="inlineStr">
        <is>
          <t>JKT02</t>
        </is>
      </c>
    </row>
    <row r="30" ht="12" customHeight="1">
      <c r="A30" s="96" t="inlineStr">
        <is>
          <t>HALU2108187</t>
        </is>
      </c>
      <c r="B30" s="161" t="inlineStr">
        <is>
          <t>2026-10-30</t>
        </is>
      </c>
      <c r="C30" s="96" t="inlineStr">
        <is>
          <t>NSSJ</t>
        </is>
      </c>
      <c r="D30" s="96" t="inlineStr">
        <is>
          <t>2608S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IDJKT</t>
        </is>
      </c>
      <c r="J30" s="96" t="inlineStr">
        <is>
          <t>IDJKT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HASLS22261001232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ANX</t>
        </is>
      </c>
      <c r="U30" s="97" t="n"/>
      <c r="V30" s="96" t="inlineStr">
        <is>
          <t>C0521003</t>
        </is>
      </c>
      <c r="W30" s="96" t="inlineStr">
        <is>
          <t>THAI MFC CO.,LTD.</t>
        </is>
      </c>
      <c r="X30" s="96" t="inlineStr">
        <is>
          <t>VED</t>
        </is>
      </c>
      <c r="Y30" s="96" t="inlineStr">
        <is>
          <t>PT ANDESEN JAYA PLASTIK</t>
        </is>
      </c>
      <c r="Z30" s="96" t="inlineStr">
        <is>
          <t>PT ANDESEN JAYA PLASTIK</t>
        </is>
      </c>
      <c r="AA30" s="97" t="n">
        <v>19399.5</v>
      </c>
      <c r="AB30" s="96" t="inlineStr">
        <is>
          <t>LCH04</t>
        </is>
      </c>
      <c r="AC30" s="96" t="inlineStr">
        <is>
          <t>JKT02</t>
        </is>
      </c>
    </row>
    <row r="31" ht="12" customHeight="1">
      <c r="A31" s="96" t="inlineStr">
        <is>
          <t>HLHU8200254</t>
        </is>
      </c>
      <c r="B31" s="161" t="inlineStr">
        <is>
          <t>2026-10-30</t>
        </is>
      </c>
      <c r="C31" s="96" t="inlineStr">
        <is>
          <t>NSSJ</t>
        </is>
      </c>
      <c r="D31" s="96" t="inlineStr">
        <is>
          <t>2608S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IDJKT</t>
        </is>
      </c>
      <c r="J31" s="96" t="inlineStr">
        <is>
          <t>IDJKT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HASLS22260902574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ANX</t>
        </is>
      </c>
      <c r="U31" s="97" t="n"/>
      <c r="V31" s="96" t="inlineStr">
        <is>
          <t>C0722004</t>
        </is>
      </c>
      <c r="W31" s="96" t="inlineStr">
        <is>
          <t>SIAM ORGANIC FOOD PRODUCTS CO.,LTD.</t>
        </is>
      </c>
      <c r="X31" s="96" t="inlineStr">
        <is>
          <t>VFD</t>
        </is>
      </c>
      <c r="Y31" s="96" t="inlineStr">
        <is>
          <t>PT. VERENTIA INTI CIPTA ALAMI</t>
        </is>
      </c>
      <c r="Z31" s="96" t="inlineStr">
        <is>
          <t>PT. VERENTIA INTI CIPTA ALAMI</t>
        </is>
      </c>
      <c r="AA31" s="97" t="n">
        <v>10086.92</v>
      </c>
      <c r="AB31" s="96" t="inlineStr">
        <is>
          <t>LCH04</t>
        </is>
      </c>
      <c r="AC31" s="96" t="inlineStr">
        <is>
          <t>JKT02</t>
        </is>
      </c>
    </row>
    <row r="32" ht="12" customHeight="1">
      <c r="A32" s="96" t="inlineStr">
        <is>
          <t>HALU2433103</t>
        </is>
      </c>
      <c r="B32" s="161" t="inlineStr">
        <is>
          <t>2026-10-30</t>
        </is>
      </c>
      <c r="C32" s="96" t="inlineStr">
        <is>
          <t>NSSJ</t>
        </is>
      </c>
      <c r="D32" s="96" t="inlineStr">
        <is>
          <t>2608S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IDJKT</t>
        </is>
      </c>
      <c r="J32" s="96" t="inlineStr">
        <is>
          <t>IDJKT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HASLS22261000552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ANX</t>
        </is>
      </c>
      <c r="U32" s="97" t="n"/>
      <c r="V32" s="96" t="inlineStr">
        <is>
          <t>C0124002</t>
        </is>
      </c>
      <c r="W32" s="96" t="inlineStr">
        <is>
          <t>HIGASKET PLASTICS GROUP (THAILAND)</t>
        </is>
      </c>
      <c r="X32" s="96" t="inlineStr">
        <is>
          <t>VFD</t>
        </is>
      </c>
      <c r="Y32" s="96" t="inlineStr">
        <is>
          <t>PT PANASONIC MANUFACTURING</t>
        </is>
      </c>
      <c r="Z32" s="96" t="inlineStr">
        <is>
          <t>PT PANASONIC MANUFACTURING</t>
        </is>
      </c>
      <c r="AA32" s="97" t="n">
        <v>1666</v>
      </c>
      <c r="AB32" s="96" t="inlineStr">
        <is>
          <t>LCH04</t>
        </is>
      </c>
      <c r="AC32" s="96" t="inlineStr">
        <is>
          <t>JKT02</t>
        </is>
      </c>
    </row>
    <row r="33" ht="12" customHeight="1">
      <c r="A33" s="96" t="inlineStr">
        <is>
          <t>HLHU8500694</t>
        </is>
      </c>
      <c r="B33" s="161" t="inlineStr">
        <is>
          <t>2026-10-30</t>
        </is>
      </c>
      <c r="C33" s="96" t="inlineStr">
        <is>
          <t>NSSJ</t>
        </is>
      </c>
      <c r="D33" s="96" t="inlineStr">
        <is>
          <t>2608S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THLKR</t>
        </is>
      </c>
      <c r="H33" s="96" t="inlineStr">
        <is>
          <t>THLCH</t>
        </is>
      </c>
      <c r="I33" s="96" t="inlineStr">
        <is>
          <t>IDJKT</t>
        </is>
      </c>
      <c r="J33" s="96" t="inlineStr">
        <is>
          <t>IDJKT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LCH04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HASLS22260902718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ANX</t>
        </is>
      </c>
      <c r="U33" s="97" t="n"/>
      <c r="V33" s="96" t="inlineStr">
        <is>
          <t>C0125003</t>
        </is>
      </c>
      <c r="W33" s="96" t="inlineStr">
        <is>
          <t>CONNEXT LOG (THAILAND) CO.,LTD.</t>
        </is>
      </c>
      <c r="X33" s="96" t="inlineStr">
        <is>
          <t>VFD</t>
        </is>
      </c>
      <c r="Y33" s="96" t="inlineStr">
        <is>
          <t>PT. KHARISMA SUKSES GEMILANG</t>
        </is>
      </c>
      <c r="Z33" s="96" t="inlineStr">
        <is>
          <t>PT ORIENTAL LOGISTICS INDONESIA</t>
        </is>
      </c>
      <c r="AA33" s="97" t="n">
        <v>23485.6</v>
      </c>
      <c r="AB33" s="96" t="inlineStr">
        <is>
          <t>LCH04</t>
        </is>
      </c>
      <c r="AC33" s="96" t="inlineStr">
        <is>
          <t>JKT02</t>
        </is>
      </c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1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HASLS22260900492</t>
        </is>
      </c>
      <c r="B2" s="96" t="inlineStr">
        <is>
          <t>40Hx1</t>
        </is>
      </c>
      <c r="C2" s="97" t="n">
        <v>1</v>
      </c>
      <c r="D2" s="97" t="n">
        <v>1</v>
      </c>
      <c r="E2" s="97" t="inlineStr">
        <is>
          <t>THLKR</t>
        </is>
      </c>
      <c r="F2" s="97" t="n">
        <v>0</v>
      </c>
      <c r="G2" s="97" t="n">
        <v>0</v>
      </c>
      <c r="H2" s="97" t="n">
        <v>0</v>
      </c>
      <c r="I2" s="97" t="n">
        <v>1</v>
      </c>
      <c r="J2" s="97" t="n">
        <v>2</v>
      </c>
      <c r="K2" s="96" t="inlineStr">
        <is>
          <t>N</t>
        </is>
      </c>
      <c r="L2" s="96" t="inlineStr">
        <is>
          <t>ANX</t>
        </is>
      </c>
      <c r="M2" s="96" t="inlineStr">
        <is>
          <t>NSSJ</t>
        </is>
      </c>
      <c r="N2" s="96" t="inlineStr">
        <is>
          <t>2608S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2026-10-30</t>
        </is>
      </c>
      <c r="S2" s="96" t="inlineStr">
        <is>
          <t>IDJKT</t>
        </is>
      </c>
      <c r="T2" s="96" t="inlineStr">
        <is>
          <t>JKT02</t>
        </is>
      </c>
      <c r="U2" s="96" t="inlineStr">
        <is>
          <t>IDJKT</t>
        </is>
      </c>
      <c r="V2" s="161" t="inlineStr">
        <is>
          <t>2026-11-02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ACCORD PILOT LOGISTICS (THAILAND) CO., LTD.</t>
        </is>
      </c>
      <c r="AB2" s="96" t="inlineStr">
        <is>
          <t>THAI PLASPAC PUBLIC CO.,LTD.</t>
        </is>
      </c>
      <c r="AC2" s="163" t="n">
        <v>9144</v>
      </c>
      <c r="AD2" s="163" t="n">
        <v>13144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LW-28 CAP SPOUT CLOSURE ASSEMBLY / WHITE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2026-10-20, Return : 2026-10-21 Paperless Code 2835
Closing Time LKB 2026-10-25 @ 17.00</t>
        </is>
      </c>
      <c r="BA2" s="97" t="inlineStr">
        <is>
          <t>FM KXM 2608S 29/09
FM RTN LKR TO LCH BY K'JAH DD.09/10/2026SHIPPER : THAI PLASPAC PUBLIC COMPANYLIMITED.CY-RTN DATE : 19-21 SEP 2026 AT LKB**REQUEST CLEAN AND GOOD CONTAINER****REQUEST FREE TIME 14 DAYS COMBINE AT DESTINATION</t>
        </is>
      </c>
      <c r="BB2" s="96" t="inlineStr">
        <is>
          <t>P</t>
        </is>
      </c>
      <c r="BC2" s="161" t="inlineStr">
        <is>
          <t>2026-09-06</t>
        </is>
      </c>
      <c r="BD2" s="161" t="inlineStr">
        <is>
          <t>2026-10-26</t>
        </is>
      </c>
      <c r="BE2" s="96" t="inlineStr">
        <is>
          <t>Y</t>
        </is>
      </c>
      <c r="BF2" s="96" t="inlineStr">
        <is>
          <t>PLASTIC CAP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2026-10-17</t>
        </is>
      </c>
      <c r="BM2" s="127" t="n"/>
      <c r="BN2" s="127" t="n"/>
      <c r="BO2" s="127" t="n"/>
      <c r="BP2" s="127" t="n">
        <v>1</v>
      </c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LCH55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nattarika.d@pilot.co.th</t>
        </is>
      </c>
      <c r="CJ2" s="96" t="inlineStr">
        <is>
          <t>THAI PLASPAC PUBLIC COMPANY</t>
        </is>
      </c>
      <c r="CK2" s="96" t="inlineStr">
        <is>
          <t>P.T. DIAMOND COLD STORAGE</t>
        </is>
      </c>
      <c r="CL2" s="96" t="inlineStr">
        <is>
          <t>P.T. DIAMOND COLD STORAGE</t>
        </is>
      </c>
      <c r="CM2" s="97" t="inlineStr">
        <is>
          <t>CLOSED</t>
        </is>
      </c>
      <c r="CN2" s="96" t="inlineStr">
        <is>
          <t>202610271200</t>
        </is>
      </c>
      <c r="CO2" s="96" t="inlineStr">
        <is>
          <t>202610281200</t>
        </is>
      </c>
      <c r="CP2" s="97" t="n"/>
      <c r="CQ2" s="96" t="inlineStr">
        <is>
          <t>S22-2308034</t>
        </is>
      </c>
      <c r="CR2" s="96" t="inlineStr">
        <is>
          <t>THTIPI</t>
        </is>
      </c>
      <c r="CS2" s="96" t="inlineStr">
        <is>
          <t>ACCORD PILOT LOGISTICS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2026-10-20</t>
        </is>
      </c>
      <c r="CX2" s="97" t="inlineStr">
        <is>
          <t>392350</t>
        </is>
      </c>
      <c r="CY2" s="156" t="n"/>
    </row>
    <row r="3" ht="12" customHeight="1">
      <c r="A3" s="116" t="inlineStr">
        <is>
          <t>HASLS22260900973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ANX</t>
        </is>
      </c>
      <c r="M3" s="96" t="inlineStr">
        <is>
          <t>NSSJ</t>
        </is>
      </c>
      <c r="N3" s="96" t="inlineStr">
        <is>
          <t>2608S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2026-10-30</t>
        </is>
      </c>
      <c r="S3" s="96" t="inlineStr">
        <is>
          <t>IDJKT</t>
        </is>
      </c>
      <c r="T3" s="96" t="inlineStr">
        <is>
          <t>JKT02</t>
        </is>
      </c>
      <c r="U3" s="96" t="inlineStr">
        <is>
          <t>IDJKT</t>
        </is>
      </c>
      <c r="V3" s="161" t="inlineStr">
        <is>
          <t>2026-11-02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L.A.1 CO.,LTD.</t>
        </is>
      </c>
      <c r="AB3" s="96" t="inlineStr">
        <is>
          <t>TANATEX CHEMICALS (THAILAND) CO., LTD.</t>
        </is>
      </c>
      <c r="AC3" s="163" t="n">
        <v>13180</v>
      </c>
      <c r="AD3" s="163" t="n">
        <v>15380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TH0042</t>
        </is>
      </c>
      <c r="AN3" s="96" t="inlineStr">
        <is>
          <t>Sukunpoj Damrongying</t>
        </is>
      </c>
      <c r="AO3" s="96" t="inlineStr">
        <is>
          <t>TANNEX GEO, TANNEX NOVECO 01 (CHEMICALS PRODUCT (NON DG))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2026-10-21, Return : 2026-10-22</t>
        </is>
      </c>
      <c r="BA3" s="97" t="n"/>
      <c r="BB3" s="96" t="inlineStr">
        <is>
          <t>P</t>
        </is>
      </c>
      <c r="BC3" s="161" t="inlineStr">
        <is>
          <t>2026-09-11</t>
        </is>
      </c>
      <c r="BD3" s="161" t="inlineStr">
        <is>
          <t>2026-10-26</t>
        </is>
      </c>
      <c r="BE3" s="96" t="inlineStr">
        <is>
          <t>Y</t>
        </is>
      </c>
      <c r="BF3" s="96" t="inlineStr">
        <is>
          <t>CHEMICALS PRODUCT (NON DG)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2026-10-21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sunida@la1freight.com</t>
        </is>
      </c>
      <c r="CJ3" s="96" t="inlineStr">
        <is>
          <t>L.A.1 CO.,LTD.</t>
        </is>
      </c>
      <c r="CK3" s="96" t="inlineStr">
        <is>
          <t>PT. CHEMSTAR INDONESIA TBK</t>
        </is>
      </c>
      <c r="CL3" s="96" t="inlineStr">
        <is>
          <t>PT. 3S PRIME CONTINENTAL</t>
        </is>
      </c>
      <c r="CM3" s="97" t="inlineStr">
        <is>
          <t>CLOSED</t>
        </is>
      </c>
      <c r="CN3" s="96" t="inlineStr">
        <is>
          <t>202610271200</t>
        </is>
      </c>
      <c r="CO3" s="96" t="inlineStr">
        <is>
          <t>202610281200</t>
        </is>
      </c>
      <c r="CP3" s="97" t="n"/>
      <c r="CQ3" s="96" t="inlineStr">
        <is>
          <t>S22-2606013</t>
        </is>
      </c>
      <c r="CR3" s="96" t="inlineStr">
        <is>
          <t>THTYG7</t>
        </is>
      </c>
      <c r="CS3" s="96" t="inlineStr">
        <is>
          <t>L.A.1 CO.,LTD.</t>
        </is>
      </c>
      <c r="CT3" s="96" t="inlineStr">
        <is>
          <t>N</t>
        </is>
      </c>
      <c r="CU3" s="97" t="n"/>
      <c r="CV3" s="97" t="n"/>
      <c r="CW3" s="161" t="inlineStr">
        <is>
          <t>2026-10-28</t>
        </is>
      </c>
      <c r="CX3" s="97" t="inlineStr">
        <is>
          <t>380991</t>
        </is>
      </c>
      <c r="CY3" s="183" t="n"/>
    </row>
    <row r="4" ht="12" customHeight="1">
      <c r="A4" s="116" t="inlineStr">
        <is>
          <t>HASLS22260902116</t>
        </is>
      </c>
      <c r="B4" s="96" t="inlineStr">
        <is>
          <t>20'x1</t>
        </is>
      </c>
      <c r="C4" s="97" t="n">
        <v>1</v>
      </c>
      <c r="D4" s="97" t="n">
        <v>1</v>
      </c>
      <c r="E4" s="97" t="inlineStr">
        <is>
          <t>THLKR</t>
        </is>
      </c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ANX</t>
        </is>
      </c>
      <c r="M4" s="96" t="inlineStr">
        <is>
          <t>NSSJ</t>
        </is>
      </c>
      <c r="N4" s="96" t="inlineStr">
        <is>
          <t>2608S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2026-10-30</t>
        </is>
      </c>
      <c r="S4" s="96" t="inlineStr">
        <is>
          <t>IDJKT</t>
        </is>
      </c>
      <c r="T4" s="96" t="inlineStr">
        <is>
          <t>JKT02</t>
        </is>
      </c>
      <c r="U4" s="96" t="inlineStr">
        <is>
          <t>IDJKT</t>
        </is>
      </c>
      <c r="V4" s="161" t="inlineStr">
        <is>
          <t>2026-11-02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ACCORD PILOT LOGISTICS (THAILAND) CO., LTD.</t>
        </is>
      </c>
      <c r="AB4" s="96" t="inlineStr">
        <is>
          <t>THAI PLASPAC PUBLIC CO.,LTD.</t>
        </is>
      </c>
      <c r="AC4" s="163" t="n">
        <v>4800</v>
      </c>
      <c r="AD4" s="163" t="n">
        <v>7000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TBKK19</t>
        </is>
      </c>
      <c r="AN4" s="96" t="inlineStr">
        <is>
          <t>Kanokporn</t>
        </is>
      </c>
      <c r="AO4" s="96" t="inlineStr">
        <is>
          <t>TVA-28 CAP SPOUT CLOSURE ASSEMBLY / GOLD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2026-10-20, Return : 2026-10-21 Paperless Code 2835
Closing Time LKB 2026-10-25 @ 17.00</t>
        </is>
      </c>
      <c r="BA4" s="97" t="inlineStr">
        <is>
          <t>FM RETURN CNTR AT LKR TO LCH BY K'JAH DD.09/10/2026CY-RTN DATE :  16-17 OCT 2026 AT LKBETD :  19 OCT 2026 AT LCHVOL : 1X20’DC**REQUEST CLEAN AND GOOD CONTAINER****REQUEST FREE TIME 14 DAYS COMBINE AT DESTINATION**</t>
        </is>
      </c>
      <c r="BB4" s="96" t="inlineStr">
        <is>
          <t>P</t>
        </is>
      </c>
      <c r="BC4" s="161" t="inlineStr">
        <is>
          <t>2026-09-23</t>
        </is>
      </c>
      <c r="BD4" s="161" t="inlineStr">
        <is>
          <t>2026-10-26</t>
        </is>
      </c>
      <c r="BE4" s="96" t="inlineStr">
        <is>
          <t>Y</t>
        </is>
      </c>
      <c r="BF4" s="96" t="inlineStr">
        <is>
          <t>PLATIC CAP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2026-10-20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LCH55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nattarika.d@pilot.co.th</t>
        </is>
      </c>
      <c r="CJ4" s="96" t="inlineStr">
        <is>
          <t>THAI PLASPAC PUBLIC COMPANY</t>
        </is>
      </c>
      <c r="CK4" s="96" t="inlineStr">
        <is>
          <t>P.T. DIAMOND COLD STORAGE</t>
        </is>
      </c>
      <c r="CL4" s="96" t="inlineStr">
        <is>
          <t>P.T. DIAMOND COLD STORAGE</t>
        </is>
      </c>
      <c r="CM4" s="97" t="inlineStr">
        <is>
          <t>CLOSED</t>
        </is>
      </c>
      <c r="CN4" s="96" t="inlineStr">
        <is>
          <t>202610271200</t>
        </is>
      </c>
      <c r="CO4" s="96" t="inlineStr">
        <is>
          <t>202610281200</t>
        </is>
      </c>
      <c r="CP4" s="97" t="n"/>
      <c r="CQ4" s="96" t="inlineStr">
        <is>
          <t>S22-2308034</t>
        </is>
      </c>
      <c r="CR4" s="96" t="inlineStr">
        <is>
          <t>THTIPI</t>
        </is>
      </c>
      <c r="CS4" s="96" t="inlineStr">
        <is>
          <t>ACCORD PILOT LOGISTICS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2026-10-19</t>
        </is>
      </c>
      <c r="CX4" s="97" t="inlineStr">
        <is>
          <t>392350</t>
        </is>
      </c>
      <c r="CY4" s="183" t="n"/>
    </row>
    <row r="5" ht="12" customHeight="1">
      <c r="A5" s="116" t="inlineStr">
        <is>
          <t>HASLS22260902290</t>
        </is>
      </c>
      <c r="B5" s="96" t="inlineStr">
        <is>
          <t>R40Hx1</t>
        </is>
      </c>
      <c r="C5" s="97" t="n">
        <v>1</v>
      </c>
      <c r="D5" s="97" t="n">
        <v>1</v>
      </c>
      <c r="E5" s="97" t="n"/>
      <c r="F5" s="97" t="n">
        <v>0</v>
      </c>
      <c r="G5" s="97" t="n">
        <v>0</v>
      </c>
      <c r="H5" s="97" t="n">
        <v>0</v>
      </c>
      <c r="I5" s="97" t="n">
        <v>1</v>
      </c>
      <c r="J5" s="97" t="n">
        <v>2</v>
      </c>
      <c r="K5" s="96" t="inlineStr">
        <is>
          <t>N</t>
        </is>
      </c>
      <c r="L5" s="96" t="inlineStr">
        <is>
          <t>ANX</t>
        </is>
      </c>
      <c r="M5" s="96" t="inlineStr">
        <is>
          <t>NSSJ</t>
        </is>
      </c>
      <c r="N5" s="96" t="inlineStr">
        <is>
          <t>2608S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2026-10-30</t>
        </is>
      </c>
      <c r="S5" s="96" t="inlineStr">
        <is>
          <t>IDJKT</t>
        </is>
      </c>
      <c r="T5" s="96" t="inlineStr">
        <is>
          <t>JKT02</t>
        </is>
      </c>
      <c r="U5" s="96" t="inlineStr">
        <is>
          <t>IDJKT</t>
        </is>
      </c>
      <c r="V5" s="161" t="inlineStr">
        <is>
          <t>2026-11-02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INTER FRESH CO., LTD.</t>
        </is>
      </c>
      <c r="AB5" s="96" t="inlineStr">
        <is>
          <t>INTER FRESH CO., LTD.</t>
        </is>
      </c>
      <c r="AC5" s="163" t="n">
        <v>27162.5</v>
      </c>
      <c r="AD5" s="163" t="n">
        <v>31162.5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TH0031</t>
        </is>
      </c>
      <c r="AN5" s="96" t="inlineStr">
        <is>
          <t>Pattarapong Saengthong</t>
        </is>
      </c>
      <c r="AO5" s="96" t="inlineStr">
        <is>
          <t>FRESH LONGAN</t>
        </is>
      </c>
      <c r="AP5" s="96" t="inlineStr">
        <is>
          <t>Normal</t>
        </is>
      </c>
      <c r="AQ5" s="97" t="n"/>
      <c r="AR5" s="97" t="n"/>
      <c r="AS5" s="97" t="inlineStr">
        <is>
          <t>RF// MIN:+2.0 MAX:+2.0 [COVER:30% OPEN]</t>
        </is>
      </c>
      <c r="AT5" s="97" t="inlineStr">
        <is>
          <t xml:space="preserve">45REx1 </t>
        </is>
      </c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2026-10-12, Return : 2026-10-19 (Temp +2.0 / Vent 30% Open) 
Closing Time 2026-10-18 @ 23.59</t>
        </is>
      </c>
      <c r="BA5" s="97" t="inlineStr">
        <is>
          <t>SI DD.24/10/26</t>
        </is>
      </c>
      <c r="BB5" s="96" t="inlineStr">
        <is>
          <t>P</t>
        </is>
      </c>
      <c r="BC5" s="161" t="inlineStr">
        <is>
          <t>2026-09-24</t>
        </is>
      </c>
      <c r="BD5" s="161" t="inlineStr">
        <is>
          <t>2026-10-24</t>
        </is>
      </c>
      <c r="BE5" s="96" t="inlineStr">
        <is>
          <t>Y</t>
        </is>
      </c>
      <c r="BF5" s="96" t="inlineStr">
        <is>
          <t xml:space="preserve">FRESH LONGAN (TEMP +2.0 / VENT 30%) 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LCH27</t>
        </is>
      </c>
      <c r="BL5" s="161" t="inlineStr">
        <is>
          <t>2026-10-12</t>
        </is>
      </c>
      <c r="BM5" s="127" t="n"/>
      <c r="BN5" s="127" t="n"/>
      <c r="BO5" s="127" t="n"/>
      <c r="BP5" s="127" t="n"/>
      <c r="BQ5" s="127" t="n"/>
      <c r="BR5" s="127" t="n">
        <v>1</v>
      </c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EXPORT@INTERFRESH.CO.TH</t>
        </is>
      </c>
      <c r="CJ5" s="96" t="inlineStr">
        <is>
          <t>INTER FRESH CO.,LTD</t>
        </is>
      </c>
      <c r="CK5" s="96" t="inlineStr">
        <is>
          <t>PT. BUAH UTAMA MANDIRI</t>
        </is>
      </c>
      <c r="CL5" s="96" t="inlineStr">
        <is>
          <t>PT. BUAH UTAMA MANDIRI</t>
        </is>
      </c>
      <c r="CM5" s="97" t="inlineStr">
        <is>
          <t>CLOSED</t>
        </is>
      </c>
      <c r="CN5" s="96" t="inlineStr">
        <is>
          <t>202610271200</t>
        </is>
      </c>
      <c r="CO5" s="96" t="inlineStr">
        <is>
          <t>202610281200</t>
        </is>
      </c>
      <c r="CP5" s="97" t="inlineStr">
        <is>
          <t>45RE x1: RF(Temp:+2.0' / Cover:30% OPEN)</t>
        </is>
      </c>
      <c r="CQ5" s="96" t="inlineStr">
        <is>
          <t>S22-2607025</t>
        </is>
      </c>
      <c r="CR5" s="96" t="inlineStr">
        <is>
          <t>THTK3S</t>
        </is>
      </c>
      <c r="CS5" s="96" t="inlineStr">
        <is>
          <t>INTER FRESH CO., LTD.</t>
        </is>
      </c>
      <c r="CT5" s="96" t="inlineStr">
        <is>
          <t>N</t>
        </is>
      </c>
      <c r="CU5" s="97" t="n"/>
      <c r="CV5" s="97" t="n"/>
      <c r="CW5" s="161" t="inlineStr">
        <is>
          <t>2026-10-20</t>
        </is>
      </c>
      <c r="CX5" s="97" t="inlineStr">
        <is>
          <t>081090</t>
        </is>
      </c>
      <c r="CY5" s="183" t="n"/>
    </row>
    <row r="6" ht="12" customHeight="1">
      <c r="A6" s="116" t="inlineStr">
        <is>
          <t>HASLS22260902291</t>
        </is>
      </c>
      <c r="B6" s="96" t="inlineStr">
        <is>
          <t>R40Hx1</t>
        </is>
      </c>
      <c r="C6" s="97" t="n">
        <v>1</v>
      </c>
      <c r="D6" s="97" t="n">
        <v>1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ANX</t>
        </is>
      </c>
      <c r="M6" s="96" t="inlineStr">
        <is>
          <t>NSSJ</t>
        </is>
      </c>
      <c r="N6" s="96" t="inlineStr">
        <is>
          <t>2608S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2026-10-30</t>
        </is>
      </c>
      <c r="S6" s="96" t="inlineStr">
        <is>
          <t>IDJKT</t>
        </is>
      </c>
      <c r="T6" s="96" t="inlineStr">
        <is>
          <t>JKT02</t>
        </is>
      </c>
      <c r="U6" s="96" t="inlineStr">
        <is>
          <t>IDJKT</t>
        </is>
      </c>
      <c r="V6" s="161" t="inlineStr">
        <is>
          <t>2026-11-02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INTER FRESH CO., LTD.</t>
        </is>
      </c>
      <c r="AB6" s="96" t="inlineStr">
        <is>
          <t>INTER FRESH CO., LTD.</t>
        </is>
      </c>
      <c r="AC6" s="163" t="n">
        <v>27162.5</v>
      </c>
      <c r="AD6" s="163" t="n">
        <v>31162.5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TH0031</t>
        </is>
      </c>
      <c r="AN6" s="96" t="inlineStr">
        <is>
          <t>Pattarapong Saengthong</t>
        </is>
      </c>
      <c r="AO6" s="96" t="inlineStr">
        <is>
          <t>FRESH LONGAN</t>
        </is>
      </c>
      <c r="AP6" s="96" t="inlineStr">
        <is>
          <t>Normal</t>
        </is>
      </c>
      <c r="AQ6" s="97" t="n"/>
      <c r="AR6" s="97" t="n"/>
      <c r="AS6" s="97" t="inlineStr">
        <is>
          <t>RF// MIN:+2.0 MAX:+2.0 [COVER:30% OPEN]</t>
        </is>
      </c>
      <c r="AT6" s="97" t="inlineStr">
        <is>
          <t xml:space="preserve">45REx1 </t>
        </is>
      </c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Pickup : 2026-10-12, Return : 2026-10-19  (Temp +2.0 / Vent 30% Open) 
Closing Time 2026-10-18 @ 23.59</t>
        </is>
      </c>
      <c r="BA6" s="97" t="inlineStr">
        <is>
          <t>SI DD.24/10/26</t>
        </is>
      </c>
      <c r="BB6" s="96" t="inlineStr">
        <is>
          <t>P</t>
        </is>
      </c>
      <c r="BC6" s="161" t="inlineStr">
        <is>
          <t>2026-09-24</t>
        </is>
      </c>
      <c r="BD6" s="161" t="inlineStr">
        <is>
          <t>2026-10-24</t>
        </is>
      </c>
      <c r="BE6" s="96" t="inlineStr">
        <is>
          <t>Y</t>
        </is>
      </c>
      <c r="BF6" s="96" t="inlineStr">
        <is>
          <t xml:space="preserve">FRESH LONGAN (TEMP +2.0 / VENT 30%) 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LCH27</t>
        </is>
      </c>
      <c r="BL6" s="161" t="inlineStr">
        <is>
          <t>2026-10-12</t>
        </is>
      </c>
      <c r="BM6" s="127" t="n"/>
      <c r="BN6" s="127" t="n"/>
      <c r="BO6" s="127" t="n"/>
      <c r="BP6" s="127" t="n"/>
      <c r="BQ6" s="127" t="n"/>
      <c r="BR6" s="127" t="n">
        <v>1</v>
      </c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EXPORT@INTERFRESH.CO.TH</t>
        </is>
      </c>
      <c r="CJ6" s="96" t="inlineStr">
        <is>
          <t>INTER FRESH CO.,LTD</t>
        </is>
      </c>
      <c r="CK6" s="96" t="inlineStr">
        <is>
          <t>PT. PUSAKA MAKMUR SEJATI</t>
        </is>
      </c>
      <c r="CL6" s="96" t="inlineStr">
        <is>
          <t>PT. PUSAKA MAKMUR SEJATI</t>
        </is>
      </c>
      <c r="CM6" s="97" t="inlineStr">
        <is>
          <t>CLOSED</t>
        </is>
      </c>
      <c r="CN6" s="96" t="inlineStr">
        <is>
          <t>202610271200</t>
        </is>
      </c>
      <c r="CO6" s="96" t="inlineStr">
        <is>
          <t>202610281200</t>
        </is>
      </c>
      <c r="CP6" s="97" t="inlineStr">
        <is>
          <t>45RE x1: RF(Temp:+2.0' / Cover:30% OPEN)</t>
        </is>
      </c>
      <c r="CQ6" s="96" t="inlineStr">
        <is>
          <t>S22-2607025</t>
        </is>
      </c>
      <c r="CR6" s="96" t="inlineStr">
        <is>
          <t>THTK3S</t>
        </is>
      </c>
      <c r="CS6" s="96" t="inlineStr">
        <is>
          <t>INTER FRESH CO., LTD.</t>
        </is>
      </c>
      <c r="CT6" s="96" t="inlineStr">
        <is>
          <t>N</t>
        </is>
      </c>
      <c r="CU6" s="97" t="n"/>
      <c r="CV6" s="97" t="n"/>
      <c r="CW6" s="161" t="inlineStr">
        <is>
          <t>2026-10-20</t>
        </is>
      </c>
      <c r="CX6" s="97" t="inlineStr">
        <is>
          <t>081090</t>
        </is>
      </c>
      <c r="CY6" s="183" t="n"/>
    </row>
    <row r="7" ht="12" customHeight="1">
      <c r="A7" s="116" t="inlineStr">
        <is>
          <t>HASLS22260902574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ANX</t>
        </is>
      </c>
      <c r="M7" s="96" t="inlineStr">
        <is>
          <t>NSSJ</t>
        </is>
      </c>
      <c r="N7" s="96" t="inlineStr">
        <is>
          <t>2608S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2026-10-30</t>
        </is>
      </c>
      <c r="S7" s="96" t="inlineStr">
        <is>
          <t>IDJKT</t>
        </is>
      </c>
      <c r="T7" s="96" t="inlineStr">
        <is>
          <t>JKT02</t>
        </is>
      </c>
      <c r="U7" s="96" t="inlineStr">
        <is>
          <t>IDJKT</t>
        </is>
      </c>
      <c r="V7" s="161" t="inlineStr">
        <is>
          <t>2026-11-02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ONE INTERFREIGHT CO., LTD.</t>
        </is>
      </c>
      <c r="AB7" s="96" t="inlineStr">
        <is>
          <t>SIAM ORGANIC FOOD PRODUCTS CO., LTD.</t>
        </is>
      </c>
      <c r="AC7" s="163" t="n">
        <v>10086.92</v>
      </c>
      <c r="AD7" s="163" t="n">
        <v>14086.92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TBKK19</t>
        </is>
      </c>
      <c r="AN7" s="96" t="inlineStr">
        <is>
          <t>Kanokporn</t>
        </is>
      </c>
      <c r="AO7" s="96" t="inlineStr">
        <is>
          <t>ORGANIC CANE JUICE POWDER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CY-RTN : 22/10/2026
</t>
        </is>
      </c>
      <c r="BA7" s="97" t="inlineStr">
        <is>
          <t>CY BKK 15/10/26RTN BKK 16/10/26</t>
        </is>
      </c>
      <c r="BB7" s="96" t="inlineStr">
        <is>
          <t>P</t>
        </is>
      </c>
      <c r="BC7" s="161" t="inlineStr">
        <is>
          <t>2026-09-28</t>
        </is>
      </c>
      <c r="BD7" s="161" t="inlineStr">
        <is>
          <t>2026-10-26</t>
        </is>
      </c>
      <c r="BE7" s="96" t="inlineStr">
        <is>
          <t>Y</t>
        </is>
      </c>
      <c r="BF7" s="96" t="inlineStr">
        <is>
          <t>ORGANIC CANE JUICE POWDER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2026-10-22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cs@one-interfreight.com</t>
        </is>
      </c>
      <c r="CJ7" s="96" t="inlineStr">
        <is>
          <t>SIAM ORGANIC FOOD PRODUCTS CO.,LTD.</t>
        </is>
      </c>
      <c r="CK7" s="96" t="inlineStr">
        <is>
          <t>PT. VERENTIA INTI CIPTA ALAMI</t>
        </is>
      </c>
      <c r="CL7" s="96" t="inlineStr">
        <is>
          <t>PT. VERENTIA INTI CIPTA ALAMI</t>
        </is>
      </c>
      <c r="CM7" s="97" t="inlineStr">
        <is>
          <t>CLOSED</t>
        </is>
      </c>
      <c r="CN7" s="96" t="inlineStr">
        <is>
          <t>202610271200</t>
        </is>
      </c>
      <c r="CO7" s="96" t="inlineStr">
        <is>
          <t>202610281200</t>
        </is>
      </c>
      <c r="CP7" s="97" t="n"/>
      <c r="CQ7" s="96" t="inlineStr">
        <is>
          <t>S22-2506039</t>
        </is>
      </c>
      <c r="CR7" s="96" t="inlineStr">
        <is>
          <t>THTX8V</t>
        </is>
      </c>
      <c r="CS7" s="96" t="inlineStr">
        <is>
          <t>ONE INTERFREIGHT CO., LTD.</t>
        </is>
      </c>
      <c r="CT7" s="96" t="inlineStr">
        <is>
          <t>N</t>
        </is>
      </c>
      <c r="CU7" s="97" t="n"/>
      <c r="CV7" s="97" t="n"/>
      <c r="CW7" s="161" t="inlineStr">
        <is>
          <t>2026-10-20</t>
        </is>
      </c>
      <c r="CX7" s="97" t="inlineStr">
        <is>
          <t>170290</t>
        </is>
      </c>
      <c r="CY7" s="183" t="n"/>
    </row>
    <row r="8" ht="12" customHeight="1">
      <c r="A8" s="116" t="inlineStr">
        <is>
          <t>HASLS22260902718</t>
        </is>
      </c>
      <c r="B8" s="96" t="inlineStr">
        <is>
          <t>40Hx1</t>
        </is>
      </c>
      <c r="C8" s="97" t="n">
        <v>1</v>
      </c>
      <c r="D8" s="97" t="n">
        <v>1</v>
      </c>
      <c r="E8" s="97" t="inlineStr">
        <is>
          <t>THLKR</t>
        </is>
      </c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ANX</t>
        </is>
      </c>
      <c r="M8" s="96" t="inlineStr">
        <is>
          <t>NSSJ</t>
        </is>
      </c>
      <c r="N8" s="96" t="inlineStr">
        <is>
          <t>2608S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2026-10-30</t>
        </is>
      </c>
      <c r="S8" s="96" t="inlineStr">
        <is>
          <t>IDJKT</t>
        </is>
      </c>
      <c r="T8" s="96" t="inlineStr">
        <is>
          <t>JKT02</t>
        </is>
      </c>
      <c r="U8" s="96" t="inlineStr">
        <is>
          <t>IDJKT</t>
        </is>
      </c>
      <c r="V8" s="161" t="inlineStr">
        <is>
          <t>2026-11-02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CONNEXT LOG (THAILAND) CO.,LTD.</t>
        </is>
      </c>
      <c r="AB8" s="96" t="inlineStr">
        <is>
          <t>SINGHA WORLDWIDE INTERNATIONAL CO., LTD.</t>
        </is>
      </c>
      <c r="AC8" s="163" t="n">
        <v>23485.6</v>
      </c>
      <c r="AD8" s="163" t="n">
        <v>27485.6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TBKK97</t>
        </is>
      </c>
      <c r="AN8" s="96" t="inlineStr">
        <is>
          <t>Arunphat W. (Aiw)</t>
        </is>
      </c>
      <c r="AO8" s="96" t="inlineStr">
        <is>
          <t>SINGHA SODA WATER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2026-10-19, Return LKR : 2026-10-20 [PAPERLESS CODE 2835]
CLS TIME 22/10/26 @ 17.00</t>
        </is>
      </c>
      <c r="BA8" s="97" t="n"/>
      <c r="BB8" s="96" t="inlineStr">
        <is>
          <t>P</t>
        </is>
      </c>
      <c r="BC8" s="161" t="inlineStr">
        <is>
          <t>2026-09-29</t>
        </is>
      </c>
      <c r="BD8" s="161" t="inlineStr">
        <is>
          <t>2026-10-26</t>
        </is>
      </c>
      <c r="BE8" s="96" t="inlineStr">
        <is>
          <t>Y</t>
        </is>
      </c>
      <c r="BF8" s="96" t="inlineStr">
        <is>
          <t>SODA WATER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2026-10-19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LCH55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export_cs@cnlthailand.com</t>
        </is>
      </c>
      <c r="CJ8" s="96" t="inlineStr">
        <is>
          <t>CONNEXT LOG (THAILAND) CO.,LTD.</t>
        </is>
      </c>
      <c r="CK8" s="96" t="inlineStr">
        <is>
          <t>PT. KHARISMA SUKSES GEMILANG</t>
        </is>
      </c>
      <c r="CL8" s="96" t="inlineStr">
        <is>
          <t>PT ORIENTAL LOGISTICS INDONESIA</t>
        </is>
      </c>
      <c r="CM8" s="97" t="inlineStr">
        <is>
          <t>CLOSED</t>
        </is>
      </c>
      <c r="CN8" s="96" t="inlineStr">
        <is>
          <t>202610271200</t>
        </is>
      </c>
      <c r="CO8" s="96" t="inlineStr">
        <is>
          <t>202610281200</t>
        </is>
      </c>
      <c r="CP8" s="97" t="n"/>
      <c r="CQ8" s="96" t="inlineStr">
        <is>
          <t>S22-2504004</t>
        </is>
      </c>
      <c r="CR8" s="96" t="inlineStr">
        <is>
          <t>THTS51</t>
        </is>
      </c>
      <c r="CS8" s="96" t="inlineStr">
        <is>
          <t>CONNEXT LOG (THAILAND) CO.,LTD.</t>
        </is>
      </c>
      <c r="CT8" s="96" t="inlineStr">
        <is>
          <t>N</t>
        </is>
      </c>
      <c r="CU8" s="97" t="n"/>
      <c r="CV8" s="97" t="n"/>
      <c r="CW8" s="161" t="inlineStr">
        <is>
          <t>2026-10-20</t>
        </is>
      </c>
      <c r="CX8" s="97" t="inlineStr">
        <is>
          <t>220110</t>
        </is>
      </c>
      <c r="CY8" s="183" t="n"/>
    </row>
    <row r="9" ht="12" customHeight="1">
      <c r="A9" s="116" t="inlineStr">
        <is>
          <t>HASLS22260902800</t>
        </is>
      </c>
      <c r="B9" s="96" t="inlineStr">
        <is>
          <t>40Hx1</t>
        </is>
      </c>
      <c r="C9" s="97" t="n">
        <v>1</v>
      </c>
      <c r="D9" s="97" t="n">
        <v>1</v>
      </c>
      <c r="E9" s="97" t="inlineStr">
        <is>
          <t>THLKR</t>
        </is>
      </c>
      <c r="F9" s="97" t="n">
        <v>0</v>
      </c>
      <c r="G9" s="97" t="n">
        <v>0</v>
      </c>
      <c r="H9" s="97" t="n">
        <v>0</v>
      </c>
      <c r="I9" s="97" t="n">
        <v>1</v>
      </c>
      <c r="J9" s="97" t="n">
        <v>2</v>
      </c>
      <c r="K9" s="96" t="inlineStr">
        <is>
          <t>N</t>
        </is>
      </c>
      <c r="L9" s="96" t="inlineStr">
        <is>
          <t>ANX</t>
        </is>
      </c>
      <c r="M9" s="96" t="inlineStr">
        <is>
          <t>NSSJ</t>
        </is>
      </c>
      <c r="N9" s="96" t="inlineStr">
        <is>
          <t>2608S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2026-10-30</t>
        </is>
      </c>
      <c r="S9" s="96" t="inlineStr">
        <is>
          <t>IDJKT</t>
        </is>
      </c>
      <c r="T9" s="96" t="inlineStr">
        <is>
          <t>JKT02</t>
        </is>
      </c>
      <c r="U9" s="96" t="inlineStr">
        <is>
          <t>IDJKT</t>
        </is>
      </c>
      <c r="V9" s="161" t="inlineStr">
        <is>
          <t>2026-11-02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Q-LOG THAI CO., LTD.</t>
        </is>
      </c>
      <c r="AB9" s="96" t="inlineStr">
        <is>
          <t>MILBON (THAILAND) COMPANY LIMITED</t>
        </is>
      </c>
      <c r="AC9" s="163" t="n">
        <v>6287.37</v>
      </c>
      <c r="AD9" s="163" t="n">
        <v>10287.37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TBKK97</t>
        </is>
      </c>
      <c r="AN9" s="96" t="inlineStr">
        <is>
          <t>Arunphat W. (Aiw)</t>
        </is>
      </c>
      <c r="AO9" s="96" t="inlineStr">
        <is>
          <t>HAIR CARE PRODUCTS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Pickup : 2026-10-21, Return : 2026-10-22 Paperless Code 2835
ClosingTime LKB 2026-10-22 @ 12.00</t>
        </is>
      </c>
      <c r="BA9" s="97" t="inlineStr">
        <is>
          <t>SHOW AGENT AT DESTINATION ON B/L</t>
        </is>
      </c>
      <c r="BB9" s="96" t="inlineStr">
        <is>
          <t>P</t>
        </is>
      </c>
      <c r="BC9" s="161" t="inlineStr">
        <is>
          <t>2026-09-30</t>
        </is>
      </c>
      <c r="BD9" s="161" t="inlineStr">
        <is>
          <t>2026-10-21</t>
        </is>
      </c>
      <c r="BE9" s="96" t="inlineStr">
        <is>
          <t>Y</t>
        </is>
      </c>
      <c r="BF9" s="96" t="inlineStr">
        <is>
          <t>HAIR CARE PRODUCTS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2026-10-21</t>
        </is>
      </c>
      <c r="BM9" s="127" t="n"/>
      <c r="BN9" s="127" t="n"/>
      <c r="BO9" s="127" t="n"/>
      <c r="BP9" s="127" t="n">
        <v>1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LCH55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qchalida@qlogthai.com</t>
        </is>
      </c>
      <c r="CJ9" s="96" t="inlineStr">
        <is>
          <t>Q-LOG THAI CO.,LTD.</t>
        </is>
      </c>
      <c r="CK9" s="96" t="inlineStr">
        <is>
          <t>CV. NOSREDNA</t>
        </is>
      </c>
      <c r="CL9" s="96" t="inlineStr">
        <is>
          <t>PT. CONSOLTAINER TRANSPORT</t>
        </is>
      </c>
      <c r="CM9" s="97" t="inlineStr">
        <is>
          <t>CLOSED</t>
        </is>
      </c>
      <c r="CN9" s="96" t="inlineStr">
        <is>
          <t>202610271200</t>
        </is>
      </c>
      <c r="CO9" s="96" t="inlineStr">
        <is>
          <t>202610281200</t>
        </is>
      </c>
      <c r="CP9" s="97" t="n"/>
      <c r="CQ9" s="96" t="inlineStr">
        <is>
          <t>S22-2405014</t>
        </is>
      </c>
      <c r="CR9" s="96" t="inlineStr">
        <is>
          <t>THTURB</t>
        </is>
      </c>
      <c r="CS9" s="96" t="inlineStr">
        <is>
          <t>Q-LOG THAI CO., LTD.</t>
        </is>
      </c>
      <c r="CT9" s="96" t="inlineStr">
        <is>
          <t>N</t>
        </is>
      </c>
      <c r="CU9" s="97" t="n"/>
      <c r="CV9" s="97" t="n"/>
      <c r="CW9" s="161" t="inlineStr">
        <is>
          <t>2026-10-25</t>
        </is>
      </c>
      <c r="CX9" s="97" t="inlineStr">
        <is>
          <t>330590</t>
        </is>
      </c>
      <c r="CY9" s="183" t="n"/>
    </row>
    <row r="10" ht="12" customHeight="1">
      <c r="A10" s="116" t="inlineStr">
        <is>
          <t>HASLS22260902829</t>
        </is>
      </c>
      <c r="B10" s="96" t="inlineStr">
        <is>
          <t>20'x1</t>
        </is>
      </c>
      <c r="C10" s="97" t="n">
        <v>1</v>
      </c>
      <c r="D10" s="97" t="n">
        <v>1</v>
      </c>
      <c r="E10" s="97" t="inlineStr">
        <is>
          <t>THLKR</t>
        </is>
      </c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ANX</t>
        </is>
      </c>
      <c r="M10" s="96" t="inlineStr">
        <is>
          <t>NSSJ</t>
        </is>
      </c>
      <c r="N10" s="96" t="inlineStr">
        <is>
          <t>2608S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2026-10-30</t>
        </is>
      </c>
      <c r="S10" s="96" t="inlineStr">
        <is>
          <t>IDJKT</t>
        </is>
      </c>
      <c r="T10" s="96" t="inlineStr">
        <is>
          <t>JKT02</t>
        </is>
      </c>
      <c r="U10" s="96" t="inlineStr">
        <is>
          <t>IDJKT</t>
        </is>
      </c>
      <c r="V10" s="161" t="inlineStr">
        <is>
          <t>2026-11-02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SEATRANS INTERNATIONAL TRANSPORT CO., LTD.</t>
        </is>
      </c>
      <c r="AB10" s="96" t="inlineStr">
        <is>
          <t>DUNI (THAILAND) CO., LTD.</t>
        </is>
      </c>
      <c r="AC10" s="163" t="n">
        <v>2334.5</v>
      </c>
      <c r="AD10" s="163" t="n">
        <v>4534.5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BAKING PARCHMENT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2026-10-19, Return : 2026-10-20 Paperless Code 2835
ClosingTime LKB 2026-10-20 @ 23.59</t>
        </is>
      </c>
      <c r="BA10" s="97" t="n"/>
      <c r="BB10" s="96" t="inlineStr">
        <is>
          <t>P</t>
        </is>
      </c>
      <c r="BC10" s="161" t="inlineStr">
        <is>
          <t>2026-09-30</t>
        </is>
      </c>
      <c r="BD10" s="161" t="inlineStr">
        <is>
          <t>2026-10-26</t>
        </is>
      </c>
      <c r="BE10" s="96" t="inlineStr">
        <is>
          <t>Y</t>
        </is>
      </c>
      <c r="BF10" s="96" t="inlineStr">
        <is>
          <t>BAKING PAPER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2026-10-19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LCH55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document@seatrans.co.th;manoon@seatrans.co.th;saowanee_aeyaey@hotmail.com</t>
        </is>
      </c>
      <c r="CJ10" s="96" t="inlineStr">
        <is>
          <t>DUNI (THAILAND) CO.,LTD</t>
        </is>
      </c>
      <c r="CK10" s="96" t="inlineStr">
        <is>
          <t>PT PRAMBANAN KENCANA</t>
        </is>
      </c>
      <c r="CL10" s="96" t="inlineStr">
        <is>
          <t>PT PRAMBANAN KENCANA</t>
        </is>
      </c>
      <c r="CM10" s="97" t="inlineStr">
        <is>
          <t>CLOSED</t>
        </is>
      </c>
      <c r="CN10" s="96" t="inlineStr">
        <is>
          <t>202610271200</t>
        </is>
      </c>
      <c r="CO10" s="96" t="inlineStr">
        <is>
          <t>202610281200</t>
        </is>
      </c>
      <c r="CP10" s="97" t="n"/>
      <c r="CQ10" s="96" t="inlineStr">
        <is>
          <t>S22-2209004</t>
        </is>
      </c>
      <c r="CR10" s="96" t="inlineStr">
        <is>
          <t>BB0178</t>
        </is>
      </c>
      <c r="CS10" s="96" t="inlineStr">
        <is>
          <t>SEATRANS INTERNATIONAL TRANSPORT CO., LTD.</t>
        </is>
      </c>
      <c r="CT10" s="96" t="inlineStr">
        <is>
          <t>N</t>
        </is>
      </c>
      <c r="CU10" s="97" t="n"/>
      <c r="CV10" s="97" t="n"/>
      <c r="CW10" s="161" t="inlineStr">
        <is>
          <t>2026-10-23</t>
        </is>
      </c>
      <c r="CX10" s="97" t="inlineStr">
        <is>
          <t>481910</t>
        </is>
      </c>
      <c r="CY10" s="183" t="n"/>
    </row>
    <row r="11" ht="12" customHeight="1">
      <c r="A11" s="116" t="inlineStr">
        <is>
          <t>HASLS22261000237</t>
        </is>
      </c>
      <c r="B11" s="96" t="inlineStr">
        <is>
          <t>R40Hx1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ANX</t>
        </is>
      </c>
      <c r="M11" s="96" t="inlineStr">
        <is>
          <t>NSSJ</t>
        </is>
      </c>
      <c r="N11" s="96" t="inlineStr">
        <is>
          <t>2608S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2026-10-30</t>
        </is>
      </c>
      <c r="S11" s="96" t="inlineStr">
        <is>
          <t>IDJKT</t>
        </is>
      </c>
      <c r="T11" s="96" t="inlineStr">
        <is>
          <t>JKT02</t>
        </is>
      </c>
      <c r="U11" s="96" t="inlineStr">
        <is>
          <t>IDJKT</t>
        </is>
      </c>
      <c r="V11" s="161" t="inlineStr">
        <is>
          <t>2026-11-02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BE 1ST ALLIANCE CO., LTD.</t>
        </is>
      </c>
      <c r="AB11" s="96" t="inlineStr">
        <is>
          <t>SUCCESS IMPORT &amp; EXPORT CO., LTD.</t>
        </is>
      </c>
      <c r="AC11" s="163" t="n">
        <v>28125</v>
      </c>
      <c r="AD11" s="163" t="n">
        <v>32125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TBKK97</t>
        </is>
      </c>
      <c r="AN11" s="96" t="inlineStr">
        <is>
          <t>Arunphat W. (Aiw)</t>
        </is>
      </c>
      <c r="AO11" s="96" t="inlineStr">
        <is>
          <t>FRESH LONGAN</t>
        </is>
      </c>
      <c r="AP11" s="96" t="inlineStr">
        <is>
          <t>Normal</t>
        </is>
      </c>
      <c r="AQ11" s="97" t="n"/>
      <c r="AR11" s="97" t="n"/>
      <c r="AS11" s="97" t="inlineStr">
        <is>
          <t>RF// MIN:+2.0 MAX:+2.0 [COVER:OPEN]</t>
        </is>
      </c>
      <c r="AT11" s="97" t="inlineStr">
        <is>
          <t xml:space="preserve">45REx1 </t>
        </is>
      </c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>Pickup : 2026-10-24, Return : 2026-10-27  (Temp +2.0 / Vent 15% Open) 
Closing Time 2026-10-27 @23.59</t>
        </is>
      </c>
      <c r="BA11" s="97" t="n"/>
      <c r="BB11" s="96" t="inlineStr">
        <is>
          <t>P</t>
        </is>
      </c>
      <c r="BC11" s="161" t="inlineStr">
        <is>
          <t>2026-10-05</t>
        </is>
      </c>
      <c r="BD11" s="161" t="inlineStr">
        <is>
          <t>2026-10-26</t>
        </is>
      </c>
      <c r="BE11" s="96" t="inlineStr">
        <is>
          <t>Y</t>
        </is>
      </c>
      <c r="BF11" s="96" t="inlineStr">
        <is>
          <t>FRESH  LONGAN / +2'C VENT 15%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2026-10-24</t>
        </is>
      </c>
      <c r="BM11" s="127" t="n"/>
      <c r="BN11" s="127" t="n"/>
      <c r="BO11" s="127" t="n"/>
      <c r="BP11" s="127" t="n"/>
      <c r="BQ11" s="127" t="n"/>
      <c r="BR11" s="127" t="n">
        <v>1</v>
      </c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patcharin@be1st-alliance.com</t>
        </is>
      </c>
      <c r="CJ11" s="96" t="inlineStr">
        <is>
          <t>SUCCESS IMPORT &amp; EXPORT CO.,LTD.</t>
        </is>
      </c>
      <c r="CK11" s="96" t="inlineStr">
        <is>
          <t>PT. METRO PERSADA SENTOSA</t>
        </is>
      </c>
      <c r="CL11" s="96" t="inlineStr">
        <is>
          <t>PT. METRO PERSADA SENTOSA</t>
        </is>
      </c>
      <c r="CM11" s="97" t="inlineStr">
        <is>
          <t>CLOSED</t>
        </is>
      </c>
      <c r="CN11" s="96" t="inlineStr">
        <is>
          <t>202610271200</t>
        </is>
      </c>
      <c r="CO11" s="96" t="inlineStr">
        <is>
          <t>202610281200</t>
        </is>
      </c>
      <c r="CP11" s="97" t="inlineStr">
        <is>
          <t>45RE x1: RF(Temp:+2.0' / Cover:FULL OPEN)</t>
        </is>
      </c>
      <c r="CQ11" s="96" t="inlineStr">
        <is>
          <t>S22-2404031</t>
        </is>
      </c>
      <c r="CR11" s="96" t="inlineStr">
        <is>
          <t>BB1264</t>
        </is>
      </c>
      <c r="CS11" s="96" t="inlineStr">
        <is>
          <t>BE 1ST ALLIANCE CO., LTD.</t>
        </is>
      </c>
      <c r="CT11" s="96" t="inlineStr">
        <is>
          <t>N</t>
        </is>
      </c>
      <c r="CU11" s="97" t="n"/>
      <c r="CV11" s="97" t="n"/>
      <c r="CW11" s="161" t="inlineStr">
        <is>
          <t>2026-10-23</t>
        </is>
      </c>
      <c r="CX11" s="97" t="inlineStr">
        <is>
          <t>081090</t>
        </is>
      </c>
      <c r="CY11" s="183" t="n"/>
    </row>
    <row r="12" ht="12" customHeight="1">
      <c r="A12" s="116" t="inlineStr">
        <is>
          <t>HASLS22261000238</t>
        </is>
      </c>
      <c r="B12" s="96" t="inlineStr">
        <is>
          <t>R40Hx1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0</v>
      </c>
      <c r="H12" s="97" t="n">
        <v>0</v>
      </c>
      <c r="I12" s="97" t="n">
        <v>1</v>
      </c>
      <c r="J12" s="97" t="n">
        <v>2</v>
      </c>
      <c r="K12" s="96" t="inlineStr">
        <is>
          <t>N</t>
        </is>
      </c>
      <c r="L12" s="96" t="inlineStr">
        <is>
          <t>ANX</t>
        </is>
      </c>
      <c r="M12" s="96" t="inlineStr">
        <is>
          <t>NSSJ</t>
        </is>
      </c>
      <c r="N12" s="96" t="inlineStr">
        <is>
          <t>2608S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2026-10-30</t>
        </is>
      </c>
      <c r="S12" s="96" t="inlineStr">
        <is>
          <t>IDJKT</t>
        </is>
      </c>
      <c r="T12" s="96" t="inlineStr">
        <is>
          <t>JKT02</t>
        </is>
      </c>
      <c r="U12" s="96" t="inlineStr">
        <is>
          <t>IDJKT</t>
        </is>
      </c>
      <c r="V12" s="161" t="inlineStr">
        <is>
          <t>2026-11-02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BE 1ST ALLIANCE CO., LTD.</t>
        </is>
      </c>
      <c r="AB12" s="96" t="inlineStr">
        <is>
          <t>SUCCESS IMPORT &amp; EXPORT CO., LTD.</t>
        </is>
      </c>
      <c r="AC12" s="163" t="n">
        <v>28125</v>
      </c>
      <c r="AD12" s="163" t="n">
        <v>32125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TBKK97</t>
        </is>
      </c>
      <c r="AN12" s="96" t="inlineStr">
        <is>
          <t>Arunphat W. (Aiw)</t>
        </is>
      </c>
      <c r="AO12" s="96" t="inlineStr">
        <is>
          <t>FRESH LONGAN</t>
        </is>
      </c>
      <c r="AP12" s="96" t="inlineStr">
        <is>
          <t>Normal</t>
        </is>
      </c>
      <c r="AQ12" s="97" t="n"/>
      <c r="AR12" s="97" t="n"/>
      <c r="AS12" s="97" t="inlineStr">
        <is>
          <t>RF// MIN:+2.0 MAX:+2.0 [COVER:OPEN]</t>
        </is>
      </c>
      <c r="AT12" s="97" t="inlineStr">
        <is>
          <t xml:space="preserve">45REx1 </t>
        </is>
      </c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2026-10-24, Return : 2026-10-27  (Temp +2.0 / Vent 15% Open) 
Closing Time 2026-10-27 @23.59</t>
        </is>
      </c>
      <c r="BA12" s="97" t="n"/>
      <c r="BB12" s="96" t="inlineStr">
        <is>
          <t>P</t>
        </is>
      </c>
      <c r="BC12" s="161" t="inlineStr">
        <is>
          <t>2026-10-05</t>
        </is>
      </c>
      <c r="BD12" s="161" t="inlineStr">
        <is>
          <t>2026-10-26</t>
        </is>
      </c>
      <c r="BE12" s="96" t="inlineStr">
        <is>
          <t>Y</t>
        </is>
      </c>
      <c r="BF12" s="96" t="inlineStr">
        <is>
          <t>FRESH  LONGAN / +2'C VENT 15%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2026-10-24</t>
        </is>
      </c>
      <c r="BM12" s="127" t="n"/>
      <c r="BN12" s="127" t="n"/>
      <c r="BO12" s="127" t="n"/>
      <c r="BP12" s="127" t="n"/>
      <c r="BQ12" s="127" t="n"/>
      <c r="BR12" s="127" t="n">
        <v>1</v>
      </c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patcharin@be1st-alliance.com</t>
        </is>
      </c>
      <c r="CJ12" s="96" t="inlineStr">
        <is>
          <t>SUCCESS IMPORT &amp; EXPORT CO.,LTD.</t>
        </is>
      </c>
      <c r="CK12" s="96" t="inlineStr">
        <is>
          <t>PT. METRO PERSADA SENTOSA</t>
        </is>
      </c>
      <c r="CL12" s="96" t="inlineStr">
        <is>
          <t>PT. METRO PERSADA SENTOSA</t>
        </is>
      </c>
      <c r="CM12" s="97" t="inlineStr">
        <is>
          <t>CLOSED</t>
        </is>
      </c>
      <c r="CN12" s="96" t="inlineStr">
        <is>
          <t>202610271200</t>
        </is>
      </c>
      <c r="CO12" s="96" t="inlineStr">
        <is>
          <t>202610281200</t>
        </is>
      </c>
      <c r="CP12" s="97" t="inlineStr">
        <is>
          <t>45RE x1: RF(Temp:+2.0' / Cover:FULL OPEN)</t>
        </is>
      </c>
      <c r="CQ12" s="96" t="inlineStr">
        <is>
          <t>S22-2404031</t>
        </is>
      </c>
      <c r="CR12" s="96" t="inlineStr">
        <is>
          <t>BB1264</t>
        </is>
      </c>
      <c r="CS12" s="96" t="inlineStr">
        <is>
          <t>BE 1ST ALLIANCE CO., LTD.</t>
        </is>
      </c>
      <c r="CT12" s="96" t="inlineStr">
        <is>
          <t>N</t>
        </is>
      </c>
      <c r="CU12" s="97" t="n"/>
      <c r="CV12" s="97" t="n"/>
      <c r="CW12" s="161" t="inlineStr">
        <is>
          <t>2026-10-23</t>
        </is>
      </c>
      <c r="CX12" s="97" t="inlineStr">
        <is>
          <t>081090</t>
        </is>
      </c>
      <c r="CY12" s="183" t="n"/>
    </row>
    <row r="13" ht="12" customHeight="1">
      <c r="A13" s="116" t="inlineStr">
        <is>
          <t>HASLS22261000239</t>
        </is>
      </c>
      <c r="B13" s="96" t="inlineStr">
        <is>
          <t>R40Hx1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ANX</t>
        </is>
      </c>
      <c r="M13" s="96" t="inlineStr">
        <is>
          <t>NSSJ</t>
        </is>
      </c>
      <c r="N13" s="96" t="inlineStr">
        <is>
          <t>2608S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2026-10-30</t>
        </is>
      </c>
      <c r="S13" s="96" t="inlineStr">
        <is>
          <t>IDJKT</t>
        </is>
      </c>
      <c r="T13" s="96" t="inlineStr">
        <is>
          <t>JKT02</t>
        </is>
      </c>
      <c r="U13" s="96" t="inlineStr">
        <is>
          <t>IDJKT</t>
        </is>
      </c>
      <c r="V13" s="161" t="inlineStr">
        <is>
          <t>2026-11-02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BE 1ST ALLIANCE CO., LTD.</t>
        </is>
      </c>
      <c r="AB13" s="96" t="inlineStr">
        <is>
          <t>OK FRESH FRUITS (THAILAND) CO.,LTD.</t>
        </is>
      </c>
      <c r="AC13" s="163" t="n">
        <v>27825</v>
      </c>
      <c r="AD13" s="163" t="n">
        <v>31825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TBKK97</t>
        </is>
      </c>
      <c r="AN13" s="96" t="inlineStr">
        <is>
          <t>Arunphat W. (Aiw)</t>
        </is>
      </c>
      <c r="AO13" s="96" t="inlineStr">
        <is>
          <t>FRESH LONGAN</t>
        </is>
      </c>
      <c r="AP13" s="96" t="inlineStr">
        <is>
          <t>Normal</t>
        </is>
      </c>
      <c r="AQ13" s="97" t="n"/>
      <c r="AR13" s="97" t="n"/>
      <c r="AS13" s="97" t="inlineStr">
        <is>
          <t>RF// MIN:+2.0 MAX:+2.0 [COVER:OPEN]</t>
        </is>
      </c>
      <c r="AT13" s="97" t="inlineStr">
        <is>
          <t xml:space="preserve">45REx1 </t>
        </is>
      </c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Pickup : 2026-10-24, Return : 2026-10-27  (Temp +2.0 / Vent 15% Open) 
Closing Time 2026-10-27 @23.59</t>
        </is>
      </c>
      <c r="BA13" s="97" t="n"/>
      <c r="BB13" s="96" t="inlineStr">
        <is>
          <t>P</t>
        </is>
      </c>
      <c r="BC13" s="161" t="inlineStr">
        <is>
          <t>2026-10-05</t>
        </is>
      </c>
      <c r="BD13" s="161" t="inlineStr">
        <is>
          <t>2026-10-26</t>
        </is>
      </c>
      <c r="BE13" s="96" t="inlineStr">
        <is>
          <t>Y</t>
        </is>
      </c>
      <c r="BF13" s="96" t="inlineStr">
        <is>
          <t>FRESH  LONGAN / +2'C VENT 15%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2026-10-24</t>
        </is>
      </c>
      <c r="BM13" s="127" t="n"/>
      <c r="BN13" s="127" t="n"/>
      <c r="BO13" s="127" t="n"/>
      <c r="BP13" s="127" t="n"/>
      <c r="BQ13" s="127" t="n"/>
      <c r="BR13" s="127" t="n">
        <v>1</v>
      </c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patcharin@be1st-alliance.com</t>
        </is>
      </c>
      <c r="CJ13" s="96" t="inlineStr">
        <is>
          <t>ON PROMO CO.,LTD.</t>
        </is>
      </c>
      <c r="CK13" s="96" t="inlineStr">
        <is>
          <t>PT. SEGAR ABADI SEDANA</t>
        </is>
      </c>
      <c r="CL13" s="96" t="inlineStr">
        <is>
          <t>PT. SEGAR ABADI SEDANA</t>
        </is>
      </c>
      <c r="CM13" s="97" t="inlineStr">
        <is>
          <t>CLOSED</t>
        </is>
      </c>
      <c r="CN13" s="96" t="inlineStr">
        <is>
          <t>202610271200</t>
        </is>
      </c>
      <c r="CO13" s="96" t="inlineStr">
        <is>
          <t>202610281200</t>
        </is>
      </c>
      <c r="CP13" s="97" t="inlineStr">
        <is>
          <t>45RE x1: RF(Temp:+2.0' / Cover:FULL OPEN)</t>
        </is>
      </c>
      <c r="CQ13" s="96" t="inlineStr">
        <is>
          <t>S22-2404031</t>
        </is>
      </c>
      <c r="CR13" s="96" t="inlineStr">
        <is>
          <t>BB1264</t>
        </is>
      </c>
      <c r="CS13" s="96" t="inlineStr">
        <is>
          <t>BE 1ST ALLIANCE CO., LTD.</t>
        </is>
      </c>
      <c r="CT13" s="96" t="inlineStr">
        <is>
          <t>N</t>
        </is>
      </c>
      <c r="CU13" s="97" t="n"/>
      <c r="CV13" s="97" t="n"/>
      <c r="CW13" s="161" t="inlineStr">
        <is>
          <t>2026-10-29</t>
        </is>
      </c>
      <c r="CX13" s="97" t="inlineStr">
        <is>
          <t>081090</t>
        </is>
      </c>
      <c r="CY13" s="183" t="n"/>
    </row>
    <row r="14" ht="12" customHeight="1">
      <c r="A14" s="116" t="inlineStr">
        <is>
          <t>HASLS22261000261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ANX</t>
        </is>
      </c>
      <c r="M14" s="96" t="inlineStr">
        <is>
          <t>NSSJ</t>
        </is>
      </c>
      <c r="N14" s="96" t="inlineStr">
        <is>
          <t>2608S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2026-10-30</t>
        </is>
      </c>
      <c r="S14" s="96" t="inlineStr">
        <is>
          <t>IDJKT</t>
        </is>
      </c>
      <c r="T14" s="96" t="inlineStr">
        <is>
          <t>JKT02</t>
        </is>
      </c>
      <c r="U14" s="96" t="inlineStr">
        <is>
          <t>IDJKT</t>
        </is>
      </c>
      <c r="V14" s="161" t="inlineStr">
        <is>
          <t>2026-11-02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NH LOGISTICS CO., LTD.</t>
        </is>
      </c>
      <c r="AB14" s="96" t="inlineStr">
        <is>
          <t>TROY SIAM CO., LTD.</t>
        </is>
      </c>
      <c r="AC14" s="163" t="n">
        <v>15976.3</v>
      </c>
      <c r="AD14" s="163" t="n">
        <v>18176.3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n"/>
      <c r="AJ14" s="97" t="n"/>
      <c r="AK14" s="97" t="n"/>
      <c r="AL14" s="97" t="n"/>
      <c r="AM14" s="96" t="inlineStr">
        <is>
          <t>TBKK97</t>
        </is>
      </c>
      <c r="AN14" s="96" t="inlineStr">
        <is>
          <t>Arunphat W. (Aiw)</t>
        </is>
      </c>
      <c r="AO14" s="96" t="inlineStr">
        <is>
          <t>HAZARDOUS CHEMICALS</t>
        </is>
      </c>
      <c r="AP14" s="96" t="inlineStr">
        <is>
          <t>Normal</t>
        </is>
      </c>
      <c r="AQ14" s="97" t="inlineStr">
        <is>
          <t>DG(Mix)22GPx1 (CLS 3 / UN 1993, CLS 8 / UN 2922, CLS 9 / UN 3082, CLS 8 / UN 3265)</t>
        </is>
      </c>
      <c r="AR14" s="97" t="inlineStr">
        <is>
          <t xml:space="preserve">22GPx1 </t>
        </is>
      </c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 xml:space="preserve">APPROVAL BY Mr.Jeong-Yong UM DD.15/10/2026 // DG CARGO (CLS 3 / UN 1993, CLS 8 / UN 2922, CLS 9 / UN 3082, CLS 8 / UN 3265) 
Pickup : 2026-10-22, Return : 2026-10-22 </t>
        </is>
      </c>
      <c r="BA14" s="97" t="n"/>
      <c r="BB14" s="96" t="inlineStr">
        <is>
          <t>P</t>
        </is>
      </c>
      <c r="BC14" s="161" t="inlineStr">
        <is>
          <t>2026-10-05</t>
        </is>
      </c>
      <c r="BD14" s="161" t="inlineStr">
        <is>
          <t>2026-10-26</t>
        </is>
      </c>
      <c r="BE14" s="96" t="inlineStr">
        <is>
          <t>Y</t>
        </is>
      </c>
      <c r="BF14" s="96" t="inlineStr">
        <is>
          <t xml:space="preserve">HAZARDOUS CHEMICAL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LCH27</t>
        </is>
      </c>
      <c r="BL14" s="161" t="inlineStr">
        <is>
          <t>2026-10-22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9 Class x 1 Teu (Approval), 3 Class x 1 Teu (Approval), 8 Class x 1 Teu (Approval),</t>
        </is>
      </c>
      <c r="CG14" s="96" t="inlineStr">
        <is>
          <t>CY/CY</t>
        </is>
      </c>
      <c r="CH14" s="97" t="n"/>
      <c r="CI14" s="96" t="inlineStr">
        <is>
          <t>Suthatcha@nhlog.co.th;panitha@nhlog.co.th</t>
        </is>
      </c>
      <c r="CJ14" s="96" t="inlineStr">
        <is>
          <t>TROY SIAM COMPANY LIMITED</t>
        </is>
      </c>
      <c r="CK14" s="96" t="inlineStr">
        <is>
          <t>PT.WWRC INDONESIA</t>
        </is>
      </c>
      <c r="CL14" s="96" t="inlineStr">
        <is>
          <t>PT.WWRC INDONESIA</t>
        </is>
      </c>
      <c r="CM14" s="97" t="n"/>
      <c r="CN14" s="96" t="inlineStr">
        <is>
          <t>202610271200</t>
        </is>
      </c>
      <c r="CO14" s="96" t="inlineStr">
        <is>
          <t>202610281200</t>
        </is>
      </c>
      <c r="CP14" s="97" t="inlineStr">
        <is>
          <t>22GP x1: DG(UNNo.:3265/ Class:8)</t>
        </is>
      </c>
      <c r="CQ14" s="96" t="inlineStr">
        <is>
          <t>S22-2212027</t>
        </is>
      </c>
      <c r="CR14" s="96" t="inlineStr">
        <is>
          <t>THTKZR</t>
        </is>
      </c>
      <c r="CS14" s="96" t="inlineStr">
        <is>
          <t>NH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2026-10-25</t>
        </is>
      </c>
      <c r="CX14" s="97" t="inlineStr">
        <is>
          <t>382499</t>
        </is>
      </c>
      <c r="CY14" s="183" t="n"/>
    </row>
    <row r="15" ht="12" customHeight="1">
      <c r="A15" s="116" t="inlineStr">
        <is>
          <t>HASLS22261000354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ANX</t>
        </is>
      </c>
      <c r="M15" s="96" t="inlineStr">
        <is>
          <t>NSSJ</t>
        </is>
      </c>
      <c r="N15" s="96" t="inlineStr">
        <is>
          <t>2608S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2026-10-30</t>
        </is>
      </c>
      <c r="S15" s="96" t="inlineStr">
        <is>
          <t>IDJKT</t>
        </is>
      </c>
      <c r="T15" s="96" t="inlineStr">
        <is>
          <t>JKT02</t>
        </is>
      </c>
      <c r="U15" s="96" t="inlineStr">
        <is>
          <t>IDJKT</t>
        </is>
      </c>
      <c r="V15" s="161" t="inlineStr">
        <is>
          <t>2026-11-02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Q-LOG THAI CO., LTD.</t>
        </is>
      </c>
      <c r="AB15" s="96" t="inlineStr">
        <is>
          <t>THAI METAL ALUMINIUM CO., LTD.</t>
        </is>
      </c>
      <c r="AC15" s="163" t="n">
        <v>5780.9</v>
      </c>
      <c r="AD15" s="163" t="n">
        <v>7980.9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TBKK97</t>
        </is>
      </c>
      <c r="AN15" s="96" t="inlineStr">
        <is>
          <t>Arunphat W. (Aiw)</t>
        </is>
      </c>
      <c r="AO15" s="96" t="inlineStr">
        <is>
          <t>ALUMINIUM SIDE STEP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2026-10-21, Return : 2026-10-22</t>
        </is>
      </c>
      <c r="BA15" s="97" t="n"/>
      <c r="BB15" s="96" t="inlineStr">
        <is>
          <t>P</t>
        </is>
      </c>
      <c r="BC15" s="161" t="inlineStr">
        <is>
          <t>2026-10-05</t>
        </is>
      </c>
      <c r="BD15" s="161" t="inlineStr">
        <is>
          <t>2026-10-26</t>
        </is>
      </c>
      <c r="BE15" s="96" t="inlineStr">
        <is>
          <t>Y</t>
        </is>
      </c>
      <c r="BF15" s="96" t="inlineStr">
        <is>
          <t>ALUMINIUM SIDE STEP: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LCH27</t>
        </is>
      </c>
      <c r="BL15" s="161" t="inlineStr">
        <is>
          <t>2026-10-21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qsirayuth@qlogthai.com</t>
        </is>
      </c>
      <c r="CJ15" s="96" t="inlineStr">
        <is>
          <t>Q-LOG THAI CO., LTD.</t>
        </is>
      </c>
      <c r="CK15" s="96" t="inlineStr">
        <is>
          <t>PT. SUMMIT ADYAWINSA INDONESIA</t>
        </is>
      </c>
      <c r="CL15" s="96" t="inlineStr">
        <is>
          <t>PT. IP LOGISTICS INDONESIA</t>
        </is>
      </c>
      <c r="CM15" s="97" t="inlineStr">
        <is>
          <t>CLOSED</t>
        </is>
      </c>
      <c r="CN15" s="96" t="inlineStr">
        <is>
          <t>202610271200</t>
        </is>
      </c>
      <c r="CO15" s="96" t="inlineStr">
        <is>
          <t>202610281200</t>
        </is>
      </c>
      <c r="CP15" s="97" t="n"/>
      <c r="CQ15" s="96" t="inlineStr">
        <is>
          <t>S22-2405014</t>
        </is>
      </c>
      <c r="CR15" s="96" t="inlineStr">
        <is>
          <t>THTURB</t>
        </is>
      </c>
      <c r="CS15" s="96" t="inlineStr">
        <is>
          <t>Q-LOG THAI CO., LTD.</t>
        </is>
      </c>
      <c r="CT15" s="96" t="inlineStr">
        <is>
          <t>N</t>
        </is>
      </c>
      <c r="CU15" s="97" t="n"/>
      <c r="CV15" s="97" t="n"/>
      <c r="CW15" s="161" t="inlineStr">
        <is>
          <t>2026-10-23</t>
        </is>
      </c>
      <c r="CX15" s="97" t="inlineStr">
        <is>
          <t>870829</t>
        </is>
      </c>
      <c r="CY15" s="183" t="n"/>
    </row>
    <row r="16" ht="12" customHeight="1">
      <c r="A16" s="116" t="inlineStr">
        <is>
          <t>HASLS22261000533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ANX</t>
        </is>
      </c>
      <c r="M16" s="96" t="inlineStr">
        <is>
          <t>NSSJ</t>
        </is>
      </c>
      <c r="N16" s="96" t="inlineStr">
        <is>
          <t>2608S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2026-10-30</t>
        </is>
      </c>
      <c r="S16" s="96" t="inlineStr">
        <is>
          <t>IDJKT</t>
        </is>
      </c>
      <c r="T16" s="96" t="inlineStr">
        <is>
          <t>JKT02</t>
        </is>
      </c>
      <c r="U16" s="96" t="inlineStr">
        <is>
          <t>IDJKT</t>
        </is>
      </c>
      <c r="V16" s="161" t="inlineStr">
        <is>
          <t>2026-11-02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THAI MFC CO., LTD.</t>
        </is>
      </c>
      <c r="AB16" s="96" t="inlineStr">
        <is>
          <t>THAI MFC CO., LTD.</t>
        </is>
      </c>
      <c r="AC16" s="163" t="n">
        <v>18929.7</v>
      </c>
      <c r="AD16" s="163" t="n">
        <v>21129.7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TBKK19</t>
        </is>
      </c>
      <c r="AN16" s="96" t="inlineStr">
        <is>
          <t>Kanokporn</t>
        </is>
      </c>
      <c r="AO16" s="96" t="inlineStr">
        <is>
          <t>MELAMINE MOULDING COMPOUND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2026-10-20, Return : 2026-10-22
Extend Closing Time 2026-10-27 @ 12.00</t>
        </is>
      </c>
      <c r="BA16" s="97" t="inlineStr">
        <is>
          <t>REQUEST SURRENDER BL</t>
        </is>
      </c>
      <c r="BB16" s="96" t="inlineStr">
        <is>
          <t>P</t>
        </is>
      </c>
      <c r="BC16" s="161" t="inlineStr">
        <is>
          <t>2026-10-07</t>
        </is>
      </c>
      <c r="BD16" s="161" t="inlineStr">
        <is>
          <t>2026-10-26</t>
        </is>
      </c>
      <c r="BE16" s="96" t="inlineStr">
        <is>
          <t>Y</t>
        </is>
      </c>
      <c r="BF16" s="96" t="inlineStr">
        <is>
          <t>MELAMINE MOULDING COMPOUND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2026-10-20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thanetpp@scg.com;jiratchp@scg.com</t>
        </is>
      </c>
      <c r="CJ16" s="96" t="inlineStr">
        <is>
          <t>THAI MFC CO.,LTD.</t>
        </is>
      </c>
      <c r="CK16" s="96" t="inlineStr">
        <is>
          <t>PT. MULTIRAYA INDAHABADI</t>
        </is>
      </c>
      <c r="CL16" s="96" t="inlineStr">
        <is>
          <t>PT. MULTIRAYA INDAHABADI</t>
        </is>
      </c>
      <c r="CM16" s="97" t="inlineStr">
        <is>
          <t>CLOSED</t>
        </is>
      </c>
      <c r="CN16" s="96" t="inlineStr">
        <is>
          <t>202610271200</t>
        </is>
      </c>
      <c r="CO16" s="96" t="inlineStr">
        <is>
          <t>202610281200</t>
        </is>
      </c>
      <c r="CP16" s="97" t="n"/>
      <c r="CQ16" s="96" t="inlineStr">
        <is>
          <t>S19-2210028</t>
        </is>
      </c>
      <c r="CR16" s="96" t="inlineStr">
        <is>
          <t>TH03KL</t>
        </is>
      </c>
      <c r="CS16" s="96" t="inlineStr">
        <is>
          <t>THAI MFC CO., LTD.</t>
        </is>
      </c>
      <c r="CT16" s="96" t="inlineStr">
        <is>
          <t>N</t>
        </is>
      </c>
      <c r="CU16" s="97" t="n"/>
      <c r="CV16" s="97" t="n"/>
      <c r="CW16" s="161" t="inlineStr">
        <is>
          <t>2026-10-28</t>
        </is>
      </c>
      <c r="CX16" s="97" t="inlineStr">
        <is>
          <t>390920</t>
        </is>
      </c>
      <c r="CY16" s="183" t="n"/>
    </row>
    <row r="17" ht="12" customHeight="1">
      <c r="A17" s="116" t="inlineStr">
        <is>
          <t>HASLS22261000552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ANX</t>
        </is>
      </c>
      <c r="M17" s="96" t="inlineStr">
        <is>
          <t>NSSJ</t>
        </is>
      </c>
      <c r="N17" s="96" t="inlineStr">
        <is>
          <t>2608S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2026-10-30</t>
        </is>
      </c>
      <c r="S17" s="96" t="inlineStr">
        <is>
          <t>IDJKT</t>
        </is>
      </c>
      <c r="T17" s="96" t="inlineStr">
        <is>
          <t>JKT02</t>
        </is>
      </c>
      <c r="U17" s="96" t="inlineStr">
        <is>
          <t>IDJKT</t>
        </is>
      </c>
      <c r="V17" s="161" t="inlineStr">
        <is>
          <t>2026-11-02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TG FREIGHT SERVICES CO., LTD.</t>
        </is>
      </c>
      <c r="AB17" s="96" t="inlineStr">
        <is>
          <t>HIGASKET PLASTICS GROUP (THAILAND) CO., LTD.</t>
        </is>
      </c>
      <c r="AC17" s="163" t="n">
        <v>1666</v>
      </c>
      <c r="AD17" s="163" t="n">
        <v>3866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TH0011</t>
        </is>
      </c>
      <c r="AN17" s="96" t="inlineStr">
        <is>
          <t>Nannaapust Sukporntaweewat</t>
        </is>
      </c>
      <c r="AO17" s="96" t="inlineStr">
        <is>
          <t>COIL EVAPORATOR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2026-10-22, Return : 2026-10-24</t>
        </is>
      </c>
      <c r="BA17" s="97" t="inlineStr">
        <is>
          <t xml:space="preserve">REV #2  : CY&amp;RTN </t>
        </is>
      </c>
      <c r="BB17" s="96" t="inlineStr">
        <is>
          <t>P</t>
        </is>
      </c>
      <c r="BC17" s="161" t="inlineStr">
        <is>
          <t>2026-10-07</t>
        </is>
      </c>
      <c r="BD17" s="161" t="inlineStr">
        <is>
          <t>2026-10-26</t>
        </is>
      </c>
      <c r="BE17" s="96" t="inlineStr">
        <is>
          <t>Y</t>
        </is>
      </c>
      <c r="BF17" s="96" t="inlineStr">
        <is>
          <t>COIL EVAPORATOR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LCH27</t>
        </is>
      </c>
      <c r="BL17" s="161" t="inlineStr">
        <is>
          <t>2026-10-22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cs@tgfreight-s.com</t>
        </is>
      </c>
      <c r="CJ17" s="96" t="inlineStr">
        <is>
          <t>HIGASKET PLASTICS GROUP (THAILAND)</t>
        </is>
      </c>
      <c r="CK17" s="96" t="inlineStr">
        <is>
          <t>PT PANASONIC MANUFACTURING</t>
        </is>
      </c>
      <c r="CL17" s="96" t="inlineStr">
        <is>
          <t>PT PANASONIC MANUFACTURING</t>
        </is>
      </c>
      <c r="CM17" s="97" t="inlineStr">
        <is>
          <t>CLOSED</t>
        </is>
      </c>
      <c r="CN17" s="96" t="inlineStr">
        <is>
          <t>202610271200</t>
        </is>
      </c>
      <c r="CO17" s="96" t="inlineStr">
        <is>
          <t>202610281200</t>
        </is>
      </c>
      <c r="CP17" s="97" t="n"/>
      <c r="CQ17" s="96" t="inlineStr">
        <is>
          <t>S22-2401024</t>
        </is>
      </c>
      <c r="CR17" s="96" t="inlineStr">
        <is>
          <t>THTS2Y</t>
        </is>
      </c>
      <c r="CS17" s="96" t="inlineStr">
        <is>
          <t>TG FREIGHT SERVICES CO., LTD.</t>
        </is>
      </c>
      <c r="CT17" s="96" t="inlineStr">
        <is>
          <t>N</t>
        </is>
      </c>
      <c r="CU17" s="97" t="n"/>
      <c r="CV17" s="97" t="n"/>
      <c r="CW17" s="161" t="inlineStr">
        <is>
          <t>2026-10-28</t>
        </is>
      </c>
      <c r="CX17" s="97" t="inlineStr">
        <is>
          <t>841891</t>
        </is>
      </c>
      <c r="CY17" s="183" t="n"/>
    </row>
    <row r="18" ht="12" customHeight="1">
      <c r="A18" s="116" t="inlineStr">
        <is>
          <t>HASLS22261000641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ANX</t>
        </is>
      </c>
      <c r="M18" s="96" t="inlineStr">
        <is>
          <t>NSSJ</t>
        </is>
      </c>
      <c r="N18" s="96" t="inlineStr">
        <is>
          <t>2608S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2026-10-30</t>
        </is>
      </c>
      <c r="S18" s="96" t="inlineStr">
        <is>
          <t>IDJKT</t>
        </is>
      </c>
      <c r="T18" s="96" t="inlineStr">
        <is>
          <t>JKT02</t>
        </is>
      </c>
      <c r="U18" s="96" t="inlineStr">
        <is>
          <t>IDJKT</t>
        </is>
      </c>
      <c r="V18" s="161" t="inlineStr">
        <is>
          <t>2026-11-02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PRIME LOGISTICS INTERNATIONAL CO., LTD.</t>
        </is>
      </c>
      <c r="AB18" s="96" t="inlineStr">
        <is>
          <t>TPBI PUBLIC COMPANY LIMITED</t>
        </is>
      </c>
      <c r="AC18" s="163" t="n">
        <v>8926.6</v>
      </c>
      <c r="AD18" s="163" t="n">
        <v>11126.6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TH0011</t>
        </is>
      </c>
      <c r="AN18" s="96" t="inlineStr">
        <is>
          <t>Nannaapust Sukporntaweewat</t>
        </is>
      </c>
      <c r="AO18" s="96" t="inlineStr">
        <is>
          <t>PLASTIC FILM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2026-10-21, Return : 2026-10-22</t>
        </is>
      </c>
      <c r="BA18" s="97" t="inlineStr">
        <is>
          <t>SHIPPER: TPBI PCL.CY-RTN: 20-21/OCT (LCB)***REQ FOOD GRADE CONTAINER***</t>
        </is>
      </c>
      <c r="BB18" s="96" t="inlineStr">
        <is>
          <t>P</t>
        </is>
      </c>
      <c r="BC18" s="161" t="inlineStr">
        <is>
          <t>2026-10-08</t>
        </is>
      </c>
      <c r="BD18" s="161" t="inlineStr">
        <is>
          <t>2026-10-26</t>
        </is>
      </c>
      <c r="BE18" s="96" t="inlineStr">
        <is>
          <t>Y</t>
        </is>
      </c>
      <c r="BF18" s="96" t="inlineStr">
        <is>
          <t>PLASTIC BAG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2026-10-21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miruntree.c@primeloginter.com</t>
        </is>
      </c>
      <c r="CJ18" s="96" t="inlineStr">
        <is>
          <t>TPBI PUBLIC COMPANY LIMITED.</t>
        </is>
      </c>
      <c r="CK18" s="96" t="inlineStr">
        <is>
          <t>PT. DETPAK INDONESIA</t>
        </is>
      </c>
      <c r="CL18" s="96" t="inlineStr">
        <is>
          <t>PT. DETPAK INDONESIA</t>
        </is>
      </c>
      <c r="CM18" s="97" t="inlineStr">
        <is>
          <t>CLOSED</t>
        </is>
      </c>
      <c r="CN18" s="96" t="inlineStr">
        <is>
          <t>202610271200</t>
        </is>
      </c>
      <c r="CO18" s="96" t="inlineStr">
        <is>
          <t>202610281200</t>
        </is>
      </c>
      <c r="CP18" s="97" t="n"/>
      <c r="CQ18" s="96" t="inlineStr">
        <is>
          <t>S22-2411029</t>
        </is>
      </c>
      <c r="CR18" s="96" t="inlineStr">
        <is>
          <t>THTRZB</t>
        </is>
      </c>
      <c r="CS18" s="96" t="inlineStr">
        <is>
          <t>PRIME LOGISTICS INTERNATIONAL CO., LTD.</t>
        </is>
      </c>
      <c r="CT18" s="96" t="inlineStr">
        <is>
          <t>N</t>
        </is>
      </c>
      <c r="CU18" s="97" t="n"/>
      <c r="CV18" s="97" t="n"/>
      <c r="CW18" s="161" t="inlineStr">
        <is>
          <t>2026-10-23</t>
        </is>
      </c>
      <c r="CX18" s="97" t="inlineStr">
        <is>
          <t>392010</t>
        </is>
      </c>
      <c r="CY18" s="183" t="n"/>
    </row>
    <row r="19" ht="12" customHeight="1">
      <c r="A19" s="116" t="inlineStr">
        <is>
          <t>HASLS22261000657</t>
        </is>
      </c>
      <c r="B19" s="96" t="inlineStr">
        <is>
          <t>20'x1</t>
        </is>
      </c>
      <c r="C19" s="97" t="n">
        <v>1</v>
      </c>
      <c r="D19" s="97" t="n">
        <v>1</v>
      </c>
      <c r="E19" s="97" t="inlineStr">
        <is>
          <t>THLKR</t>
        </is>
      </c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ANX</t>
        </is>
      </c>
      <c r="M19" s="96" t="inlineStr">
        <is>
          <t>NSSJ</t>
        </is>
      </c>
      <c r="N19" s="96" t="inlineStr">
        <is>
          <t>2608S</t>
        </is>
      </c>
      <c r="O19" s="96" t="inlineStr">
        <is>
          <t>THLCH</t>
        </is>
      </c>
      <c r="P19" s="96" t="inlineStr">
        <is>
          <t>LCH04</t>
        </is>
      </c>
      <c r="Q19" s="96" t="inlineStr">
        <is>
          <t>IA</t>
        </is>
      </c>
      <c r="R19" s="161" t="inlineStr">
        <is>
          <t>2026-10-30</t>
        </is>
      </c>
      <c r="S19" s="96" t="inlineStr">
        <is>
          <t>IDJKT</t>
        </is>
      </c>
      <c r="T19" s="96" t="inlineStr">
        <is>
          <t>JKT02</t>
        </is>
      </c>
      <c r="U19" s="96" t="inlineStr">
        <is>
          <t>IDJKT</t>
        </is>
      </c>
      <c r="V19" s="161" t="inlineStr">
        <is>
          <t>2026-11-02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WORLDLINK SHIPPING CO., LTD.</t>
        </is>
      </c>
      <c r="AB19" s="96" t="inlineStr">
        <is>
          <t>PSN INTERFOOD CO., LTD.</t>
        </is>
      </c>
      <c r="AC19" s="163" t="n">
        <v>1026</v>
      </c>
      <c r="AD19" s="163" t="n">
        <v>3226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TH0042</t>
        </is>
      </c>
      <c r="AN19" s="96" t="inlineStr">
        <is>
          <t>Sukunpoj Damrongying</t>
        </is>
      </c>
      <c r="AO19" s="96" t="inlineStr">
        <is>
          <t>CROISSANT BITES SALTED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>Pickup : 2026-10-21, Return : 2026-10-21 Paperless Code 2835
Closing Time LKB 2026-10-25 @ 17.00</t>
        </is>
      </c>
      <c r="BA19" s="97" t="n"/>
      <c r="BB19" s="96" t="inlineStr">
        <is>
          <t>P</t>
        </is>
      </c>
      <c r="BC19" s="161" t="inlineStr">
        <is>
          <t>2026-10-08</t>
        </is>
      </c>
      <c r="BD19" s="161" t="inlineStr">
        <is>
          <t>2026-10-26</t>
        </is>
      </c>
      <c r="BE19" s="96" t="inlineStr">
        <is>
          <t>Y</t>
        </is>
      </c>
      <c r="BF19" s="96" t="inlineStr">
        <is>
          <t>SNACK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2026-10-21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LCH55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opse@worldlink.co.th</t>
        </is>
      </c>
      <c r="CJ19" s="96" t="inlineStr">
        <is>
          <t>PSN INTERFOOD CO., LTD.</t>
        </is>
      </c>
      <c r="CK19" s="96" t="inlineStr">
        <is>
          <t>PT. SARI COFFEE INDONESIA</t>
        </is>
      </c>
      <c r="CL19" s="96" t="inlineStr">
        <is>
          <t>PT. SARI COFFEE INDONESIA</t>
        </is>
      </c>
      <c r="CM19" s="97" t="inlineStr">
        <is>
          <t>CLOSED</t>
        </is>
      </c>
      <c r="CN19" s="96" t="inlineStr">
        <is>
          <t>202610271200</t>
        </is>
      </c>
      <c r="CO19" s="96" t="inlineStr">
        <is>
          <t>202610281200</t>
        </is>
      </c>
      <c r="CP19" s="97" t="n"/>
      <c r="CQ19" s="96" t="inlineStr">
        <is>
          <t>S22-2608023</t>
        </is>
      </c>
      <c r="CR19" s="96" t="inlineStr">
        <is>
          <t>THTSQA</t>
        </is>
      </c>
      <c r="CS19" s="96" t="inlineStr">
        <is>
          <t>WORLDLINK SHIPPING CO., LTD.</t>
        </is>
      </c>
      <c r="CT19" s="96" t="inlineStr">
        <is>
          <t>N</t>
        </is>
      </c>
      <c r="CU19" s="97" t="n"/>
      <c r="CV19" s="97" t="n"/>
      <c r="CW19" s="161" t="inlineStr">
        <is>
          <t>2026-10-24</t>
        </is>
      </c>
      <c r="CX19" s="97" t="inlineStr">
        <is>
          <t>190531</t>
        </is>
      </c>
      <c r="CY19" s="183" t="n"/>
    </row>
    <row r="20" ht="12" customHeight="1">
      <c r="A20" s="116" t="inlineStr">
        <is>
          <t>HASLS22261000803</t>
        </is>
      </c>
      <c r="B20" s="96" t="inlineStr">
        <is>
          <t>40Hx1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ANX</t>
        </is>
      </c>
      <c r="M20" s="96" t="inlineStr">
        <is>
          <t>NSSJ</t>
        </is>
      </c>
      <c r="N20" s="96" t="inlineStr">
        <is>
          <t>2608S</t>
        </is>
      </c>
      <c r="O20" s="96" t="inlineStr">
        <is>
          <t>THLCH</t>
        </is>
      </c>
      <c r="P20" s="96" t="inlineStr">
        <is>
          <t>LCH04</t>
        </is>
      </c>
      <c r="Q20" s="96" t="inlineStr">
        <is>
          <t>IA</t>
        </is>
      </c>
      <c r="R20" s="161" t="inlineStr">
        <is>
          <t>2026-10-30</t>
        </is>
      </c>
      <c r="S20" s="96" t="inlineStr">
        <is>
          <t>IDJKT</t>
        </is>
      </c>
      <c r="T20" s="96" t="inlineStr">
        <is>
          <t>JKT02</t>
        </is>
      </c>
      <c r="U20" s="96" t="inlineStr">
        <is>
          <t>IDJKT</t>
        </is>
      </c>
      <c r="V20" s="161" t="inlineStr">
        <is>
          <t>2026-11-02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ALUCON PUBLIC COMPANY LIMITED</t>
        </is>
      </c>
      <c r="AB20" s="96" t="inlineStr">
        <is>
          <t>ALUCON PUBLIC COMPANY LIMITED</t>
        </is>
      </c>
      <c r="AC20" s="163" t="n">
        <v>3154.1</v>
      </c>
      <c r="AD20" s="163" t="n">
        <v>7154.1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TBKK13</t>
        </is>
      </c>
      <c r="AN20" s="96" t="inlineStr">
        <is>
          <t>Dharaporn</t>
        </is>
      </c>
      <c r="AO20" s="96" t="inlineStr">
        <is>
          <t>ALUMINIUM COLLAPSIBLE TUBES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Pickup : 2026-10-22, Return : 2026-10-26</t>
        </is>
      </c>
      <c r="BA20" s="97" t="inlineStr">
        <is>
          <t>HS CODE 76121000</t>
        </is>
      </c>
      <c r="BB20" s="96" t="inlineStr">
        <is>
          <t>P</t>
        </is>
      </c>
      <c r="BC20" s="161" t="inlineStr">
        <is>
          <t>2026-10-09</t>
        </is>
      </c>
      <c r="BD20" s="161" t="inlineStr">
        <is>
          <t>2026-10-26</t>
        </is>
      </c>
      <c r="BE20" s="96" t="inlineStr">
        <is>
          <t>Y</t>
        </is>
      </c>
      <c r="BF20" s="96" t="inlineStr">
        <is>
          <t>ALUMINIUM TUBES (EMPTY)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2026-10-22</t>
        </is>
      </c>
      <c r="BM20" s="127" t="n"/>
      <c r="BN20" s="127" t="n"/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LCH04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supannee@alucon.th.com</t>
        </is>
      </c>
      <c r="CJ20" s="96" t="inlineStr">
        <is>
          <t>ALUCON PUBLIC COMPANY LIMITED</t>
        </is>
      </c>
      <c r="CK20" s="96" t="inlineStr">
        <is>
          <t>PT TAISHO PHARMACEUTICAL INDONESIA</t>
        </is>
      </c>
      <c r="CL20" s="96" t="inlineStr">
        <is>
          <t>PT TAISHO PHARMACEUTICAL INDONESIA</t>
        </is>
      </c>
      <c r="CM20" s="97" t="inlineStr">
        <is>
          <t>CLOSED</t>
        </is>
      </c>
      <c r="CN20" s="96" t="inlineStr">
        <is>
          <t>202610271200</t>
        </is>
      </c>
      <c r="CO20" s="96" t="inlineStr">
        <is>
          <t>202610281200</t>
        </is>
      </c>
      <c r="CP20" s="97" t="n"/>
      <c r="CQ20" s="96" t="inlineStr">
        <is>
          <t>S19-2107028</t>
        </is>
      </c>
      <c r="CR20" s="96" t="inlineStr">
        <is>
          <t>BB0595</t>
        </is>
      </c>
      <c r="CS20" s="96" t="inlineStr">
        <is>
          <t>ALUCON PUBLIC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2026-10-28</t>
        </is>
      </c>
      <c r="CX20" s="97" t="inlineStr">
        <is>
          <t>761210</t>
        </is>
      </c>
      <c r="CY20" s="183" t="n"/>
    </row>
    <row r="21" ht="12" customHeight="1">
      <c r="A21" s="116" t="inlineStr">
        <is>
          <t>HASLS22261000841</t>
        </is>
      </c>
      <c r="B21" s="96" t="inlineStr">
        <is>
          <t>40Hx2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0</v>
      </c>
      <c r="H21" s="97" t="n">
        <v>0</v>
      </c>
      <c r="I21" s="97" t="n">
        <v>2</v>
      </c>
      <c r="J21" s="97" t="n">
        <v>4</v>
      </c>
      <c r="K21" s="96" t="inlineStr">
        <is>
          <t>N</t>
        </is>
      </c>
      <c r="L21" s="96" t="inlineStr">
        <is>
          <t>ANX</t>
        </is>
      </c>
      <c r="M21" s="96" t="inlineStr">
        <is>
          <t>NSSJ</t>
        </is>
      </c>
      <c r="N21" s="96" t="inlineStr">
        <is>
          <t>2608S</t>
        </is>
      </c>
      <c r="O21" s="96" t="inlineStr">
        <is>
          <t>THLCH</t>
        </is>
      </c>
      <c r="P21" s="96" t="inlineStr">
        <is>
          <t>LCH04</t>
        </is>
      </c>
      <c r="Q21" s="96" t="inlineStr">
        <is>
          <t>IA</t>
        </is>
      </c>
      <c r="R21" s="161" t="inlineStr">
        <is>
          <t>2026-10-30</t>
        </is>
      </c>
      <c r="S21" s="96" t="inlineStr">
        <is>
          <t>IDJKT</t>
        </is>
      </c>
      <c r="T21" s="96" t="inlineStr">
        <is>
          <t>JKT02</t>
        </is>
      </c>
      <c r="U21" s="96" t="inlineStr">
        <is>
          <t>IDJKT</t>
        </is>
      </c>
      <c r="V21" s="161" t="inlineStr">
        <is>
          <t>2026-11-02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ASIA ATLANTIC LINENER COMPANY LIMITED.</t>
        </is>
      </c>
      <c r="AB21" s="96" t="inlineStr">
        <is>
          <t>TOYOTA TSUSHO (THAILAND) CO., LTD.</t>
        </is>
      </c>
      <c r="AC21" s="163" t="n">
        <v>48800</v>
      </c>
      <c r="AD21" s="163" t="n">
        <v>56800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TH0011</t>
        </is>
      </c>
      <c r="AN21" s="96" t="inlineStr">
        <is>
          <t>Nannaapust Sukporntaweewat</t>
        </is>
      </c>
      <c r="AO21" s="96" t="inlineStr">
        <is>
          <t>PLASTIC COMPOUND POLYPROPYLENE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Pickup : 2026-10-19, Return : 2026-10-23</t>
        </is>
      </c>
      <c r="BA21" s="97" t="inlineStr">
        <is>
          <t>MAINTAIN NSSJ 2608S DD.20/10</t>
        </is>
      </c>
      <c r="BB21" s="96" t="inlineStr">
        <is>
          <t>P</t>
        </is>
      </c>
      <c r="BC21" s="161" t="inlineStr">
        <is>
          <t>2026-10-12</t>
        </is>
      </c>
      <c r="BD21" s="161" t="inlineStr">
        <is>
          <t>2026-10-26</t>
        </is>
      </c>
      <c r="BE21" s="96" t="inlineStr">
        <is>
          <t>Y</t>
        </is>
      </c>
      <c r="BF21" s="96" t="inlineStr">
        <is>
          <t>PLASTIC RESINS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2026-10-19</t>
        </is>
      </c>
      <c r="BM21" s="127" t="n"/>
      <c r="BN21" s="127" t="n"/>
      <c r="BO21" s="127" t="n"/>
      <c r="BP21" s="127" t="n">
        <v>2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LCH04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cs08@aal.co.th</t>
        </is>
      </c>
      <c r="CJ21" s="96" t="inlineStr">
        <is>
          <t>JUPITER LOGISTICS (THAILAND)</t>
        </is>
      </c>
      <c r="CK21" s="96" t="inlineStr">
        <is>
          <t>PT DENSO INDONESIA-BEKASI PLANT</t>
        </is>
      </c>
      <c r="CL21" s="96" t="inlineStr">
        <is>
          <t>FAJAR INSAN NUSANTARA</t>
        </is>
      </c>
      <c r="CM21" s="97" t="inlineStr">
        <is>
          <t>CLOSED</t>
        </is>
      </c>
      <c r="CN21" s="96" t="inlineStr">
        <is>
          <t>202610271200</t>
        </is>
      </c>
      <c r="CO21" s="96" t="inlineStr">
        <is>
          <t>202610281200</t>
        </is>
      </c>
      <c r="CP21" s="97" t="n"/>
      <c r="CQ21" s="96" t="inlineStr">
        <is>
          <t>S22-2406031</t>
        </is>
      </c>
      <c r="CR21" s="96" t="inlineStr">
        <is>
          <t>THTM9M</t>
        </is>
      </c>
      <c r="CS21" s="96" t="inlineStr">
        <is>
          <t>ASIA ATLANTIC LINENER COMPANY LIMITED.</t>
        </is>
      </c>
      <c r="CT21" s="96" t="inlineStr">
        <is>
          <t>N</t>
        </is>
      </c>
      <c r="CU21" s="97" t="n"/>
      <c r="CV21" s="97" t="n"/>
      <c r="CW21" s="161" t="inlineStr">
        <is>
          <t>2026-10-28</t>
        </is>
      </c>
      <c r="CX21" s="97" t="inlineStr">
        <is>
          <t>390210</t>
        </is>
      </c>
      <c r="CY21" s="183" t="n"/>
    </row>
    <row r="22" ht="12" customHeight="1">
      <c r="A22" s="116" t="inlineStr">
        <is>
          <t>HASLS22261000892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ANX</t>
        </is>
      </c>
      <c r="M22" s="96" t="inlineStr">
        <is>
          <t>NSSJ</t>
        </is>
      </c>
      <c r="N22" s="96" t="inlineStr">
        <is>
          <t>2608S</t>
        </is>
      </c>
      <c r="O22" s="96" t="inlineStr">
        <is>
          <t>THLCH</t>
        </is>
      </c>
      <c r="P22" s="96" t="inlineStr">
        <is>
          <t>LCH04</t>
        </is>
      </c>
      <c r="Q22" s="96" t="inlineStr">
        <is>
          <t>IA</t>
        </is>
      </c>
      <c r="R22" s="161" t="inlineStr">
        <is>
          <t>2026-10-30</t>
        </is>
      </c>
      <c r="S22" s="96" t="inlineStr">
        <is>
          <t>IDJKT</t>
        </is>
      </c>
      <c r="T22" s="96" t="inlineStr">
        <is>
          <t>JKT02</t>
        </is>
      </c>
      <c r="U22" s="96" t="inlineStr">
        <is>
          <t>IDJKT</t>
        </is>
      </c>
      <c r="V22" s="161" t="inlineStr">
        <is>
          <t>2026-11-02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YUSEN LOGISTICS (THAILAND) CO., LTD.</t>
        </is>
      </c>
      <c r="AB22" s="96" t="inlineStr">
        <is>
          <t>GKN DRIVELINE (THAILAND) LTD.</t>
        </is>
      </c>
      <c r="AC22" s="163" t="n">
        <v>2988.8</v>
      </c>
      <c r="AD22" s="163" t="n">
        <v>5188.8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n"/>
      <c r="AJ22" s="97" t="n"/>
      <c r="AK22" s="97" t="n"/>
      <c r="AL22" s="97" t="n"/>
      <c r="AM22" s="96" t="inlineStr">
        <is>
          <t>TBKK55</t>
        </is>
      </c>
      <c r="AN22" s="96" t="inlineStr">
        <is>
          <t>Vilaiporn</t>
        </is>
      </c>
      <c r="AO22" s="96" t="inlineStr">
        <is>
          <t>AUTO PARTS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2026-10-21, Return : 2026-10-22</t>
        </is>
      </c>
      <c r="BA22" s="97" t="inlineStr">
        <is>
          <t>Fm 1x40HQ DD.16/10SHIPPER:GKN DRIVELINE (THAILAND) LTD.,PLEASE SUPPORT GOOD DRY AND CLEAN CONTAINER</t>
        </is>
      </c>
      <c r="BB22" s="96" t="inlineStr">
        <is>
          <t>P</t>
        </is>
      </c>
      <c r="BC22" s="161" t="inlineStr">
        <is>
          <t>2026-10-12</t>
        </is>
      </c>
      <c r="BD22" s="161" t="inlineStr">
        <is>
          <t>2026-10-26</t>
        </is>
      </c>
      <c r="BE22" s="96" t="inlineStr">
        <is>
          <t>Y</t>
        </is>
      </c>
      <c r="BF22" s="96" t="inlineStr">
        <is>
          <t>AUTO PARTS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2026-10-21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LCH04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aranya.p@th.yusen-logistics.com</t>
        </is>
      </c>
      <c r="CJ22" s="96" t="inlineStr">
        <is>
          <t>YUSEN LOGISTICS (THAILAND) CO., LTD</t>
        </is>
      </c>
      <c r="CK22" s="96" t="inlineStr">
        <is>
          <t>PT. SUZUKI INDOMOBIL MOTOR</t>
        </is>
      </c>
      <c r="CL22" s="96" t="inlineStr">
        <is>
          <t>PT. YUSEN LOGISTICS INDONESIA</t>
        </is>
      </c>
      <c r="CM22" s="97" t="n"/>
      <c r="CN22" s="96" t="inlineStr">
        <is>
          <t>202610271200</t>
        </is>
      </c>
      <c r="CO22" s="96" t="inlineStr">
        <is>
          <t>202610281200</t>
        </is>
      </c>
      <c r="CP22" s="97" t="n"/>
      <c r="CQ22" s="96" t="inlineStr">
        <is>
          <t>S19-2112038</t>
        </is>
      </c>
      <c r="CR22" s="96" t="inlineStr">
        <is>
          <t>TH03TL</t>
        </is>
      </c>
      <c r="CS22" s="96" t="inlineStr">
        <is>
          <t>YUSEN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2026-10-25</t>
        </is>
      </c>
      <c r="CX22" s="97" t="inlineStr">
        <is>
          <t>870850</t>
        </is>
      </c>
      <c r="CY22" s="183" t="n"/>
    </row>
    <row r="23" ht="12" customHeight="1">
      <c r="A23" s="116" t="inlineStr">
        <is>
          <t>HASLS22261000972</t>
        </is>
      </c>
      <c r="B23" s="96" t="inlineStr">
        <is>
          <t>20'x1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1</v>
      </c>
      <c r="H23" s="97" t="n">
        <v>0</v>
      </c>
      <c r="I23" s="97" t="n">
        <v>0</v>
      </c>
      <c r="J23" s="97" t="n">
        <v>1</v>
      </c>
      <c r="K23" s="96" t="inlineStr">
        <is>
          <t>N</t>
        </is>
      </c>
      <c r="L23" s="96" t="inlineStr">
        <is>
          <t>ANX</t>
        </is>
      </c>
      <c r="M23" s="96" t="inlineStr">
        <is>
          <t>NSSJ</t>
        </is>
      </c>
      <c r="N23" s="96" t="inlineStr">
        <is>
          <t>2608S</t>
        </is>
      </c>
      <c r="O23" s="96" t="inlineStr">
        <is>
          <t>THLCH</t>
        </is>
      </c>
      <c r="P23" s="96" t="inlineStr">
        <is>
          <t>LCH04</t>
        </is>
      </c>
      <c r="Q23" s="96" t="inlineStr">
        <is>
          <t>IA</t>
        </is>
      </c>
      <c r="R23" s="161" t="inlineStr">
        <is>
          <t>2026-10-30</t>
        </is>
      </c>
      <c r="S23" s="96" t="inlineStr">
        <is>
          <t>IDJKT</t>
        </is>
      </c>
      <c r="T23" s="96" t="inlineStr">
        <is>
          <t>JKT02</t>
        </is>
      </c>
      <c r="U23" s="96" t="inlineStr">
        <is>
          <t>IDJKT</t>
        </is>
      </c>
      <c r="V23" s="161" t="inlineStr">
        <is>
          <t>2026-11-02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DACHSER (THAILAND) CO., LTD.</t>
        </is>
      </c>
      <c r="AB23" s="96" t="inlineStr">
        <is>
          <t>TAA METAL (THAILAND) CO.,LTD.</t>
        </is>
      </c>
      <c r="AC23" s="163" t="n">
        <v>26052</v>
      </c>
      <c r="AD23" s="163" t="n">
        <v>28252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TBKK97</t>
        </is>
      </c>
      <c r="AN23" s="96" t="inlineStr">
        <is>
          <t>Arunphat W. (Aiw)</t>
        </is>
      </c>
      <c r="AO23" s="96" t="inlineStr">
        <is>
          <t xml:space="preserve">STEEL SHOT  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 xml:space="preserve">Pickup : 2026-10-22, Return : 2026-10-22
** PLEASE CHECK OPEN GATE BEFORE RETURN CONTAINER ** </t>
        </is>
      </c>
      <c r="BA23" s="97" t="inlineStr">
        <is>
          <t>CFM BY P'TARN DD 14/10 REQ GOOD DRY AND CLEAN CONTAINER ONLY</t>
        </is>
      </c>
      <c r="BB23" s="96" t="inlineStr">
        <is>
          <t>P</t>
        </is>
      </c>
      <c r="BC23" s="161" t="inlineStr">
        <is>
          <t>2026-10-14</t>
        </is>
      </c>
      <c r="BD23" s="161" t="inlineStr">
        <is>
          <t>2026-10-14</t>
        </is>
      </c>
      <c r="BE23" s="96" t="inlineStr">
        <is>
          <t>Y</t>
        </is>
      </c>
      <c r="BF23" s="96" t="inlineStr">
        <is>
          <t>STEEL SHOT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2026-10-22</t>
        </is>
      </c>
      <c r="BM23" s="127" t="n"/>
      <c r="BN23" s="127" t="n">
        <v>1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LCH04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kittiphop.satthakul@dachser.com</t>
        </is>
      </c>
      <c r="CJ23" s="96" t="inlineStr">
        <is>
          <t>TAA METAL (THAILAND) CO.,LTD.</t>
        </is>
      </c>
      <c r="CK23" s="96" t="inlineStr">
        <is>
          <t>PT. DHARMA METAL INDONESIA</t>
        </is>
      </c>
      <c r="CL23" s="96" t="inlineStr">
        <is>
          <t>PT. DHARMA METAL INDONESIA</t>
        </is>
      </c>
      <c r="CM23" s="97" t="inlineStr">
        <is>
          <t>CLOSED</t>
        </is>
      </c>
      <c r="CN23" s="96" t="inlineStr">
        <is>
          <t>202610271200</t>
        </is>
      </c>
      <c r="CO23" s="96" t="inlineStr">
        <is>
          <t>202610281200</t>
        </is>
      </c>
      <c r="CP23" s="97" t="n"/>
      <c r="CQ23" s="96" t="inlineStr">
        <is>
          <t>S19-2105029</t>
        </is>
      </c>
      <c r="CR23" s="96" t="inlineStr">
        <is>
          <t>TH03A0</t>
        </is>
      </c>
      <c r="CS23" s="96" t="inlineStr">
        <is>
          <t>DACHSER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2026-10-25</t>
        </is>
      </c>
      <c r="CX23" s="97" t="inlineStr">
        <is>
          <t>720510</t>
        </is>
      </c>
      <c r="CY23" s="183" t="n"/>
    </row>
    <row r="24" ht="12" customHeight="1">
      <c r="A24" s="116" t="inlineStr">
        <is>
          <t>HASLS22261000977</t>
        </is>
      </c>
      <c r="B24" s="96" t="inlineStr">
        <is>
          <t>20'x1</t>
        </is>
      </c>
      <c r="C24" s="97" t="n">
        <v>0</v>
      </c>
      <c r="D24" s="97" t="n">
        <v>1</v>
      </c>
      <c r="E24" s="97" t="inlineStr">
        <is>
          <t>THLKR</t>
        </is>
      </c>
      <c r="F24" s="97" t="n">
        <v>0</v>
      </c>
      <c r="G24" s="97" t="n">
        <v>1</v>
      </c>
      <c r="H24" s="97" t="n">
        <v>0</v>
      </c>
      <c r="I24" s="97" t="n">
        <v>0</v>
      </c>
      <c r="J24" s="97" t="n">
        <v>1</v>
      </c>
      <c r="K24" s="96" t="inlineStr">
        <is>
          <t>N</t>
        </is>
      </c>
      <c r="L24" s="96" t="inlineStr">
        <is>
          <t>ANX</t>
        </is>
      </c>
      <c r="M24" s="96" t="inlineStr">
        <is>
          <t>NSSJ</t>
        </is>
      </c>
      <c r="N24" s="96" t="inlineStr">
        <is>
          <t>2608S</t>
        </is>
      </c>
      <c r="O24" s="96" t="inlineStr">
        <is>
          <t>THLCH</t>
        </is>
      </c>
      <c r="P24" s="96" t="inlineStr">
        <is>
          <t>LCH04</t>
        </is>
      </c>
      <c r="Q24" s="96" t="inlineStr">
        <is>
          <t>IA</t>
        </is>
      </c>
      <c r="R24" s="161" t="inlineStr">
        <is>
          <t>2026-10-30</t>
        </is>
      </c>
      <c r="S24" s="96" t="inlineStr">
        <is>
          <t>IDJKT</t>
        </is>
      </c>
      <c r="T24" s="96" t="inlineStr">
        <is>
          <t>JKT02</t>
        </is>
      </c>
      <c r="U24" s="96" t="inlineStr">
        <is>
          <t>IDJKT</t>
        </is>
      </c>
      <c r="V24" s="161" t="inlineStr">
        <is>
          <t>2026-11-02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PROFREIGHT INTERNATIONAL CO., LTD.</t>
        </is>
      </c>
      <c r="AB24" s="96" t="inlineStr">
        <is>
          <t>K.R. PLASTIC INDUSTRIES CO., LTD.</t>
        </is>
      </c>
      <c r="AC24" s="163" t="n">
        <v>4138</v>
      </c>
      <c r="AD24" s="163" t="n">
        <v>6338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TBKK28</t>
        </is>
      </c>
      <c r="AN24" s="96" t="inlineStr">
        <is>
          <t>Nustsireerach</t>
        </is>
      </c>
      <c r="AO24" s="96" t="inlineStr">
        <is>
          <t>KREX PINEX ONE SIDE TAPER FILAMENT  FOR TOOTHBRUSH (DUAL ACTION)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STUFFING AT ICD ESCO LAT KRABANG (GATE 2) DD.21/10/2026 (PAPERLESS CODE : 2835)
CLS TIME DD.22/10/2026 @ 17.00Hrs. *1ST CFS DD.21/10/2026 WITHOTU RENT*</t>
        </is>
      </c>
      <c r="BA24" s="97" t="inlineStr">
        <is>
          <t>THE SHIPMENT REQUEST CFS AT LAT KRABANGREQUEST GOOD AND CLEAN CONTAINERCOMM: KREX PINEX ONE SIDE TAPER FILAMENT FOR TOOTHBRUSH (DUAL ACTION) - H.S.CODE 5404.19</t>
        </is>
      </c>
      <c r="BB24" s="96" t="inlineStr">
        <is>
          <t>P</t>
        </is>
      </c>
      <c r="BC24" s="161" t="inlineStr">
        <is>
          <t>2026-10-14</t>
        </is>
      </c>
      <c r="BD24" s="161" t="inlineStr">
        <is>
          <t>2026-10-29</t>
        </is>
      </c>
      <c r="BE24" s="96" t="inlineStr">
        <is>
          <t>Y</t>
        </is>
      </c>
      <c r="BF24" s="96" t="inlineStr">
        <is>
          <t>KREX PINEX ONE SIDE TAPER FILAMENT  FOR TOOTHBRUSH (DUAL ACTION)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LCH55</t>
        </is>
      </c>
      <c r="BL24" s="161" t="inlineStr">
        <is>
          <t>2026-10-21</t>
        </is>
      </c>
      <c r="BM24" s="127" t="n"/>
      <c r="BN24" s="127" t="n">
        <v>1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LCH55</t>
        </is>
      </c>
      <c r="CD24" s="97" t="n"/>
      <c r="CE24" s="97" t="n"/>
      <c r="CF24" s="96" t="inlineStr">
        <is>
          <t>0 Teu</t>
        </is>
      </c>
      <c r="CG24" s="96" t="inlineStr">
        <is>
          <t>CFS/CY</t>
        </is>
      </c>
      <c r="CH24" s="97" t="n"/>
      <c r="CI24" s="96" t="inlineStr">
        <is>
          <t>cs_team@profrtgroup.com</t>
        </is>
      </c>
      <c r="CJ24" s="96" t="inlineStr">
        <is>
          <t>GLOBAL QUALITY LOGISTICS (THAILAND)</t>
        </is>
      </c>
      <c r="CK24" s="96" t="inlineStr">
        <is>
          <t>PT. ULTRA PRIMA ABADI,</t>
        </is>
      </c>
      <c r="CL24" s="96" t="inlineStr">
        <is>
          <t>PT. GPI LOGISTICS</t>
        </is>
      </c>
      <c r="CM24" s="97" t="inlineStr">
        <is>
          <t>CLOSED</t>
        </is>
      </c>
      <c r="CN24" s="96" t="inlineStr">
        <is>
          <t>202610271200</t>
        </is>
      </c>
      <c r="CO24" s="96" t="inlineStr">
        <is>
          <t>202610281200</t>
        </is>
      </c>
      <c r="CP24" s="97" t="n"/>
      <c r="CQ24" s="96" t="inlineStr">
        <is>
          <t>S19-2308017</t>
        </is>
      </c>
      <c r="CR24" s="96" t="inlineStr">
        <is>
          <t>BB0617</t>
        </is>
      </c>
      <c r="CS24" s="96" t="inlineStr">
        <is>
          <t>PROFREIGHT INTERNATIONAL CO., LTD.</t>
        </is>
      </c>
      <c r="CT24" s="96" t="inlineStr">
        <is>
          <t>N</t>
        </is>
      </c>
      <c r="CU24" s="97" t="n"/>
      <c r="CV24" s="97" t="n"/>
      <c r="CW24" s="161" t="inlineStr">
        <is>
          <t>2026-10-25</t>
        </is>
      </c>
      <c r="CX24" s="97" t="inlineStr">
        <is>
          <t>540419</t>
        </is>
      </c>
      <c r="CY24" s="183" t="n"/>
    </row>
    <row r="25" ht="12" customHeight="1">
      <c r="A25" s="116" t="inlineStr">
        <is>
          <t>HASLS22261001026</t>
        </is>
      </c>
      <c r="B25" s="96" t="inlineStr">
        <is>
          <t>20'x1</t>
        </is>
      </c>
      <c r="C25" s="97" t="n">
        <v>1</v>
      </c>
      <c r="D25" s="97" t="n">
        <v>1</v>
      </c>
      <c r="E25" s="97" t="inlineStr">
        <is>
          <t>THLKR</t>
        </is>
      </c>
      <c r="F25" s="97" t="n">
        <v>0</v>
      </c>
      <c r="G25" s="97" t="n">
        <v>1</v>
      </c>
      <c r="H25" s="97" t="n">
        <v>0</v>
      </c>
      <c r="I25" s="97" t="n">
        <v>0</v>
      </c>
      <c r="J25" s="97" t="n">
        <v>1</v>
      </c>
      <c r="K25" s="96" t="inlineStr">
        <is>
          <t>N</t>
        </is>
      </c>
      <c r="L25" s="96" t="inlineStr">
        <is>
          <t>ANX</t>
        </is>
      </c>
      <c r="M25" s="96" t="inlineStr">
        <is>
          <t>NSSJ</t>
        </is>
      </c>
      <c r="N25" s="96" t="inlineStr">
        <is>
          <t>2608S</t>
        </is>
      </c>
      <c r="O25" s="96" t="inlineStr">
        <is>
          <t>THLCH</t>
        </is>
      </c>
      <c r="P25" s="96" t="inlineStr">
        <is>
          <t>LCH04</t>
        </is>
      </c>
      <c r="Q25" s="96" t="inlineStr">
        <is>
          <t>IA</t>
        </is>
      </c>
      <c r="R25" s="161" t="inlineStr">
        <is>
          <t>2026-10-30</t>
        </is>
      </c>
      <c r="S25" s="96" t="inlineStr">
        <is>
          <t>IDJKT</t>
        </is>
      </c>
      <c r="T25" s="96" t="inlineStr">
        <is>
          <t>JKT02</t>
        </is>
      </c>
      <c r="U25" s="96" t="inlineStr">
        <is>
          <t>IDJKT</t>
        </is>
      </c>
      <c r="V25" s="161" t="inlineStr">
        <is>
          <t>2026-11-02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NIPPON EXPRESS LOGISTICS (THAILAND) CO., LTD.</t>
        </is>
      </c>
      <c r="AB25" s="96" t="inlineStr">
        <is>
          <t>THAI TORAY SYNTHETICS  CO., LTD.</t>
        </is>
      </c>
      <c r="AC25" s="163" t="n">
        <v>7524</v>
      </c>
      <c r="AD25" s="163" t="n">
        <v>9724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TBKK55</t>
        </is>
      </c>
      <c r="AN25" s="96" t="inlineStr">
        <is>
          <t>Vilaiporn</t>
        </is>
      </c>
      <c r="AO25" s="96" t="inlineStr">
        <is>
          <t>PPS COMPOUND CHIP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Pickup : 2026-10-20, Return : 2026-10-21 Paperless Code 2835
ClosingTime LKB 2026-10-22 @ 12.00</t>
        </is>
      </c>
      <c r="BA25" s="97" t="inlineStr">
        <is>
          <t>REQ.CONTAINER MUST BE IN GOOD CONDITION,NO HOLES,NO EXCESSIVE SPLINTERS ON THE FLOOR,NO HUMIDITY,THE FLOOR IS NOT SAGGING,THE FLOOR IS NOT SAGGING , STRONG FLOORBOARD</t>
        </is>
      </c>
      <c r="BB25" s="96" t="inlineStr">
        <is>
          <t>P</t>
        </is>
      </c>
      <c r="BC25" s="161" t="inlineStr">
        <is>
          <t>2026-10-14</t>
        </is>
      </c>
      <c r="BD25" s="161" t="inlineStr">
        <is>
          <t>2026-10-26</t>
        </is>
      </c>
      <c r="BE25" s="96" t="inlineStr">
        <is>
          <t>Y</t>
        </is>
      </c>
      <c r="BF25" s="96" t="inlineStr">
        <is>
          <t>PLASTIC RESIN HS CODE 391110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2026-10-20</t>
        </is>
      </c>
      <c r="BM25" s="127" t="n"/>
      <c r="BN25" s="127" t="n">
        <v>1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LCH55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wararat.boontan@nipponexpress.com</t>
        </is>
      </c>
      <c r="CJ25" s="96" t="inlineStr">
        <is>
          <t>NIPPON EXPRESS LOGISTICS (THAILAND)</t>
        </is>
      </c>
      <c r="CK25" s="96" t="inlineStr">
        <is>
          <t>PT. INABATA INDONESIA</t>
        </is>
      </c>
      <c r="CL25" s="96" t="inlineStr">
        <is>
          <t>PT.NX LEMO INDONESIA LOGISTIK</t>
        </is>
      </c>
      <c r="CM25" s="97" t="inlineStr">
        <is>
          <t>CLOSED</t>
        </is>
      </c>
      <c r="CN25" s="96" t="inlineStr">
        <is>
          <t>202610271200</t>
        </is>
      </c>
      <c r="CO25" s="96" t="inlineStr">
        <is>
          <t>202610281200</t>
        </is>
      </c>
      <c r="CP25" s="97" t="n"/>
      <c r="CQ25" s="96" t="inlineStr">
        <is>
          <t>S19-2308033</t>
        </is>
      </c>
      <c r="CR25" s="96" t="inlineStr">
        <is>
          <t>THTP74</t>
        </is>
      </c>
      <c r="CS25" s="96" t="inlineStr">
        <is>
          <t>NIPPON EXPRESS LOGISTICS (THAILAND) CO., LTD.</t>
        </is>
      </c>
      <c r="CT25" s="96" t="inlineStr">
        <is>
          <t>N</t>
        </is>
      </c>
      <c r="CU25" s="97" t="n"/>
      <c r="CV25" s="97" t="n"/>
      <c r="CW25" s="161" t="inlineStr">
        <is>
          <t>2026-10-25</t>
        </is>
      </c>
      <c r="CX25" s="97" t="inlineStr">
        <is>
          <t>391110</t>
        </is>
      </c>
      <c r="CY25" s="183" t="n"/>
    </row>
    <row r="26" ht="12" customHeight="1">
      <c r="A26" s="116" t="inlineStr">
        <is>
          <t>HASLS22261001121</t>
        </is>
      </c>
      <c r="B26" s="96" t="inlineStr">
        <is>
          <t>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ANX</t>
        </is>
      </c>
      <c r="M26" s="96" t="inlineStr">
        <is>
          <t>NSSJ</t>
        </is>
      </c>
      <c r="N26" s="96" t="inlineStr">
        <is>
          <t>2608S</t>
        </is>
      </c>
      <c r="O26" s="96" t="inlineStr">
        <is>
          <t>THLCH</t>
        </is>
      </c>
      <c r="P26" s="96" t="inlineStr">
        <is>
          <t>LCH04</t>
        </is>
      </c>
      <c r="Q26" s="96" t="inlineStr">
        <is>
          <t>IA</t>
        </is>
      </c>
      <c r="R26" s="161" t="inlineStr">
        <is>
          <t>2026-10-30</t>
        </is>
      </c>
      <c r="S26" s="96" t="inlineStr">
        <is>
          <t>IDJKT</t>
        </is>
      </c>
      <c r="T26" s="96" t="inlineStr">
        <is>
          <t>JKT02</t>
        </is>
      </c>
      <c r="U26" s="96" t="inlineStr">
        <is>
          <t>IDJKT</t>
        </is>
      </c>
      <c r="V26" s="161" t="inlineStr">
        <is>
          <t>2026-11-02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UNITED MARINE LOGISTIC CO., LTD.</t>
        </is>
      </c>
      <c r="AB26" s="96" t="inlineStr">
        <is>
          <t>KAIHARA (THAILAND) CO., LTD.</t>
        </is>
      </c>
      <c r="AC26" s="163" t="n">
        <v>14217.77</v>
      </c>
      <c r="AD26" s="163" t="n">
        <v>18217.77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TH0011</t>
        </is>
      </c>
      <c r="AN26" s="96" t="inlineStr">
        <is>
          <t>Nannaapust Sukporntaweewat</t>
        </is>
      </c>
      <c r="AO26" s="96" t="inlineStr">
        <is>
          <t>DENIM WOVEN FABRIC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>Pickup : 2026-10-21, Return : 2026-10-22</t>
        </is>
      </c>
      <c r="BA26" s="97" t="inlineStr">
        <is>
          <t>FM 1x40 HQ DD.16/10</t>
        </is>
      </c>
      <c r="BB26" s="96" t="inlineStr">
        <is>
          <t>P</t>
        </is>
      </c>
      <c r="BC26" s="161" t="inlineStr">
        <is>
          <t>2026-10-15</t>
        </is>
      </c>
      <c r="BD26" s="161" t="inlineStr">
        <is>
          <t>2026-10-26</t>
        </is>
      </c>
      <c r="BE26" s="96" t="inlineStr">
        <is>
          <t>Y</t>
        </is>
      </c>
      <c r="BF26" s="96" t="inlineStr">
        <is>
          <t xml:space="preserve">FABRIC 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2026-10-21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LCH04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pranee@umac.co.th</t>
        </is>
      </c>
      <c r="CJ26" s="96" t="inlineStr">
        <is>
          <t>UNITED MARINE LOGISTIC CO., LTD.</t>
        </is>
      </c>
      <c r="CK26" s="96" t="inlineStr">
        <is>
          <t>PT. ERATEX DJAJA TBK.,</t>
        </is>
      </c>
      <c r="CL26" s="96" t="inlineStr">
        <is>
          <t>PT. JAGUAR LOGISTIK INDONESIA</t>
        </is>
      </c>
      <c r="CM26" s="97" t="inlineStr">
        <is>
          <t>CLOSED</t>
        </is>
      </c>
      <c r="CN26" s="96" t="inlineStr">
        <is>
          <t>202610271200</t>
        </is>
      </c>
      <c r="CO26" s="96" t="inlineStr">
        <is>
          <t>202610281200</t>
        </is>
      </c>
      <c r="CP26" s="97" t="n"/>
      <c r="CQ26" s="96" t="inlineStr">
        <is>
          <t>S22-2406015</t>
        </is>
      </c>
      <c r="CR26" s="96" t="inlineStr">
        <is>
          <t>BB1277</t>
        </is>
      </c>
      <c r="CS26" s="96" t="inlineStr">
        <is>
          <t>UNITED MARINE LOGISTIC CO., LTD.</t>
        </is>
      </c>
      <c r="CT26" s="96" t="inlineStr">
        <is>
          <t>N</t>
        </is>
      </c>
      <c r="CU26" s="97" t="n"/>
      <c r="CV26" s="97" t="n"/>
      <c r="CW26" s="161" t="inlineStr">
        <is>
          <t>2026-10-25</t>
        </is>
      </c>
      <c r="CX26" s="97" t="inlineStr">
        <is>
          <t>521142</t>
        </is>
      </c>
      <c r="CY26" s="183" t="n"/>
    </row>
    <row r="27" ht="12" customHeight="1">
      <c r="A27" s="116" t="inlineStr">
        <is>
          <t>HASLS22261001199</t>
        </is>
      </c>
      <c r="B27" s="96" t="inlineStr">
        <is>
          <t>20'x1</t>
        </is>
      </c>
      <c r="C27" s="97" t="n">
        <v>0</v>
      </c>
      <c r="D27" s="97" t="n">
        <v>1</v>
      </c>
      <c r="E27" s="97" t="inlineStr">
        <is>
          <t>THLKR</t>
        </is>
      </c>
      <c r="F27" s="97" t="n">
        <v>0</v>
      </c>
      <c r="G27" s="97" t="n">
        <v>1</v>
      </c>
      <c r="H27" s="97" t="n">
        <v>0</v>
      </c>
      <c r="I27" s="97" t="n">
        <v>0</v>
      </c>
      <c r="J27" s="97" t="n">
        <v>1</v>
      </c>
      <c r="K27" s="96" t="inlineStr">
        <is>
          <t>N</t>
        </is>
      </c>
      <c r="L27" s="96" t="inlineStr">
        <is>
          <t>ANX</t>
        </is>
      </c>
      <c r="M27" s="96" t="inlineStr">
        <is>
          <t>NSSJ</t>
        </is>
      </c>
      <c r="N27" s="96" t="inlineStr">
        <is>
          <t>2608S</t>
        </is>
      </c>
      <c r="O27" s="96" t="inlineStr">
        <is>
          <t>THLCH</t>
        </is>
      </c>
      <c r="P27" s="96" t="inlineStr">
        <is>
          <t>LCH04</t>
        </is>
      </c>
      <c r="Q27" s="96" t="inlineStr">
        <is>
          <t>IA</t>
        </is>
      </c>
      <c r="R27" s="161" t="inlineStr">
        <is>
          <t>2026-10-30</t>
        </is>
      </c>
      <c r="S27" s="96" t="inlineStr">
        <is>
          <t>IDJKT</t>
        </is>
      </c>
      <c r="T27" s="96" t="inlineStr">
        <is>
          <t>JKT02</t>
        </is>
      </c>
      <c r="U27" s="96" t="inlineStr">
        <is>
          <t>IDJKT</t>
        </is>
      </c>
      <c r="V27" s="161" t="inlineStr">
        <is>
          <t>2026-11-02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Q-LOG THAI CO., LTD.</t>
        </is>
      </c>
      <c r="AB27" s="96" t="inlineStr">
        <is>
          <t>KHON KAEN FISHING NET FACTORY CO., LTD.</t>
        </is>
      </c>
      <c r="AC27" s="163" t="n">
        <v>9492.870000000001</v>
      </c>
      <c r="AD27" s="163" t="n">
        <v>11692.87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TBKK97</t>
        </is>
      </c>
      <c r="AN27" s="96" t="inlineStr">
        <is>
          <t>Arunphat W. (Aiw)</t>
        </is>
      </c>
      <c r="AO27" s="96" t="inlineStr">
        <is>
          <t>POLYETHYLENE FISHING NET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STUFFING @ESCO LAT KRABANG (GATE2)  DD 21/10/26 CLS TIME 22/10 @17.00HRS 
 PAPERLESS CODE : 2835 //  (1ST STUFFING : 21/10 W/O RENT)</t>
        </is>
      </c>
      <c r="BA27" s="97" t="inlineStr">
        <is>
          <t>REQUEST Good, Dry, Clean, No rust, no leaks CONTAINER REQUEST FREE TIME 14+14 DAYS</t>
        </is>
      </c>
      <c r="BB27" s="96" t="inlineStr">
        <is>
          <t>P</t>
        </is>
      </c>
      <c r="BC27" s="161" t="inlineStr">
        <is>
          <t>2026-10-15</t>
        </is>
      </c>
      <c r="BD27" s="161" t="inlineStr">
        <is>
          <t>2026-10-26</t>
        </is>
      </c>
      <c r="BE27" s="96" t="inlineStr">
        <is>
          <t>Y</t>
        </is>
      </c>
      <c r="BF27" s="96" t="inlineStr">
        <is>
          <t>FISHING NET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LCH55</t>
        </is>
      </c>
      <c r="BL27" s="161" t="inlineStr">
        <is>
          <t>2026-10-21</t>
        </is>
      </c>
      <c r="BM27" s="127" t="n"/>
      <c r="BN27" s="127" t="n">
        <v>1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LCH55</t>
        </is>
      </c>
      <c r="CD27" s="97" t="n"/>
      <c r="CE27" s="97" t="n"/>
      <c r="CF27" s="96" t="inlineStr">
        <is>
          <t>0 Teu</t>
        </is>
      </c>
      <c r="CG27" s="96" t="inlineStr">
        <is>
          <t>CFS/CY</t>
        </is>
      </c>
      <c r="CH27" s="97" t="n"/>
      <c r="CI27" s="96" t="inlineStr">
        <is>
          <t>qsirayuth@qlogthai.com</t>
        </is>
      </c>
      <c r="CJ27" s="96" t="inlineStr">
        <is>
          <t>KHON KAEN FISHING NET FACTORY</t>
        </is>
      </c>
      <c r="CK27" s="96" t="inlineStr">
        <is>
          <t>CV. OCEANIA UTAMA RAYA</t>
        </is>
      </c>
      <c r="CL27" s="96" t="inlineStr">
        <is>
          <t>CV. OCEANIA UTAMA RAYA</t>
        </is>
      </c>
      <c r="CM27" s="97" t="inlineStr">
        <is>
          <t>CLOSED</t>
        </is>
      </c>
      <c r="CN27" s="96" t="inlineStr">
        <is>
          <t>202610271200</t>
        </is>
      </c>
      <c r="CO27" s="96" t="inlineStr">
        <is>
          <t>202610281200</t>
        </is>
      </c>
      <c r="CP27" s="97" t="n"/>
      <c r="CQ27" s="96" t="inlineStr">
        <is>
          <t>S22-2406046</t>
        </is>
      </c>
      <c r="CR27" s="96" t="inlineStr">
        <is>
          <t>THTURB</t>
        </is>
      </c>
      <c r="CS27" s="96" t="inlineStr">
        <is>
          <t>Q-LOG THAI CO., LTD.</t>
        </is>
      </c>
      <c r="CT27" s="96" t="inlineStr">
        <is>
          <t>N</t>
        </is>
      </c>
      <c r="CU27" s="97" t="n"/>
      <c r="CV27" s="97" t="n"/>
      <c r="CW27" s="161" t="inlineStr">
        <is>
          <t>2026-10-25</t>
        </is>
      </c>
      <c r="CX27" s="97" t="inlineStr">
        <is>
          <t>560811</t>
        </is>
      </c>
      <c r="CY27" s="183" t="n"/>
    </row>
    <row r="28" ht="12" customHeight="1">
      <c r="A28" s="116" t="inlineStr">
        <is>
          <t>HASLS22261001232</t>
        </is>
      </c>
      <c r="B28" s="96" t="inlineStr">
        <is>
          <t>20'x2</t>
        </is>
      </c>
      <c r="C28" s="97" t="n">
        <v>2</v>
      </c>
      <c r="D28" s="97" t="n">
        <v>2</v>
      </c>
      <c r="E28" s="97" t="n"/>
      <c r="F28" s="97" t="n">
        <v>0</v>
      </c>
      <c r="G28" s="97" t="n">
        <v>2</v>
      </c>
      <c r="H28" s="97" t="n">
        <v>0</v>
      </c>
      <c r="I28" s="97" t="n">
        <v>0</v>
      </c>
      <c r="J28" s="97" t="n">
        <v>2</v>
      </c>
      <c r="K28" s="96" t="inlineStr">
        <is>
          <t>N</t>
        </is>
      </c>
      <c r="L28" s="96" t="inlineStr">
        <is>
          <t>ANX</t>
        </is>
      </c>
      <c r="M28" s="96" t="inlineStr">
        <is>
          <t>NSSJ</t>
        </is>
      </c>
      <c r="N28" s="96" t="inlineStr">
        <is>
          <t>2608S</t>
        </is>
      </c>
      <c r="O28" s="96" t="inlineStr">
        <is>
          <t>THLCH</t>
        </is>
      </c>
      <c r="P28" s="96" t="inlineStr">
        <is>
          <t>LCH04</t>
        </is>
      </c>
      <c r="Q28" s="96" t="inlineStr">
        <is>
          <t>IA</t>
        </is>
      </c>
      <c r="R28" s="161" t="inlineStr">
        <is>
          <t>2026-10-30</t>
        </is>
      </c>
      <c r="S28" s="96" t="inlineStr">
        <is>
          <t>IDJKT</t>
        </is>
      </c>
      <c r="T28" s="96" t="inlineStr">
        <is>
          <t>JKT02</t>
        </is>
      </c>
      <c r="U28" s="96" t="inlineStr">
        <is>
          <t>IDJKT</t>
        </is>
      </c>
      <c r="V28" s="161" t="inlineStr">
        <is>
          <t>2026-11-02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THAI MFC CO., LTD.</t>
        </is>
      </c>
      <c r="AB28" s="96" t="inlineStr">
        <is>
          <t>THAI MFC CO., LTD.</t>
        </is>
      </c>
      <c r="AC28" s="163" t="n">
        <v>38727.11</v>
      </c>
      <c r="AD28" s="163" t="n">
        <v>43127.11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TBKK19</t>
        </is>
      </c>
      <c r="AN28" s="96" t="inlineStr">
        <is>
          <t>Kanokporn</t>
        </is>
      </c>
      <c r="AO28" s="96" t="inlineStr">
        <is>
          <t>MELAMINE MOULDING COMPOUND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2026-10-20, Return : 2026-10-22</t>
        </is>
      </c>
      <c r="BA28" s="97" t="inlineStr">
        <is>
          <t>SPILT BK DD.20/10REQUEST SURRENDER BL</t>
        </is>
      </c>
      <c r="BB28" s="96" t="inlineStr">
        <is>
          <t>P</t>
        </is>
      </c>
      <c r="BC28" s="161" t="inlineStr">
        <is>
          <t>2026-10-16</t>
        </is>
      </c>
      <c r="BD28" s="161" t="inlineStr">
        <is>
          <t>2026-10-27</t>
        </is>
      </c>
      <c r="BE28" s="96" t="inlineStr">
        <is>
          <t>Y</t>
        </is>
      </c>
      <c r="BF28" s="96" t="inlineStr">
        <is>
          <t>MELAMINE MOULDING COMPOUND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LCH27</t>
        </is>
      </c>
      <c r="BL28" s="161" t="inlineStr">
        <is>
          <t>2026-10-20</t>
        </is>
      </c>
      <c r="BM28" s="127" t="n"/>
      <c r="BN28" s="127" t="n">
        <v>2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LCH04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thanetpp@scg.com;jiratchp@scg.com</t>
        </is>
      </c>
      <c r="CJ28" s="96" t="inlineStr">
        <is>
          <t>THAI MFC CO.,LTD.</t>
        </is>
      </c>
      <c r="CK28" s="96" t="inlineStr">
        <is>
          <t>PT ANDESEN JAYA PLASTIK</t>
        </is>
      </c>
      <c r="CL28" s="96" t="inlineStr">
        <is>
          <t>PT ANDESEN JAYA PLASTIK</t>
        </is>
      </c>
      <c r="CM28" s="97" t="inlineStr">
        <is>
          <t>CLOSED</t>
        </is>
      </c>
      <c r="CN28" s="96" t="inlineStr">
        <is>
          <t>202610271200</t>
        </is>
      </c>
      <c r="CO28" s="96" t="inlineStr">
        <is>
          <t>202610281200</t>
        </is>
      </c>
      <c r="CP28" s="97" t="n"/>
      <c r="CQ28" s="96" t="inlineStr">
        <is>
          <t>S19-2210028</t>
        </is>
      </c>
      <c r="CR28" s="96" t="inlineStr">
        <is>
          <t>TH03KL</t>
        </is>
      </c>
      <c r="CS28" s="96" t="inlineStr">
        <is>
          <t>THAI MFC CO., LTD.</t>
        </is>
      </c>
      <c r="CT28" s="96" t="inlineStr">
        <is>
          <t>N</t>
        </is>
      </c>
      <c r="CU28" s="97" t="n"/>
      <c r="CV28" s="97" t="n"/>
      <c r="CW28" s="161" t="inlineStr">
        <is>
          <t>2026-10-28</t>
        </is>
      </c>
      <c r="CX28" s="97" t="inlineStr">
        <is>
          <t>390920</t>
        </is>
      </c>
      <c r="CY28" s="183" t="n"/>
    </row>
    <row r="29" ht="12" customHeight="1">
      <c r="A29" s="116" t="inlineStr">
        <is>
          <t>HASLS22261001524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ANX</t>
        </is>
      </c>
      <c r="M29" s="96" t="inlineStr">
        <is>
          <t>NSSJ</t>
        </is>
      </c>
      <c r="N29" s="96" t="inlineStr">
        <is>
          <t>2608S</t>
        </is>
      </c>
      <c r="O29" s="96" t="inlineStr">
        <is>
          <t>THLCH</t>
        </is>
      </c>
      <c r="P29" s="96" t="inlineStr">
        <is>
          <t>LCH04</t>
        </is>
      </c>
      <c r="Q29" s="96" t="inlineStr">
        <is>
          <t>IA</t>
        </is>
      </c>
      <c r="R29" s="161" t="inlineStr">
        <is>
          <t>2026-10-30</t>
        </is>
      </c>
      <c r="S29" s="96" t="inlineStr">
        <is>
          <t>IDJKT</t>
        </is>
      </c>
      <c r="T29" s="96" t="inlineStr">
        <is>
          <t>JKT02</t>
        </is>
      </c>
      <c r="U29" s="96" t="inlineStr">
        <is>
          <t>IDJKT</t>
        </is>
      </c>
      <c r="V29" s="161" t="inlineStr">
        <is>
          <t>2026-11-02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SIAM I-LOGISTICS LTD.</t>
        </is>
      </c>
      <c r="AB29" s="96" t="inlineStr">
        <is>
          <t>ITOCHU (THAILAND) LTD.</t>
        </is>
      </c>
      <c r="AC29" s="163" t="n">
        <v>6136</v>
      </c>
      <c r="AD29" s="163" t="n">
        <v>8336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TH0011</t>
        </is>
      </c>
      <c r="AN29" s="96" t="inlineStr">
        <is>
          <t>Nannaapust Sukporntaweewat</t>
        </is>
      </c>
      <c r="AO29" s="96" t="inlineStr">
        <is>
          <t>CHOPPED PARA-ARAMID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Pickup : 2026-10-22, Return : 2026-10-22</t>
        </is>
      </c>
      <c r="BA29" s="97" t="inlineStr">
        <is>
          <t xml:space="preserve">SHIPPER ACTUAL :  ITOCHU (THAILAND) CO.LTD </t>
        </is>
      </c>
      <c r="BB29" s="96" t="inlineStr">
        <is>
          <t>P</t>
        </is>
      </c>
      <c r="BC29" s="161" t="inlineStr">
        <is>
          <t>2026-10-20</t>
        </is>
      </c>
      <c r="BD29" s="161" t="inlineStr">
        <is>
          <t>2026-10-26</t>
        </is>
      </c>
      <c r="BE29" s="96" t="inlineStr">
        <is>
          <t>Y</t>
        </is>
      </c>
      <c r="BF29" s="96" t="inlineStr">
        <is>
          <t>CHOPPED PARA-ARAMID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LCH27</t>
        </is>
      </c>
      <c r="BL29" s="161" t="inlineStr">
        <is>
          <t>2026-10-22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LCH04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nichaphat_k@th.itclogi.com</t>
        </is>
      </c>
      <c r="CJ29" s="96" t="inlineStr">
        <is>
          <t>SIAM I-LOGISTICS LTD.</t>
        </is>
      </c>
      <c r="CK29" s="96" t="inlineStr">
        <is>
          <t>PT. SEIWA INDONESIA</t>
        </is>
      </c>
      <c r="CL29" s="96" t="inlineStr">
        <is>
          <t>PT. SEIWA INDONESIA</t>
        </is>
      </c>
      <c r="CM29" s="97" t="inlineStr">
        <is>
          <t>CLOSED</t>
        </is>
      </c>
      <c r="CN29" s="96" t="inlineStr">
        <is>
          <t>202610271200</t>
        </is>
      </c>
      <c r="CO29" s="96" t="inlineStr">
        <is>
          <t>202610281200</t>
        </is>
      </c>
      <c r="CP29" s="97" t="n"/>
      <c r="CQ29" s="96" t="inlineStr">
        <is>
          <t>S22-2507010</t>
        </is>
      </c>
      <c r="CR29" s="96" t="inlineStr">
        <is>
          <t>BB0941</t>
        </is>
      </c>
      <c r="CS29" s="96" t="inlineStr">
        <is>
          <t>SIAM I-LOGISTICS LTD.</t>
        </is>
      </c>
      <c r="CT29" s="96" t="inlineStr">
        <is>
          <t>N</t>
        </is>
      </c>
      <c r="CU29" s="97" t="n"/>
      <c r="CV29" s="97" t="n"/>
      <c r="CW29" s="161" t="inlineStr">
        <is>
          <t>2026-10-28</t>
        </is>
      </c>
      <c r="CX29" s="97" t="inlineStr">
        <is>
          <t>560130</t>
        </is>
      </c>
      <c r="CY29" s="183" t="n"/>
    </row>
    <row r="30" ht="12" customHeight="1">
      <c r="A30" s="116" t="inlineStr">
        <is>
          <t>HASLS22261001845</t>
        </is>
      </c>
      <c r="B30" s="96" t="inlineStr">
        <is>
          <t>R40Hx1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ANX</t>
        </is>
      </c>
      <c r="M30" s="96" t="inlineStr">
        <is>
          <t>NSSJ</t>
        </is>
      </c>
      <c r="N30" s="96" t="inlineStr">
        <is>
          <t>2608S</t>
        </is>
      </c>
      <c r="O30" s="96" t="inlineStr">
        <is>
          <t>THLCH</t>
        </is>
      </c>
      <c r="P30" s="96" t="inlineStr">
        <is>
          <t>LCH04</t>
        </is>
      </c>
      <c r="Q30" s="96" t="inlineStr">
        <is>
          <t>IA</t>
        </is>
      </c>
      <c r="R30" s="161" t="inlineStr">
        <is>
          <t>2026-10-30</t>
        </is>
      </c>
      <c r="S30" s="96" t="inlineStr">
        <is>
          <t>IDJKT</t>
        </is>
      </c>
      <c r="T30" s="96" t="inlineStr">
        <is>
          <t>JKT02</t>
        </is>
      </c>
      <c r="U30" s="96" t="inlineStr">
        <is>
          <t>IDJKT</t>
        </is>
      </c>
      <c r="V30" s="161" t="inlineStr">
        <is>
          <t>2026-11-02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HAPPY SHIPPING SERVICE CO.,LTD.</t>
        </is>
      </c>
      <c r="AB30" s="96" t="inlineStr">
        <is>
          <t>HI HAPPY TRADING CO.,LTD.</t>
        </is>
      </c>
      <c r="AC30" s="163" t="n">
        <v>28938</v>
      </c>
      <c r="AD30" s="163" t="n">
        <v>32938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TBKK47</t>
        </is>
      </c>
      <c r="AN30" s="96" t="inlineStr">
        <is>
          <t>Tarn(Supaporn)</t>
        </is>
      </c>
      <c r="AO30" s="96" t="inlineStr">
        <is>
          <t>FRESH LONGAN</t>
        </is>
      </c>
      <c r="AP30" s="96" t="inlineStr">
        <is>
          <t>Normal</t>
        </is>
      </c>
      <c r="AQ30" s="97" t="n"/>
      <c r="AR30" s="97" t="n"/>
      <c r="AS30" s="97" t="inlineStr">
        <is>
          <t>RF// MIN:+1.0 MAX:+1.0 [COVER:10% OPEN]</t>
        </is>
      </c>
      <c r="AT30" s="97" t="inlineStr">
        <is>
          <t xml:space="preserve">45REx1 </t>
        </is>
      </c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>Pickup : 2026-10-22, Return : 2026-10-27 (Temp +1.0 / Vent 10% Open) 
Closing Time 2026-10-27 @ 23.59</t>
        </is>
      </c>
      <c r="BA30" s="97" t="inlineStr">
        <is>
          <t>FRESH LONGANTEMP +1'C VENT 10%ON DECK</t>
        </is>
      </c>
      <c r="BB30" s="96" t="inlineStr">
        <is>
          <t>P</t>
        </is>
      </c>
      <c r="BC30" s="161" t="inlineStr">
        <is>
          <t>2026-10-22</t>
        </is>
      </c>
      <c r="BD30" s="161" t="inlineStr">
        <is>
          <t>2026-10-28</t>
        </is>
      </c>
      <c r="BE30" s="96" t="inlineStr">
        <is>
          <t>Y</t>
        </is>
      </c>
      <c r="BF30" s="96" t="inlineStr">
        <is>
          <t>FRESH LONGAN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LCH27</t>
        </is>
      </c>
      <c r="BL30" s="161" t="inlineStr">
        <is>
          <t>2026-10-22</t>
        </is>
      </c>
      <c r="BM30" s="127" t="n"/>
      <c r="BN30" s="127" t="n"/>
      <c r="BO30" s="127" t="n"/>
      <c r="BP30" s="127" t="n"/>
      <c r="BQ30" s="127" t="n"/>
      <c r="BR30" s="127" t="n">
        <v>1</v>
      </c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LCH04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booking@hss.co.th</t>
        </is>
      </c>
      <c r="CJ30" s="96" t="inlineStr">
        <is>
          <t>HI HAPPY TRADING CO., LTD.</t>
        </is>
      </c>
      <c r="CK30" s="96" t="inlineStr">
        <is>
          <t>PT. SUSILO KARUNIA SENTOSA</t>
        </is>
      </c>
      <c r="CL30" s="96" t="inlineStr">
        <is>
          <t>PT. SUSILO KARUNIA SENTOSA</t>
        </is>
      </c>
      <c r="CM30" s="97" t="inlineStr">
        <is>
          <t>CLOSED</t>
        </is>
      </c>
      <c r="CN30" s="96" t="inlineStr">
        <is>
          <t>202610271200</t>
        </is>
      </c>
      <c r="CO30" s="96" t="inlineStr">
        <is>
          <t>202610281200</t>
        </is>
      </c>
      <c r="CP30" s="97" t="inlineStr">
        <is>
          <t>45RE x1: RF(Temp:+1.0' / Cover:10% OPEN)</t>
        </is>
      </c>
      <c r="CQ30" s="96" t="inlineStr">
        <is>
          <t>S22-2404017</t>
        </is>
      </c>
      <c r="CR30" s="96" t="inlineStr">
        <is>
          <t>THTSO1</t>
        </is>
      </c>
      <c r="CS30" s="96" t="inlineStr">
        <is>
          <t>HAPPY SHIPPING SERVICE CO.,LTD.</t>
        </is>
      </c>
      <c r="CT30" s="96" t="inlineStr">
        <is>
          <t>N</t>
        </is>
      </c>
      <c r="CU30" s="97" t="n"/>
      <c r="CV30" s="97" t="n"/>
      <c r="CW30" s="161" t="inlineStr">
        <is>
          <t>2026-10-29</t>
        </is>
      </c>
      <c r="CX30" s="97" t="inlineStr">
        <is>
          <t>081090</t>
        </is>
      </c>
      <c r="CY30" s="183" t="n"/>
    </row>
    <row r="31" ht="12" customHeight="1">
      <c r="A31" s="116" t="inlineStr">
        <is>
          <t>HASLS22261001895</t>
        </is>
      </c>
      <c r="B31" s="96" t="inlineStr">
        <is>
          <t>20'x1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1</v>
      </c>
      <c r="H31" s="97" t="n">
        <v>0</v>
      </c>
      <c r="I31" s="97" t="n">
        <v>0</v>
      </c>
      <c r="J31" s="97" t="n">
        <v>1</v>
      </c>
      <c r="K31" s="96" t="inlineStr">
        <is>
          <t>N</t>
        </is>
      </c>
      <c r="L31" s="96" t="inlineStr">
        <is>
          <t>ANX</t>
        </is>
      </c>
      <c r="M31" s="96" t="inlineStr">
        <is>
          <t>NSSJ</t>
        </is>
      </c>
      <c r="N31" s="96" t="inlineStr">
        <is>
          <t>2608S</t>
        </is>
      </c>
      <c r="O31" s="96" t="inlineStr">
        <is>
          <t>THLCH</t>
        </is>
      </c>
      <c r="P31" s="96" t="inlineStr">
        <is>
          <t>LCH04</t>
        </is>
      </c>
      <c r="Q31" s="96" t="inlineStr">
        <is>
          <t>IA</t>
        </is>
      </c>
      <c r="R31" s="161" t="inlineStr">
        <is>
          <t>2026-10-30</t>
        </is>
      </c>
      <c r="S31" s="96" t="inlineStr">
        <is>
          <t>IDJKT</t>
        </is>
      </c>
      <c r="T31" s="96" t="inlineStr">
        <is>
          <t>JKT02</t>
        </is>
      </c>
      <c r="U31" s="96" t="inlineStr">
        <is>
          <t>IDJKT</t>
        </is>
      </c>
      <c r="V31" s="161" t="inlineStr">
        <is>
          <t>2026-11-02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UBE CHEMICALS (ASIA) PUBLIC COMPANY LIMITED</t>
        </is>
      </c>
      <c r="AB31" s="96" t="inlineStr">
        <is>
          <t>UBE CHEMICALS (ASIA) PUBLIC COMPANY LIMITED</t>
        </is>
      </c>
      <c r="AC31" s="163" t="n">
        <v>16370</v>
      </c>
      <c r="AD31" s="163" t="n">
        <v>18570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TBKK47</t>
        </is>
      </c>
      <c r="AN31" s="96" t="inlineStr">
        <is>
          <t>Tarn(Supaporn)</t>
        </is>
      </c>
      <c r="AO31" s="96" t="inlineStr">
        <is>
          <t>POLYAMIDE RESIN (POLYAMIDE 6)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 xml:space="preserve">Pickup : 2026-10-26, Return : 2026-10-27 (2002054618)
</t>
        </is>
      </c>
      <c r="BA31" s="97" t="inlineStr">
        <is>
          <t>SI DD.26/10/26</t>
        </is>
      </c>
      <c r="BB31" s="96" t="inlineStr">
        <is>
          <t>P</t>
        </is>
      </c>
      <c r="BC31" s="161" t="inlineStr">
        <is>
          <t>2026-10-23</t>
        </is>
      </c>
      <c r="BD31" s="161" t="inlineStr">
        <is>
          <t>2026-10-26</t>
        </is>
      </c>
      <c r="BE31" s="96" t="inlineStr">
        <is>
          <t>Y</t>
        </is>
      </c>
      <c r="BF31" s="96" t="inlineStr">
        <is>
          <t>POLYAMIDE RESIN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LCHY5</t>
        </is>
      </c>
      <c r="BL31" s="161" t="inlineStr">
        <is>
          <t>2026-10-26</t>
        </is>
      </c>
      <c r="BM31" s="127" t="n"/>
      <c r="BN31" s="127" t="n">
        <v>1</v>
      </c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LCH04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ugttransportex@ube.co.th</t>
        </is>
      </c>
      <c r="CJ31" s="96" t="inlineStr">
        <is>
          <t>UBE CHEMICALS (ASIA) PUBLIC</t>
        </is>
      </c>
      <c r="CK31" s="96" t="inlineStr">
        <is>
          <t>PT. ITOCHU INDONESIA</t>
        </is>
      </c>
      <c r="CL31" s="96" t="inlineStr">
        <is>
          <t>PT. ITOCHU INDONESIA</t>
        </is>
      </c>
      <c r="CM31" s="97" t="inlineStr">
        <is>
          <t>CLOSED</t>
        </is>
      </c>
      <c r="CN31" s="96" t="inlineStr">
        <is>
          <t>202610271200</t>
        </is>
      </c>
      <c r="CO31" s="96" t="inlineStr">
        <is>
          <t>202610281200</t>
        </is>
      </c>
      <c r="CP31" s="97" t="n"/>
      <c r="CQ31" s="96" t="inlineStr">
        <is>
          <t>BKK17A0457-1</t>
        </is>
      </c>
      <c r="CR31" s="96" t="inlineStr">
        <is>
          <t>TH035E</t>
        </is>
      </c>
      <c r="CS31" s="96" t="inlineStr">
        <is>
          <t>UBE CHEMICALS (ASIA) PUBLIC COMPANY LIMITED</t>
        </is>
      </c>
      <c r="CT31" s="96" t="inlineStr">
        <is>
          <t>N</t>
        </is>
      </c>
      <c r="CU31" s="97" t="n"/>
      <c r="CV31" s="97" t="n"/>
      <c r="CW31" s="161" t="inlineStr">
        <is>
          <t>2026-10-29</t>
        </is>
      </c>
      <c r="CX31" s="97" t="inlineStr">
        <is>
          <t>390810</t>
        </is>
      </c>
      <c r="CY31" s="183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CXRU1319153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2026-10-27</t>
        </is>
      </c>
      <c r="E2" s="173" t="inlineStr">
        <is>
          <t>2204</t>
        </is>
      </c>
      <c r="F2" s="96" t="inlineStr">
        <is>
          <t>HASLS22261000237</t>
        </is>
      </c>
      <c r="G2" s="96" t="inlineStr">
        <is>
          <t>BE 1ST ALLIANCE CO., LTD.</t>
        </is>
      </c>
      <c r="H2" s="111" t="inlineStr">
        <is>
          <t>45RE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HASLS22261000237</t>
        </is>
      </c>
      <c r="N2" s="96" t="inlineStr">
        <is>
          <t xml:space="preserve">R40Hx1 </t>
        </is>
      </c>
      <c r="O2" s="111" t="inlineStr">
        <is>
          <t>2013</t>
        </is>
      </c>
      <c r="P2" s="111" t="inlineStr">
        <is>
          <t>CARRIER</t>
        </is>
      </c>
      <c r="Q2" s="111" t="inlineStr">
        <is>
          <t>69NT40-561 Primeline (MGSS)</t>
        </is>
      </c>
      <c r="R2" s="96" t="inlineStr">
        <is>
          <t>NSSJ</t>
        </is>
      </c>
      <c r="S2" s="96" t="inlineStr">
        <is>
          <t>2608S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2026-10-30</t>
        </is>
      </c>
      <c r="W2" s="96" t="inlineStr">
        <is>
          <t>IDJKT</t>
        </is>
      </c>
      <c r="X2" s="161" t="inlineStr">
        <is>
          <t>2026-11-02</t>
        </is>
      </c>
      <c r="Y2" s="97" t="n"/>
      <c r="Z2" s="97" t="n"/>
      <c r="AA2" s="97" t="n"/>
      <c r="AB2" s="97" t="n"/>
      <c r="AC2" s="97" t="n"/>
      <c r="AD2" s="161" t="inlineStr">
        <is>
          <t>2026-10-28</t>
        </is>
      </c>
      <c r="AE2" s="174" t="inlineStr">
        <is>
          <t>0200</t>
        </is>
      </c>
      <c r="AF2" s="96" t="inlineStr">
        <is>
          <t>EDI2</t>
        </is>
      </c>
      <c r="AG2" s="97" t="n"/>
      <c r="AH2" s="97" t="n"/>
      <c r="AI2" s="97" t="inlineStr">
        <is>
          <t>IDIUSQ</t>
        </is>
      </c>
      <c r="AJ2" s="96" t="inlineStr">
        <is>
          <t>PT. METRO PERSADA SENTOSA</t>
        </is>
      </c>
      <c r="AK2" s="130" t="n"/>
    </row>
    <row r="3" ht="12" customHeight="1">
      <c r="A3" s="108" t="inlineStr">
        <is>
          <t>FBIU5093004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2026-10-27</t>
        </is>
      </c>
      <c r="E3" s="173" t="inlineStr">
        <is>
          <t>0924</t>
        </is>
      </c>
      <c r="F3" s="96" t="inlineStr">
        <is>
          <t>HASLS22261000239</t>
        </is>
      </c>
      <c r="G3" s="96" t="inlineStr">
        <is>
          <t>BE 1ST ALLIANCE CO., LTD.</t>
        </is>
      </c>
      <c r="H3" s="111" t="inlineStr">
        <is>
          <t>45RE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HASLS22261000239</t>
        </is>
      </c>
      <c r="N3" s="96" t="inlineStr">
        <is>
          <t xml:space="preserve">R40Hx1 </t>
        </is>
      </c>
      <c r="O3" s="111" t="inlineStr">
        <is>
          <t>2021</t>
        </is>
      </c>
      <c r="P3" s="111" t="inlineStr">
        <is>
          <t>CARRIER</t>
        </is>
      </c>
      <c r="Q3" s="111" t="inlineStr">
        <is>
          <t>Primeline</t>
        </is>
      </c>
      <c r="R3" s="96" t="inlineStr">
        <is>
          <t>NSSJ</t>
        </is>
      </c>
      <c r="S3" s="96" t="inlineStr">
        <is>
          <t>2608S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2026-10-30</t>
        </is>
      </c>
      <c r="W3" s="96" t="inlineStr">
        <is>
          <t>IDJKT</t>
        </is>
      </c>
      <c r="X3" s="161" t="inlineStr">
        <is>
          <t>2026-11-02</t>
        </is>
      </c>
      <c r="Y3" s="97" t="n"/>
      <c r="Z3" s="97" t="n"/>
      <c r="AA3" s="97" t="n"/>
      <c r="AB3" s="97" t="n"/>
      <c r="AC3" s="97" t="n"/>
      <c r="AD3" s="161" t="inlineStr">
        <is>
          <t>2026-10-27</t>
        </is>
      </c>
      <c r="AE3" s="174" t="inlineStr">
        <is>
          <t>1200</t>
        </is>
      </c>
      <c r="AF3" s="96" t="inlineStr">
        <is>
          <t>EDI2</t>
        </is>
      </c>
      <c r="AG3" s="97" t="n"/>
      <c r="AH3" s="97" t="n"/>
      <c r="AI3" s="97" t="inlineStr">
        <is>
          <t>IDIUWE</t>
        </is>
      </c>
      <c r="AJ3" s="96" t="inlineStr">
        <is>
          <t>PT. SEGAR ABADI SEDANA</t>
        </is>
      </c>
      <c r="AK3" s="130" t="n"/>
    </row>
    <row r="4" ht="12" customHeight="1">
      <c r="A4" s="108" t="inlineStr">
        <is>
          <t>HALU2077213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2026-10-23</t>
        </is>
      </c>
      <c r="E4" s="173" t="inlineStr">
        <is>
          <t>0113</t>
        </is>
      </c>
      <c r="F4" s="96" t="inlineStr">
        <is>
          <t>HASLS22261000892</t>
        </is>
      </c>
      <c r="G4" s="96" t="inlineStr">
        <is>
          <t>YUSEN LOGISTICS (THAILAND)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HASLS22261000892</t>
        </is>
      </c>
      <c r="N4" s="96" t="inlineStr">
        <is>
          <t xml:space="preserve">20'x1 </t>
        </is>
      </c>
      <c r="O4" s="111" t="inlineStr">
        <is>
          <t>2015</t>
        </is>
      </c>
      <c r="P4" s="111" t="n"/>
      <c r="Q4" s="111" t="n"/>
      <c r="R4" s="96" t="inlineStr">
        <is>
          <t>NSSJ</t>
        </is>
      </c>
      <c r="S4" s="96" t="inlineStr">
        <is>
          <t>2608S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2026-10-30</t>
        </is>
      </c>
      <c r="W4" s="96" t="inlineStr">
        <is>
          <t>IDJKT</t>
        </is>
      </c>
      <c r="X4" s="161" t="inlineStr">
        <is>
          <t>2026-11-02</t>
        </is>
      </c>
      <c r="Y4" s="97" t="n"/>
      <c r="Z4" s="97" t="n"/>
      <c r="AA4" s="97" t="n"/>
      <c r="AB4" s="97" t="n"/>
      <c r="AC4" s="97" t="n"/>
      <c r="AD4" s="161" t="inlineStr">
        <is>
          <t>2026-10-23</t>
        </is>
      </c>
      <c r="AE4" s="174" t="inlineStr">
        <is>
          <t>0401</t>
        </is>
      </c>
      <c r="AF4" s="96" t="inlineStr">
        <is>
          <t>EDI2</t>
        </is>
      </c>
      <c r="AG4" s="97" t="n"/>
      <c r="AH4" s="97" t="n"/>
      <c r="AI4" s="97" t="inlineStr">
        <is>
          <t>ID059Y</t>
        </is>
      </c>
      <c r="AJ4" s="96" t="inlineStr">
        <is>
          <t>PT. SUZUKI INDOMOBIL MOTOR</t>
        </is>
      </c>
      <c r="AK4" s="130" t="n"/>
    </row>
    <row r="5" ht="12" customHeight="1">
      <c r="A5" s="108" t="inlineStr">
        <is>
          <t>HALU2108187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2026-10-24</t>
        </is>
      </c>
      <c r="E5" s="173" t="inlineStr">
        <is>
          <t>0005</t>
        </is>
      </c>
      <c r="F5" s="96" t="inlineStr">
        <is>
          <t>HASLS22261001232</t>
        </is>
      </c>
      <c r="G5" s="96" t="inlineStr">
        <is>
          <t>THAI MFC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HASLS22261001232</t>
        </is>
      </c>
      <c r="N5" s="96" t="inlineStr">
        <is>
          <t xml:space="preserve">20'x2 </t>
        </is>
      </c>
      <c r="O5" s="111" t="inlineStr">
        <is>
          <t>2021</t>
        </is>
      </c>
      <c r="P5" s="111" t="n"/>
      <c r="Q5" s="111" t="n"/>
      <c r="R5" s="96" t="inlineStr">
        <is>
          <t>NSSJ</t>
        </is>
      </c>
      <c r="S5" s="96" t="inlineStr">
        <is>
          <t>2608S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2026-10-30</t>
        </is>
      </c>
      <c r="W5" s="96" t="inlineStr">
        <is>
          <t>IDJKT</t>
        </is>
      </c>
      <c r="X5" s="161" t="inlineStr">
        <is>
          <t>2026-11-02</t>
        </is>
      </c>
      <c r="Y5" s="97" t="n"/>
      <c r="Z5" s="97" t="n"/>
      <c r="AA5" s="97" t="n"/>
      <c r="AB5" s="97" t="n"/>
      <c r="AC5" s="97" t="n"/>
      <c r="AD5" s="161" t="inlineStr">
        <is>
          <t>2026-10-24</t>
        </is>
      </c>
      <c r="AE5" s="174" t="inlineStr">
        <is>
          <t>0401</t>
        </is>
      </c>
      <c r="AF5" s="96" t="inlineStr">
        <is>
          <t>EDI2</t>
        </is>
      </c>
      <c r="AG5" s="97" t="n"/>
      <c r="AH5" s="97" t="n"/>
      <c r="AI5" s="97" t="inlineStr">
        <is>
          <t>IDILZX</t>
        </is>
      </c>
      <c r="AJ5" s="96" t="inlineStr">
        <is>
          <t>PT ANDESEN JAYA PLASTIK</t>
        </is>
      </c>
      <c r="AK5" s="130" t="n"/>
    </row>
    <row r="6" ht="12" customHeight="1">
      <c r="A6" s="108" t="inlineStr">
        <is>
          <t>HALU2433103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2026-10-24</t>
        </is>
      </c>
      <c r="E6" s="173" t="inlineStr">
        <is>
          <t>2306</t>
        </is>
      </c>
      <c r="F6" s="96" t="inlineStr">
        <is>
          <t>HASLS22261000552</t>
        </is>
      </c>
      <c r="G6" s="96" t="inlineStr">
        <is>
          <t>TG FREIGHT SERVICES CO.,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HASLS22261000552</t>
        </is>
      </c>
      <c r="N6" s="96" t="inlineStr">
        <is>
          <t xml:space="preserve">20'x1 </t>
        </is>
      </c>
      <c r="O6" s="111" t="inlineStr">
        <is>
          <t>2024</t>
        </is>
      </c>
      <c r="P6" s="111" t="n"/>
      <c r="Q6" s="111" t="n"/>
      <c r="R6" s="96" t="inlineStr">
        <is>
          <t>NSSJ</t>
        </is>
      </c>
      <c r="S6" s="96" t="inlineStr">
        <is>
          <t>2608S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2026-10-30</t>
        </is>
      </c>
      <c r="W6" s="96" t="inlineStr">
        <is>
          <t>IDJKT</t>
        </is>
      </c>
      <c r="X6" s="161" t="inlineStr">
        <is>
          <t>2026-11-02</t>
        </is>
      </c>
      <c r="Y6" s="97" t="n"/>
      <c r="Z6" s="97" t="n"/>
      <c r="AA6" s="97" t="n"/>
      <c r="AB6" s="97" t="n"/>
      <c r="AC6" s="97" t="n"/>
      <c r="AD6" s="161" t="inlineStr">
        <is>
          <t>2026-10-25</t>
        </is>
      </c>
      <c r="AE6" s="174" t="inlineStr">
        <is>
          <t>0200</t>
        </is>
      </c>
      <c r="AF6" s="96" t="inlineStr">
        <is>
          <t>EDI2</t>
        </is>
      </c>
      <c r="AG6" s="97" t="n"/>
      <c r="AH6" s="97" t="n"/>
      <c r="AI6" s="97" t="inlineStr">
        <is>
          <t>ID03TT</t>
        </is>
      </c>
      <c r="AJ6" s="96" t="inlineStr">
        <is>
          <t>PT PANASONIC MANUFACTURING</t>
        </is>
      </c>
      <c r="AK6" s="130" t="n"/>
    </row>
    <row r="7" ht="12" customHeight="1">
      <c r="A7" s="108" t="inlineStr">
        <is>
          <t>HALU5671023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2026-10-23</t>
        </is>
      </c>
      <c r="E7" s="173" t="inlineStr">
        <is>
          <t>0930</t>
        </is>
      </c>
      <c r="F7" s="96" t="inlineStr">
        <is>
          <t>HASLS22261001121</t>
        </is>
      </c>
      <c r="G7" s="96" t="inlineStr">
        <is>
          <t>UNITED MARINE LOGISTIC CO., LTD.</t>
        </is>
      </c>
      <c r="H7" s="111" t="inlineStr">
        <is>
          <t>45GP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HASLS22261001121</t>
        </is>
      </c>
      <c r="N7" s="96" t="inlineStr">
        <is>
          <t xml:space="preserve">40Hx1 </t>
        </is>
      </c>
      <c r="O7" s="111" t="inlineStr">
        <is>
          <t>2015</t>
        </is>
      </c>
      <c r="P7" s="111" t="n"/>
      <c r="Q7" s="111" t="n"/>
      <c r="R7" s="96" t="inlineStr">
        <is>
          <t>NSSJ</t>
        </is>
      </c>
      <c r="S7" s="96" t="inlineStr">
        <is>
          <t>2608S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2026-10-30</t>
        </is>
      </c>
      <c r="W7" s="96" t="inlineStr">
        <is>
          <t>IDJKT</t>
        </is>
      </c>
      <c r="X7" s="161" t="inlineStr">
        <is>
          <t>2026-11-02</t>
        </is>
      </c>
      <c r="Y7" s="97" t="n"/>
      <c r="Z7" s="97" t="n"/>
      <c r="AA7" s="97" t="n"/>
      <c r="AB7" s="97" t="n"/>
      <c r="AC7" s="97" t="n"/>
      <c r="AD7" s="161" t="inlineStr">
        <is>
          <t>2026-10-23</t>
        </is>
      </c>
      <c r="AE7" s="174" t="inlineStr">
        <is>
          <t>1200</t>
        </is>
      </c>
      <c r="AF7" s="96" t="inlineStr">
        <is>
          <t>EDI2</t>
        </is>
      </c>
      <c r="AG7" s="97" t="n"/>
      <c r="AH7" s="97" t="n"/>
      <c r="AI7" s="97" t="inlineStr">
        <is>
          <t>IDIOHW</t>
        </is>
      </c>
      <c r="AJ7" s="96" t="inlineStr">
        <is>
          <t>PT. ERATEX DJAJA TBK.,</t>
        </is>
      </c>
      <c r="AK7" s="130" t="n"/>
    </row>
    <row r="8" ht="12" customHeight="1">
      <c r="A8" s="108" t="inlineStr">
        <is>
          <t>HLHU8200254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2026-10-23</t>
        </is>
      </c>
      <c r="E8" s="173" t="inlineStr">
        <is>
          <t>1454</t>
        </is>
      </c>
      <c r="F8" s="96" t="inlineStr">
        <is>
          <t>HASLS22260902574</t>
        </is>
      </c>
      <c r="G8" s="96" t="inlineStr">
        <is>
          <t>ONE INTERFREIGHT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HASLS22260902574</t>
        </is>
      </c>
      <c r="N8" s="96" t="inlineStr">
        <is>
          <t xml:space="preserve">40Hx1 </t>
        </is>
      </c>
      <c r="O8" s="111" t="inlineStr">
        <is>
          <t>2022</t>
        </is>
      </c>
      <c r="P8" s="111" t="n"/>
      <c r="Q8" s="111" t="n"/>
      <c r="R8" s="96" t="inlineStr">
        <is>
          <t>NSSJ</t>
        </is>
      </c>
      <c r="S8" s="96" t="inlineStr">
        <is>
          <t>2608S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2026-10-30</t>
        </is>
      </c>
      <c r="W8" s="96" t="inlineStr">
        <is>
          <t>IDJKT</t>
        </is>
      </c>
      <c r="X8" s="161" t="inlineStr">
        <is>
          <t>2026-11-02</t>
        </is>
      </c>
      <c r="Y8" s="97" t="n"/>
      <c r="Z8" s="97" t="n"/>
      <c r="AA8" s="97" t="n"/>
      <c r="AB8" s="97" t="n"/>
      <c r="AC8" s="97" t="n"/>
      <c r="AD8" s="161" t="inlineStr">
        <is>
          <t>2026-10-23</t>
        </is>
      </c>
      <c r="AE8" s="174" t="inlineStr">
        <is>
          <t>1800</t>
        </is>
      </c>
      <c r="AF8" s="96" t="inlineStr">
        <is>
          <t>EDI2</t>
        </is>
      </c>
      <c r="AG8" s="97" t="n"/>
      <c r="AH8" s="97" t="n"/>
      <c r="AI8" s="97" t="inlineStr">
        <is>
          <t>IDIUW9</t>
        </is>
      </c>
      <c r="AJ8" s="96" t="inlineStr">
        <is>
          <t>PT. VERENTIA INTI CIPTA ALAMI</t>
        </is>
      </c>
      <c r="AK8" s="130" t="n"/>
    </row>
    <row r="9" ht="12" customHeight="1">
      <c r="A9" s="108" t="inlineStr">
        <is>
          <t>HLHU8500694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2026-10-22</t>
        </is>
      </c>
      <c r="E9" s="173" t="inlineStr">
        <is>
          <t>0655</t>
        </is>
      </c>
      <c r="F9" s="96" t="inlineStr">
        <is>
          <t>HASLS22260902718</t>
        </is>
      </c>
      <c r="G9" s="96" t="inlineStr">
        <is>
          <t>CONNEXT LOG (THAILAND) CO.,LTD.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HASLS22260902718</t>
        </is>
      </c>
      <c r="N9" s="96" t="inlineStr">
        <is>
          <t xml:space="preserve">40Hx1 </t>
        </is>
      </c>
      <c r="O9" s="111" t="inlineStr">
        <is>
          <t>2025</t>
        </is>
      </c>
      <c r="P9" s="111" t="n"/>
      <c r="Q9" s="111" t="n"/>
      <c r="R9" s="96" t="inlineStr">
        <is>
          <t>NSSJ</t>
        </is>
      </c>
      <c r="S9" s="96" t="inlineStr">
        <is>
          <t>2608S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2026-10-30</t>
        </is>
      </c>
      <c r="W9" s="96" t="inlineStr">
        <is>
          <t>IDJKT</t>
        </is>
      </c>
      <c r="X9" s="161" t="inlineStr">
        <is>
          <t>2026-11-02</t>
        </is>
      </c>
      <c r="Y9" s="97" t="n"/>
      <c r="Z9" s="97" t="n"/>
      <c r="AA9" s="97" t="n"/>
      <c r="AB9" s="97" t="n"/>
      <c r="AC9" s="97" t="n"/>
      <c r="AD9" s="161" t="inlineStr">
        <is>
          <t>2026-10-22</t>
        </is>
      </c>
      <c r="AE9" s="174" t="inlineStr">
        <is>
          <t>1000</t>
        </is>
      </c>
      <c r="AF9" s="96" t="inlineStr">
        <is>
          <t>EDI2</t>
        </is>
      </c>
      <c r="AG9" s="97" t="n"/>
      <c r="AH9" s="97" t="n"/>
      <c r="AI9" s="97" t="inlineStr">
        <is>
          <t>IDIREV</t>
        </is>
      </c>
      <c r="AJ9" s="96" t="inlineStr">
        <is>
          <t>PT. KHARISMA SUKSES GEMILANG</t>
        </is>
      </c>
      <c r="AK9" s="130" t="n"/>
    </row>
    <row r="10" ht="12" customHeight="1">
      <c r="A10" s="108" t="inlineStr">
        <is>
          <t>RFCU2350770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2026-10-23</t>
        </is>
      </c>
      <c r="E10" s="173" t="inlineStr">
        <is>
          <t>0321</t>
        </is>
      </c>
      <c r="F10" s="96" t="inlineStr">
        <is>
          <t>HASLS22261000972</t>
        </is>
      </c>
      <c r="G10" s="96" t="inlineStr">
        <is>
          <t>DACHSER (THAILAND) CO., LTD.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HASLS22261000972</t>
        </is>
      </c>
      <c r="N10" s="96" t="inlineStr">
        <is>
          <t xml:space="preserve">20'x1 </t>
        </is>
      </c>
      <c r="O10" s="111" t="inlineStr">
        <is>
          <t>2014</t>
        </is>
      </c>
      <c r="P10" s="111" t="n"/>
      <c r="Q10" s="111" t="n"/>
      <c r="R10" s="96" t="inlineStr">
        <is>
          <t>NSSJ</t>
        </is>
      </c>
      <c r="S10" s="96" t="inlineStr">
        <is>
          <t>2608S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2026-10-30</t>
        </is>
      </c>
      <c r="W10" s="96" t="inlineStr">
        <is>
          <t>IDJKT</t>
        </is>
      </c>
      <c r="X10" s="161" t="inlineStr">
        <is>
          <t>2026-11-02</t>
        </is>
      </c>
      <c r="Y10" s="97" t="n"/>
      <c r="Z10" s="97" t="n"/>
      <c r="AA10" s="97" t="n"/>
      <c r="AB10" s="97" t="n"/>
      <c r="AC10" s="97" t="n"/>
      <c r="AD10" s="161" t="inlineStr">
        <is>
          <t>2026-10-23</t>
        </is>
      </c>
      <c r="AE10" s="174" t="inlineStr">
        <is>
          <t>0600</t>
        </is>
      </c>
      <c r="AF10" s="96" t="inlineStr">
        <is>
          <t>EDI2</t>
        </is>
      </c>
      <c r="AG10" s="97" t="n"/>
      <c r="AH10" s="97" t="n"/>
      <c r="AI10" s="97" t="inlineStr">
        <is>
          <t>IDIM8I</t>
        </is>
      </c>
      <c r="AJ10" s="96" t="inlineStr">
        <is>
          <t>PT. DHARMA METAL INDONESIA</t>
        </is>
      </c>
      <c r="AK10" s="130" t="n"/>
    </row>
    <row r="11" ht="12" customHeight="1">
      <c r="A11" s="108" t="inlineStr">
        <is>
          <t>SKHU6329110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2026-10-23</t>
        </is>
      </c>
      <c r="E11" s="173" t="inlineStr">
        <is>
          <t>1140</t>
        </is>
      </c>
      <c r="F11" s="96" t="inlineStr">
        <is>
          <t>HASLS22260902800</t>
        </is>
      </c>
      <c r="G11" s="96" t="inlineStr">
        <is>
          <t>Q-LOG THAI CO., LTD.</t>
        </is>
      </c>
      <c r="H11" s="111" t="inlineStr">
        <is>
          <t>45GP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HASLS22260902800</t>
        </is>
      </c>
      <c r="N11" s="96" t="inlineStr">
        <is>
          <t xml:space="preserve">40Hx1 </t>
        </is>
      </c>
      <c r="O11" s="111" t="inlineStr">
        <is>
          <t>2023</t>
        </is>
      </c>
      <c r="P11" s="111" t="n"/>
      <c r="Q11" s="111" t="n"/>
      <c r="R11" s="96" t="inlineStr">
        <is>
          <t>NSSJ</t>
        </is>
      </c>
      <c r="S11" s="96" t="inlineStr">
        <is>
          <t>2608S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2026-10-30</t>
        </is>
      </c>
      <c r="W11" s="96" t="inlineStr">
        <is>
          <t>IDJKT</t>
        </is>
      </c>
      <c r="X11" s="161" t="inlineStr">
        <is>
          <t>2026-11-02</t>
        </is>
      </c>
      <c r="Y11" s="97" t="n"/>
      <c r="Z11" s="97" t="n"/>
      <c r="AA11" s="97" t="n"/>
      <c r="AB11" s="97" t="n"/>
      <c r="AC11" s="97" t="n"/>
      <c r="AD11" s="161" t="inlineStr">
        <is>
          <t>2026-10-23</t>
        </is>
      </c>
      <c r="AE11" s="174" t="inlineStr">
        <is>
          <t>1400</t>
        </is>
      </c>
      <c r="AF11" s="96" t="inlineStr">
        <is>
          <t>EDI2</t>
        </is>
      </c>
      <c r="AG11" s="97" t="n"/>
      <c r="AH11" s="97" t="n"/>
      <c r="AI11" s="97" t="inlineStr">
        <is>
          <t>IDIUP5</t>
        </is>
      </c>
      <c r="AJ11" s="96" t="inlineStr">
        <is>
          <t>CV. NOSREDNA</t>
        </is>
      </c>
      <c r="AK11" s="130" t="n"/>
    </row>
    <row r="12" ht="12" customHeight="1">
      <c r="A12" s="108" t="inlineStr">
        <is>
          <t>SKHU6576471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2026-10-24</t>
        </is>
      </c>
      <c r="E12" s="173" t="inlineStr">
        <is>
          <t>1734</t>
        </is>
      </c>
      <c r="F12" s="96" t="inlineStr">
        <is>
          <t>HASLS22260900492</t>
        </is>
      </c>
      <c r="G12" s="96" t="inlineStr">
        <is>
          <t>ACCORD PILOT LOGISTICS (THAILAND) CO., LTD.</t>
        </is>
      </c>
      <c r="H12" s="111" t="inlineStr">
        <is>
          <t>45GP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HASLS22260900492</t>
        </is>
      </c>
      <c r="N12" s="96" t="inlineStr">
        <is>
          <t xml:space="preserve">40Hx1 </t>
        </is>
      </c>
      <c r="O12" s="111" t="inlineStr">
        <is>
          <t>2025</t>
        </is>
      </c>
      <c r="P12" s="111" t="n"/>
      <c r="Q12" s="111" t="n"/>
      <c r="R12" s="96" t="inlineStr">
        <is>
          <t>NSSJ</t>
        </is>
      </c>
      <c r="S12" s="96" t="inlineStr">
        <is>
          <t>2608S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2026-10-30</t>
        </is>
      </c>
      <c r="W12" s="96" t="inlineStr">
        <is>
          <t>IDJKT</t>
        </is>
      </c>
      <c r="X12" s="161" t="inlineStr">
        <is>
          <t>2026-11-02</t>
        </is>
      </c>
      <c r="Y12" s="97" t="n"/>
      <c r="Z12" s="97" t="n"/>
      <c r="AA12" s="97" t="n"/>
      <c r="AB12" s="97" t="n"/>
      <c r="AC12" s="97" t="n"/>
      <c r="AD12" s="161" t="inlineStr">
        <is>
          <t>2026-10-24</t>
        </is>
      </c>
      <c r="AE12" s="174" t="inlineStr">
        <is>
          <t>2000</t>
        </is>
      </c>
      <c r="AF12" s="96" t="inlineStr">
        <is>
          <t>EDI2</t>
        </is>
      </c>
      <c r="AG12" s="97" t="n"/>
      <c r="AH12" s="97" t="n"/>
      <c r="AI12" s="97" t="inlineStr">
        <is>
          <t>IDIOS0</t>
        </is>
      </c>
      <c r="AJ12" s="96" t="inlineStr">
        <is>
          <t>P.T. DIAMOND COLD STORAGE</t>
        </is>
      </c>
      <c r="AK12" s="130" t="n"/>
    </row>
    <row r="13" ht="12" customHeight="1">
      <c r="A13" s="108" t="inlineStr">
        <is>
          <t>SKHU9105916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2026-10-21</t>
        </is>
      </c>
      <c r="E13" s="173" t="inlineStr">
        <is>
          <t>2333</t>
        </is>
      </c>
      <c r="F13" s="96" t="inlineStr">
        <is>
          <t>HASLS22261000841</t>
        </is>
      </c>
      <c r="G13" s="96" t="inlineStr">
        <is>
          <t>ASIA ATLANTIC LINENER COMPANY LIMITED.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HASLS22261000841</t>
        </is>
      </c>
      <c r="N13" s="96" t="inlineStr">
        <is>
          <t xml:space="preserve">40Hx2 </t>
        </is>
      </c>
      <c r="O13" s="111" t="inlineStr">
        <is>
          <t>2011</t>
        </is>
      </c>
      <c r="P13" s="111" t="n"/>
      <c r="Q13" s="111" t="n"/>
      <c r="R13" s="96" t="inlineStr">
        <is>
          <t>NSSJ</t>
        </is>
      </c>
      <c r="S13" s="96" t="inlineStr">
        <is>
          <t>2608S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2026-10-30</t>
        </is>
      </c>
      <c r="W13" s="96" t="inlineStr">
        <is>
          <t>IDJKT</t>
        </is>
      </c>
      <c r="X13" s="161" t="inlineStr">
        <is>
          <t>2026-11-02</t>
        </is>
      </c>
      <c r="Y13" s="97" t="n"/>
      <c r="Z13" s="97" t="n"/>
      <c r="AA13" s="97" t="n"/>
      <c r="AB13" s="97" t="n"/>
      <c r="AC13" s="97" t="n"/>
      <c r="AD13" s="161" t="inlineStr">
        <is>
          <t>2026-10-22</t>
        </is>
      </c>
      <c r="AE13" s="174" t="inlineStr">
        <is>
          <t>0200</t>
        </is>
      </c>
      <c r="AF13" s="96" t="inlineStr">
        <is>
          <t>EDI2</t>
        </is>
      </c>
      <c r="AG13" s="97" t="n"/>
      <c r="AH13" s="97" t="n"/>
      <c r="AI13" s="97" t="inlineStr">
        <is>
          <t>IDIO2L</t>
        </is>
      </c>
      <c r="AJ13" s="96" t="inlineStr">
        <is>
          <t>PT DENSO INDONESIA-BEKASI PLANT</t>
        </is>
      </c>
      <c r="AK13" s="130" t="n"/>
    </row>
    <row r="14" ht="12" customHeight="1">
      <c r="A14" s="108" t="inlineStr">
        <is>
          <t>SKHU9623807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2026-10-23</t>
        </is>
      </c>
      <c r="E14" s="173" t="inlineStr">
        <is>
          <t>1143</t>
        </is>
      </c>
      <c r="F14" s="96" t="inlineStr">
        <is>
          <t>HASLS22261000803</t>
        </is>
      </c>
      <c r="G14" s="96" t="inlineStr">
        <is>
          <t>ALUCON PUBLIC COMPANY LIMITED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HASLS22261000803</t>
        </is>
      </c>
      <c r="N14" s="96" t="inlineStr">
        <is>
          <t xml:space="preserve">40Hx1 </t>
        </is>
      </c>
      <c r="O14" s="111" t="inlineStr">
        <is>
          <t>2016</t>
        </is>
      </c>
      <c r="P14" s="111" t="n"/>
      <c r="Q14" s="111" t="n"/>
      <c r="R14" s="96" t="inlineStr">
        <is>
          <t>NSSJ</t>
        </is>
      </c>
      <c r="S14" s="96" t="inlineStr">
        <is>
          <t>2608S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2026-10-30</t>
        </is>
      </c>
      <c r="W14" s="96" t="inlineStr">
        <is>
          <t>IDJKT</t>
        </is>
      </c>
      <c r="X14" s="161" t="inlineStr">
        <is>
          <t>2026-11-02</t>
        </is>
      </c>
      <c r="Y14" s="97" t="n"/>
      <c r="Z14" s="97" t="n"/>
      <c r="AA14" s="97" t="n"/>
      <c r="AB14" s="97" t="n"/>
      <c r="AC14" s="97" t="n"/>
      <c r="AD14" s="161" t="inlineStr">
        <is>
          <t>2026-10-23</t>
        </is>
      </c>
      <c r="AE14" s="174" t="inlineStr">
        <is>
          <t>1400</t>
        </is>
      </c>
      <c r="AF14" s="96" t="inlineStr">
        <is>
          <t>EDI2</t>
        </is>
      </c>
      <c r="AG14" s="97" t="n"/>
      <c r="AH14" s="97" t="n"/>
      <c r="AI14" s="97" t="inlineStr">
        <is>
          <t>IDIPPB</t>
        </is>
      </c>
      <c r="AJ14" s="96" t="inlineStr">
        <is>
          <t>PT TAISHO PHARMACEUTICAL INDONESIA</t>
        </is>
      </c>
      <c r="AK14" s="130" t="n"/>
    </row>
    <row r="15" ht="12" customHeight="1">
      <c r="A15" s="108" t="inlineStr">
        <is>
          <t>SKLU1321440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2026-10-23</t>
        </is>
      </c>
      <c r="E15" s="173" t="inlineStr">
        <is>
          <t>1333</t>
        </is>
      </c>
      <c r="F15" s="96" t="inlineStr">
        <is>
          <t>HASLS22260900973</t>
        </is>
      </c>
      <c r="G15" s="96" t="inlineStr">
        <is>
          <t>L.A.1 CO.,LTD.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HASLS22260900973</t>
        </is>
      </c>
      <c r="N15" s="96" t="inlineStr">
        <is>
          <t xml:space="preserve">20'x1 </t>
        </is>
      </c>
      <c r="O15" s="111" t="inlineStr">
        <is>
          <t>2013</t>
        </is>
      </c>
      <c r="P15" s="111" t="n"/>
      <c r="Q15" s="111" t="n"/>
      <c r="R15" s="96" t="inlineStr">
        <is>
          <t>NSSJ</t>
        </is>
      </c>
      <c r="S15" s="96" t="inlineStr">
        <is>
          <t>2608S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2026-10-30</t>
        </is>
      </c>
      <c r="W15" s="96" t="inlineStr">
        <is>
          <t>IDJKT</t>
        </is>
      </c>
      <c r="X15" s="161" t="inlineStr">
        <is>
          <t>2026-11-02</t>
        </is>
      </c>
      <c r="Y15" s="97" t="n"/>
      <c r="Z15" s="97" t="n"/>
      <c r="AA15" s="97" t="n"/>
      <c r="AB15" s="97" t="n"/>
      <c r="AC15" s="97" t="n"/>
      <c r="AD15" s="161" t="inlineStr">
        <is>
          <t>2026-10-23</t>
        </is>
      </c>
      <c r="AE15" s="174" t="inlineStr">
        <is>
          <t>1600</t>
        </is>
      </c>
      <c r="AF15" s="96" t="inlineStr">
        <is>
          <t>EDI2</t>
        </is>
      </c>
      <c r="AG15" s="97" t="n"/>
      <c r="AH15" s="97" t="n"/>
      <c r="AI15" s="97" t="inlineStr">
        <is>
          <t>IDISRH</t>
        </is>
      </c>
      <c r="AJ15" s="96" t="inlineStr">
        <is>
          <t>PT. CHEMSTAR INDONESIA TBK</t>
        </is>
      </c>
      <c r="AK15" s="130" t="n"/>
    </row>
    <row r="16" ht="12" customHeight="1">
      <c r="A16" s="108" t="inlineStr">
        <is>
          <t>SKLU1649700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2026-10-25</t>
        </is>
      </c>
      <c r="E16" s="173" t="inlineStr">
        <is>
          <t>0024</t>
        </is>
      </c>
      <c r="F16" s="96" t="inlineStr">
        <is>
          <t>HASLS22261001026</t>
        </is>
      </c>
      <c r="G16" s="96" t="inlineStr">
        <is>
          <t>NIPPON EXPRESS LOGISTICS (THAILAND)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HASLS22261001026</t>
        </is>
      </c>
      <c r="N16" s="96" t="inlineStr">
        <is>
          <t xml:space="preserve">20'x1 </t>
        </is>
      </c>
      <c r="O16" s="111" t="inlineStr">
        <is>
          <t>2016</t>
        </is>
      </c>
      <c r="P16" s="111" t="n"/>
      <c r="Q16" s="111" t="n"/>
      <c r="R16" s="96" t="inlineStr">
        <is>
          <t>NSSJ</t>
        </is>
      </c>
      <c r="S16" s="96" t="inlineStr">
        <is>
          <t>2608S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2026-10-30</t>
        </is>
      </c>
      <c r="W16" s="96" t="inlineStr">
        <is>
          <t>IDJKT</t>
        </is>
      </c>
      <c r="X16" s="161" t="inlineStr">
        <is>
          <t>2026-11-02</t>
        </is>
      </c>
      <c r="Y16" s="97" t="n"/>
      <c r="Z16" s="97" t="n"/>
      <c r="AA16" s="97" t="n"/>
      <c r="AB16" s="97" t="n"/>
      <c r="AC16" s="97" t="n"/>
      <c r="AD16" s="161" t="inlineStr">
        <is>
          <t>2026-10-25</t>
        </is>
      </c>
      <c r="AE16" s="174" t="inlineStr">
        <is>
          <t>0400</t>
        </is>
      </c>
      <c r="AF16" s="96" t="inlineStr">
        <is>
          <t>EDI2</t>
        </is>
      </c>
      <c r="AG16" s="97" t="n"/>
      <c r="AH16" s="97" t="n"/>
      <c r="AI16" s="97" t="inlineStr">
        <is>
          <t>IDIO73</t>
        </is>
      </c>
      <c r="AJ16" s="96" t="inlineStr">
        <is>
          <t>PT. INABATA INDONESIA</t>
        </is>
      </c>
      <c r="AK16" s="130" t="n"/>
    </row>
    <row r="17" ht="12" customHeight="1">
      <c r="A17" s="108" t="inlineStr">
        <is>
          <t>SKLU1811468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2026-10-23</t>
        </is>
      </c>
      <c r="E17" s="173" t="inlineStr">
        <is>
          <t>2127</t>
        </is>
      </c>
      <c r="F17" s="96" t="inlineStr">
        <is>
          <t>HASLS22261001232</t>
        </is>
      </c>
      <c r="G17" s="96" t="inlineStr">
        <is>
          <t>THAI MFC CO., LTD.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HASLS22261001232</t>
        </is>
      </c>
      <c r="N17" s="96" t="inlineStr">
        <is>
          <t xml:space="preserve">20'x2 </t>
        </is>
      </c>
      <c r="O17" s="111" t="inlineStr">
        <is>
          <t>2018</t>
        </is>
      </c>
      <c r="P17" s="111" t="n"/>
      <c r="Q17" s="111" t="n"/>
      <c r="R17" s="96" t="inlineStr">
        <is>
          <t>NSSJ</t>
        </is>
      </c>
      <c r="S17" s="96" t="inlineStr">
        <is>
          <t>2608S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2026-10-30</t>
        </is>
      </c>
      <c r="W17" s="96" t="inlineStr">
        <is>
          <t>IDJKT</t>
        </is>
      </c>
      <c r="X17" s="161" t="inlineStr">
        <is>
          <t>2026-11-02</t>
        </is>
      </c>
      <c r="Y17" s="97" t="n"/>
      <c r="Z17" s="97" t="n"/>
      <c r="AA17" s="97" t="n"/>
      <c r="AB17" s="97" t="n"/>
      <c r="AC17" s="97" t="n"/>
      <c r="AD17" s="161" t="inlineStr">
        <is>
          <t>2026-10-24</t>
        </is>
      </c>
      <c r="AE17" s="174" t="inlineStr">
        <is>
          <t>0000</t>
        </is>
      </c>
      <c r="AF17" s="96" t="inlineStr">
        <is>
          <t>EDI2</t>
        </is>
      </c>
      <c r="AG17" s="97" t="n"/>
      <c r="AH17" s="97" t="n"/>
      <c r="AI17" s="97" t="inlineStr">
        <is>
          <t>IDILZX</t>
        </is>
      </c>
      <c r="AJ17" s="96" t="inlineStr">
        <is>
          <t>PT ANDESEN JAYA PLASTIK</t>
        </is>
      </c>
      <c r="AK17" s="130" t="n"/>
    </row>
    <row r="18" ht="12" customHeight="1">
      <c r="A18" s="108" t="inlineStr">
        <is>
          <t>SKLU1819670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2026-10-23</t>
        </is>
      </c>
      <c r="E18" s="173" t="inlineStr">
        <is>
          <t>1232</t>
        </is>
      </c>
      <c r="F18" s="96" t="inlineStr">
        <is>
          <t>HASLS22260902116</t>
        </is>
      </c>
      <c r="G18" s="96" t="inlineStr">
        <is>
          <t>ACCORD PILOT LOGISTICS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HASLS22260902116</t>
        </is>
      </c>
      <c r="N18" s="96" t="inlineStr">
        <is>
          <t xml:space="preserve">20'x1 </t>
        </is>
      </c>
      <c r="O18" s="111" t="inlineStr">
        <is>
          <t>2018</t>
        </is>
      </c>
      <c r="P18" s="111" t="n"/>
      <c r="Q18" s="111" t="n"/>
      <c r="R18" s="96" t="inlineStr">
        <is>
          <t>NSSJ</t>
        </is>
      </c>
      <c r="S18" s="96" t="inlineStr">
        <is>
          <t>2608S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2026-10-30</t>
        </is>
      </c>
      <c r="W18" s="96" t="inlineStr">
        <is>
          <t>IDJKT</t>
        </is>
      </c>
      <c r="X18" s="161" t="inlineStr">
        <is>
          <t>2026-11-02</t>
        </is>
      </c>
      <c r="Y18" s="97" t="n"/>
      <c r="Z18" s="97" t="n"/>
      <c r="AA18" s="97" t="n"/>
      <c r="AB18" s="97" t="n"/>
      <c r="AC18" s="97" t="n"/>
      <c r="AD18" s="161" t="inlineStr">
        <is>
          <t>2026-10-23</t>
        </is>
      </c>
      <c r="AE18" s="174" t="inlineStr">
        <is>
          <t>1600</t>
        </is>
      </c>
      <c r="AF18" s="96" t="inlineStr">
        <is>
          <t>EDI2</t>
        </is>
      </c>
      <c r="AG18" s="97" t="n"/>
      <c r="AH18" s="97" t="n"/>
      <c r="AI18" s="97" t="inlineStr">
        <is>
          <t>IDIOS0</t>
        </is>
      </c>
      <c r="AJ18" s="96" t="inlineStr">
        <is>
          <t>P.T. DIAMOND COLD STORAGE</t>
        </is>
      </c>
      <c r="AK18" s="130" t="n"/>
    </row>
    <row r="19" ht="12" customHeight="1">
      <c r="A19" s="108" t="inlineStr">
        <is>
          <t>SKLU1924741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2026-10-30</t>
        </is>
      </c>
      <c r="E19" s="173" t="inlineStr">
        <is>
          <t>0150</t>
        </is>
      </c>
      <c r="F19" s="96" t="inlineStr">
        <is>
          <t>HASLS22261000261</t>
        </is>
      </c>
      <c r="G19" s="96" t="inlineStr">
        <is>
          <t>NH LOGISTICS CO., LTD.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HASLS22261000261</t>
        </is>
      </c>
      <c r="N19" s="96" t="inlineStr">
        <is>
          <t xml:space="preserve">20'x1 </t>
        </is>
      </c>
      <c r="O19" s="111" t="inlineStr">
        <is>
          <t>2019</t>
        </is>
      </c>
      <c r="P19" s="111" t="n"/>
      <c r="Q19" s="111" t="n"/>
      <c r="R19" s="96" t="inlineStr">
        <is>
          <t>NSSJ</t>
        </is>
      </c>
      <c r="S19" s="96" t="inlineStr">
        <is>
          <t>2608S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2026-10-30</t>
        </is>
      </c>
      <c r="W19" s="96" t="inlineStr">
        <is>
          <t>IDJKT</t>
        </is>
      </c>
      <c r="X19" s="161" t="inlineStr">
        <is>
          <t>2026-11-02</t>
        </is>
      </c>
      <c r="Y19" s="97" t="n"/>
      <c r="Z19" s="97" t="n"/>
      <c r="AA19" s="97" t="n"/>
      <c r="AB19" s="97" t="n"/>
      <c r="AC19" s="97" t="n"/>
      <c r="AD19" s="161" t="inlineStr">
        <is>
          <t>2026-10-30</t>
        </is>
      </c>
      <c r="AE19" s="174" t="inlineStr">
        <is>
          <t>0400</t>
        </is>
      </c>
      <c r="AF19" s="96" t="inlineStr">
        <is>
          <t>EDI2</t>
        </is>
      </c>
      <c r="AG19" s="97" t="n"/>
      <c r="AH19" s="97" t="n"/>
      <c r="AI19" s="97" t="inlineStr">
        <is>
          <t>IDIOC7</t>
        </is>
      </c>
      <c r="AJ19" s="96" t="inlineStr">
        <is>
          <t>PT.WWRC INDONESIA</t>
        </is>
      </c>
      <c r="AK19" s="130" t="n"/>
    </row>
    <row r="20" ht="12" customHeight="1">
      <c r="A20" s="108" t="inlineStr">
        <is>
          <t>SKLU1968502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2026-10-23</t>
        </is>
      </c>
      <c r="E20" s="173" t="inlineStr">
        <is>
          <t>1747</t>
        </is>
      </c>
      <c r="F20" s="96" t="inlineStr">
        <is>
          <t>HASLS22261000533</t>
        </is>
      </c>
      <c r="G20" s="96" t="inlineStr">
        <is>
          <t>THAI MFC CO., LTD.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HASLS22261000533</t>
        </is>
      </c>
      <c r="N20" s="96" t="inlineStr">
        <is>
          <t xml:space="preserve">20'x1 </t>
        </is>
      </c>
      <c r="O20" s="111" t="inlineStr">
        <is>
          <t>2019</t>
        </is>
      </c>
      <c r="P20" s="111" t="n"/>
      <c r="Q20" s="111" t="n"/>
      <c r="R20" s="96" t="inlineStr">
        <is>
          <t>NSSJ</t>
        </is>
      </c>
      <c r="S20" s="96" t="inlineStr">
        <is>
          <t>2608S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2026-10-30</t>
        </is>
      </c>
      <c r="W20" s="96" t="inlineStr">
        <is>
          <t>IDJKT</t>
        </is>
      </c>
      <c r="X20" s="161" t="inlineStr">
        <is>
          <t>2026-11-02</t>
        </is>
      </c>
      <c r="Y20" s="97" t="n"/>
      <c r="Z20" s="97" t="n"/>
      <c r="AA20" s="97" t="n"/>
      <c r="AB20" s="97" t="n"/>
      <c r="AC20" s="97" t="n"/>
      <c r="AD20" s="161" t="inlineStr">
        <is>
          <t>2026-10-23</t>
        </is>
      </c>
      <c r="AE20" s="174" t="inlineStr">
        <is>
          <t>2000</t>
        </is>
      </c>
      <c r="AF20" s="96" t="inlineStr">
        <is>
          <t>EDI2</t>
        </is>
      </c>
      <c r="AG20" s="97" t="n"/>
      <c r="AH20" s="97" t="n"/>
      <c r="AI20" s="97" t="inlineStr">
        <is>
          <t>IDISCY</t>
        </is>
      </c>
      <c r="AJ20" s="96" t="inlineStr">
        <is>
          <t>PT. MULTIRAYA INDAHABADI</t>
        </is>
      </c>
      <c r="AK20" s="130" t="n"/>
    </row>
    <row r="21" ht="12" customHeight="1">
      <c r="A21" s="108" t="inlineStr">
        <is>
          <t>SKLU2069815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2026-10-22</t>
        </is>
      </c>
      <c r="E21" s="173" t="inlineStr">
        <is>
          <t>2353</t>
        </is>
      </c>
      <c r="F21" s="96" t="inlineStr">
        <is>
          <t>HASLS22261000977</t>
        </is>
      </c>
      <c r="G21" s="96" t="inlineStr">
        <is>
          <t>PROFREIGHT INTERNATIONAL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HASLS22261000977</t>
        </is>
      </c>
      <c r="N21" s="96" t="inlineStr">
        <is>
          <t xml:space="preserve">20'x1 </t>
        </is>
      </c>
      <c r="O21" s="111" t="inlineStr">
        <is>
          <t>2019</t>
        </is>
      </c>
      <c r="P21" s="111" t="n"/>
      <c r="Q21" s="111" t="n"/>
      <c r="R21" s="96" t="inlineStr">
        <is>
          <t>NSSJ</t>
        </is>
      </c>
      <c r="S21" s="96" t="inlineStr">
        <is>
          <t>2608S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2026-10-30</t>
        </is>
      </c>
      <c r="W21" s="96" t="inlineStr">
        <is>
          <t>IDJKT</t>
        </is>
      </c>
      <c r="X21" s="161" t="inlineStr">
        <is>
          <t>2026-11-02</t>
        </is>
      </c>
      <c r="Y21" s="97" t="n"/>
      <c r="Z21" s="97" t="n"/>
      <c r="AA21" s="97" t="n"/>
      <c r="AB21" s="97" t="n"/>
      <c r="AC21" s="97" t="n"/>
      <c r="AD21" s="161" t="inlineStr">
        <is>
          <t>2026-10-23</t>
        </is>
      </c>
      <c r="AE21" s="174" t="inlineStr">
        <is>
          <t>0200</t>
        </is>
      </c>
      <c r="AF21" s="96" t="inlineStr">
        <is>
          <t>EDI2</t>
        </is>
      </c>
      <c r="AG21" s="97" t="n"/>
      <c r="AH21" s="97" t="n"/>
      <c r="AI21" s="97" t="inlineStr">
        <is>
          <t>IDIGU2</t>
        </is>
      </c>
      <c r="AJ21" s="96" t="inlineStr">
        <is>
          <t>PT. ULTRA PRIMA ABADI,</t>
        </is>
      </c>
      <c r="AK21" s="130" t="n"/>
    </row>
    <row r="22" ht="12" customHeight="1">
      <c r="A22" s="108" t="inlineStr">
        <is>
          <t>SKLU2105635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2026-10-25</t>
        </is>
      </c>
      <c r="E22" s="173" t="inlineStr">
        <is>
          <t>0020</t>
        </is>
      </c>
      <c r="F22" s="96" t="inlineStr">
        <is>
          <t>HASLS22260902829</t>
        </is>
      </c>
      <c r="G22" s="96" t="inlineStr">
        <is>
          <t>SEATRANS INTERNATIONAL TRANSPORT CO., LTD.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HASLS22260902829</t>
        </is>
      </c>
      <c r="N22" s="96" t="inlineStr">
        <is>
          <t xml:space="preserve">20'x1 </t>
        </is>
      </c>
      <c r="O22" s="111" t="inlineStr">
        <is>
          <t>2021</t>
        </is>
      </c>
      <c r="P22" s="111" t="n"/>
      <c r="Q22" s="111" t="n"/>
      <c r="R22" s="96" t="inlineStr">
        <is>
          <t>NSSJ</t>
        </is>
      </c>
      <c r="S22" s="96" t="inlineStr">
        <is>
          <t>2608S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2026-10-30</t>
        </is>
      </c>
      <c r="W22" s="96" t="inlineStr">
        <is>
          <t>IDJKT</t>
        </is>
      </c>
      <c r="X22" s="161" t="inlineStr">
        <is>
          <t>2026-11-02</t>
        </is>
      </c>
      <c r="Y22" s="97" t="n"/>
      <c r="Z22" s="97" t="n"/>
      <c r="AA22" s="97" t="n"/>
      <c r="AB22" s="97" t="n"/>
      <c r="AC22" s="97" t="n"/>
      <c r="AD22" s="161" t="inlineStr">
        <is>
          <t>2026-10-25</t>
        </is>
      </c>
      <c r="AE22" s="174" t="inlineStr">
        <is>
          <t>0400</t>
        </is>
      </c>
      <c r="AF22" s="96" t="inlineStr">
        <is>
          <t>EDI2</t>
        </is>
      </c>
      <c r="AG22" s="97" t="n"/>
      <c r="AH22" s="97" t="n"/>
      <c r="AI22" s="97" t="inlineStr">
        <is>
          <t>IDIP0Q</t>
        </is>
      </c>
      <c r="AJ22" s="96" t="inlineStr">
        <is>
          <t>PT PRAMBANAN KENCANA</t>
        </is>
      </c>
      <c r="AK22" s="130" t="n"/>
    </row>
    <row r="23" ht="12" customHeight="1">
      <c r="A23" s="108" t="inlineStr">
        <is>
          <t>SKLU2306373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2026-10-21</t>
        </is>
      </c>
      <c r="E23" s="173" t="inlineStr">
        <is>
          <t>2036</t>
        </is>
      </c>
      <c r="F23" s="96" t="inlineStr">
        <is>
          <t>HASLS22261000641</t>
        </is>
      </c>
      <c r="G23" s="96" t="inlineStr">
        <is>
          <t>PRIME LOGISTICS INTERNATIONAL CO., LTD.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HASLS22261000641</t>
        </is>
      </c>
      <c r="N23" s="96" t="inlineStr">
        <is>
          <t xml:space="preserve">20'x1 </t>
        </is>
      </c>
      <c r="O23" s="111" t="inlineStr">
        <is>
          <t>2023</t>
        </is>
      </c>
      <c r="P23" s="111" t="n"/>
      <c r="Q23" s="111" t="n"/>
      <c r="R23" s="96" t="inlineStr">
        <is>
          <t>NSSJ</t>
        </is>
      </c>
      <c r="S23" s="96" t="inlineStr">
        <is>
          <t>2608S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2026-10-30</t>
        </is>
      </c>
      <c r="W23" s="96" t="inlineStr">
        <is>
          <t>IDJKT</t>
        </is>
      </c>
      <c r="X23" s="161" t="inlineStr">
        <is>
          <t>2026-11-02</t>
        </is>
      </c>
      <c r="Y23" s="97" t="n"/>
      <c r="Z23" s="97" t="n"/>
      <c r="AA23" s="97" t="n"/>
      <c r="AB23" s="97" t="n"/>
      <c r="AC23" s="97" t="n"/>
      <c r="AD23" s="161" t="inlineStr">
        <is>
          <t>2026-10-22</t>
        </is>
      </c>
      <c r="AE23" s="174" t="inlineStr">
        <is>
          <t>0000</t>
        </is>
      </c>
      <c r="AF23" s="96" t="inlineStr">
        <is>
          <t>EDI2</t>
        </is>
      </c>
      <c r="AG23" s="97" t="n"/>
      <c r="AH23" s="97" t="n"/>
      <c r="AI23" s="97" t="inlineStr">
        <is>
          <t>IDIRT2</t>
        </is>
      </c>
      <c r="AJ23" s="96" t="inlineStr">
        <is>
          <t>PT. DETPAK INDONESIA</t>
        </is>
      </c>
      <c r="AK23" s="130" t="n"/>
    </row>
    <row r="24" ht="12" customHeight="1">
      <c r="A24" s="108" t="inlineStr">
        <is>
          <t>SKLU2318754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2026-10-22</t>
        </is>
      </c>
      <c r="E24" s="173" t="inlineStr">
        <is>
          <t>2356</t>
        </is>
      </c>
      <c r="F24" s="96" t="inlineStr">
        <is>
          <t>HASLS22261001199</t>
        </is>
      </c>
      <c r="G24" s="96" t="inlineStr">
        <is>
          <t>Q-LOG THAI CO., LTD.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HASLS22261001199</t>
        </is>
      </c>
      <c r="N24" s="96" t="inlineStr">
        <is>
          <t xml:space="preserve">20'x1 </t>
        </is>
      </c>
      <c r="O24" s="111" t="inlineStr">
        <is>
          <t>2023</t>
        </is>
      </c>
      <c r="P24" s="111" t="n"/>
      <c r="Q24" s="111" t="n"/>
      <c r="R24" s="96" t="inlineStr">
        <is>
          <t>NSSJ</t>
        </is>
      </c>
      <c r="S24" s="96" t="inlineStr">
        <is>
          <t>2608S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2026-10-30</t>
        </is>
      </c>
      <c r="W24" s="96" t="inlineStr">
        <is>
          <t>IDJKT</t>
        </is>
      </c>
      <c r="X24" s="161" t="inlineStr">
        <is>
          <t>2026-11-02</t>
        </is>
      </c>
      <c r="Y24" s="97" t="n"/>
      <c r="Z24" s="97" t="n"/>
      <c r="AA24" s="97" t="n"/>
      <c r="AB24" s="97" t="n"/>
      <c r="AC24" s="97" t="n"/>
      <c r="AD24" s="161" t="inlineStr">
        <is>
          <t>2026-10-23</t>
        </is>
      </c>
      <c r="AE24" s="174" t="inlineStr">
        <is>
          <t>0200</t>
        </is>
      </c>
      <c r="AF24" s="96" t="inlineStr">
        <is>
          <t>EDI2</t>
        </is>
      </c>
      <c r="AG24" s="97" t="n"/>
      <c r="AH24" s="97" t="n"/>
      <c r="AI24" s="97" t="inlineStr">
        <is>
          <t>IDIMXC</t>
        </is>
      </c>
      <c r="AJ24" s="96" t="inlineStr">
        <is>
          <t>CV. OCEANIA UTAMA RAYA</t>
        </is>
      </c>
      <c r="AK24" s="130" t="n"/>
    </row>
    <row r="25" ht="12" customHeight="1">
      <c r="A25" s="108" t="inlineStr">
        <is>
          <t>SKLU2429980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2026-10-22</t>
        </is>
      </c>
      <c r="E25" s="173" t="inlineStr">
        <is>
          <t>2023</t>
        </is>
      </c>
      <c r="F25" s="96" t="inlineStr">
        <is>
          <t>HASLS22261001524</t>
        </is>
      </c>
      <c r="G25" s="96" t="inlineStr">
        <is>
          <t>SIAM I-LOGISTICS LTD.</t>
        </is>
      </c>
      <c r="H25" s="111" t="inlineStr">
        <is>
          <t>22GP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HASLS22261001524</t>
        </is>
      </c>
      <c r="N25" s="96" t="inlineStr">
        <is>
          <t xml:space="preserve">20'x1 </t>
        </is>
      </c>
      <c r="O25" s="111" t="inlineStr">
        <is>
          <t>2024</t>
        </is>
      </c>
      <c r="P25" s="111" t="n"/>
      <c r="Q25" s="111" t="n"/>
      <c r="R25" s="96" t="inlineStr">
        <is>
          <t>NSSJ</t>
        </is>
      </c>
      <c r="S25" s="96" t="inlineStr">
        <is>
          <t>2608S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2026-10-30</t>
        </is>
      </c>
      <c r="W25" s="96" t="inlineStr">
        <is>
          <t>IDJKT</t>
        </is>
      </c>
      <c r="X25" s="161" t="inlineStr">
        <is>
          <t>2026-11-02</t>
        </is>
      </c>
      <c r="Y25" s="97" t="n"/>
      <c r="Z25" s="97" t="n"/>
      <c r="AA25" s="97" t="n"/>
      <c r="AB25" s="97" t="n"/>
      <c r="AC25" s="97" t="n"/>
      <c r="AD25" s="161" t="inlineStr">
        <is>
          <t>2026-10-23</t>
        </is>
      </c>
      <c r="AE25" s="174" t="inlineStr">
        <is>
          <t>0000</t>
        </is>
      </c>
      <c r="AF25" s="96" t="inlineStr">
        <is>
          <t>EDI2</t>
        </is>
      </c>
      <c r="AG25" s="97" t="n"/>
      <c r="AH25" s="97" t="n"/>
      <c r="AI25" s="97" t="inlineStr">
        <is>
          <t>IDIPXI</t>
        </is>
      </c>
      <c r="AJ25" s="96" t="inlineStr">
        <is>
          <t>PT. SEIWA INDONESIA</t>
        </is>
      </c>
      <c r="AK25" s="130" t="n"/>
    </row>
    <row r="26" ht="12" customHeight="1">
      <c r="A26" s="108" t="inlineStr">
        <is>
          <t>SKLU2468482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2026-10-27</t>
        </is>
      </c>
      <c r="E26" s="173" t="inlineStr">
        <is>
          <t>2005</t>
        </is>
      </c>
      <c r="F26" s="96" t="inlineStr">
        <is>
          <t>HASLS22261001895</t>
        </is>
      </c>
      <c r="G26" s="96" t="inlineStr">
        <is>
          <t>UBE CHEMICALS (ASIA) PUBLIC COMPANY LIMITED</t>
        </is>
      </c>
      <c r="H26" s="111" t="inlineStr">
        <is>
          <t>22GP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HASLS22261001895</t>
        </is>
      </c>
      <c r="N26" s="96" t="inlineStr">
        <is>
          <t xml:space="preserve">20'x1 </t>
        </is>
      </c>
      <c r="O26" s="111" t="inlineStr">
        <is>
          <t>2024</t>
        </is>
      </c>
      <c r="P26" s="111" t="n"/>
      <c r="Q26" s="111" t="n"/>
      <c r="R26" s="96" t="inlineStr">
        <is>
          <t>NSSJ</t>
        </is>
      </c>
      <c r="S26" s="96" t="inlineStr">
        <is>
          <t>2608S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2026-10-30</t>
        </is>
      </c>
      <c r="W26" s="96" t="inlineStr">
        <is>
          <t>IDJKT</t>
        </is>
      </c>
      <c r="X26" s="161" t="inlineStr">
        <is>
          <t>2026-11-02</t>
        </is>
      </c>
      <c r="Y26" s="97" t="n"/>
      <c r="Z26" s="97" t="n"/>
      <c r="AA26" s="97" t="n"/>
      <c r="AB26" s="97" t="n"/>
      <c r="AC26" s="97" t="n"/>
      <c r="AD26" s="161" t="inlineStr">
        <is>
          <t>2026-10-28</t>
        </is>
      </c>
      <c r="AE26" s="174" t="inlineStr">
        <is>
          <t>0000</t>
        </is>
      </c>
      <c r="AF26" s="96" t="inlineStr">
        <is>
          <t>EDI2</t>
        </is>
      </c>
      <c r="AG26" s="97" t="n"/>
      <c r="AH26" s="97" t="n"/>
      <c r="AI26" s="97" t="inlineStr">
        <is>
          <t>IDINRP</t>
        </is>
      </c>
      <c r="AJ26" s="96" t="inlineStr">
        <is>
          <t>PT. ITOCHU INDONESIA</t>
        </is>
      </c>
      <c r="AK26" s="130" t="n"/>
    </row>
    <row r="27" ht="12" customHeight="1">
      <c r="A27" s="108" t="inlineStr">
        <is>
          <t>SKLU2473684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2026-10-23</t>
        </is>
      </c>
      <c r="E27" s="173" t="inlineStr">
        <is>
          <t>1229</t>
        </is>
      </c>
      <c r="F27" s="96" t="inlineStr">
        <is>
          <t>HASLS22261000657</t>
        </is>
      </c>
      <c r="G27" s="96" t="inlineStr">
        <is>
          <t>WORLDLINK SHIPPING CO., LTD.</t>
        </is>
      </c>
      <c r="H27" s="111" t="inlineStr">
        <is>
          <t>22GP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HASLS22261000657</t>
        </is>
      </c>
      <c r="N27" s="96" t="inlineStr">
        <is>
          <t xml:space="preserve">20'x1 </t>
        </is>
      </c>
      <c r="O27" s="111" t="inlineStr">
        <is>
          <t>2024</t>
        </is>
      </c>
      <c r="P27" s="111" t="n"/>
      <c r="Q27" s="111" t="n"/>
      <c r="R27" s="96" t="inlineStr">
        <is>
          <t>NSSJ</t>
        </is>
      </c>
      <c r="S27" s="96" t="inlineStr">
        <is>
          <t>2608S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2026-10-30</t>
        </is>
      </c>
      <c r="W27" s="96" t="inlineStr">
        <is>
          <t>IDJKT</t>
        </is>
      </c>
      <c r="X27" s="161" t="inlineStr">
        <is>
          <t>2026-11-02</t>
        </is>
      </c>
      <c r="Y27" s="97" t="n"/>
      <c r="Z27" s="97" t="n"/>
      <c r="AA27" s="97" t="n"/>
      <c r="AB27" s="97" t="n"/>
      <c r="AC27" s="97" t="n"/>
      <c r="AD27" s="161" t="inlineStr">
        <is>
          <t>2026-10-23</t>
        </is>
      </c>
      <c r="AE27" s="174" t="inlineStr">
        <is>
          <t>1600</t>
        </is>
      </c>
      <c r="AF27" s="96" t="inlineStr">
        <is>
          <t>EDI2</t>
        </is>
      </c>
      <c r="AG27" s="97" t="n"/>
      <c r="AH27" s="97" t="n"/>
      <c r="AI27" s="97" t="inlineStr">
        <is>
          <t>IDIPWN</t>
        </is>
      </c>
      <c r="AJ27" s="96" t="inlineStr">
        <is>
          <t>PT. SARI COFFEE INDONESIA</t>
        </is>
      </c>
      <c r="AK27" s="130" t="n"/>
    </row>
    <row r="28" ht="12" customHeight="1">
      <c r="A28" s="108" t="inlineStr">
        <is>
          <t>SKRU8900527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2026-10-27</t>
        </is>
      </c>
      <c r="E28" s="173" t="inlineStr">
        <is>
          <t>0212</t>
        </is>
      </c>
      <c r="F28" s="96" t="inlineStr">
        <is>
          <t>HASLS22261001845</t>
        </is>
      </c>
      <c r="G28" s="96" t="inlineStr">
        <is>
          <t>HAPPY SHIPPING SERVICE CO.,LTD.</t>
        </is>
      </c>
      <c r="H28" s="111" t="inlineStr">
        <is>
          <t>45RE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HASLS22261001845</t>
        </is>
      </c>
      <c r="N28" s="96" t="inlineStr">
        <is>
          <t xml:space="preserve">R40Hx1 </t>
        </is>
      </c>
      <c r="O28" s="111" t="inlineStr">
        <is>
          <t>2010</t>
        </is>
      </c>
      <c r="P28" s="111" t="inlineStr">
        <is>
          <t>CARRIER</t>
        </is>
      </c>
      <c r="Q28" s="111" t="inlineStr">
        <is>
          <t>69NT40-511-354</t>
        </is>
      </c>
      <c r="R28" s="96" t="inlineStr">
        <is>
          <t>NSSJ</t>
        </is>
      </c>
      <c r="S28" s="96" t="inlineStr">
        <is>
          <t>2608S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2026-10-30</t>
        </is>
      </c>
      <c r="W28" s="96" t="inlineStr">
        <is>
          <t>IDJKT</t>
        </is>
      </c>
      <c r="X28" s="161" t="inlineStr">
        <is>
          <t>2026-11-02</t>
        </is>
      </c>
      <c r="Y28" s="97" t="n"/>
      <c r="Z28" s="97" t="n"/>
      <c r="AA28" s="97" t="n"/>
      <c r="AB28" s="97" t="n"/>
      <c r="AC28" s="97" t="n"/>
      <c r="AD28" s="161" t="inlineStr">
        <is>
          <t>2026-10-27</t>
        </is>
      </c>
      <c r="AE28" s="174" t="inlineStr">
        <is>
          <t>0600</t>
        </is>
      </c>
      <c r="AF28" s="96" t="inlineStr">
        <is>
          <t>EDI2</t>
        </is>
      </c>
      <c r="AG28" s="97" t="n"/>
      <c r="AH28" s="97" t="n"/>
      <c r="AI28" s="97" t="inlineStr">
        <is>
          <t>IDIQGK</t>
        </is>
      </c>
      <c r="AJ28" s="96" t="inlineStr">
        <is>
          <t>PT. SUSILO KARUNIA SENTOSA</t>
        </is>
      </c>
      <c r="AK28" s="130" t="n"/>
    </row>
    <row r="29" ht="12" customHeight="1">
      <c r="A29" s="108" t="inlineStr">
        <is>
          <t>SKRU9201062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2026-10-26</t>
        </is>
      </c>
      <c r="E29" s="173" t="inlineStr">
        <is>
          <t>0102</t>
        </is>
      </c>
      <c r="F29" s="96" t="inlineStr">
        <is>
          <t>HASLS22260902291</t>
        </is>
      </c>
      <c r="G29" s="96" t="inlineStr">
        <is>
          <t>INTER FRESH CO., LTD.</t>
        </is>
      </c>
      <c r="H29" s="111" t="inlineStr">
        <is>
          <t>45RE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HASLS22260902291</t>
        </is>
      </c>
      <c r="N29" s="96" t="inlineStr">
        <is>
          <t xml:space="preserve">R40Hx1 </t>
        </is>
      </c>
      <c r="O29" s="111" t="inlineStr">
        <is>
          <t>2012</t>
        </is>
      </c>
      <c r="P29" s="111" t="inlineStr">
        <is>
          <t>CARRIER</t>
        </is>
      </c>
      <c r="Q29" s="111" t="inlineStr">
        <is>
          <t>69NT40-561-009</t>
        </is>
      </c>
      <c r="R29" s="96" t="inlineStr">
        <is>
          <t>NSSJ</t>
        </is>
      </c>
      <c r="S29" s="96" t="inlineStr">
        <is>
          <t>2608S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2026-10-30</t>
        </is>
      </c>
      <c r="W29" s="96" t="inlineStr">
        <is>
          <t>IDJKT</t>
        </is>
      </c>
      <c r="X29" s="161" t="inlineStr">
        <is>
          <t>2026-11-02</t>
        </is>
      </c>
      <c r="Y29" s="97" t="n"/>
      <c r="Z29" s="97" t="n"/>
      <c r="AA29" s="97" t="n"/>
      <c r="AB29" s="97" t="n"/>
      <c r="AC29" s="97" t="n"/>
      <c r="AD29" s="161" t="inlineStr">
        <is>
          <t>2026-10-26</t>
        </is>
      </c>
      <c r="AE29" s="174" t="inlineStr">
        <is>
          <t>0400</t>
        </is>
      </c>
      <c r="AF29" s="96" t="inlineStr">
        <is>
          <t>EDI2</t>
        </is>
      </c>
      <c r="AG29" s="97" t="n"/>
      <c r="AH29" s="97" t="n"/>
      <c r="AI29" s="97" t="inlineStr">
        <is>
          <t>IDISKB</t>
        </is>
      </c>
      <c r="AJ29" s="96" t="inlineStr">
        <is>
          <t>PT. PUSAKA MAKMUR SEJATI</t>
        </is>
      </c>
      <c r="AK29" s="130" t="n"/>
    </row>
    <row r="30" ht="12" customHeight="1">
      <c r="A30" s="108" t="inlineStr">
        <is>
          <t>SKRU9500227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2026-10-27</t>
        </is>
      </c>
      <c r="E30" s="173" t="inlineStr">
        <is>
          <t>2210</t>
        </is>
      </c>
      <c r="F30" s="96" t="inlineStr">
        <is>
          <t>HASLS22261000238</t>
        </is>
      </c>
      <c r="G30" s="96" t="inlineStr">
        <is>
          <t>BE 1ST ALLIANCE CO., LTD.</t>
        </is>
      </c>
      <c r="H30" s="111" t="inlineStr">
        <is>
          <t>45RE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HASLS22261000238</t>
        </is>
      </c>
      <c r="N30" s="96" t="inlineStr">
        <is>
          <t xml:space="preserve">R40Hx1 </t>
        </is>
      </c>
      <c r="O30" s="111" t="inlineStr">
        <is>
          <t>2015</t>
        </is>
      </c>
      <c r="P30" s="111" t="inlineStr">
        <is>
          <t>CARRIER</t>
        </is>
      </c>
      <c r="Q30" s="111" t="inlineStr">
        <is>
          <t>PRIME LINE</t>
        </is>
      </c>
      <c r="R30" s="96" t="inlineStr">
        <is>
          <t>NSSJ</t>
        </is>
      </c>
      <c r="S30" s="96" t="inlineStr">
        <is>
          <t>2608S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2026-10-30</t>
        </is>
      </c>
      <c r="W30" s="96" t="inlineStr">
        <is>
          <t>IDJKT</t>
        </is>
      </c>
      <c r="X30" s="161" t="inlineStr">
        <is>
          <t>2026-11-02</t>
        </is>
      </c>
      <c r="Y30" s="97" t="n"/>
      <c r="Z30" s="97" t="n"/>
      <c r="AA30" s="97" t="n"/>
      <c r="AB30" s="97" t="n"/>
      <c r="AC30" s="97" t="n"/>
      <c r="AD30" s="161" t="inlineStr">
        <is>
          <t>2026-10-28</t>
        </is>
      </c>
      <c r="AE30" s="174" t="inlineStr">
        <is>
          <t>0200</t>
        </is>
      </c>
      <c r="AF30" s="96" t="inlineStr">
        <is>
          <t>EDI2</t>
        </is>
      </c>
      <c r="AG30" s="97" t="n"/>
      <c r="AH30" s="97" t="n"/>
      <c r="AI30" s="97" t="inlineStr">
        <is>
          <t>IDIUSQ</t>
        </is>
      </c>
      <c r="AJ30" s="96" t="inlineStr">
        <is>
          <t>PT. METRO PERSADA SENTOSA</t>
        </is>
      </c>
      <c r="AK30" s="130" t="n"/>
    </row>
    <row r="31" ht="12" customHeight="1">
      <c r="A31" s="108" t="inlineStr">
        <is>
          <t>SKRU9501630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2026-10-26</t>
        </is>
      </c>
      <c r="E31" s="173" t="inlineStr">
        <is>
          <t>0052</t>
        </is>
      </c>
      <c r="F31" s="96" t="inlineStr">
        <is>
          <t>HASLS22260902290</t>
        </is>
      </c>
      <c r="G31" s="96" t="inlineStr">
        <is>
          <t>INTER FRESH CO., LTD.</t>
        </is>
      </c>
      <c r="H31" s="111" t="inlineStr">
        <is>
          <t>45RE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HASLS22260902290</t>
        </is>
      </c>
      <c r="N31" s="96" t="inlineStr">
        <is>
          <t xml:space="preserve">R40Hx1 </t>
        </is>
      </c>
      <c r="O31" s="111" t="inlineStr">
        <is>
          <t>2015</t>
        </is>
      </c>
      <c r="P31" s="111" t="inlineStr">
        <is>
          <t>CARRIER</t>
        </is>
      </c>
      <c r="Q31" s="111" t="inlineStr">
        <is>
          <t>PRIME LINE</t>
        </is>
      </c>
      <c r="R31" s="96" t="inlineStr">
        <is>
          <t>NSSJ</t>
        </is>
      </c>
      <c r="S31" s="96" t="inlineStr">
        <is>
          <t>2608S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2026-10-30</t>
        </is>
      </c>
      <c r="W31" s="96" t="inlineStr">
        <is>
          <t>IDJKT</t>
        </is>
      </c>
      <c r="X31" s="161" t="inlineStr">
        <is>
          <t>2026-11-02</t>
        </is>
      </c>
      <c r="Y31" s="97" t="n"/>
      <c r="Z31" s="97" t="n"/>
      <c r="AA31" s="97" t="n"/>
      <c r="AB31" s="97" t="n"/>
      <c r="AC31" s="97" t="n"/>
      <c r="AD31" s="161" t="inlineStr">
        <is>
          <t>2026-10-26</t>
        </is>
      </c>
      <c r="AE31" s="174" t="inlineStr">
        <is>
          <t>0400</t>
        </is>
      </c>
      <c r="AF31" s="96" t="inlineStr">
        <is>
          <t>EDI2</t>
        </is>
      </c>
      <c r="AG31" s="97" t="n"/>
      <c r="AH31" s="97" t="n"/>
      <c r="AI31" s="97" t="inlineStr">
        <is>
          <t>IDILVV</t>
        </is>
      </c>
      <c r="AJ31" s="96" t="inlineStr">
        <is>
          <t>PT. BUAH UTAMA MANDIRI</t>
        </is>
      </c>
      <c r="AK31" s="130" t="n"/>
    </row>
    <row r="32" ht="12" customHeight="1">
      <c r="A32" s="108" t="inlineStr">
        <is>
          <t>TCKU3818650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2026-10-22</t>
        </is>
      </c>
      <c r="E32" s="173" t="inlineStr">
        <is>
          <t>0245</t>
        </is>
      </c>
      <c r="F32" s="96" t="inlineStr">
        <is>
          <t>HASLS22261000354</t>
        </is>
      </c>
      <c r="G32" s="96" t="inlineStr">
        <is>
          <t>Q-LOG THAI CO., LTD.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HASLS22261000354</t>
        </is>
      </c>
      <c r="N32" s="96" t="inlineStr">
        <is>
          <t xml:space="preserve">20'x1 </t>
        </is>
      </c>
      <c r="O32" s="111" t="inlineStr">
        <is>
          <t>2010</t>
        </is>
      </c>
      <c r="P32" s="111" t="n"/>
      <c r="Q32" s="111" t="n"/>
      <c r="R32" s="96" t="inlineStr">
        <is>
          <t>NSSJ</t>
        </is>
      </c>
      <c r="S32" s="96" t="inlineStr">
        <is>
          <t>2608S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2026-10-30</t>
        </is>
      </c>
      <c r="W32" s="96" t="inlineStr">
        <is>
          <t>IDJKT</t>
        </is>
      </c>
      <c r="X32" s="161" t="inlineStr">
        <is>
          <t>2026-11-02</t>
        </is>
      </c>
      <c r="Y32" s="97" t="n"/>
      <c r="Z32" s="97" t="n"/>
      <c r="AA32" s="97" t="n"/>
      <c r="AB32" s="97" t="n"/>
      <c r="AC32" s="97" t="n"/>
      <c r="AD32" s="161" t="inlineStr">
        <is>
          <t>2026-10-22</t>
        </is>
      </c>
      <c r="AE32" s="174" t="inlineStr">
        <is>
          <t>0600</t>
        </is>
      </c>
      <c r="AF32" s="96" t="inlineStr">
        <is>
          <t>EDI2</t>
        </is>
      </c>
      <c r="AG32" s="97" t="n"/>
      <c r="AH32" s="97" t="n"/>
      <c r="AI32" s="97" t="inlineStr">
        <is>
          <t>IDIU75</t>
        </is>
      </c>
      <c r="AJ32" s="96" t="inlineStr">
        <is>
          <t>PT. SUMMIT ADYAWINSA INDONESIA</t>
        </is>
      </c>
      <c r="AK32" s="130" t="n"/>
    </row>
    <row r="33" ht="12" customHeight="1">
      <c r="A33" s="108" t="inlineStr">
        <is>
          <t>TCNU4935358</t>
        </is>
      </c>
      <c r="B33" s="108" t="inlineStr">
        <is>
          <t>LCH04</t>
        </is>
      </c>
      <c r="C33" s="108" t="inlineStr">
        <is>
          <t>IFV</t>
        </is>
      </c>
      <c r="D33" s="172" t="inlineStr">
        <is>
          <t>2026-10-22</t>
        </is>
      </c>
      <c r="E33" s="173" t="inlineStr">
        <is>
          <t>0602</t>
        </is>
      </c>
      <c r="F33" s="96" t="inlineStr">
        <is>
          <t>HASLS22261000841</t>
        </is>
      </c>
      <c r="G33" s="96" t="inlineStr">
        <is>
          <t>ASIA ATLANTIC LINENER COMPANY LIMITED.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HASLS22261000841</t>
        </is>
      </c>
      <c r="N33" s="96" t="inlineStr">
        <is>
          <t xml:space="preserve">40Hx2 </t>
        </is>
      </c>
      <c r="O33" s="111" t="inlineStr">
        <is>
          <t>2015</t>
        </is>
      </c>
      <c r="P33" s="111" t="n"/>
      <c r="Q33" s="111" t="n"/>
      <c r="R33" s="96" t="inlineStr">
        <is>
          <t>NSSJ</t>
        </is>
      </c>
      <c r="S33" s="96" t="inlineStr">
        <is>
          <t>2608S</t>
        </is>
      </c>
      <c r="T33" s="96" t="inlineStr">
        <is>
          <t>LCH04</t>
        </is>
      </c>
      <c r="U33" s="96" t="inlineStr">
        <is>
          <t>THLCH</t>
        </is>
      </c>
      <c r="V33" s="161" t="inlineStr">
        <is>
          <t>2026-10-30</t>
        </is>
      </c>
      <c r="W33" s="96" t="inlineStr">
        <is>
          <t>IDJKT</t>
        </is>
      </c>
      <c r="X33" s="161" t="inlineStr">
        <is>
          <t>2026-11-02</t>
        </is>
      </c>
      <c r="Y33" s="97" t="n"/>
      <c r="Z33" s="97" t="n"/>
      <c r="AA33" s="97" t="n"/>
      <c r="AB33" s="97" t="n"/>
      <c r="AC33" s="97" t="n"/>
      <c r="AD33" s="161" t="inlineStr">
        <is>
          <t>2026-10-22</t>
        </is>
      </c>
      <c r="AE33" s="174" t="inlineStr">
        <is>
          <t>1000</t>
        </is>
      </c>
      <c r="AF33" s="96" t="inlineStr">
        <is>
          <t>EDI2</t>
        </is>
      </c>
      <c r="AG33" s="97" t="n"/>
      <c r="AH33" s="97" t="n"/>
      <c r="AI33" s="97" t="inlineStr">
        <is>
          <t>IDIO2L</t>
        </is>
      </c>
      <c r="AJ33" s="96" t="inlineStr">
        <is>
          <t>PT DENSO INDONESIA-BEKASI PLANT</t>
        </is>
      </c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5000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5000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CXRU1319153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HASLS22261000237</v>
      </c>
      <c r="E3" s="62" t="str">
        <f>VLOOKUP(D3,'2.Bookinglist'!A:CT,27,FALSE)</f>
        <v>BE 1ST ALLIANCE CO., LTD.</v>
      </c>
      <c r="F3" s="62" t="str">
        <f>VLOOKUP(D3,'2.Bookinglist'!A:CT,28,FALSE)</f>
        <v>SUCCESS IMPORT &amp; EXPORT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IDJKT</v>
      </c>
      <c r="J3" s="61">
        <f>VLOOKUP(D3,'2.Bookinglist'!A:CT,26,FALSE)</f>
        <v>0</v>
      </c>
      <c r="K3" s="61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61" t="str">
        <f>VLOOKUP(A3,'1.Loading'!A:R,3,FALSE)</f>
        <v>NSSJ</v>
      </c>
      <c r="P3" s="61" t="str">
        <f>VLOOKUP(A3,'1.Loading'!A:R,4,FALSE)</f>
        <v>2608S</v>
      </c>
      <c r="Q3" s="61" t="str">
        <f>VLOOKUP(D3,'2.Bookinglist'!A:CT,12,FALSE)</f>
        <v>ANX</v>
      </c>
      <c r="R3" s="60" t="str">
        <f>IF(LEFT(K3,2)="22","20'","40'")</f>
        <v>40'</v>
      </c>
      <c r="S3" s="101" t="n"/>
      <c r="T3" s="61" t="str">
        <f>VLOOKUP(A3,'1.Loading'!A:R,2,FALSE)</f>
        <v>2026-10-30</v>
      </c>
      <c r="U3" s="63">
        <f>T3-S3</f>
        <v>46325</v>
      </c>
      <c r="V3" s="178" t="n"/>
      <c r="W3" s="61" t="str">
        <f>VLOOKUP(A3,'3.GateMove'!A:D,4,FALSE)</f>
        <v>2026-10-27</v>
      </c>
      <c r="X3" s="63">
        <f>((T3-W3)+1)</f>
        <v>4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46326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2026-10-23</v>
      </c>
      <c r="AM3" s="60" t="str">
        <f>VLOOKUP(D3,'2.Bookinglist'!A:BK,63,FALSE)</f>
        <v>BKK27</v>
      </c>
      <c r="AN3" s="62" t="str">
        <f>VLOOKUP(D3,'2.Bookinglist'!A:AZ,52,FALSE)</f>
        <v>Pickup : 2026-10-24, Return : 2026-10-27  (Temp +2.0 / Vent 15% Open) 
Closing Time 2026-10-27 @23.59</v>
      </c>
      <c r="AO3" s="62">
        <f>VLOOKUP(D3,'2.Bookinglist'!A:CY,103,FALSE)</f>
        <v>0</v>
      </c>
    </row>
    <row r="4" ht="12.95" customHeight="1">
      <c r="A4" s="96" t="inlineStr">
        <is>
          <t>FBIU5093004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HASLS22261000239</v>
      </c>
      <c r="E4" s="62" t="str">
        <f>VLOOKUP(D4,'2.Bookinglist'!A:CT,27,FALSE)</f>
        <v>BE 1ST ALLIANCE CO., LTD.</v>
      </c>
      <c r="F4" s="62" t="str">
        <f>VLOOKUP(D4,'2.Bookinglist'!A:CT,28,FALSE)</f>
        <v>OK FRESH FRUITS (THAILAND) CO.,LTD.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IDJKT</v>
      </c>
      <c r="J4" s="61">
        <f>VLOOKUP(D4,'2.Bookinglist'!A:CT,26,FALSE)</f>
        <v>0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NSSJ</v>
      </c>
      <c r="P4" s="61" t="str">
        <f>VLOOKUP(A4,'1.Loading'!A:R,4,FALSE)</f>
        <v>2608S</v>
      </c>
      <c r="Q4" s="61" t="str">
        <f>VLOOKUP(D4,'2.Bookinglist'!A:CT,12,FALSE)</f>
        <v>ANX</v>
      </c>
      <c r="R4" s="60" t="str">
        <f>IF(LEFT(K4,2)="22","20'","40'")</f>
        <v>40'</v>
      </c>
      <c r="S4" s="185" t="n"/>
      <c r="T4" s="61" t="str">
        <f>VLOOKUP(A4,'1.Loading'!A:R,2,FALSE)</f>
        <v>2026-10-30</v>
      </c>
      <c r="U4" s="63">
        <f>T4-S4</f>
        <v>46325</v>
      </c>
      <c r="V4" s="186" t="n"/>
      <c r="W4" s="61" t="str">
        <f>VLOOKUP(A4,'3.GateMove'!A:D,4,FALSE)</f>
        <v>2026-10-27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46326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Arunphat W. (Aiw)</v>
      </c>
      <c r="AL4" s="60" t="str">
        <f>VLOOKUP(D4,'2.Bookinglist'!A:CW,101,FALSE)</f>
        <v>2026-10-29</v>
      </c>
      <c r="AM4" s="60" t="str">
        <f>VLOOKUP(D4,'2.Bookinglist'!A:BK,63,FALSE)</f>
        <v>BKK27</v>
      </c>
      <c r="AN4" s="62" t="str">
        <f>VLOOKUP(D4,'2.Bookinglist'!A:AZ,52,FALSE)</f>
        <v>Pickup : 2026-10-24, Return : 2026-10-27  (Temp +2.0 / Vent 15% Open) 
Closing Time 2026-10-27 @23.59</v>
      </c>
      <c r="AO4" s="62">
        <f>VLOOKUP(D4,'2.Bookinglist'!A:CY,103,FALSE)</f>
        <v>0</v>
      </c>
    </row>
    <row r="5" ht="12.95" customHeight="1">
      <c r="A5" s="96" t="inlineStr">
        <is>
          <t>HALU2077213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HASLS22261000892</v>
      </c>
      <c r="E5" s="62" t="str">
        <f>VLOOKUP(D5,'2.Bookinglist'!A:CT,27,FALSE)</f>
        <v>YUSEN LOGISTICS (THAILAND) CO., LTD.</v>
      </c>
      <c r="F5" s="62" t="str">
        <f>VLOOKUP(D5,'2.Bookinglist'!A:CT,28,FALSE)</f>
        <v>GKN DRIVELINE (THAILAND)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IDJKT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NSSJ</v>
      </c>
      <c r="P5" s="61" t="str">
        <f>VLOOKUP(A5,'1.Loading'!A:R,4,FALSE)</f>
        <v>2608S</v>
      </c>
      <c r="Q5" s="61" t="str">
        <f>VLOOKUP(D5,'2.Bookinglist'!A:CT,12,FALSE)</f>
        <v>ANX</v>
      </c>
      <c r="R5" s="60" t="str">
        <f>IF(LEFT(K5,2)="22","20'","40'")</f>
        <v>20'</v>
      </c>
      <c r="S5" s="185" t="n"/>
      <c r="T5" s="61" t="str">
        <f>VLOOKUP(A5,'1.Loading'!A:R,2,FALSE)</f>
        <v>2026-10-30</v>
      </c>
      <c r="U5" s="63">
        <f>T5-S5</f>
        <v>46325</v>
      </c>
      <c r="V5" s="186" t="n"/>
      <c r="W5" s="61" t="str">
        <f>VLOOKUP(A5,'3.GateMove'!A:D,4,FALSE)</f>
        <v>2026-10-23</v>
      </c>
      <c r="X5" s="63">
        <f>((T5-W5)+1)</f>
        <v>8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1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125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46326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125</v>
      </c>
      <c r="AJ5" s="188" t="n"/>
      <c r="AK5" s="62" t="str">
        <f>VLOOKUP(D5,'2.Bookinglist'!A:CT,40,FALSE)</f>
        <v>Vilaiporn</v>
      </c>
      <c r="AL5" s="60" t="str">
        <f>VLOOKUP(D5,'2.Bookinglist'!A:CW,101,FALSE)</f>
        <v>2026-10-25</v>
      </c>
      <c r="AM5" s="60" t="str">
        <f>VLOOKUP(D5,'2.Bookinglist'!A:BK,63,FALSE)</f>
        <v>LCHY5</v>
      </c>
      <c r="AN5" s="62" t="str">
        <f>VLOOKUP(D5,'2.Bookinglist'!A:AZ,52,FALSE)</f>
        <v>Pickup : 2026-10-21, Return : 2026-10-22</v>
      </c>
      <c r="AO5" s="62">
        <f>VLOOKUP(D5,'2.Bookinglist'!A:CY,103,FALSE)</f>
        <v>0</v>
      </c>
    </row>
    <row r="6" ht="12.95" customHeight="1">
      <c r="A6" s="96" t="inlineStr">
        <is>
          <t>HALU2108187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HASLS22261001232</v>
      </c>
      <c r="E6" s="62" t="str">
        <f>VLOOKUP(D6,'2.Bookinglist'!A:CT,27,FALSE)</f>
        <v>THAI MFC CO., LTD.</v>
      </c>
      <c r="F6" s="62" t="str">
        <f>VLOOKUP(D6,'2.Bookinglist'!A:CT,28,FALSE)</f>
        <v>THAI MFC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IDJKT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NSSJ</v>
      </c>
      <c r="P6" s="61" t="str">
        <f>VLOOKUP(A6,'1.Loading'!A:R,4,FALSE)</f>
        <v>2608S</v>
      </c>
      <c r="Q6" s="61" t="str">
        <f>VLOOKUP(D6,'2.Bookinglist'!A:CT,12,FALSE)</f>
        <v>ANX</v>
      </c>
      <c r="R6" s="60" t="str">
        <f>IF(LEFT(K6,2)="22","20'","40'")</f>
        <v>20'</v>
      </c>
      <c r="S6" s="185" t="n"/>
      <c r="T6" s="61" t="str">
        <f>VLOOKUP(A6,'1.Loading'!A:R,2,FALSE)</f>
        <v>2026-10-30</v>
      </c>
      <c r="U6" s="63">
        <f>T6-S6</f>
        <v>46325</v>
      </c>
      <c r="V6" s="186" t="n"/>
      <c r="W6" s="61" t="str">
        <f>VLOOKUP(A6,'3.GateMove'!A:D,4,FALSE)</f>
        <v>2026-10-24</v>
      </c>
      <c r="X6" s="63">
        <f>((T6-W6)+1)</f>
        <v>7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46326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Kanokporn</v>
      </c>
      <c r="AL6" s="60" t="str">
        <f>VLOOKUP(D6,'2.Bookinglist'!A:CW,101,FALSE)</f>
        <v>2026-10-28</v>
      </c>
      <c r="AM6" s="60" t="str">
        <f>VLOOKUP(D6,'2.Bookinglist'!A:BK,63,FALSE)</f>
        <v>LCH27</v>
      </c>
      <c r="AN6" s="62" t="str">
        <f>VLOOKUP(D6,'2.Bookinglist'!A:AZ,52,FALSE)</f>
        <v>Pickup : 2026-10-20, Return : 2026-10-22</v>
      </c>
      <c r="AO6" s="62">
        <f>VLOOKUP(D6,'2.Bookinglist'!A:CY,103,FALSE)</f>
        <v>0</v>
      </c>
    </row>
    <row r="7" ht="12.95" customHeight="1">
      <c r="A7" s="96" t="inlineStr">
        <is>
          <t>HALU2433103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HASLS22261000552</v>
      </c>
      <c r="E7" s="62" t="str">
        <f>VLOOKUP(D7,'2.Bookinglist'!A:CT,27,FALSE)</f>
        <v>TG FREIGHT SERVICES CO., LTD.</v>
      </c>
      <c r="F7" s="62" t="str">
        <f>VLOOKUP(D7,'2.Bookinglist'!A:CT,28,FALSE)</f>
        <v>HIGASKET PLASTICS GROUP (THAILAND)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IDJKT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NSSJ</v>
      </c>
      <c r="P7" s="61" t="str">
        <f>VLOOKUP(A7,'1.Loading'!A:R,4,FALSE)</f>
        <v>2608S</v>
      </c>
      <c r="Q7" s="61" t="str">
        <f>VLOOKUP(D7,'2.Bookinglist'!A:CT,12,FALSE)</f>
        <v>ANX</v>
      </c>
      <c r="R7" s="60" t="str">
        <f>IF(LEFT(K7,2)="22","20'","40'")</f>
        <v>20'</v>
      </c>
      <c r="S7" s="185" t="n"/>
      <c r="T7" s="61" t="str">
        <f>VLOOKUP(A7,'1.Loading'!A:R,2,FALSE)</f>
        <v>2026-10-30</v>
      </c>
      <c r="U7" s="63">
        <f>T7-S7</f>
        <v>46325</v>
      </c>
      <c r="V7" s="186" t="n"/>
      <c r="W7" s="61" t="str">
        <f>VLOOKUP(A7,'3.GateMove'!A:D,4,FALSE)</f>
        <v>2026-10-24</v>
      </c>
      <c r="X7" s="63">
        <f>((T7-W7)+1)</f>
        <v>7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46326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2026-10-28</v>
      </c>
      <c r="AM7" s="60" t="str">
        <f>VLOOKUP(D7,'2.Bookinglist'!A:BK,63,FALSE)</f>
        <v>LCH27</v>
      </c>
      <c r="AN7" s="62" t="str">
        <f>VLOOKUP(D7,'2.Bookinglist'!A:AZ,52,FALSE)</f>
        <v>Pickup : 2026-10-22, Return : 2026-10-24</v>
      </c>
      <c r="AO7" s="62">
        <f>VLOOKUP(D7,'2.Bookinglist'!A:CY,103,FALSE)</f>
        <v>0</v>
      </c>
    </row>
    <row r="8" ht="12.95" customHeight="1">
      <c r="A8" s="96" t="inlineStr">
        <is>
          <t>HALU5671023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HASLS22261001121</v>
      </c>
      <c r="E8" s="62" t="str">
        <f>VLOOKUP(D8,'2.Bookinglist'!A:CT,27,FALSE)</f>
        <v>UNITED MARINE LOGISTIC CO., LTD.</v>
      </c>
      <c r="F8" s="62" t="str">
        <f>VLOOKUP(D8,'2.Bookinglist'!A:CT,28,FALSE)</f>
        <v>KAIHARA (THAILAND)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IDJKT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NSSJ</v>
      </c>
      <c r="P8" s="61" t="str">
        <f>VLOOKUP(A8,'1.Loading'!A:R,4,FALSE)</f>
        <v>2608S</v>
      </c>
      <c r="Q8" s="61" t="str">
        <f>VLOOKUP(D8,'2.Bookinglist'!A:CT,12,FALSE)</f>
        <v>ANX</v>
      </c>
      <c r="R8" s="60" t="str">
        <f>IF(LEFT(K8,2)="22","20'","40'")</f>
        <v>40'</v>
      </c>
      <c r="S8" s="185" t="n"/>
      <c r="T8" s="61" t="str">
        <f>VLOOKUP(A8,'1.Loading'!A:R,2,FALSE)</f>
        <v>2026-10-30</v>
      </c>
      <c r="U8" s="63">
        <f>T8-S8</f>
        <v>46325</v>
      </c>
      <c r="V8" s="186" t="n"/>
      <c r="W8" s="61" t="str">
        <f>VLOOKUP(A8,'3.GateMove'!A:D,4,FALSE)</f>
        <v>2026-10-23</v>
      </c>
      <c r="X8" s="63">
        <f>((T8-W8)+1)</f>
        <v>8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1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250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46326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250</v>
      </c>
      <c r="AJ8" s="188" t="n"/>
      <c r="AK8" s="62" t="str">
        <f>VLOOKUP(D8,'2.Bookinglist'!A:CT,40,FALSE)</f>
        <v>Nannaapust Sukporntaweewat</v>
      </c>
      <c r="AL8" s="60" t="str">
        <f>VLOOKUP(D8,'2.Bookinglist'!A:CW,101,FALSE)</f>
        <v>2026-10-25</v>
      </c>
      <c r="AM8" s="60" t="str">
        <f>VLOOKUP(D8,'2.Bookinglist'!A:BK,63,FALSE)</f>
        <v>LCHY5</v>
      </c>
      <c r="AN8" s="62" t="str">
        <f>VLOOKUP(D8,'2.Bookinglist'!A:AZ,52,FALSE)</f>
        <v>Pickup : 2026-10-21, Return : 2026-10-22</v>
      </c>
      <c r="AO8" s="62">
        <f>VLOOKUP(D8,'2.Bookinglist'!A:CY,103,FALSE)</f>
        <v>0</v>
      </c>
    </row>
    <row r="9" ht="12.95" customHeight="1">
      <c r="A9" s="96" t="inlineStr">
        <is>
          <t>HLHU8200254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HASLS22260902574</v>
      </c>
      <c r="E9" s="62" t="str">
        <f>VLOOKUP(D9,'2.Bookinglist'!A:CT,27,FALSE)</f>
        <v>ONE INTERFREIGHT CO., LTD.</v>
      </c>
      <c r="F9" s="62" t="str">
        <f>VLOOKUP(D9,'2.Bookinglist'!A:CT,28,FALSE)</f>
        <v>SIAM ORGANIC FOOD PRODUCTS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IDJKT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NSSJ</v>
      </c>
      <c r="P9" s="61" t="str">
        <f>VLOOKUP(A9,'1.Loading'!A:R,4,FALSE)</f>
        <v>2608S</v>
      </c>
      <c r="Q9" s="61" t="str">
        <f>VLOOKUP(D9,'2.Bookinglist'!A:CT,12,FALSE)</f>
        <v>ANX</v>
      </c>
      <c r="R9" s="60" t="str">
        <f>IF(LEFT(K9,2)="22","20'","40'")</f>
        <v>40'</v>
      </c>
      <c r="S9" s="185" t="n"/>
      <c r="T9" s="61" t="str">
        <f>VLOOKUP(A9,'1.Loading'!A:R,2,FALSE)</f>
        <v>2026-10-30</v>
      </c>
      <c r="U9" s="63">
        <f>T9-S9</f>
        <v>46325</v>
      </c>
      <c r="V9" s="186" t="n"/>
      <c r="W9" s="61" t="str">
        <f>VLOOKUP(A9,'3.GateMove'!A:D,4,FALSE)</f>
        <v>2026-10-23</v>
      </c>
      <c r="X9" s="63">
        <f>((T9-W9)+1)</f>
        <v>8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1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250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46326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250</v>
      </c>
      <c r="AJ9" s="188" t="n"/>
      <c r="AK9" s="62" t="str">
        <f>VLOOKUP(D9,'2.Bookinglist'!A:CT,40,FALSE)</f>
        <v>Kanokporn</v>
      </c>
      <c r="AL9" s="60" t="str">
        <f>VLOOKUP(D9,'2.Bookinglist'!A:CW,101,FALSE)</f>
        <v>2026-10-20</v>
      </c>
      <c r="AM9" s="60" t="str">
        <f>VLOOKUP(D9,'2.Bookinglist'!A:BK,63,FALSE)</f>
        <v>BKK27</v>
      </c>
      <c r="AN9" s="62" t="str">
        <f>VLOOKUP(D9,'2.Bookinglist'!A:AZ,52,FALSE)</f>
        <v>CY-RTN : 22/10/2026
</v>
      </c>
      <c r="AO9" s="62">
        <f>VLOOKUP(D9,'2.Bookinglist'!A:CY,103,FALSE)</f>
        <v>0</v>
      </c>
    </row>
    <row r="10" ht="12.95" customHeight="1">
      <c r="A10" s="96" t="inlineStr">
        <is>
          <t>HLHU8500694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HASLS22260902718</v>
      </c>
      <c r="E10" s="62" t="str">
        <f>VLOOKUP(D10,'2.Bookinglist'!A:CT,27,FALSE)</f>
        <v>CONNEXT LOG (THAILAND) CO.,LTD.</v>
      </c>
      <c r="F10" s="62" t="str">
        <f>VLOOKUP(D10,'2.Bookinglist'!A:CT,28,FALSE)</f>
        <v>SINGHA WORLDWIDE INTERNATIONAL CO., LTD.</v>
      </c>
      <c r="G10" s="60" t="str">
        <f>VLOOKUP(D10,'2.Bookinglist'!A:E,5,FALSE)</f>
        <v>THLKR</v>
      </c>
      <c r="H10" s="61" t="str">
        <f>VLOOKUP(D10,'2.Bookinglist'!A:CT,15,FALSE)</f>
        <v>THLCH</v>
      </c>
      <c r="I10" s="61" t="str">
        <f>VLOOKUP(D10,'2.Bookinglist'!A:CT,19,FALSE)</f>
        <v>IDJKT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NSSJ</v>
      </c>
      <c r="P10" s="61" t="str">
        <f>VLOOKUP(A10,'1.Loading'!A:R,4,FALSE)</f>
        <v>2608S</v>
      </c>
      <c r="Q10" s="61" t="str">
        <f>VLOOKUP(D10,'2.Bookinglist'!A:CT,12,FALSE)</f>
        <v>ANX</v>
      </c>
      <c r="R10" s="60" t="str">
        <f>IF(LEFT(K10,2)="22","20'","40'")</f>
        <v>40'</v>
      </c>
      <c r="S10" s="185" t="n"/>
      <c r="T10" s="61" t="str">
        <f>VLOOKUP(A10,'1.Loading'!A:R,2,FALSE)</f>
        <v>2026-10-30</v>
      </c>
      <c r="U10" s="63">
        <f>T10-S10</f>
        <v>46325</v>
      </c>
      <c r="V10" s="186" t="n"/>
      <c r="W10" s="61" t="str">
        <f>VLOOKUP(A10,'3.GateMove'!A:D,4,FALSE)</f>
        <v>2026-10-22</v>
      </c>
      <c r="X10" s="63">
        <f>((T10-W10)+1)</f>
        <v>9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2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500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46326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500</v>
      </c>
      <c r="AJ10" s="188" t="n"/>
      <c r="AK10" s="62" t="str">
        <f>VLOOKUP(D10,'2.Bookinglist'!A:CT,40,FALSE)</f>
        <v>Arunphat W. (Aiw)</v>
      </c>
      <c r="AL10" s="60" t="str">
        <f>VLOOKUP(D10,'2.Bookinglist'!A:CW,101,FALSE)</f>
        <v>2026-10-20</v>
      </c>
      <c r="AM10" s="60" t="str">
        <f>VLOOKUP(D10,'2.Bookinglist'!A:BK,63,FALSE)</f>
        <v>BKK27</v>
      </c>
      <c r="AN10" s="62" t="str">
        <f>VLOOKUP(D10,'2.Bookinglist'!A:AZ,52,FALSE)</f>
        <v>Pickup : 2026-10-19, Return LKR : 2026-10-20 [PAPERLESS CODE 2835]
CLS TIME 22/10/26 @ 17.00</v>
      </c>
      <c r="AO10" s="62">
        <f>VLOOKUP(D10,'2.Bookinglist'!A:CY,103,FALSE)</f>
        <v>0</v>
      </c>
    </row>
    <row r="11" ht="12.95" customHeight="1">
      <c r="A11" s="96" t="inlineStr">
        <is>
          <t>RFCU2350770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HASLS22261000972</v>
      </c>
      <c r="E11" s="62" t="str">
        <f>VLOOKUP(D11,'2.Bookinglist'!A:CT,27,FALSE)</f>
        <v>DACHSER (THAILAND) CO., LTD.</v>
      </c>
      <c r="F11" s="62" t="str">
        <f>VLOOKUP(D11,'2.Bookinglist'!A:CT,28,FALSE)</f>
        <v>TAA METAL (THAILAND) CO.,LTD.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IDJKT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NSSJ</v>
      </c>
      <c r="P11" s="61" t="str">
        <f>VLOOKUP(A11,'1.Loading'!A:R,4,FALSE)</f>
        <v>2608S</v>
      </c>
      <c r="Q11" s="61" t="str">
        <f>VLOOKUP(D11,'2.Bookinglist'!A:CT,12,FALSE)</f>
        <v>ANX</v>
      </c>
      <c r="R11" s="60" t="str">
        <f>IF(LEFT(K11,2)="22","20'","40'")</f>
        <v>20'</v>
      </c>
      <c r="S11" s="185" t="n"/>
      <c r="T11" s="61" t="str">
        <f>VLOOKUP(A11,'1.Loading'!A:R,2,FALSE)</f>
        <v>2026-10-30</v>
      </c>
      <c r="U11" s="63">
        <f>T11-S11</f>
        <v>46325</v>
      </c>
      <c r="V11" s="186" t="n"/>
      <c r="W11" s="61" t="str">
        <f>VLOOKUP(A11,'3.GateMove'!A:D,4,FALSE)</f>
        <v>2026-10-23</v>
      </c>
      <c r="X11" s="63">
        <f>((T11-W11)+1)</f>
        <v>8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125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46326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125</v>
      </c>
      <c r="AJ11" s="188" t="n"/>
      <c r="AK11" s="62" t="str">
        <f>VLOOKUP(D11,'2.Bookinglist'!A:CT,40,FALSE)</f>
        <v>Arunphat W. (Aiw)</v>
      </c>
      <c r="AL11" s="60" t="str">
        <f>VLOOKUP(D11,'2.Bookinglist'!A:CW,101,FALSE)</f>
        <v>2026-10-25</v>
      </c>
      <c r="AM11" s="60" t="str">
        <f>VLOOKUP(D11,'2.Bookinglist'!A:BK,63,FALSE)</f>
        <v>LCHY5</v>
      </c>
      <c r="AN11" s="62" t="str">
        <f>VLOOKUP(D11,'2.Bookinglist'!A:AZ,52,FALSE)</f>
        <v>Pickup : 2026-10-22, Return : 2026-10-22
** PLEASE CHECK OPEN GATE BEFORE RETURN CONTAINER ** </v>
      </c>
      <c r="AO11" s="62">
        <f>VLOOKUP(D11,'2.Bookinglist'!A:CY,103,FALSE)</f>
        <v>0</v>
      </c>
    </row>
    <row r="12" ht="12.95" customHeight="1">
      <c r="A12" s="96" t="inlineStr">
        <is>
          <t>SKHU6329110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HASLS22260902800</v>
      </c>
      <c r="E12" s="62" t="str">
        <f>VLOOKUP(D12,'2.Bookinglist'!A:CT,27,FALSE)</f>
        <v>Q-LOG THAI CO., LTD.</v>
      </c>
      <c r="F12" s="62" t="str">
        <f>VLOOKUP(D12,'2.Bookinglist'!A:CT,28,FALSE)</f>
        <v>MILBON (THAILAND) COMPANY LIMITED</v>
      </c>
      <c r="G12" s="60" t="str">
        <f>VLOOKUP(D12,'2.Bookinglist'!A:E,5,FALSE)</f>
        <v>THLKR</v>
      </c>
      <c r="H12" s="61" t="str">
        <f>VLOOKUP(D12,'2.Bookinglist'!A:CT,15,FALSE)</f>
        <v>THLCH</v>
      </c>
      <c r="I12" s="61" t="str">
        <f>VLOOKUP(D12,'2.Bookinglist'!A:CT,19,FALSE)</f>
        <v>IDJKT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NSSJ</v>
      </c>
      <c r="P12" s="61" t="str">
        <f>VLOOKUP(A12,'1.Loading'!A:R,4,FALSE)</f>
        <v>2608S</v>
      </c>
      <c r="Q12" s="61" t="str">
        <f>VLOOKUP(D12,'2.Bookinglist'!A:CT,12,FALSE)</f>
        <v>ANX</v>
      </c>
      <c r="R12" s="60" t="str">
        <f>IF(LEFT(K12,2)="22","20'","40'")</f>
        <v>40'</v>
      </c>
      <c r="S12" s="185" t="n"/>
      <c r="T12" s="61" t="str">
        <f>VLOOKUP(A12,'1.Loading'!A:R,2,FALSE)</f>
        <v>2026-10-30</v>
      </c>
      <c r="U12" s="63">
        <f>T12-S12</f>
        <v>46325</v>
      </c>
      <c r="V12" s="186" t="n"/>
      <c r="W12" s="61" t="str">
        <f>VLOOKUP(A12,'3.GateMove'!A:D,4,FALSE)</f>
        <v>2026-10-23</v>
      </c>
      <c r="X12" s="63">
        <f>((T12-W12)+1)</f>
        <v>8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1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46326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250</v>
      </c>
      <c r="AJ12" s="188" t="n"/>
      <c r="AK12" s="62" t="str">
        <f>VLOOKUP(D12,'2.Bookinglist'!A:CT,40,FALSE)</f>
        <v>Arunphat W. (Aiw)</v>
      </c>
      <c r="AL12" s="60" t="str">
        <f>VLOOKUP(D12,'2.Bookinglist'!A:CW,101,FALSE)</f>
        <v>2026-10-25</v>
      </c>
      <c r="AM12" s="60" t="str">
        <f>VLOOKUP(D12,'2.Bookinglist'!A:BK,63,FALSE)</f>
        <v>BKK27</v>
      </c>
      <c r="AN12" s="62" t="str">
        <f>VLOOKUP(D12,'2.Bookinglist'!A:AZ,52,FALSE)</f>
        <v>Pickup : 2026-10-21, Return : 2026-10-22 Paperless Code 2835
ClosingTime LKB 2026-10-22 @ 12.00</v>
      </c>
      <c r="AO12" s="62">
        <f>VLOOKUP(D12,'2.Bookinglist'!A:CY,103,FALSE)</f>
        <v>0</v>
      </c>
    </row>
    <row r="13" ht="12.95" customHeight="1">
      <c r="A13" s="96" t="inlineStr">
        <is>
          <t>SKHU6576471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HASLS22260900492</v>
      </c>
      <c r="E13" s="62" t="str">
        <f>VLOOKUP(D13,'2.Bookinglist'!A:CT,27,FALSE)</f>
        <v>ACCORD PILOT LOGISTICS (THAILAND) CO., LTD.</v>
      </c>
      <c r="F13" s="62" t="str">
        <f>VLOOKUP(D13,'2.Bookinglist'!A:CT,28,FALSE)</f>
        <v>THAI PLASPAC PUBLIC CO.,LTD.</v>
      </c>
      <c r="G13" s="60" t="str">
        <f>VLOOKUP(D13,'2.Bookinglist'!A:E,5,FALSE)</f>
        <v>THLKR</v>
      </c>
      <c r="H13" s="61" t="str">
        <f>VLOOKUP(D13,'2.Bookinglist'!A:CT,15,FALSE)</f>
        <v>THLCH</v>
      </c>
      <c r="I13" s="61" t="str">
        <f>VLOOKUP(D13,'2.Bookinglist'!A:CT,19,FALSE)</f>
        <v>IDJKT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NSSJ</v>
      </c>
      <c r="P13" s="61" t="str">
        <f>VLOOKUP(A13,'1.Loading'!A:R,4,FALSE)</f>
        <v>2608S</v>
      </c>
      <c r="Q13" s="61" t="str">
        <f>VLOOKUP(D13,'2.Bookinglist'!A:CT,12,FALSE)</f>
        <v>ANX</v>
      </c>
      <c r="R13" s="60" t="str">
        <f>IF(LEFT(K13,2)="22","20'","40'")</f>
        <v>40'</v>
      </c>
      <c r="S13" s="185" t="n"/>
      <c r="T13" s="61" t="str">
        <f>VLOOKUP(A13,'1.Loading'!A:R,2,FALSE)</f>
        <v>2026-10-30</v>
      </c>
      <c r="U13" s="63">
        <f>T13-S13</f>
        <v>46325</v>
      </c>
      <c r="V13" s="186" t="n"/>
      <c r="W13" s="61" t="str">
        <f>VLOOKUP(A13,'3.GateMove'!A:D,4,FALSE)</f>
        <v>2026-10-24</v>
      </c>
      <c r="X13" s="63">
        <f>((T13-W13)+1)</f>
        <v>7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46326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2026-10-20</v>
      </c>
      <c r="AM13" s="60" t="str">
        <f>VLOOKUP(D13,'2.Bookinglist'!A:BK,63,FALSE)</f>
        <v>BKK27</v>
      </c>
      <c r="AN13" s="62" t="str">
        <f>VLOOKUP(D13,'2.Bookinglist'!A:AZ,52,FALSE)</f>
        <v>Pickup : 2026-10-20, Return : 2026-10-21 Paperless Code 2835
Closing Time LKB 2026-10-25 @ 17.00</v>
      </c>
      <c r="AO13" s="62">
        <f>VLOOKUP(D13,'2.Bookinglist'!A:CY,103,FALSE)</f>
        <v>0</v>
      </c>
    </row>
    <row r="14" ht="12.95" customHeight="1">
      <c r="A14" s="96" t="inlineStr">
        <is>
          <t>SKHU9105916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HASLS22261000841</v>
      </c>
      <c r="E14" s="62" t="str">
        <f>VLOOKUP(D14,'2.Bookinglist'!A:CT,27,FALSE)</f>
        <v>ASIA ATLANTIC LINENER COMPANY LIMITED.</v>
      </c>
      <c r="F14" s="62" t="str">
        <f>VLOOKUP(D14,'2.Bookinglist'!A:CT,28,FALSE)</f>
        <v>TOYOTA TSUSHO (THAILAND)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IDJKT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NSSJ</v>
      </c>
      <c r="P14" s="61" t="str">
        <f>VLOOKUP(A14,'1.Loading'!A:R,4,FALSE)</f>
        <v>2608S</v>
      </c>
      <c r="Q14" s="61" t="str">
        <f>VLOOKUP(D14,'2.Bookinglist'!A:CT,12,FALSE)</f>
        <v>ANX</v>
      </c>
      <c r="R14" s="60" t="str">
        <f>IF(LEFT(K14,2)="22","20'","40'")</f>
        <v>40'</v>
      </c>
      <c r="S14" s="185" t="n"/>
      <c r="T14" s="61" t="str">
        <f>VLOOKUP(A14,'1.Loading'!A:R,2,FALSE)</f>
        <v>2026-10-30</v>
      </c>
      <c r="U14" s="63">
        <f>T14-S14</f>
        <v>46325</v>
      </c>
      <c r="V14" s="186" t="n"/>
      <c r="W14" s="61" t="str">
        <f>VLOOKUP(A14,'3.GateMove'!A:D,4,FALSE)</f>
        <v>2026-10-21</v>
      </c>
      <c r="X14" s="63">
        <f>((T14-W14)+1)</f>
        <v>10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3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750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46326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750</v>
      </c>
      <c r="AJ14" s="188" t="n"/>
      <c r="AK14" s="62" t="str">
        <f>VLOOKUP(D14,'2.Bookinglist'!A:CT,40,FALSE)</f>
        <v>Nannaapust Sukporntaweewat</v>
      </c>
      <c r="AL14" s="60" t="str">
        <f>VLOOKUP(D14,'2.Bookinglist'!A:CW,101,FALSE)</f>
        <v>2026-10-28</v>
      </c>
      <c r="AM14" s="60" t="str">
        <f>VLOOKUP(D14,'2.Bookinglist'!A:BK,63,FALSE)</f>
        <v>LCHY5</v>
      </c>
      <c r="AN14" s="62" t="str">
        <f>VLOOKUP(D14,'2.Bookinglist'!A:AZ,52,FALSE)</f>
        <v>Pickup : 2026-10-19, Return : 2026-10-23</v>
      </c>
      <c r="AO14" s="62">
        <f>VLOOKUP(D14,'2.Bookinglist'!A:CY,103,FALSE)</f>
        <v>0</v>
      </c>
    </row>
    <row r="15" ht="12.95" customHeight="1">
      <c r="A15" s="96" t="inlineStr">
        <is>
          <t>SKHU9623807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HASLS22261000803</v>
      </c>
      <c r="E15" s="62" t="str">
        <f>VLOOKUP(D15,'2.Bookinglist'!A:CT,27,FALSE)</f>
        <v>ALUCON PUBLIC COMPANY LIMITED</v>
      </c>
      <c r="F15" s="62" t="str">
        <f>VLOOKUP(D15,'2.Bookinglist'!A:CT,28,FALSE)</f>
        <v>ALUCON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IDJKT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NSSJ</v>
      </c>
      <c r="P15" s="61" t="str">
        <f>VLOOKUP(A15,'1.Loading'!A:R,4,FALSE)</f>
        <v>2608S</v>
      </c>
      <c r="Q15" s="61" t="str">
        <f>VLOOKUP(D15,'2.Bookinglist'!A:CT,12,FALSE)</f>
        <v>ANX</v>
      </c>
      <c r="R15" s="60" t="str">
        <f>IF(LEFT(K15,2)="22","20'","40'")</f>
        <v>40'</v>
      </c>
      <c r="S15" s="185" t="n"/>
      <c r="T15" s="61" t="str">
        <f>VLOOKUP(A15,'1.Loading'!A:R,2,FALSE)</f>
        <v>2026-10-30</v>
      </c>
      <c r="U15" s="63">
        <f>T15-S15</f>
        <v>46325</v>
      </c>
      <c r="V15" s="186" t="n"/>
      <c r="W15" s="61" t="str">
        <f>VLOOKUP(A15,'3.GateMove'!A:D,4,FALSE)</f>
        <v>2026-10-23</v>
      </c>
      <c r="X15" s="63">
        <f>((T15-W15)+1)</f>
        <v>8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1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250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46326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250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2026-10-28</v>
      </c>
      <c r="AM15" s="60" t="str">
        <f>VLOOKUP(D15,'2.Bookinglist'!A:BK,63,FALSE)</f>
        <v>LCH27</v>
      </c>
      <c r="AN15" s="62" t="str">
        <f>VLOOKUP(D15,'2.Bookinglist'!A:AZ,52,FALSE)</f>
        <v>Pickup : 2026-10-22, Return : 2026-10-26</v>
      </c>
      <c r="AO15" s="62">
        <f>VLOOKUP(D15,'2.Bookinglist'!A:CY,103,FALSE)</f>
        <v>0</v>
      </c>
    </row>
    <row r="16" ht="12.95" customHeight="1">
      <c r="A16" s="96" t="inlineStr">
        <is>
          <t>SKLU1321440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HASLS22260900973</v>
      </c>
      <c r="E16" s="62" t="str">
        <f>VLOOKUP(D16,'2.Bookinglist'!A:CT,27,FALSE)</f>
        <v>L.A.1 CO.,LTD.</v>
      </c>
      <c r="F16" s="62" t="str">
        <f>VLOOKUP(D16,'2.Bookinglist'!A:CT,28,FALSE)</f>
        <v>TANATEX CHEMICALS (THAILAND) CO., 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IDJKT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NSSJ</v>
      </c>
      <c r="P16" s="61" t="str">
        <f>VLOOKUP(A16,'1.Loading'!A:R,4,FALSE)</f>
        <v>2608S</v>
      </c>
      <c r="Q16" s="61" t="str">
        <f>VLOOKUP(D16,'2.Bookinglist'!A:CT,12,FALSE)</f>
        <v>ANX</v>
      </c>
      <c r="R16" s="60" t="str">
        <f>IF(LEFT(K16,2)="22","20'","40'")</f>
        <v>20'</v>
      </c>
      <c r="S16" s="185" t="n"/>
      <c r="T16" s="61" t="str">
        <f>VLOOKUP(A16,'1.Loading'!A:R,2,FALSE)</f>
        <v>2026-10-30</v>
      </c>
      <c r="U16" s="63">
        <f>T16-S16</f>
        <v>46325</v>
      </c>
      <c r="V16" s="186" t="n"/>
      <c r="W16" s="61" t="str">
        <f>VLOOKUP(A16,'3.GateMove'!A:D,4,FALSE)</f>
        <v>2026-10-23</v>
      </c>
      <c r="X16" s="63">
        <f>((T16-W16)+1)</f>
        <v>8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125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46326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125</v>
      </c>
      <c r="AJ16" s="188" t="n"/>
      <c r="AK16" s="62" t="str">
        <f>VLOOKUP(D16,'2.Bookinglist'!A:CT,40,FALSE)</f>
        <v>Sukunpoj Damrongying</v>
      </c>
      <c r="AL16" s="60" t="str">
        <f>VLOOKUP(D16,'2.Bookinglist'!A:CW,101,FALSE)</f>
        <v>2026-10-28</v>
      </c>
      <c r="AM16" s="60" t="str">
        <f>VLOOKUP(D16,'2.Bookinglist'!A:BK,63,FALSE)</f>
        <v>LCHY5</v>
      </c>
      <c r="AN16" s="62" t="str">
        <f>VLOOKUP(D16,'2.Bookinglist'!A:AZ,52,FALSE)</f>
        <v>Pickup : 2026-10-21, Return : 2026-10-22</v>
      </c>
      <c r="AO16" s="62">
        <f>VLOOKUP(D16,'2.Bookinglist'!A:CY,103,FALSE)</f>
        <v>0</v>
      </c>
    </row>
    <row r="17" ht="12.95" customHeight="1">
      <c r="A17" s="96" t="inlineStr">
        <is>
          <t>SKLU1649700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HASLS22261001026</v>
      </c>
      <c r="E17" s="62" t="str">
        <f>VLOOKUP(D17,'2.Bookinglist'!A:CT,27,FALSE)</f>
        <v>NIPPON EXPRESS LOGISTICS (THAILAND) CO., LTD.</v>
      </c>
      <c r="F17" s="62" t="str">
        <f>VLOOKUP(D17,'2.Bookinglist'!A:CT,28,FALSE)</f>
        <v>THAI TORAY SYNTHETICS  CO., LTD.</v>
      </c>
      <c r="G17" s="60" t="str">
        <f>VLOOKUP(D17,'2.Bookinglist'!A:E,5,FALSE)</f>
        <v>THLKR</v>
      </c>
      <c r="H17" s="61" t="str">
        <f>VLOOKUP(D17,'2.Bookinglist'!A:CT,15,FALSE)</f>
        <v>THLCH</v>
      </c>
      <c r="I17" s="61" t="str">
        <f>VLOOKUP(D17,'2.Bookinglist'!A:CT,19,FALSE)</f>
        <v>IDJKT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NSSJ</v>
      </c>
      <c r="P17" s="61" t="str">
        <f>VLOOKUP(A17,'1.Loading'!A:R,4,FALSE)</f>
        <v>2608S</v>
      </c>
      <c r="Q17" s="61" t="str">
        <f>VLOOKUP(D17,'2.Bookinglist'!A:CT,12,FALSE)</f>
        <v>ANX</v>
      </c>
      <c r="R17" s="60" t="str">
        <f>IF(LEFT(K17,2)="22","20'","40'")</f>
        <v>20'</v>
      </c>
      <c r="S17" s="185" t="n"/>
      <c r="T17" s="61" t="str">
        <f>VLOOKUP(A17,'1.Loading'!A:R,2,FALSE)</f>
        <v>2026-10-30</v>
      </c>
      <c r="U17" s="63">
        <f>T17-S17</f>
        <v>46325</v>
      </c>
      <c r="V17" s="186" t="n"/>
      <c r="W17" s="61" t="str">
        <f>VLOOKUP(A17,'3.GateMove'!A:D,4,FALSE)</f>
        <v>2026-10-25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46326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2026-10-25</v>
      </c>
      <c r="AM17" s="60" t="str">
        <f>VLOOKUP(D17,'2.Bookinglist'!A:BK,63,FALSE)</f>
        <v>BKK27</v>
      </c>
      <c r="AN17" s="62" t="str">
        <f>VLOOKUP(D17,'2.Bookinglist'!A:AZ,52,FALSE)</f>
        <v>Pickup : 2026-10-20, Return : 2026-10-21 Paperless Code 2835
ClosingTime LKB 2026-10-22 @ 12.00</v>
      </c>
      <c r="AO17" s="62">
        <f>VLOOKUP(D17,'2.Bookinglist'!A:CY,103,FALSE)</f>
        <v>0</v>
      </c>
    </row>
    <row r="18" ht="12.95" customHeight="1">
      <c r="A18" s="96" t="inlineStr">
        <is>
          <t>SKLU1811468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HASLS22261001232</v>
      </c>
      <c r="E18" s="62" t="str">
        <f>VLOOKUP(D18,'2.Bookinglist'!A:CT,27,FALSE)</f>
        <v>THAI MFC CO., LTD.</v>
      </c>
      <c r="F18" s="62" t="str">
        <f>VLOOKUP(D18,'2.Bookinglist'!A:CT,28,FALSE)</f>
        <v>THAI MFC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IDJKT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NSSJ</v>
      </c>
      <c r="P18" s="61" t="str">
        <f>VLOOKUP(A18,'1.Loading'!A:R,4,FALSE)</f>
        <v>2608S</v>
      </c>
      <c r="Q18" s="61" t="str">
        <f>VLOOKUP(D18,'2.Bookinglist'!A:CT,12,FALSE)</f>
        <v>ANX</v>
      </c>
      <c r="R18" s="60" t="str">
        <f>IF(LEFT(K18,2)="22","20'","40'")</f>
        <v>20'</v>
      </c>
      <c r="S18" s="185" t="n"/>
      <c r="T18" s="61" t="str">
        <f>VLOOKUP(A18,'1.Loading'!A:R,2,FALSE)</f>
        <v>2026-10-30</v>
      </c>
      <c r="U18" s="63">
        <f>T18-S18</f>
        <v>46325</v>
      </c>
      <c r="V18" s="186" t="n"/>
      <c r="W18" s="61" t="str">
        <f>VLOOKUP(A18,'3.GateMove'!A:D,4,FALSE)</f>
        <v>2026-10-23</v>
      </c>
      <c r="X18" s="63">
        <f>((T18-W18)+1)</f>
        <v>8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1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125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46326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125</v>
      </c>
      <c r="AJ18" s="188" t="n"/>
      <c r="AK18" s="62" t="str">
        <f>VLOOKUP(D18,'2.Bookinglist'!A:CT,40,FALSE)</f>
        <v>Kanokporn</v>
      </c>
      <c r="AL18" s="60" t="str">
        <f>VLOOKUP(D18,'2.Bookinglist'!A:CW,101,FALSE)</f>
        <v>2026-10-28</v>
      </c>
      <c r="AM18" s="60" t="str">
        <f>VLOOKUP(D18,'2.Bookinglist'!A:BK,63,FALSE)</f>
        <v>LCH27</v>
      </c>
      <c r="AN18" s="62" t="str">
        <f>VLOOKUP(D18,'2.Bookinglist'!A:AZ,52,FALSE)</f>
        <v>Pickup : 2026-10-20, Return : 2026-10-22</v>
      </c>
      <c r="AO18" s="62">
        <f>VLOOKUP(D18,'2.Bookinglist'!A:CY,103,FALSE)</f>
        <v>0</v>
      </c>
    </row>
    <row r="19" ht="12.95" customHeight="1">
      <c r="A19" s="96" t="inlineStr">
        <is>
          <t>SKLU1819670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HASLS22260902116</v>
      </c>
      <c r="E19" s="62" t="str">
        <f>VLOOKUP(D19,'2.Bookinglist'!A:CT,27,FALSE)</f>
        <v>ACCORD PILOT LOGISTICS (THAILAND) CO., LTD.</v>
      </c>
      <c r="F19" s="62" t="str">
        <f>VLOOKUP(D19,'2.Bookinglist'!A:CT,28,FALSE)</f>
        <v>THAI PLASPAC PUBLIC CO.,LTD.</v>
      </c>
      <c r="G19" s="60" t="str">
        <f>VLOOKUP(D19,'2.Bookinglist'!A:E,5,FALSE)</f>
        <v>THLKR</v>
      </c>
      <c r="H19" s="61" t="str">
        <f>VLOOKUP(D19,'2.Bookinglist'!A:CT,15,FALSE)</f>
        <v>THLCH</v>
      </c>
      <c r="I19" s="61" t="str">
        <f>VLOOKUP(D19,'2.Bookinglist'!A:CT,19,FALSE)</f>
        <v>IDJKT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NSSJ</v>
      </c>
      <c r="P19" s="61" t="str">
        <f>VLOOKUP(A19,'1.Loading'!A:R,4,FALSE)</f>
        <v>2608S</v>
      </c>
      <c r="Q19" s="61" t="str">
        <f>VLOOKUP(D19,'2.Bookinglist'!A:CT,12,FALSE)</f>
        <v>ANX</v>
      </c>
      <c r="R19" s="60" t="str">
        <f>IF(LEFT(K19,2)="22","20'","40'")</f>
        <v>20'</v>
      </c>
      <c r="S19" s="185" t="n"/>
      <c r="T19" s="61" t="str">
        <f>VLOOKUP(A19,'1.Loading'!A:R,2,FALSE)</f>
        <v>2026-10-30</v>
      </c>
      <c r="U19" s="63">
        <f>T19-S19</f>
        <v>46325</v>
      </c>
      <c r="V19" s="186" t="n"/>
      <c r="W19" s="61" t="str">
        <f>VLOOKUP(A19,'3.GateMove'!A:D,4,FALSE)</f>
        <v>2026-10-23</v>
      </c>
      <c r="X19" s="63">
        <f>((T19-W19)+1)</f>
        <v>8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1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125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46326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125</v>
      </c>
      <c r="AJ19" s="188" t="n"/>
      <c r="AK19" s="62" t="str">
        <f>VLOOKUP(D19,'2.Bookinglist'!A:CT,40,FALSE)</f>
        <v>Kanokporn</v>
      </c>
      <c r="AL19" s="60" t="str">
        <f>VLOOKUP(D19,'2.Bookinglist'!A:CW,101,FALSE)</f>
        <v>2026-10-19</v>
      </c>
      <c r="AM19" s="60" t="str">
        <f>VLOOKUP(D19,'2.Bookinglist'!A:BK,63,FALSE)</f>
        <v>BKK27</v>
      </c>
      <c r="AN19" s="62" t="str">
        <f>VLOOKUP(D19,'2.Bookinglist'!A:AZ,52,FALSE)</f>
        <v>Pickup : 2026-10-20, Return : 2026-10-21 Paperless Code 2835
Closing Time LKB 2026-10-25 @ 17.00</v>
      </c>
      <c r="AO19" s="62">
        <f>VLOOKUP(D19,'2.Bookinglist'!A:CY,103,FALSE)</f>
        <v>0</v>
      </c>
    </row>
    <row r="20" ht="12.95" customHeight="1">
      <c r="A20" s="96" t="inlineStr">
        <is>
          <t>SKLU1924741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HASLS22261000261</v>
      </c>
      <c r="E20" s="62" t="str">
        <f>VLOOKUP(D20,'2.Bookinglist'!A:CT,27,FALSE)</f>
        <v>NH LOGISTICS CO., LTD.</v>
      </c>
      <c r="F20" s="62" t="str">
        <f>VLOOKUP(D20,'2.Bookinglist'!A:CT,28,FALSE)</f>
        <v>TROY SIAM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IDJKT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>DG</v>
      </c>
      <c r="N20" s="60" t="str">
        <f>IF(RIGHT(K20,2)="RE","RF","")</f>
        <v/>
      </c>
      <c r="O20" s="61" t="str">
        <f>VLOOKUP(A20,'1.Loading'!A:R,3,FALSE)</f>
        <v>NSSJ</v>
      </c>
      <c r="P20" s="61" t="str">
        <f>VLOOKUP(A20,'1.Loading'!A:R,4,FALSE)</f>
        <v>2608S</v>
      </c>
      <c r="Q20" s="61" t="str">
        <f>VLOOKUP(D20,'2.Bookinglist'!A:CT,12,FALSE)</f>
        <v>ANX</v>
      </c>
      <c r="R20" s="60" t="str">
        <f>IF(LEFT(K20,2)="22","20'","40'")</f>
        <v>20'</v>
      </c>
      <c r="S20" s="185" t="n"/>
      <c r="T20" s="61" t="str">
        <f>VLOOKUP(A20,'1.Loading'!A:R,2,FALSE)</f>
        <v>2026-10-30</v>
      </c>
      <c r="U20" s="63">
        <f>T20-S20</f>
        <v>46325</v>
      </c>
      <c r="V20" s="186" t="n"/>
      <c r="W20" s="61" t="str">
        <f>VLOOKUP(A20,'3.GateMove'!A:D,4,FALSE)</f>
        <v>2026-10-30</v>
      </c>
      <c r="X20" s="63">
        <f>((T20-W20)+1)</f>
        <v>1</v>
      </c>
      <c r="Y20" s="64">
        <f>IF(AND(OR(C20="BKK01",C20="BKK04"),L20="CFS/CY"),0,IF(M20="DG",1,IF(LEFT(C20,3)="LCH",7,IF(C20="BKK02",5,3))))</f>
        <v>1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3</v>
      </c>
      <c r="AE20" s="63">
        <f>(T20-V20)+1</f>
        <v>46326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Arunphat W. (Aiw)</v>
      </c>
      <c r="AL20" s="60" t="str">
        <f>VLOOKUP(D20,'2.Bookinglist'!A:CW,101,FALSE)</f>
        <v>2026-10-25</v>
      </c>
      <c r="AM20" s="60" t="str">
        <f>VLOOKUP(D20,'2.Bookinglist'!A:BK,63,FALSE)</f>
        <v>LCH27</v>
      </c>
      <c r="AN20" s="62" t="str">
        <f>VLOOKUP(D20,'2.Bookinglist'!A:AZ,52,FALSE)</f>
        <v>APPROVAL BY Mr.Jeong-Yong UM DD.15/10/2026 // DG CARGO (CLS 3 / UN 1993, CLS 8 / UN 2922, CLS 9 / UN 3082, CLS 8 / UN 3265) 
Pickup : 2026-10-22, Return : 2026-10-22 </v>
      </c>
      <c r="AO20" s="62">
        <f>VLOOKUP(D20,'2.Bookinglist'!A:CY,103,FALSE)</f>
        <v>0</v>
      </c>
    </row>
    <row r="21" ht="12.95" customHeight="1">
      <c r="A21" s="96" t="inlineStr">
        <is>
          <t>SKLU1968502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HASLS22261000533</v>
      </c>
      <c r="E21" s="62" t="str">
        <f>VLOOKUP(D21,'2.Bookinglist'!A:CT,27,FALSE)</f>
        <v>THAI MFC CO., LTD.</v>
      </c>
      <c r="F21" s="62" t="str">
        <f>VLOOKUP(D21,'2.Bookinglist'!A:CT,28,FALSE)</f>
        <v>THAI MFC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IDJKT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NSSJ</v>
      </c>
      <c r="P21" s="61" t="str">
        <f>VLOOKUP(A21,'1.Loading'!A:R,4,FALSE)</f>
        <v>2608S</v>
      </c>
      <c r="Q21" s="61" t="str">
        <f>VLOOKUP(D21,'2.Bookinglist'!A:CT,12,FALSE)</f>
        <v>ANX</v>
      </c>
      <c r="R21" s="60" t="str">
        <f>IF(LEFT(K21,2)="22","20'","40'")</f>
        <v>20'</v>
      </c>
      <c r="S21" s="185" t="n"/>
      <c r="T21" s="61" t="str">
        <f>VLOOKUP(A21,'1.Loading'!A:R,2,FALSE)</f>
        <v>2026-10-30</v>
      </c>
      <c r="U21" s="63">
        <f>T21-S21</f>
        <v>46325</v>
      </c>
      <c r="V21" s="186" t="n"/>
      <c r="W21" s="61" t="str">
        <f>VLOOKUP(A21,'3.GateMove'!A:D,4,FALSE)</f>
        <v>2026-10-23</v>
      </c>
      <c r="X21" s="63">
        <f>((T21-W21)+1)</f>
        <v>8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125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46326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125</v>
      </c>
      <c r="AJ21" s="188" t="n"/>
      <c r="AK21" s="62" t="str">
        <f>VLOOKUP(D21,'2.Bookinglist'!A:CT,40,FALSE)</f>
        <v>Kanokporn</v>
      </c>
      <c r="AL21" s="60" t="str">
        <f>VLOOKUP(D21,'2.Bookinglist'!A:CW,101,FALSE)</f>
        <v>2026-10-28</v>
      </c>
      <c r="AM21" s="60" t="str">
        <f>VLOOKUP(D21,'2.Bookinglist'!A:BK,63,FALSE)</f>
        <v>LCH27</v>
      </c>
      <c r="AN21" s="62" t="str">
        <f>VLOOKUP(D21,'2.Bookinglist'!A:AZ,52,FALSE)</f>
        <v>Pickup : 2026-10-20, Return : 2026-10-22
Extend Closing Time 2026-10-27 @ 12.00</v>
      </c>
      <c r="AO21" s="62">
        <f>VLOOKUP(D21,'2.Bookinglist'!A:CY,103,FALSE)</f>
        <v>0</v>
      </c>
    </row>
    <row r="22" ht="12.95" customHeight="1">
      <c r="A22" s="96" t="inlineStr">
        <is>
          <t>SKLU2069815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HASLS22261000977</v>
      </c>
      <c r="E22" s="62" t="str">
        <f>VLOOKUP(D22,'2.Bookinglist'!A:CT,27,FALSE)</f>
        <v>PROFREIGHT INTERNATIONAL CO., LTD.</v>
      </c>
      <c r="F22" s="62" t="str">
        <f>VLOOKUP(D22,'2.Bookinglist'!A:CT,28,FALSE)</f>
        <v>K.R. PLASTIC INDUSTRIES CO., LTD.</v>
      </c>
      <c r="G22" s="60" t="str">
        <f>VLOOKUP(D22,'2.Bookinglist'!A:E,5,FALSE)</f>
        <v>THLKR</v>
      </c>
      <c r="H22" s="61" t="str">
        <f>VLOOKUP(D22,'2.Bookinglist'!A:CT,15,FALSE)</f>
        <v>THLCH</v>
      </c>
      <c r="I22" s="61" t="str">
        <f>VLOOKUP(D22,'2.Bookinglist'!A:CT,19,FALSE)</f>
        <v>IDJKT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CFS/CY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NSSJ</v>
      </c>
      <c r="P22" s="61" t="str">
        <f>VLOOKUP(A22,'1.Loading'!A:R,4,FALSE)</f>
        <v>2608S</v>
      </c>
      <c r="Q22" s="61" t="str">
        <f>VLOOKUP(D22,'2.Bookinglist'!A:CT,12,FALSE)</f>
        <v>ANX</v>
      </c>
      <c r="R22" s="60" t="str">
        <f>IF(LEFT(K22,2)="22","20'","40'")</f>
        <v>20'</v>
      </c>
      <c r="S22" s="185" t="n"/>
      <c r="T22" s="61" t="str">
        <f>VLOOKUP(A22,'1.Loading'!A:R,2,FALSE)</f>
        <v>2026-10-30</v>
      </c>
      <c r="U22" s="63">
        <f>T22-S22</f>
        <v>46325</v>
      </c>
      <c r="V22" s="186" t="n"/>
      <c r="W22" s="61" t="str">
        <f>VLOOKUP(A22,'3.GateMove'!A:D,4,FALSE)</f>
        <v>2026-10-22</v>
      </c>
      <c r="X22" s="63">
        <f>((T22-W22)+1)</f>
        <v>9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250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46326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250</v>
      </c>
      <c r="AJ22" s="188" t="n"/>
      <c r="AK22" s="62" t="str">
        <f>VLOOKUP(D22,'2.Bookinglist'!A:CT,40,FALSE)</f>
        <v>Nustsireerach</v>
      </c>
      <c r="AL22" s="60" t="str">
        <f>VLOOKUP(D22,'2.Bookinglist'!A:CW,101,FALSE)</f>
        <v>2026-10-25</v>
      </c>
      <c r="AM22" s="60" t="str">
        <f>VLOOKUP(D22,'2.Bookinglist'!A:BK,63,FALSE)</f>
        <v>LCH55</v>
      </c>
      <c r="AN22" s="62" t="str">
        <f>VLOOKUP(D22,'2.Bookinglist'!A:AZ,52,FALSE)</f>
        <v>STUFFING AT ICD ESCO LAT KRABANG (GATE 2) DD.21/10/2026 (PAPERLESS CODE : 2835)
CLS TIME DD.22/10/2026 @ 17.00Hrs. *1ST CFS DD.21/10/2026 WITHOTU RENT*</v>
      </c>
      <c r="AO22" s="62">
        <f>VLOOKUP(D22,'2.Bookinglist'!A:CY,103,FALSE)</f>
        <v>0</v>
      </c>
    </row>
    <row r="23" ht="12.95" customHeight="1">
      <c r="A23" s="96" t="inlineStr">
        <is>
          <t>SKLU2105635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HASLS22260902829</v>
      </c>
      <c r="E23" s="62" t="str">
        <f>VLOOKUP(D23,'2.Bookinglist'!A:CT,27,FALSE)</f>
        <v>SEATRANS INTERNATIONAL TRANSPORT CO., LTD.</v>
      </c>
      <c r="F23" s="62" t="str">
        <f>VLOOKUP(D23,'2.Bookinglist'!A:CT,28,FALSE)</f>
        <v>DUNI (THAILAND) CO., LTD.</v>
      </c>
      <c r="G23" s="60" t="str">
        <f>VLOOKUP(D23,'2.Bookinglist'!A:E,5,FALSE)</f>
        <v>THLKR</v>
      </c>
      <c r="H23" s="61" t="str">
        <f>VLOOKUP(D23,'2.Bookinglist'!A:CT,15,FALSE)</f>
        <v>THLCH</v>
      </c>
      <c r="I23" s="61" t="str">
        <f>VLOOKUP(D23,'2.Bookinglist'!A:CT,19,FALSE)</f>
        <v>IDJKT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NSSJ</v>
      </c>
      <c r="P23" s="61" t="str">
        <f>VLOOKUP(A23,'1.Loading'!A:R,4,FALSE)</f>
        <v>2608S</v>
      </c>
      <c r="Q23" s="61" t="str">
        <f>VLOOKUP(D23,'2.Bookinglist'!A:CT,12,FALSE)</f>
        <v>ANX</v>
      </c>
      <c r="R23" s="60" t="str">
        <f>IF(LEFT(K23,2)="22","20'","40'")</f>
        <v>20'</v>
      </c>
      <c r="S23" s="185" t="n"/>
      <c r="T23" s="61" t="str">
        <f>VLOOKUP(A23,'1.Loading'!A:R,2,FALSE)</f>
        <v>2026-10-30</v>
      </c>
      <c r="U23" s="63">
        <f>T23-S23</f>
        <v>46325</v>
      </c>
      <c r="V23" s="186" t="n"/>
      <c r="W23" s="61" t="str">
        <f>VLOOKUP(A23,'3.GateMove'!A:D,4,FALSE)</f>
        <v>2026-10-25</v>
      </c>
      <c r="X23" s="63">
        <f>((T23-W23)+1)</f>
        <v>6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46326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2026-10-23</v>
      </c>
      <c r="AM23" s="60" t="str">
        <f>VLOOKUP(D23,'2.Bookinglist'!A:BK,63,FALSE)</f>
        <v>BKK27</v>
      </c>
      <c r="AN23" s="62" t="str">
        <f>VLOOKUP(D23,'2.Bookinglist'!A:AZ,52,FALSE)</f>
        <v>Pickup : 2026-10-19, Return : 2026-10-20 Paperless Code 2835
ClosingTime LKB 2026-10-20 @ 23.59</v>
      </c>
      <c r="AO23" s="62">
        <f>VLOOKUP(D23,'2.Bookinglist'!A:CY,103,FALSE)</f>
        <v>0</v>
      </c>
    </row>
    <row r="24" ht="12.95" customHeight="1">
      <c r="A24" s="96" t="inlineStr">
        <is>
          <t>SKLU2306373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HASLS22261000641</v>
      </c>
      <c r="E24" s="62" t="str">
        <f>VLOOKUP(D24,'2.Bookinglist'!A:CT,27,FALSE)</f>
        <v>PRIME LOGISTICS INTERNATIONAL CO., LTD.</v>
      </c>
      <c r="F24" s="62" t="str">
        <f>VLOOKUP(D24,'2.Bookinglist'!A:CT,28,FALSE)</f>
        <v>TPBI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IDJKT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NSSJ</v>
      </c>
      <c r="P24" s="61" t="str">
        <f>VLOOKUP(A24,'1.Loading'!A:R,4,FALSE)</f>
        <v>2608S</v>
      </c>
      <c r="Q24" s="61" t="str">
        <f>VLOOKUP(D24,'2.Bookinglist'!A:CT,12,FALSE)</f>
        <v>ANX</v>
      </c>
      <c r="R24" s="60" t="str">
        <f>IF(LEFT(K24,2)="22","20'","40'")</f>
        <v>20'</v>
      </c>
      <c r="S24" s="185" t="n"/>
      <c r="T24" s="61" t="str">
        <f>VLOOKUP(A24,'1.Loading'!A:R,2,FALSE)</f>
        <v>2026-10-30</v>
      </c>
      <c r="U24" s="63">
        <f>T24-S24</f>
        <v>46325</v>
      </c>
      <c r="V24" s="186" t="n"/>
      <c r="W24" s="61" t="str">
        <f>VLOOKUP(A24,'3.GateMove'!A:D,4,FALSE)</f>
        <v>2026-10-21</v>
      </c>
      <c r="X24" s="63">
        <f>((T24-W24)+1)</f>
        <v>10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3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375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46326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375</v>
      </c>
      <c r="AJ24" s="188" t="n"/>
      <c r="AK24" s="62" t="str">
        <f>VLOOKUP(D24,'2.Bookinglist'!A:CT,40,FALSE)</f>
        <v>Nannaapust Sukporntaweewat</v>
      </c>
      <c r="AL24" s="60" t="str">
        <f>VLOOKUP(D24,'2.Bookinglist'!A:CW,101,FALSE)</f>
        <v>2026-10-23</v>
      </c>
      <c r="AM24" s="60" t="str">
        <f>VLOOKUP(D24,'2.Bookinglist'!A:BK,63,FALSE)</f>
        <v>LCH27</v>
      </c>
      <c r="AN24" s="62" t="str">
        <f>VLOOKUP(D24,'2.Bookinglist'!A:AZ,52,FALSE)</f>
        <v>Pickup : 2026-10-21, Return : 2026-10-22</v>
      </c>
      <c r="AO24" s="62">
        <f>VLOOKUP(D24,'2.Bookinglist'!A:CY,103,FALSE)</f>
        <v>0</v>
      </c>
    </row>
    <row r="25" ht="12.95" customHeight="1">
      <c r="A25" s="96" t="inlineStr">
        <is>
          <t>SKLU2318754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HASLS22261001199</v>
      </c>
      <c r="E25" s="62" t="str">
        <f>VLOOKUP(D25,'2.Bookinglist'!A:CT,27,FALSE)</f>
        <v>Q-LOG THAI CO., LTD.</v>
      </c>
      <c r="F25" s="62" t="str">
        <f>VLOOKUP(D25,'2.Bookinglist'!A:CT,28,FALSE)</f>
        <v>KHON KAEN FISHING NET FACTORY CO., LTD.</v>
      </c>
      <c r="G25" s="60" t="str">
        <f>VLOOKUP(D25,'2.Bookinglist'!A:E,5,FALSE)</f>
        <v>THLKR</v>
      </c>
      <c r="H25" s="61" t="str">
        <f>VLOOKUP(D25,'2.Bookinglist'!A:CT,15,FALSE)</f>
        <v>THLCH</v>
      </c>
      <c r="I25" s="61" t="str">
        <f>VLOOKUP(D25,'2.Bookinglist'!A:CT,19,FALSE)</f>
        <v>IDJKT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CFS/CY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NSSJ</v>
      </c>
      <c r="P25" s="61" t="str">
        <f>VLOOKUP(A25,'1.Loading'!A:R,4,FALSE)</f>
        <v>2608S</v>
      </c>
      <c r="Q25" s="61" t="str">
        <f>VLOOKUP(D25,'2.Bookinglist'!A:CT,12,FALSE)</f>
        <v>ANX</v>
      </c>
      <c r="R25" s="60" t="str">
        <f>IF(LEFT(K25,2)="22","20'","40'")</f>
        <v>20'</v>
      </c>
      <c r="S25" s="185" t="n"/>
      <c r="T25" s="61" t="str">
        <f>VLOOKUP(A25,'1.Loading'!A:R,2,FALSE)</f>
        <v>2026-10-30</v>
      </c>
      <c r="U25" s="63">
        <f>T25-S25</f>
        <v>46325</v>
      </c>
      <c r="V25" s="186" t="n"/>
      <c r="W25" s="61" t="str">
        <f>VLOOKUP(A25,'3.GateMove'!A:D,4,FALSE)</f>
        <v>2026-10-22</v>
      </c>
      <c r="X25" s="63">
        <f>((T25-W25)+1)</f>
        <v>9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250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46326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250</v>
      </c>
      <c r="AJ25" s="188" t="n"/>
      <c r="AK25" s="62" t="str">
        <f>VLOOKUP(D25,'2.Bookinglist'!A:CT,40,FALSE)</f>
        <v>Arunphat W. (Aiw)</v>
      </c>
      <c r="AL25" s="60" t="str">
        <f>VLOOKUP(D25,'2.Bookinglist'!A:CW,101,FALSE)</f>
        <v>2026-10-25</v>
      </c>
      <c r="AM25" s="60" t="str">
        <f>VLOOKUP(D25,'2.Bookinglist'!A:BK,63,FALSE)</f>
        <v>LCH55</v>
      </c>
      <c r="AN25" s="62" t="str">
        <f>VLOOKUP(D25,'2.Bookinglist'!A:AZ,52,FALSE)</f>
        <v>STUFFING @ESCO LAT KRABANG (GATE2)  DD 21/10/26 CLS TIME 22/10 @17.00HRS 
 PAPERLESS CODE : 2835 //  (1ST STUFFING : 21/10 W/O RENT)</v>
      </c>
      <c r="AO25" s="62">
        <f>VLOOKUP(D25,'2.Bookinglist'!A:CY,103,FALSE)</f>
        <v>0</v>
      </c>
    </row>
    <row r="26" ht="12.95" customHeight="1">
      <c r="A26" s="96" t="inlineStr">
        <is>
          <t>SKLU2429980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HASLS22261001524</v>
      </c>
      <c r="E26" s="62" t="str">
        <f>VLOOKUP(D26,'2.Bookinglist'!A:CT,27,FALSE)</f>
        <v>SIAM I-LOGISTICS LTD.</v>
      </c>
      <c r="F26" s="62" t="str">
        <f>VLOOKUP(D26,'2.Bookinglist'!A:CT,28,FALSE)</f>
        <v>ITOCHU (THAILAND)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IDJKT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NSSJ</v>
      </c>
      <c r="P26" s="61" t="str">
        <f>VLOOKUP(A26,'1.Loading'!A:R,4,FALSE)</f>
        <v>2608S</v>
      </c>
      <c r="Q26" s="61" t="str">
        <f>VLOOKUP(D26,'2.Bookinglist'!A:CT,12,FALSE)</f>
        <v>ANX</v>
      </c>
      <c r="R26" s="60" t="str">
        <f>IF(LEFT(K26,2)="22","20'","40'")</f>
        <v>20'</v>
      </c>
      <c r="S26" s="185" t="n"/>
      <c r="T26" s="61" t="str">
        <f>VLOOKUP(A26,'1.Loading'!A:R,2,FALSE)</f>
        <v>2026-10-30</v>
      </c>
      <c r="U26" s="63">
        <f>T26-S26</f>
        <v>46325</v>
      </c>
      <c r="V26" s="186" t="n"/>
      <c r="W26" s="61" t="str">
        <f>VLOOKUP(A26,'3.GateMove'!A:D,4,FALSE)</f>
        <v>2026-10-22</v>
      </c>
      <c r="X26" s="63">
        <f>((T26-W26)+1)</f>
        <v>9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2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250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46326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250</v>
      </c>
      <c r="AJ26" s="188" t="n"/>
      <c r="AK26" s="62" t="str">
        <f>VLOOKUP(D26,'2.Bookinglist'!A:CT,40,FALSE)</f>
        <v>Nannaapust Sukporntaweewat</v>
      </c>
      <c r="AL26" s="60" t="str">
        <f>VLOOKUP(D26,'2.Bookinglist'!A:CW,101,FALSE)</f>
        <v>2026-10-28</v>
      </c>
      <c r="AM26" s="60" t="str">
        <f>VLOOKUP(D26,'2.Bookinglist'!A:BK,63,FALSE)</f>
        <v>LCH27</v>
      </c>
      <c r="AN26" s="62" t="str">
        <f>VLOOKUP(D26,'2.Bookinglist'!A:AZ,52,FALSE)</f>
        <v>Pickup : 2026-10-22, Return : 2026-10-22</v>
      </c>
      <c r="AO26" s="62">
        <f>VLOOKUP(D26,'2.Bookinglist'!A:CY,103,FALSE)</f>
        <v>0</v>
      </c>
    </row>
    <row r="27" ht="12.95" customHeight="1">
      <c r="A27" s="96" t="inlineStr">
        <is>
          <t>SKLU2468482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HASLS22261001895</v>
      </c>
      <c r="E27" s="62" t="str">
        <f>VLOOKUP(D27,'2.Bookinglist'!A:CT,27,FALSE)</f>
        <v>UBE CHEMICALS (ASIA) PUBLIC COMPANY LIMITED</v>
      </c>
      <c r="F27" s="62" t="str">
        <f>VLOOKUP(D27,'2.Bookinglist'!A:CT,28,FALSE)</f>
        <v>UBE CHEMICALS (ASIA)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IDJKT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NSSJ</v>
      </c>
      <c r="P27" s="61" t="str">
        <f>VLOOKUP(A27,'1.Loading'!A:R,4,FALSE)</f>
        <v>2608S</v>
      </c>
      <c r="Q27" s="61" t="str">
        <f>VLOOKUP(D27,'2.Bookinglist'!A:CT,12,FALSE)</f>
        <v>ANX</v>
      </c>
      <c r="R27" s="60" t="str">
        <f>IF(LEFT(K27,2)="22","20'","40'")</f>
        <v>20'</v>
      </c>
      <c r="S27" s="185" t="n"/>
      <c r="T27" s="61" t="str">
        <f>VLOOKUP(A27,'1.Loading'!A:R,2,FALSE)</f>
        <v>2026-10-30</v>
      </c>
      <c r="U27" s="63">
        <f>T27-S27</f>
        <v>46325</v>
      </c>
      <c r="V27" s="186" t="n"/>
      <c r="W27" s="61" t="str">
        <f>VLOOKUP(A27,'3.GateMove'!A:D,4,FALSE)</f>
        <v>2026-10-27</v>
      </c>
      <c r="X27" s="63">
        <f>((T27-W27)+1)</f>
        <v>4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46326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Tarn(Supaporn)</v>
      </c>
      <c r="AL27" s="60" t="str">
        <f>VLOOKUP(D27,'2.Bookinglist'!A:CW,101,FALSE)</f>
        <v>2026-10-29</v>
      </c>
      <c r="AM27" s="60" t="str">
        <f>VLOOKUP(D27,'2.Bookinglist'!A:BK,63,FALSE)</f>
        <v>LCHY5</v>
      </c>
      <c r="AN27" s="62" t="str">
        <f>VLOOKUP(D27,'2.Bookinglist'!A:AZ,52,FALSE)</f>
        <v>Pickup : 2026-10-26, Return : 2026-10-27 (2002054618)
</v>
      </c>
      <c r="AO27" s="62">
        <f>VLOOKUP(D27,'2.Bookinglist'!A:CY,103,FALSE)</f>
        <v>0</v>
      </c>
    </row>
    <row r="28" ht="12.95" customHeight="1">
      <c r="A28" s="96" t="inlineStr">
        <is>
          <t>SKLU2473684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HASLS22261000657</v>
      </c>
      <c r="E28" s="62" t="str">
        <f>VLOOKUP(D28,'2.Bookinglist'!A:CT,27,FALSE)</f>
        <v>WORLDLINK SHIPPING CO., LTD.</v>
      </c>
      <c r="F28" s="62" t="str">
        <f>VLOOKUP(D28,'2.Bookinglist'!A:CT,28,FALSE)</f>
        <v>PSN INTERFOOD CO., LTD.</v>
      </c>
      <c r="G28" s="60" t="str">
        <f>VLOOKUP(D28,'2.Bookinglist'!A:E,5,FALSE)</f>
        <v>THLKR</v>
      </c>
      <c r="H28" s="61" t="str">
        <f>VLOOKUP(D28,'2.Bookinglist'!A:CT,15,FALSE)</f>
        <v>THLCH</v>
      </c>
      <c r="I28" s="61" t="str">
        <f>VLOOKUP(D28,'2.Bookinglist'!A:CT,19,FALSE)</f>
        <v>IDJKT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NSSJ</v>
      </c>
      <c r="P28" s="61" t="str">
        <f>VLOOKUP(A28,'1.Loading'!A:R,4,FALSE)</f>
        <v>2608S</v>
      </c>
      <c r="Q28" s="61" t="str">
        <f>VLOOKUP(D28,'2.Bookinglist'!A:CT,12,FALSE)</f>
        <v>ANX</v>
      </c>
      <c r="R28" s="60" t="str">
        <f>IF(LEFT(K28,2)="22","20'","40'")</f>
        <v>20'</v>
      </c>
      <c r="S28" s="185" t="n"/>
      <c r="T28" s="61" t="str">
        <f>VLOOKUP(A28,'1.Loading'!A:R,2,FALSE)</f>
        <v>2026-10-30</v>
      </c>
      <c r="U28" s="63">
        <f>T28-S28</f>
        <v>46325</v>
      </c>
      <c r="V28" s="186" t="n"/>
      <c r="W28" s="61" t="str">
        <f>VLOOKUP(A28,'3.GateMove'!A:D,4,FALSE)</f>
        <v>2026-10-23</v>
      </c>
      <c r="X28" s="63">
        <f>((T28-W28)+1)</f>
        <v>8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1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125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46326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125</v>
      </c>
      <c r="AJ28" s="188" t="n"/>
      <c r="AK28" s="62" t="str">
        <f>VLOOKUP(D28,'2.Bookinglist'!A:CT,40,FALSE)</f>
        <v>Sukunpoj Damrongying</v>
      </c>
      <c r="AL28" s="60" t="str">
        <f>VLOOKUP(D28,'2.Bookinglist'!A:CW,101,FALSE)</f>
        <v>2026-10-24</v>
      </c>
      <c r="AM28" s="60" t="str">
        <f>VLOOKUP(D28,'2.Bookinglist'!A:BK,63,FALSE)</f>
        <v>BKK27</v>
      </c>
      <c r="AN28" s="62" t="str">
        <f>VLOOKUP(D28,'2.Bookinglist'!A:AZ,52,FALSE)</f>
        <v>Pickup : 2026-10-21, Return : 2026-10-21 Paperless Code 2835
Closing Time LKB 2026-10-25 @ 17.00</v>
      </c>
      <c r="AO28" s="62">
        <f>VLOOKUP(D28,'2.Bookinglist'!A:CY,103,FALSE)</f>
        <v>0</v>
      </c>
    </row>
    <row r="29" ht="12.95" customHeight="1">
      <c r="A29" s="96" t="inlineStr">
        <is>
          <t>SKRU8900527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HASLS22261001845</v>
      </c>
      <c r="E29" s="62" t="str">
        <f>VLOOKUP(D29,'2.Bookinglist'!A:CT,27,FALSE)</f>
        <v>HAPPY SHIPPING SERVICE CO.,LTD.</v>
      </c>
      <c r="F29" s="62" t="str">
        <f>VLOOKUP(D29,'2.Bookinglist'!A:CT,28,FALSE)</f>
        <v>HI HAPPY TRADING CO.,LTD.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IDJKT</v>
      </c>
      <c r="J29" s="61">
        <f>VLOOKUP(D29,'2.Bookinglist'!A:CT,26,FALSE)</f>
        <v>0</v>
      </c>
      <c r="K29" s="61" t="str">
        <f>VLOOKUP(A29,'1.Loading'!A:R,5,FALSE)</f>
        <v>45RE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>RF</v>
      </c>
      <c r="O29" s="61" t="str">
        <f>VLOOKUP(A29,'1.Loading'!A:R,3,FALSE)</f>
        <v>NSSJ</v>
      </c>
      <c r="P29" s="61" t="str">
        <f>VLOOKUP(A29,'1.Loading'!A:R,4,FALSE)</f>
        <v>2608S</v>
      </c>
      <c r="Q29" s="61" t="str">
        <f>VLOOKUP(D29,'2.Bookinglist'!A:CT,12,FALSE)</f>
        <v>ANX</v>
      </c>
      <c r="R29" s="60" t="str">
        <f>IF(LEFT(K29,2)="22","20'","40'")</f>
        <v>40'</v>
      </c>
      <c r="S29" s="185" t="n"/>
      <c r="T29" s="61" t="str">
        <f>VLOOKUP(A29,'1.Loading'!A:R,2,FALSE)</f>
        <v>2026-10-30</v>
      </c>
      <c r="U29" s="63">
        <f>T29-S29</f>
        <v>46325</v>
      </c>
      <c r="V29" s="186" t="n"/>
      <c r="W29" s="61" t="str">
        <f>VLOOKUP(A29,'3.GateMove'!A:D,4,FALSE)</f>
        <v>2026-10-27</v>
      </c>
      <c r="X29" s="63">
        <f>((T29-W29)+1)</f>
        <v>4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3</v>
      </c>
      <c r="AE29" s="63">
        <f>(T29-V29)+1</f>
        <v>46326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Tarn(Supaporn)</v>
      </c>
      <c r="AL29" s="60" t="str">
        <f>VLOOKUP(D29,'2.Bookinglist'!A:CW,101,FALSE)</f>
        <v>2026-10-29</v>
      </c>
      <c r="AM29" s="60" t="str">
        <f>VLOOKUP(D29,'2.Bookinglist'!A:BK,63,FALSE)</f>
        <v>LCH27</v>
      </c>
      <c r="AN29" s="62" t="str">
        <f>VLOOKUP(D29,'2.Bookinglist'!A:AZ,52,FALSE)</f>
        <v>Pickup : 2026-10-22, Return : 2026-10-27 (Temp +1.0 / Vent 10% Open) 
Closing Time 2026-10-27 @ 23.59</v>
      </c>
      <c r="AO29" s="62">
        <f>VLOOKUP(D29,'2.Bookinglist'!A:CY,103,FALSE)</f>
        <v>0</v>
      </c>
    </row>
    <row r="30" ht="12.95" customHeight="1">
      <c r="A30" s="96" t="inlineStr">
        <is>
          <t>SKRU9201062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HASLS22260902291</v>
      </c>
      <c r="E30" s="62" t="str">
        <f>VLOOKUP(D30,'2.Bookinglist'!A:CT,27,FALSE)</f>
        <v>INTER FRESH CO., LTD.</v>
      </c>
      <c r="F30" s="62" t="str">
        <f>VLOOKUP(D30,'2.Bookinglist'!A:CT,28,FALSE)</f>
        <v>INTER FRESH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IDJKT</v>
      </c>
      <c r="J30" s="61">
        <f>VLOOKUP(D30,'2.Bookinglist'!A:CT,26,FALSE)</f>
        <v>0</v>
      </c>
      <c r="K30" s="61" t="str">
        <f>VLOOKUP(A30,'1.Loading'!A:R,5,FALSE)</f>
        <v>45RE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>RF</v>
      </c>
      <c r="O30" s="61" t="str">
        <f>VLOOKUP(A30,'1.Loading'!A:R,3,FALSE)</f>
        <v>NSSJ</v>
      </c>
      <c r="P30" s="61" t="str">
        <f>VLOOKUP(A30,'1.Loading'!A:R,4,FALSE)</f>
        <v>2608S</v>
      </c>
      <c r="Q30" s="61" t="str">
        <f>VLOOKUP(D30,'2.Bookinglist'!A:CT,12,FALSE)</f>
        <v>ANX</v>
      </c>
      <c r="R30" s="60" t="str">
        <f>IF(LEFT(K30,2)="22","20'","40'")</f>
        <v>40'</v>
      </c>
      <c r="S30" s="185" t="n"/>
      <c r="T30" s="61" t="str">
        <f>VLOOKUP(A30,'1.Loading'!A:R,2,FALSE)</f>
        <v>2026-10-30</v>
      </c>
      <c r="U30" s="63">
        <f>T30-S30</f>
        <v>46325</v>
      </c>
      <c r="V30" s="186" t="n"/>
      <c r="W30" s="61" t="str">
        <f>VLOOKUP(A30,'3.GateMove'!A:D,4,FALSE)</f>
        <v>2026-10-26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3</v>
      </c>
      <c r="AE30" s="63">
        <f>(T30-V30)+1</f>
        <v>46326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Pattarapong Saengthong</v>
      </c>
      <c r="AL30" s="60" t="str">
        <f>VLOOKUP(D30,'2.Bookinglist'!A:CW,101,FALSE)</f>
        <v>2026-10-20</v>
      </c>
      <c r="AM30" s="60" t="str">
        <f>VLOOKUP(D30,'2.Bookinglist'!A:BK,63,FALSE)</f>
        <v>LCH27</v>
      </c>
      <c r="AN30" s="62" t="str">
        <f>VLOOKUP(D30,'2.Bookinglist'!A:AZ,52,FALSE)</f>
        <v>Pickup : 2026-10-12, Return : 2026-10-19  (Temp +2.0 / Vent 30% Open) 
Closing Time 2026-10-18 @ 23.59</v>
      </c>
      <c r="AO30" s="62">
        <f>VLOOKUP(D30,'2.Bookinglist'!A:CY,103,FALSE)</f>
        <v>0</v>
      </c>
    </row>
    <row r="31" ht="12.95" customHeight="1">
      <c r="A31" s="96" t="inlineStr">
        <is>
          <t>SKRU9500227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HASLS22261000238</v>
      </c>
      <c r="E31" s="62" t="str">
        <f>VLOOKUP(D31,'2.Bookinglist'!A:CT,27,FALSE)</f>
        <v>BE 1ST ALLIANCE CO., LTD.</v>
      </c>
      <c r="F31" s="62" t="str">
        <f>VLOOKUP(D31,'2.Bookinglist'!A:CT,28,FALSE)</f>
        <v>SUCCESS IMPORT &amp; EXPORT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IDJKT</v>
      </c>
      <c r="J31" s="61">
        <f>VLOOKUP(D31,'2.Bookinglist'!A:CT,26,FALSE)</f>
        <v>0</v>
      </c>
      <c r="K31" s="61" t="str">
        <f>VLOOKUP(A31,'1.Loading'!A:R,5,FALSE)</f>
        <v>45RE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>RF</v>
      </c>
      <c r="O31" s="61" t="str">
        <f>VLOOKUP(A31,'1.Loading'!A:R,3,FALSE)</f>
        <v>NSSJ</v>
      </c>
      <c r="P31" s="61" t="str">
        <f>VLOOKUP(A31,'1.Loading'!A:R,4,FALSE)</f>
        <v>2608S</v>
      </c>
      <c r="Q31" s="61" t="str">
        <f>VLOOKUP(D31,'2.Bookinglist'!A:CT,12,FALSE)</f>
        <v>ANX</v>
      </c>
      <c r="R31" s="60" t="str">
        <f>IF(LEFT(K31,2)="22","20'","40'")</f>
        <v>40'</v>
      </c>
      <c r="S31" s="185" t="n"/>
      <c r="T31" s="61" t="str">
        <f>VLOOKUP(A31,'1.Loading'!A:R,2,FALSE)</f>
        <v>2026-10-30</v>
      </c>
      <c r="U31" s="63">
        <f>T31-S31</f>
        <v>46325</v>
      </c>
      <c r="V31" s="186" t="n"/>
      <c r="W31" s="61" t="str">
        <f>VLOOKUP(A31,'3.GateMove'!A:D,4,FALSE)</f>
        <v>2026-10-27</v>
      </c>
      <c r="X31" s="63">
        <f>((T31-W31)+1)</f>
        <v>4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3</v>
      </c>
      <c r="AE31" s="63">
        <f>(T31-V31)+1</f>
        <v>46326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Arunphat W. (Aiw)</v>
      </c>
      <c r="AL31" s="60" t="str">
        <f>VLOOKUP(D31,'2.Bookinglist'!A:CW,101,FALSE)</f>
        <v>2026-10-23</v>
      </c>
      <c r="AM31" s="60" t="str">
        <f>VLOOKUP(D31,'2.Bookinglist'!A:BK,63,FALSE)</f>
        <v>BKK27</v>
      </c>
      <c r="AN31" s="62" t="str">
        <f>VLOOKUP(D31,'2.Bookinglist'!A:AZ,52,FALSE)</f>
        <v>Pickup : 2026-10-24, Return : 2026-10-27  (Temp +2.0 / Vent 15% Open) 
Closing Time 2026-10-27 @23.59</v>
      </c>
      <c r="AO31" s="62">
        <f>VLOOKUP(D31,'2.Bookinglist'!A:CY,103,FALSE)</f>
        <v>0</v>
      </c>
    </row>
    <row r="32" ht="12.95" customHeight="1">
      <c r="A32" s="96" t="inlineStr">
        <is>
          <t>SKRU9501630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HASLS22260902290</v>
      </c>
      <c r="E32" s="62" t="str">
        <f>VLOOKUP(D32,'2.Bookinglist'!A:CT,27,FALSE)</f>
        <v>INTER FRESH CO., LTD.</v>
      </c>
      <c r="F32" s="62" t="str">
        <f>VLOOKUP(D32,'2.Bookinglist'!A:CT,28,FALSE)</f>
        <v>INTER FRESH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IDJKT</v>
      </c>
      <c r="J32" s="61">
        <f>VLOOKUP(D32,'2.Bookinglist'!A:CT,26,FALSE)</f>
        <v>0</v>
      </c>
      <c r="K32" s="61" t="str">
        <f>VLOOKUP(A32,'1.Loading'!A:R,5,FALSE)</f>
        <v>45RE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>RF</v>
      </c>
      <c r="O32" s="61" t="str">
        <f>VLOOKUP(A32,'1.Loading'!A:R,3,FALSE)</f>
        <v>NSSJ</v>
      </c>
      <c r="P32" s="61" t="str">
        <f>VLOOKUP(A32,'1.Loading'!A:R,4,FALSE)</f>
        <v>2608S</v>
      </c>
      <c r="Q32" s="61" t="str">
        <f>VLOOKUP(D32,'2.Bookinglist'!A:CT,12,FALSE)</f>
        <v>ANX</v>
      </c>
      <c r="R32" s="60" t="str">
        <f>IF(LEFT(K32,2)="22","20'","40'")</f>
        <v>40'</v>
      </c>
      <c r="S32" s="185" t="n"/>
      <c r="T32" s="61" t="str">
        <f>VLOOKUP(A32,'1.Loading'!A:R,2,FALSE)</f>
        <v>2026-10-30</v>
      </c>
      <c r="U32" s="63">
        <f>T32-S32</f>
        <v>46325</v>
      </c>
      <c r="V32" s="186" t="n"/>
      <c r="W32" s="61" t="str">
        <f>VLOOKUP(A32,'3.GateMove'!A:D,4,FALSE)</f>
        <v>2026-10-26</v>
      </c>
      <c r="X32" s="63">
        <f>((T32-W32)+1)</f>
        <v>5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3</v>
      </c>
      <c r="AE32" s="63">
        <f>(T32-V32)+1</f>
        <v>46326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Pattarapong Saengthong</v>
      </c>
      <c r="AL32" s="60" t="str">
        <f>VLOOKUP(D32,'2.Bookinglist'!A:CW,101,FALSE)</f>
        <v>2026-10-20</v>
      </c>
      <c r="AM32" s="60" t="str">
        <f>VLOOKUP(D32,'2.Bookinglist'!A:BK,63,FALSE)</f>
        <v>LCH27</v>
      </c>
      <c r="AN32" s="62" t="str">
        <f>VLOOKUP(D32,'2.Bookinglist'!A:AZ,52,FALSE)</f>
        <v>Pickup : 2026-10-12, Return : 2026-10-19 (Temp +2.0 / Vent 30% Open) 
Closing Time 2026-10-18 @ 23.59</v>
      </c>
      <c r="AO32" s="62">
        <f>VLOOKUP(D32,'2.Bookinglist'!A:CY,103,FALSE)</f>
        <v>0</v>
      </c>
    </row>
    <row r="33" ht="12.95" customHeight="1">
      <c r="A33" s="96" t="inlineStr">
        <is>
          <t>TCKU3818650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HASLS22261000354</v>
      </c>
      <c r="E33" s="62" t="str">
        <f>VLOOKUP(D33,'2.Bookinglist'!A:CT,27,FALSE)</f>
        <v>Q-LOG THAI CO., LTD.</v>
      </c>
      <c r="F33" s="62" t="str">
        <f>VLOOKUP(D33,'2.Bookinglist'!A:CT,28,FALSE)</f>
        <v>THAI METAL ALUMINIUM CO., 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IDJKT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NSSJ</v>
      </c>
      <c r="P33" s="61" t="str">
        <f>VLOOKUP(A33,'1.Loading'!A:R,4,FALSE)</f>
        <v>2608S</v>
      </c>
      <c r="Q33" s="61" t="str">
        <f>VLOOKUP(D33,'2.Bookinglist'!A:CT,12,FALSE)</f>
        <v>ANX</v>
      </c>
      <c r="R33" s="60" t="str">
        <f>IF(LEFT(K33,2)="22","20'","40'")</f>
        <v>20'</v>
      </c>
      <c r="S33" s="185" t="n"/>
      <c r="T33" s="61" t="str">
        <f>VLOOKUP(A33,'1.Loading'!A:R,2,FALSE)</f>
        <v>2026-10-30</v>
      </c>
      <c r="U33" s="63">
        <f>T33-S33</f>
        <v>46325</v>
      </c>
      <c r="V33" s="186" t="n"/>
      <c r="W33" s="61" t="str">
        <f>VLOOKUP(A33,'3.GateMove'!A:D,4,FALSE)</f>
        <v>2026-10-22</v>
      </c>
      <c r="X33" s="63">
        <f>((T33-W33)+1)</f>
        <v>9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250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46326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250</v>
      </c>
      <c r="AJ33" s="188" t="n"/>
      <c r="AK33" s="62" t="str">
        <f>VLOOKUP(D33,'2.Bookinglist'!A:CT,40,FALSE)</f>
        <v>Arunphat W. (Aiw)</v>
      </c>
      <c r="AL33" s="60" t="str">
        <f>VLOOKUP(D33,'2.Bookinglist'!A:CW,101,FALSE)</f>
        <v>2026-10-23</v>
      </c>
      <c r="AM33" s="60" t="str">
        <f>VLOOKUP(D33,'2.Bookinglist'!A:BK,63,FALSE)</f>
        <v>LCH27</v>
      </c>
      <c r="AN33" s="62" t="str">
        <f>VLOOKUP(D33,'2.Bookinglist'!A:AZ,52,FALSE)</f>
        <v>Pickup : 2026-10-21, Return : 2026-10-22</v>
      </c>
      <c r="AO33" s="62">
        <f>VLOOKUP(D33,'2.Bookinglist'!A:CY,103,FALSE)</f>
        <v>0</v>
      </c>
    </row>
    <row r="34" ht="12.95" customHeight="1">
      <c r="A34" s="96" t="inlineStr">
        <is>
          <t>TCNU4935358</t>
        </is>
      </c>
      <c r="B34" s="184" t="str">
        <f>IF(C34=Charge!$M$1,Charge!$J$1,IF(C34=Charge!$M$23,Charge!$J$23,IF(C34=Charge!$M$17,Charge!$J$17,IF(C34=Charge!$N$17,Charge!$J$17,Charge!$J$7))))</f>
        <v>G1</v>
      </c>
      <c r="C34" s="61" t="str">
        <f>VLOOKUP(A34,'1.Loading'!A:R,14,FALSE)</f>
        <v>LCH04</v>
      </c>
      <c r="D34" s="61" t="str">
        <f>VLOOKUP(A34,'1.Loading'!A:R,17,FALSE)</f>
        <v>HASLS22261000841</v>
      </c>
      <c r="E34" s="62" t="str">
        <f>VLOOKUP(D34,'2.Bookinglist'!A:CT,27,FALSE)</f>
        <v>ASIA ATLANTIC LINENER COMPANY LIMITED.</v>
      </c>
      <c r="F34" s="62" t="str">
        <f>VLOOKUP(D34,'2.Bookinglist'!A:CT,28,FALSE)</f>
        <v>TOYOTA TSUSHO (THAILAND)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IDJKT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NSSJ</v>
      </c>
      <c r="P34" s="61" t="str">
        <f>VLOOKUP(A34,'1.Loading'!A:R,4,FALSE)</f>
        <v>2608S</v>
      </c>
      <c r="Q34" s="61" t="str">
        <f>VLOOKUP(D34,'2.Bookinglist'!A:CT,12,FALSE)</f>
        <v>ANX</v>
      </c>
      <c r="R34" s="60" t="str">
        <f>IF(LEFT(K34,2)="22","20'","40'")</f>
        <v>40'</v>
      </c>
      <c r="S34" s="185" t="n"/>
      <c r="T34" s="61" t="str">
        <f>VLOOKUP(A34,'1.Loading'!A:R,2,FALSE)</f>
        <v>2026-10-30</v>
      </c>
      <c r="U34" s="63">
        <f>T34-S34</f>
        <v>46325</v>
      </c>
      <c r="V34" s="186" t="n"/>
      <c r="W34" s="61" t="str">
        <f>VLOOKUP(A34,'3.GateMove'!A:D,4,FALSE)</f>
        <v>2026-10-22</v>
      </c>
      <c r="X34" s="63">
        <f>((T34-W34)+1)</f>
        <v>9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500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46326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500</v>
      </c>
      <c r="AJ34" s="188" t="n"/>
      <c r="AK34" s="62" t="str">
        <f>VLOOKUP(D34,'2.Bookinglist'!A:CT,40,FALSE)</f>
        <v>Nannaapust Sukporntaweewat</v>
      </c>
      <c r="AL34" s="60" t="str">
        <f>VLOOKUP(D34,'2.Bookinglist'!A:CW,101,FALSE)</f>
        <v>2026-10-28</v>
      </c>
      <c r="AM34" s="60" t="str">
        <f>VLOOKUP(D34,'2.Bookinglist'!A:BK,63,FALSE)</f>
        <v>LCHY5</v>
      </c>
      <c r="AN34" s="62" t="str">
        <f>VLOOKUP(D34,'2.Bookinglist'!A:AZ,52,FALSE)</f>
        <v>Pickup : 2026-10-19, Return : 2026-10-23</v>
      </c>
      <c r="AO34" s="62">
        <f>VLOOKUP(D34,'2.Bookinglist'!A:CY,103,FALSE)</f>
        <v>0</v>
      </c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2026-10-30T02:25:04Z</dcterms:modified>
  <cp:lastModifiedBy>office4</cp:lastModifiedBy>
  <cp:lastPrinted>2019-11-19T03:03:39Z</cp:lastPrinted>
</cp:coreProperties>
</file>