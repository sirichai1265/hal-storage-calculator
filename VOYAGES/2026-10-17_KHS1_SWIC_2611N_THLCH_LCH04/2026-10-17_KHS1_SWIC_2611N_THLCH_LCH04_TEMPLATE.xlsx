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96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BEAU2859749</t>
        </is>
      </c>
      <c r="B2" s="161" t="inlineStr">
        <is>
          <t>2026-10-17</t>
        </is>
      </c>
      <c r="C2" s="96" t="inlineStr">
        <is>
          <t>SWIC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HASLS22260902818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KHS</t>
        </is>
      </c>
      <c r="U2" s="97" t="n"/>
      <c r="V2" s="96" t="inlineStr">
        <is>
          <t>TSN16L10</t>
        </is>
      </c>
      <c r="W2" s="96" t="inlineStr">
        <is>
          <t>PTT GLOBAL CHEMICAL PUBLIC COMPANY</t>
        </is>
      </c>
      <c r="X2" s="96" t="inlineStr">
        <is>
          <t>VED</t>
        </is>
      </c>
      <c r="Y2" s="96" t="inlineStr">
        <is>
          <t>TO ORDER OF VIETINBANK,</t>
        </is>
      </c>
      <c r="Z2" s="96" t="inlineStr">
        <is>
          <t>CONG TY TNHH VIET AN PHA</t>
        </is>
      </c>
      <c r="AA2" s="97" t="n">
        <v>18072</v>
      </c>
      <c r="AB2" s="96" t="inlineStr">
        <is>
          <t>LCH04</t>
        </is>
      </c>
      <c r="AC2" s="96" t="inlineStr">
        <is>
          <t>SGN03</t>
        </is>
      </c>
    </row>
    <row r="3" ht="12" customHeight="1">
      <c r="A3" s="96" t="inlineStr">
        <is>
          <t>CRXU7661973</t>
        </is>
      </c>
      <c r="B3" s="161" t="inlineStr">
        <is>
          <t>2026-10-17</t>
        </is>
      </c>
      <c r="C3" s="96" t="inlineStr">
        <is>
          <t>SWIC</t>
        </is>
      </c>
      <c r="D3" s="96" t="inlineStr">
        <is>
          <t>2611N</t>
        </is>
      </c>
      <c r="E3" s="96" t="inlineStr">
        <is>
          <t>42PC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HASLS22260901359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KHS</t>
        </is>
      </c>
      <c r="U3" s="97" t="n"/>
      <c r="V3" s="96" t="inlineStr">
        <is>
          <t>K0120029</t>
        </is>
      </c>
      <c r="W3" s="96" t="inlineStr">
        <is>
          <t>LOTUS FREIGHT AND SERVICES CORP.,</t>
        </is>
      </c>
      <c r="X3" s="96" t="inlineStr">
        <is>
          <t>ONL</t>
        </is>
      </c>
      <c r="Y3" s="96" t="inlineStr">
        <is>
          <t>TP GLOBAL LOGISTICS</t>
        </is>
      </c>
      <c r="Z3" s="96" t="inlineStr">
        <is>
          <t>TP GLOBAL LOGISTICS</t>
        </is>
      </c>
      <c r="AA3" s="97" t="n">
        <v>16190</v>
      </c>
      <c r="AB3" s="96" t="inlineStr">
        <is>
          <t>LCH04</t>
        </is>
      </c>
      <c r="AC3" s="96" t="inlineStr">
        <is>
          <t>SGN03</t>
        </is>
      </c>
    </row>
    <row r="4" ht="12" customHeight="1">
      <c r="A4" s="96" t="inlineStr">
        <is>
          <t>DFSU3097259</t>
        </is>
      </c>
      <c r="B4" s="161" t="inlineStr">
        <is>
          <t>2026-10-17</t>
        </is>
      </c>
      <c r="C4" s="96" t="inlineStr">
        <is>
          <t>SWIC</t>
        </is>
      </c>
      <c r="D4" s="96" t="inlineStr">
        <is>
          <t>2611N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KRPUS</t>
        </is>
      </c>
      <c r="J4" s="96" t="inlineStr">
        <is>
          <t>JPKIJ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HASLS22260902390</t>
        </is>
      </c>
      <c r="R4" s="96" t="inlineStr">
        <is>
          <t>Y</t>
        </is>
      </c>
      <c r="S4" s="96" t="inlineStr">
        <is>
          <t>N</t>
        </is>
      </c>
      <c r="T4" s="96" t="inlineStr">
        <is>
          <t>KHS</t>
        </is>
      </c>
      <c r="U4" s="97" t="n"/>
      <c r="V4" s="96" t="inlineStr">
        <is>
          <t>K0120021</t>
        </is>
      </c>
      <c r="W4" s="96" t="inlineStr">
        <is>
          <t>IRPC PUBLIC COMPANY LIMITED.</t>
        </is>
      </c>
      <c r="X4" s="96" t="inlineStr">
        <is>
          <t>VED</t>
        </is>
      </c>
      <c r="Y4" s="96" t="inlineStr">
        <is>
          <t>TO ORDER OF SHIPPER</t>
        </is>
      </c>
      <c r="Z4" s="96" t="inlineStr">
        <is>
          <t>MITSUWA CO., LTD</t>
        </is>
      </c>
      <c r="AA4" s="97" t="n">
        <v>17340</v>
      </c>
      <c r="AB4" s="96" t="inlineStr">
        <is>
          <t>LCH04</t>
        </is>
      </c>
      <c r="AC4" s="96" t="inlineStr">
        <is>
          <t>KIJ01</t>
        </is>
      </c>
    </row>
    <row r="5" ht="12" customHeight="1">
      <c r="A5" s="96" t="inlineStr">
        <is>
          <t>FBIU0005438</t>
        </is>
      </c>
      <c r="B5" s="161" t="inlineStr">
        <is>
          <t>2026-10-17</t>
        </is>
      </c>
      <c r="C5" s="96" t="inlineStr">
        <is>
          <t>SWIC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HASLS22260902818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KHS</t>
        </is>
      </c>
      <c r="U5" s="97" t="n"/>
      <c r="V5" s="96" t="inlineStr">
        <is>
          <t>K0120021</t>
        </is>
      </c>
      <c r="W5" s="96" t="inlineStr">
        <is>
          <t>PTT GLOBAL CHEMICAL PUBLIC COMPANY</t>
        </is>
      </c>
      <c r="X5" s="96" t="inlineStr">
        <is>
          <t>VED</t>
        </is>
      </c>
      <c r="Y5" s="96" t="inlineStr">
        <is>
          <t>TO ORDER OF VIETINBANK,</t>
        </is>
      </c>
      <c r="Z5" s="96" t="inlineStr">
        <is>
          <t>CONG TY TNHH VIET AN PHA</t>
        </is>
      </c>
      <c r="AA5" s="97" t="n">
        <v>18072</v>
      </c>
      <c r="AB5" s="96" t="inlineStr">
        <is>
          <t>LCH04</t>
        </is>
      </c>
      <c r="AC5" s="96" t="inlineStr">
        <is>
          <t>SGN03</t>
        </is>
      </c>
    </row>
    <row r="6" ht="12" customHeight="1">
      <c r="A6" s="96" t="inlineStr">
        <is>
          <t>FBIU5372570</t>
        </is>
      </c>
      <c r="B6" s="161" t="inlineStr">
        <is>
          <t>2026-10-17</t>
        </is>
      </c>
      <c r="C6" s="96" t="inlineStr">
        <is>
          <t>SWIC</t>
        </is>
      </c>
      <c r="D6" s="96" t="inlineStr">
        <is>
          <t>2611N</t>
        </is>
      </c>
      <c r="E6" s="96" t="inlineStr">
        <is>
          <t>45RE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HASLS22260902790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KHS</t>
        </is>
      </c>
      <c r="U6" s="97" t="n"/>
      <c r="V6" s="96" t="inlineStr">
        <is>
          <t>K0120025</t>
        </is>
      </c>
      <c r="W6" s="96" t="inlineStr">
        <is>
          <t>GOLDEN SEA FROZEN FOODS CO.,LTD.</t>
        </is>
      </c>
      <c r="X6" s="96" t="inlineStr">
        <is>
          <t>VFD</t>
        </is>
      </c>
      <c r="Y6" s="96" t="inlineStr">
        <is>
          <t>HUY HOANG SEAFOOD BUSINESS</t>
        </is>
      </c>
      <c r="Z6" s="96" t="inlineStr">
        <is>
          <t>HUY HOANG SEAFOOD BUSINESS</t>
        </is>
      </c>
      <c r="AA6" s="97" t="n">
        <v>28771.2</v>
      </c>
      <c r="AB6" s="96" t="inlineStr">
        <is>
          <t>LCH04</t>
        </is>
      </c>
      <c r="AC6" s="96" t="inlineStr">
        <is>
          <t>SGN03</t>
        </is>
      </c>
    </row>
    <row r="7" ht="12" customHeight="1">
      <c r="A7" s="96" t="inlineStr">
        <is>
          <t>FBIU5372863</t>
        </is>
      </c>
      <c r="B7" s="161" t="inlineStr">
        <is>
          <t>2026-10-17</t>
        </is>
      </c>
      <c r="C7" s="96" t="inlineStr">
        <is>
          <t>SWIC</t>
        </is>
      </c>
      <c r="D7" s="96" t="inlineStr">
        <is>
          <t>2611N</t>
        </is>
      </c>
      <c r="E7" s="96" t="inlineStr">
        <is>
          <t>45RE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HASLS22260902805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KHS</t>
        </is>
      </c>
      <c r="U7" s="97" t="n"/>
      <c r="V7" s="96" t="inlineStr">
        <is>
          <t>K0120025</t>
        </is>
      </c>
      <c r="W7" s="96" t="inlineStr">
        <is>
          <t>GOLDEN SEA FROZEN FOODS CO.,LTD.</t>
        </is>
      </c>
      <c r="X7" s="96" t="inlineStr">
        <is>
          <t>VFD</t>
        </is>
      </c>
      <c r="Y7" s="96" t="inlineStr">
        <is>
          <t>HUY HOANG SEAFOOD BUSINESS</t>
        </is>
      </c>
      <c r="Z7" s="96" t="inlineStr">
        <is>
          <t>HUY HOANG SEAFOOD BUSINESS</t>
        </is>
      </c>
      <c r="AA7" s="97" t="n">
        <v>28782</v>
      </c>
      <c r="AB7" s="96" t="inlineStr">
        <is>
          <t>LCH04</t>
        </is>
      </c>
      <c r="AC7" s="96" t="inlineStr">
        <is>
          <t>SGN03</t>
        </is>
      </c>
    </row>
    <row r="8" ht="12" customHeight="1">
      <c r="A8" s="96" t="inlineStr">
        <is>
          <t>FSCU5867837</t>
        </is>
      </c>
      <c r="B8" s="161" t="inlineStr">
        <is>
          <t>2026-10-17</t>
        </is>
      </c>
      <c r="C8" s="96" t="inlineStr">
        <is>
          <t>SWIC</t>
        </is>
      </c>
      <c r="D8" s="96" t="inlineStr">
        <is>
          <t>2611N</t>
        </is>
      </c>
      <c r="E8" s="96" t="inlineStr">
        <is>
          <t>45RE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L/T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HASLS22261000262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KHS</t>
        </is>
      </c>
      <c r="U8" s="97" t="n"/>
      <c r="V8" s="96" t="inlineStr">
        <is>
          <t>C0320009</t>
        </is>
      </c>
      <c r="W8" s="96" t="inlineStr">
        <is>
          <t>GOLDEN SEA FROZEN FOODS CO.,LTD.</t>
        </is>
      </c>
      <c r="X8" s="96" t="inlineStr">
        <is>
          <t>VFD</t>
        </is>
      </c>
      <c r="Y8" s="96" t="inlineStr">
        <is>
          <t>LY MA TRADING SERVICE CO., LTD</t>
        </is>
      </c>
      <c r="Z8" s="96" t="inlineStr">
        <is>
          <t>LY MA TRADING SERVICE CO., LTD</t>
        </is>
      </c>
      <c r="AA8" s="97" t="n">
        <v>28119</v>
      </c>
      <c r="AB8" s="96" t="inlineStr">
        <is>
          <t>LCH04</t>
        </is>
      </c>
      <c r="AC8" s="96" t="inlineStr">
        <is>
          <t>SGN03</t>
        </is>
      </c>
    </row>
    <row r="9" ht="12" customHeight="1">
      <c r="A9" s="96" t="inlineStr">
        <is>
          <t>FSCU5868345</t>
        </is>
      </c>
      <c r="B9" s="161" t="inlineStr">
        <is>
          <t>2026-10-17</t>
        </is>
      </c>
      <c r="C9" s="96" t="inlineStr">
        <is>
          <t>SWIC</t>
        </is>
      </c>
      <c r="D9" s="96" t="inlineStr">
        <is>
          <t>2611N</t>
        </is>
      </c>
      <c r="E9" s="96" t="inlineStr">
        <is>
          <t>45RE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L/T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HASLS22261000260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KHS</t>
        </is>
      </c>
      <c r="U9" s="97" t="n"/>
      <c r="V9" s="96" t="inlineStr">
        <is>
          <t>C0320009</t>
        </is>
      </c>
      <c r="W9" s="96" t="inlineStr">
        <is>
          <t>GOLDEN SEA FROZEN FOODS CO.,LTD.</t>
        </is>
      </c>
      <c r="X9" s="96" t="inlineStr">
        <is>
          <t>VFD</t>
        </is>
      </c>
      <c r="Y9" s="96" t="inlineStr">
        <is>
          <t>H&amp;N SEAFOOD IMPORT &amp; EXPORT</t>
        </is>
      </c>
      <c r="Z9" s="96" t="inlineStr">
        <is>
          <t>H&amp;N SEAFOOD IMPORT &amp; EXPORT</t>
        </is>
      </c>
      <c r="AA9" s="97" t="n">
        <v>28620</v>
      </c>
      <c r="AB9" s="96" t="inlineStr">
        <is>
          <t>LCH04</t>
        </is>
      </c>
      <c r="AC9" s="96" t="inlineStr">
        <is>
          <t>SGN03</t>
        </is>
      </c>
    </row>
    <row r="10" ht="12" customHeight="1">
      <c r="A10" s="96" t="inlineStr">
        <is>
          <t>FSCU5891366</t>
        </is>
      </c>
      <c r="B10" s="161" t="inlineStr">
        <is>
          <t>2026-10-17</t>
        </is>
      </c>
      <c r="C10" s="96" t="inlineStr">
        <is>
          <t>SWIC</t>
        </is>
      </c>
      <c r="D10" s="96" t="inlineStr">
        <is>
          <t>2611N</t>
        </is>
      </c>
      <c r="E10" s="96" t="inlineStr">
        <is>
          <t>45RE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HASLS22260902808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KHS</t>
        </is>
      </c>
      <c r="U10" s="97" t="n"/>
      <c r="V10" s="96" t="inlineStr">
        <is>
          <t>K0120025</t>
        </is>
      </c>
      <c r="W10" s="96" t="inlineStr">
        <is>
          <t>GOLDEN SEA FROZEN FOODS CO.,LTD.</t>
        </is>
      </c>
      <c r="X10" s="96" t="inlineStr">
        <is>
          <t>VFD</t>
        </is>
      </c>
      <c r="Y10" s="96" t="inlineStr">
        <is>
          <t>MK TRADING COMPANY LIMITED</t>
        </is>
      </c>
      <c r="Z10" s="96" t="inlineStr">
        <is>
          <t>MK TRADING COMPANY LIMITED</t>
        </is>
      </c>
      <c r="AA10" s="97" t="n">
        <v>28974.4</v>
      </c>
      <c r="AB10" s="96" t="inlineStr">
        <is>
          <t>LCH04</t>
        </is>
      </c>
      <c r="AC10" s="96" t="inlineStr">
        <is>
          <t>SGN03</t>
        </is>
      </c>
    </row>
    <row r="11" ht="12" customHeight="1">
      <c r="A11" s="96" t="inlineStr">
        <is>
          <t>FSCU5892125</t>
        </is>
      </c>
      <c r="B11" s="161" t="inlineStr">
        <is>
          <t>2026-10-17</t>
        </is>
      </c>
      <c r="C11" s="96" t="inlineStr">
        <is>
          <t>SWIC</t>
        </is>
      </c>
      <c r="D11" s="96" t="inlineStr">
        <is>
          <t>2611N</t>
        </is>
      </c>
      <c r="E11" s="96" t="inlineStr">
        <is>
          <t>45RE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HASLS22261000530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KHS</t>
        </is>
      </c>
      <c r="U11" s="97" t="n"/>
      <c r="V11" s="96" t="inlineStr">
        <is>
          <t>K0120025</t>
        </is>
      </c>
      <c r="W11" s="96" t="inlineStr">
        <is>
          <t>GOLDEN SEA FROZEN FOODS CO.,LTD.</t>
        </is>
      </c>
      <c r="X11" s="96" t="inlineStr">
        <is>
          <t>VFD</t>
        </is>
      </c>
      <c r="Y11" s="96" t="inlineStr">
        <is>
          <t>LY MA TRADING SERVICE CO., LTD</t>
        </is>
      </c>
      <c r="Z11" s="96" t="inlineStr">
        <is>
          <t>LY MA TRADING SERVICE CO., LTD</t>
        </is>
      </c>
      <c r="AA11" s="97" t="n">
        <v>27972</v>
      </c>
      <c r="AB11" s="96" t="inlineStr">
        <is>
          <t>LCH04</t>
        </is>
      </c>
      <c r="AC11" s="96" t="inlineStr">
        <is>
          <t>SGN03</t>
        </is>
      </c>
    </row>
    <row r="12" ht="12" customHeight="1">
      <c r="A12" s="96" t="inlineStr">
        <is>
          <t>FSCU5892974</t>
        </is>
      </c>
      <c r="B12" s="161" t="inlineStr">
        <is>
          <t>2026-10-17</t>
        </is>
      </c>
      <c r="C12" s="96" t="inlineStr">
        <is>
          <t>SWIC</t>
        </is>
      </c>
      <c r="D12" s="96" t="inlineStr">
        <is>
          <t>2611N</t>
        </is>
      </c>
      <c r="E12" s="96" t="inlineStr">
        <is>
          <t>45RE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L/T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HASLS22260902808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KHS</t>
        </is>
      </c>
      <c r="U12" s="97" t="n"/>
      <c r="V12" s="96" t="inlineStr">
        <is>
          <t>C0320021</t>
        </is>
      </c>
      <c r="W12" s="96" t="inlineStr">
        <is>
          <t>GOLDEN SEA FROZEN FOODS CO.,LTD.</t>
        </is>
      </c>
      <c r="X12" s="96" t="inlineStr">
        <is>
          <t>VFD</t>
        </is>
      </c>
      <c r="Y12" s="96" t="inlineStr">
        <is>
          <t>MK TRADING COMPANY LIMITED</t>
        </is>
      </c>
      <c r="Z12" s="96" t="inlineStr">
        <is>
          <t>MK TRADING COMPANY LIMITED</t>
        </is>
      </c>
      <c r="AA12" s="97" t="n">
        <v>28974.4</v>
      </c>
      <c r="AB12" s="96" t="inlineStr">
        <is>
          <t>LCH04</t>
        </is>
      </c>
      <c r="AC12" s="96" t="inlineStr">
        <is>
          <t>SGN03</t>
        </is>
      </c>
    </row>
    <row r="13" ht="12" customHeight="1">
      <c r="A13" s="96" t="inlineStr">
        <is>
          <t>FSCU5896814</t>
        </is>
      </c>
      <c r="B13" s="161" t="inlineStr">
        <is>
          <t>2026-10-17</t>
        </is>
      </c>
      <c r="C13" s="96" t="inlineStr">
        <is>
          <t>SWIC</t>
        </is>
      </c>
      <c r="D13" s="96" t="inlineStr">
        <is>
          <t>2611N</t>
        </is>
      </c>
      <c r="E13" s="96" t="inlineStr">
        <is>
          <t>45RE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L/T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HASLS22260902810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KHS</t>
        </is>
      </c>
      <c r="U13" s="97" t="n"/>
      <c r="V13" s="96" t="inlineStr">
        <is>
          <t>C0320021</t>
        </is>
      </c>
      <c r="W13" s="96" t="inlineStr">
        <is>
          <t>GOLDEN SEA FROZEN FOODS CO.,LTD.</t>
        </is>
      </c>
      <c r="X13" s="96" t="inlineStr">
        <is>
          <t>VFD</t>
        </is>
      </c>
      <c r="Y13" s="96" t="inlineStr">
        <is>
          <t>KHOI MINH FORWARDING SERVICES</t>
        </is>
      </c>
      <c r="Z13" s="96" t="inlineStr">
        <is>
          <t>KHOI MINH FORWARDING SERVICES</t>
        </is>
      </c>
      <c r="AA13" s="97" t="n">
        <v>28974.4</v>
      </c>
      <c r="AB13" s="96" t="inlineStr">
        <is>
          <t>LCH04</t>
        </is>
      </c>
      <c r="AC13" s="96" t="inlineStr">
        <is>
          <t>SGN03</t>
        </is>
      </c>
    </row>
    <row r="14" ht="12" customHeight="1">
      <c r="A14" s="96" t="inlineStr">
        <is>
          <t>GCXU5995723</t>
        </is>
      </c>
      <c r="B14" s="161" t="inlineStr">
        <is>
          <t>2026-10-17</t>
        </is>
      </c>
      <c r="C14" s="96" t="inlineStr">
        <is>
          <t>SWIC</t>
        </is>
      </c>
      <c r="D14" s="96" t="inlineStr">
        <is>
          <t>2611N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KRPUS</t>
        </is>
      </c>
      <c r="J14" s="96" t="inlineStr">
        <is>
          <t>JPKIJ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HASLS22260901519</t>
        </is>
      </c>
      <c r="R14" s="96" t="inlineStr">
        <is>
          <t>Y</t>
        </is>
      </c>
      <c r="S14" s="96" t="inlineStr">
        <is>
          <t>N</t>
        </is>
      </c>
      <c r="T14" s="96" t="inlineStr">
        <is>
          <t>KHS</t>
        </is>
      </c>
      <c r="U14" s="97" t="n"/>
      <c r="V14" s="96" t="inlineStr">
        <is>
          <t>K0120023</t>
        </is>
      </c>
      <c r="W14" s="96" t="inlineStr">
        <is>
          <t>PTT GLOBAL CHEMICAL PUBLIC COMPANY</t>
        </is>
      </c>
      <c r="X14" s="96" t="inlineStr">
        <is>
          <t>ONL</t>
        </is>
      </c>
      <c r="Y14" s="96" t="inlineStr">
        <is>
          <t>INABATA &amp; CO.,LTD</t>
        </is>
      </c>
      <c r="Z14" s="96" t="inlineStr">
        <is>
          <t>INABATA &amp; CO.,LTD</t>
        </is>
      </c>
      <c r="AA14" s="97" t="n">
        <v>24240</v>
      </c>
      <c r="AB14" s="96" t="inlineStr">
        <is>
          <t>LCH04</t>
        </is>
      </c>
      <c r="AC14" s="96" t="inlineStr">
        <is>
          <t>KIJ01</t>
        </is>
      </c>
    </row>
    <row r="15" ht="12" customHeight="1">
      <c r="A15" s="96" t="inlineStr">
        <is>
          <t>GCXU6301730</t>
        </is>
      </c>
      <c r="B15" s="161" t="inlineStr">
        <is>
          <t>2026-10-17</t>
        </is>
      </c>
      <c r="C15" s="96" t="inlineStr">
        <is>
          <t>SWIC</t>
        </is>
      </c>
      <c r="D15" s="96" t="inlineStr">
        <is>
          <t>2611N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HASLS22260800970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KHS</t>
        </is>
      </c>
      <c r="U15" s="97" t="n"/>
      <c r="V15" s="96" t="inlineStr">
        <is>
          <t>K0120023</t>
        </is>
      </c>
      <c r="W15" s="96" t="inlineStr">
        <is>
          <t>PTT GLOBAL CHEMICAL PUBLIC COMPANY</t>
        </is>
      </c>
      <c r="X15" s="96" t="inlineStr">
        <is>
          <t>VED</t>
        </is>
      </c>
      <c r="Y15" s="96" t="inlineStr">
        <is>
          <t>TO ORDER OF TECHCOMBANK - CHO LON</t>
        </is>
      </c>
      <c r="Z15" s="96" t="inlineStr">
        <is>
          <t>DUC THINH AN ONE MEMBER COMPANY</t>
        </is>
      </c>
      <c r="AA15" s="97" t="n">
        <v>23092</v>
      </c>
      <c r="AB15" s="96" t="inlineStr">
        <is>
          <t>LCH04</t>
        </is>
      </c>
      <c r="AC15" s="96" t="inlineStr">
        <is>
          <t>SGN03</t>
        </is>
      </c>
    </row>
    <row r="16" ht="12" customHeight="1">
      <c r="A16" s="96" t="inlineStr">
        <is>
          <t>HALU2106707</t>
        </is>
      </c>
      <c r="B16" s="161" t="inlineStr">
        <is>
          <t>2026-10-17</t>
        </is>
      </c>
      <c r="C16" s="96" t="inlineStr">
        <is>
          <t>SWIC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HASLS22260800966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KHS</t>
        </is>
      </c>
      <c r="U16" s="97" t="n"/>
      <c r="V16" s="96" t="inlineStr">
        <is>
          <t>C0521003</t>
        </is>
      </c>
      <c r="W16" s="96" t="inlineStr">
        <is>
          <t>PTT GLOBAL CHEMICAL PUBLIC COMPANY</t>
        </is>
      </c>
      <c r="X16" s="96" t="inlineStr">
        <is>
          <t>VFD</t>
        </is>
      </c>
      <c r="Y16" s="96" t="inlineStr">
        <is>
          <t>TO ORDER OF VIETINBANK, BINH DUONG</t>
        </is>
      </c>
      <c r="Z16" s="96" t="inlineStr">
        <is>
          <t>CONG TY TNHH VIET AN PHA</t>
        </is>
      </c>
      <c r="AA16" s="97" t="n">
        <v>18072</v>
      </c>
      <c r="AB16" s="96" t="inlineStr">
        <is>
          <t>LCH04</t>
        </is>
      </c>
      <c r="AC16" s="96" t="inlineStr">
        <is>
          <t>SGN03</t>
        </is>
      </c>
    </row>
    <row r="17" ht="12" customHeight="1">
      <c r="A17" s="96" t="inlineStr">
        <is>
          <t>HALU2311888</t>
        </is>
      </c>
      <c r="B17" s="161" t="inlineStr">
        <is>
          <t>2026-10-17</t>
        </is>
      </c>
      <c r="C17" s="96" t="inlineStr">
        <is>
          <t>SWIC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KRPUS</t>
        </is>
      </c>
      <c r="J17" s="96" t="inlineStr">
        <is>
          <t>JPMOJ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HASLS22260902063</t>
        </is>
      </c>
      <c r="R17" s="96" t="inlineStr">
        <is>
          <t>Y</t>
        </is>
      </c>
      <c r="S17" s="96" t="inlineStr">
        <is>
          <t>N</t>
        </is>
      </c>
      <c r="T17" s="96" t="inlineStr">
        <is>
          <t>KHS</t>
        </is>
      </c>
      <c r="U17" s="97" t="n"/>
      <c r="V17" s="96" t="inlineStr">
        <is>
          <t>C0223001</t>
        </is>
      </c>
      <c r="W17" s="96" t="inlineStr">
        <is>
          <t>THAI POLYETHYLENE CO.,LTD.</t>
        </is>
      </c>
      <c r="X17" s="96" t="inlineStr">
        <is>
          <t>VFD</t>
        </is>
      </c>
      <c r="Y17" s="96" t="inlineStr">
        <is>
          <t>TOYOTSU CHEMIPLAS CORPORATION,</t>
        </is>
      </c>
      <c r="Z17" s="96" t="inlineStr">
        <is>
          <t>TOYOTSU CHEMIPLAS CORPORATION,</t>
        </is>
      </c>
      <c r="AA17" s="97" t="n">
        <v>15147</v>
      </c>
      <c r="AB17" s="96" t="inlineStr">
        <is>
          <t>LCH04</t>
        </is>
      </c>
      <c r="AC17" s="96" t="inlineStr">
        <is>
          <t>MOJ01</t>
        </is>
      </c>
    </row>
    <row r="18" ht="12" customHeight="1">
      <c r="A18" s="96" t="inlineStr">
        <is>
          <t>HALU2327267</t>
        </is>
      </c>
      <c r="B18" s="161" t="inlineStr">
        <is>
          <t>2026-10-17</t>
        </is>
      </c>
      <c r="C18" s="96" t="inlineStr">
        <is>
          <t>SWIC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HASLS22260800966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KHS</t>
        </is>
      </c>
      <c r="U18" s="97" t="n"/>
      <c r="V18" s="96" t="inlineStr">
        <is>
          <t>C0324001</t>
        </is>
      </c>
      <c r="W18" s="96" t="inlineStr">
        <is>
          <t>PTT GLOBAL CHEMICAL PUBLIC COMPANY</t>
        </is>
      </c>
      <c r="X18" s="96" t="inlineStr">
        <is>
          <t>VFD</t>
        </is>
      </c>
      <c r="Y18" s="96" t="inlineStr">
        <is>
          <t>TO ORDER OF VIETINBANK, BINH DUONG</t>
        </is>
      </c>
      <c r="Z18" s="96" t="inlineStr">
        <is>
          <t>CONG TY TNHH VIET AN PHA</t>
        </is>
      </c>
      <c r="AA18" s="97" t="n">
        <v>18072</v>
      </c>
      <c r="AB18" s="96" t="inlineStr">
        <is>
          <t>LCH04</t>
        </is>
      </c>
      <c r="AC18" s="96" t="inlineStr">
        <is>
          <t>SGN03</t>
        </is>
      </c>
    </row>
    <row r="19" ht="12" customHeight="1">
      <c r="A19" s="96" t="inlineStr">
        <is>
          <t>HALU2342410</t>
        </is>
      </c>
      <c r="B19" s="161" t="inlineStr">
        <is>
          <t>2026-10-17</t>
        </is>
      </c>
      <c r="C19" s="96" t="inlineStr">
        <is>
          <t>SWIC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HASLS22260800966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KHS</t>
        </is>
      </c>
      <c r="U19" s="97" t="n"/>
      <c r="V19" s="96" t="inlineStr">
        <is>
          <t>C0123011</t>
        </is>
      </c>
      <c r="W19" s="96" t="inlineStr">
        <is>
          <t>PTT GLOBAL CHEMICAL PUBLIC COMPANY</t>
        </is>
      </c>
      <c r="X19" s="96" t="inlineStr">
        <is>
          <t>VFD</t>
        </is>
      </c>
      <c r="Y19" s="96" t="inlineStr">
        <is>
          <t>TO ORDER OF VIETINBANK, BINH DUONG</t>
        </is>
      </c>
      <c r="Z19" s="96" t="inlineStr">
        <is>
          <t>CONG TY TNHH VIET AN PHA</t>
        </is>
      </c>
      <c r="AA19" s="97" t="n">
        <v>18072</v>
      </c>
      <c r="AB19" s="96" t="inlineStr">
        <is>
          <t>LCH04</t>
        </is>
      </c>
      <c r="AC19" s="96" t="inlineStr">
        <is>
          <t>SGN03</t>
        </is>
      </c>
    </row>
    <row r="20" ht="12" customHeight="1">
      <c r="A20" s="96" t="inlineStr">
        <is>
          <t>HALU2348423</t>
        </is>
      </c>
      <c r="B20" s="161" t="inlineStr">
        <is>
          <t>2026-10-17</t>
        </is>
      </c>
      <c r="C20" s="96" t="inlineStr">
        <is>
          <t>SWIC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HASLS22260902818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KHS</t>
        </is>
      </c>
      <c r="U20" s="97" t="n"/>
      <c r="V20" s="96" t="inlineStr">
        <is>
          <t>C0523002</t>
        </is>
      </c>
      <c r="W20" s="96" t="inlineStr">
        <is>
          <t>PTT GLOBAL CHEMICAL PUBLIC COMPANY</t>
        </is>
      </c>
      <c r="X20" s="96" t="inlineStr">
        <is>
          <t>VFD</t>
        </is>
      </c>
      <c r="Y20" s="96" t="inlineStr">
        <is>
          <t>TO ORDER OF VIETINBANK,</t>
        </is>
      </c>
      <c r="Z20" s="96" t="inlineStr">
        <is>
          <t>CONG TY TNHH VIET AN PHA</t>
        </is>
      </c>
      <c r="AA20" s="97" t="n">
        <v>18072</v>
      </c>
      <c r="AB20" s="96" t="inlineStr">
        <is>
          <t>LCH04</t>
        </is>
      </c>
      <c r="AC20" s="96" t="inlineStr">
        <is>
          <t>SGN03</t>
        </is>
      </c>
    </row>
    <row r="21" ht="12" customHeight="1">
      <c r="A21" s="96" t="inlineStr">
        <is>
          <t>HALU2352336</t>
        </is>
      </c>
      <c r="B21" s="161" t="inlineStr">
        <is>
          <t>2026-10-17</t>
        </is>
      </c>
      <c r="C21" s="96" t="inlineStr">
        <is>
          <t>SWIC</t>
        </is>
      </c>
      <c r="D21" s="96" t="inlineStr">
        <is>
          <t>2611N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KRPUS</t>
        </is>
      </c>
      <c r="J21" s="96" t="inlineStr">
        <is>
          <t>JPTMK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HASLS22260901729</t>
        </is>
      </c>
      <c r="R21" s="96" t="inlineStr">
        <is>
          <t>Y</t>
        </is>
      </c>
      <c r="S21" s="96" t="inlineStr">
        <is>
          <t>N</t>
        </is>
      </c>
      <c r="T21" s="96" t="inlineStr">
        <is>
          <t>KHS</t>
        </is>
      </c>
      <c r="U21" s="97" t="n"/>
      <c r="V21" s="96" t="inlineStr">
        <is>
          <t>C0223008</t>
        </is>
      </c>
      <c r="W21" s="96" t="inlineStr">
        <is>
          <t>TPBI PUBLIC COMPANY LIMITED</t>
        </is>
      </c>
      <c r="X21" s="96" t="inlineStr">
        <is>
          <t>VFD</t>
        </is>
      </c>
      <c r="Y21" s="96" t="inlineStr">
        <is>
          <t>OZAX CORPORATION</t>
        </is>
      </c>
      <c r="Z21" s="96" t="inlineStr">
        <is>
          <t>OZAX CORPORATION</t>
        </is>
      </c>
      <c r="AA21" s="97" t="n">
        <v>13301.2</v>
      </c>
      <c r="AB21" s="96" t="inlineStr">
        <is>
          <t>LCH04</t>
        </is>
      </c>
      <c r="AC21" s="96" t="inlineStr">
        <is>
          <t>TMK03</t>
        </is>
      </c>
    </row>
    <row r="22" ht="12" customHeight="1">
      <c r="A22" s="96" t="inlineStr">
        <is>
          <t>HALU2427749</t>
        </is>
      </c>
      <c r="B22" s="161" t="inlineStr">
        <is>
          <t>2026-10-17</t>
        </is>
      </c>
      <c r="C22" s="96" t="inlineStr">
        <is>
          <t>SWIC</t>
        </is>
      </c>
      <c r="D22" s="96" t="inlineStr">
        <is>
          <t>2611N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KRUSN</t>
        </is>
      </c>
      <c r="J22" s="96" t="inlineStr">
        <is>
          <t>KRUSN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HASLS22260900880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KHS</t>
        </is>
      </c>
      <c r="U22" s="97" t="n"/>
      <c r="V22" s="96" t="inlineStr">
        <is>
          <t>C0124002</t>
        </is>
      </c>
      <c r="W22" s="96" t="inlineStr">
        <is>
          <t>LX PANTOS (THAILAND) CO., LTD.</t>
        </is>
      </c>
      <c r="X22" s="96" t="inlineStr">
        <is>
          <t>VFD</t>
        </is>
      </c>
      <c r="Y22" s="96" t="inlineStr">
        <is>
          <t>LX PANTOS CO., LTD.</t>
        </is>
      </c>
      <c r="Z22" s="96" t="inlineStr">
        <is>
          <t>LX PANTOS CO., LTD.</t>
        </is>
      </c>
      <c r="AA22" s="97" t="n">
        <v>20100</v>
      </c>
      <c r="AB22" s="96" t="inlineStr">
        <is>
          <t>LCH04</t>
        </is>
      </c>
      <c r="AC22" s="96" t="inlineStr">
        <is>
          <t>USN03</t>
        </is>
      </c>
    </row>
    <row r="23" ht="12" customHeight="1">
      <c r="A23" s="96" t="inlineStr">
        <is>
          <t>HALU2505219</t>
        </is>
      </c>
      <c r="B23" s="161" t="inlineStr">
        <is>
          <t>2026-10-17</t>
        </is>
      </c>
      <c r="C23" s="96" t="inlineStr">
        <is>
          <t>SWIC</t>
        </is>
      </c>
      <c r="D23" s="96" t="inlineStr">
        <is>
          <t>2611N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KRPUS</t>
        </is>
      </c>
      <c r="J23" s="96" t="inlineStr">
        <is>
          <t>JPYKK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HASLS22260902030</t>
        </is>
      </c>
      <c r="R23" s="96" t="inlineStr">
        <is>
          <t>Y</t>
        </is>
      </c>
      <c r="S23" s="96" t="inlineStr">
        <is>
          <t>N</t>
        </is>
      </c>
      <c r="T23" s="96" t="inlineStr">
        <is>
          <t>KHS</t>
        </is>
      </c>
      <c r="U23" s="97" t="n"/>
      <c r="V23" s="96" t="inlineStr">
        <is>
          <t>C0125002</t>
        </is>
      </c>
      <c r="W23" s="96" t="inlineStr">
        <is>
          <t>SIAM POLYETHYLENE CO., LTD.</t>
        </is>
      </c>
      <c r="X23" s="96" t="inlineStr">
        <is>
          <t>VED</t>
        </is>
      </c>
      <c r="Y23" s="96" t="inlineStr">
        <is>
          <t>DOW CHEMICAL JAPAN LIMITED</t>
        </is>
      </c>
      <c r="Z23" s="96" t="inlineStr">
        <is>
          <t>THE SHIBUSAWA WAREHOUSE CO., LTD.</t>
        </is>
      </c>
      <c r="AA23" s="97" t="n">
        <v>16870</v>
      </c>
      <c r="AB23" s="96" t="inlineStr">
        <is>
          <t>LCH04</t>
        </is>
      </c>
      <c r="AC23" s="96" t="inlineStr">
        <is>
          <t>YKK01</t>
        </is>
      </c>
    </row>
    <row r="24" ht="12" customHeight="1">
      <c r="A24" s="96" t="inlineStr">
        <is>
          <t>HALU2517225</t>
        </is>
      </c>
      <c r="B24" s="161" t="inlineStr">
        <is>
          <t>2026-10-17</t>
        </is>
      </c>
      <c r="C24" s="96" t="inlineStr">
        <is>
          <t>SWIC</t>
        </is>
      </c>
      <c r="D24" s="96" t="inlineStr">
        <is>
          <t>2611N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KRPUS</t>
        </is>
      </c>
      <c r="J24" s="96" t="inlineStr">
        <is>
          <t>JPYKK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HASLS22260902028</t>
        </is>
      </c>
      <c r="R24" s="96" t="inlineStr">
        <is>
          <t>Y</t>
        </is>
      </c>
      <c r="S24" s="96" t="inlineStr">
        <is>
          <t>N</t>
        </is>
      </c>
      <c r="T24" s="96" t="inlineStr">
        <is>
          <t>KHS</t>
        </is>
      </c>
      <c r="U24" s="97" t="n"/>
      <c r="V24" s="96" t="inlineStr">
        <is>
          <t>C0125002</t>
        </is>
      </c>
      <c r="W24" s="96" t="inlineStr">
        <is>
          <t>SIAM POLYETHYLENE CO., LTD.</t>
        </is>
      </c>
      <c r="X24" s="96" t="inlineStr">
        <is>
          <t>VFD</t>
        </is>
      </c>
      <c r="Y24" s="96" t="inlineStr">
        <is>
          <t>DOW CHEMICAL JAPAN LIMITED</t>
        </is>
      </c>
      <c r="Z24" s="96" t="inlineStr">
        <is>
          <t>THE SHIBUSAWA WAREHOUSE CO., LTD.</t>
        </is>
      </c>
      <c r="AA24" s="97" t="n">
        <v>16590</v>
      </c>
      <c r="AB24" s="96" t="inlineStr">
        <is>
          <t>LCH04</t>
        </is>
      </c>
      <c r="AC24" s="96" t="inlineStr">
        <is>
          <t>YKK01</t>
        </is>
      </c>
    </row>
    <row r="25" ht="12" customHeight="1">
      <c r="A25" s="96" t="inlineStr">
        <is>
          <t>HALU5686609</t>
        </is>
      </c>
      <c r="B25" s="161" t="inlineStr">
        <is>
          <t>2026-10-17</t>
        </is>
      </c>
      <c r="C25" s="96" t="inlineStr">
        <is>
          <t>SWIC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HASLS22260900462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KHS</t>
        </is>
      </c>
      <c r="U25" s="97" t="n"/>
      <c r="V25" s="96" t="inlineStr">
        <is>
          <t>SHA15003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TO ORDER OF ASIA COMMERCIAL BANK,</t>
        </is>
      </c>
      <c r="Z25" s="96" t="inlineStr">
        <is>
          <t>TAN PHONG PACKING COMPANY LIMITED</t>
        </is>
      </c>
      <c r="AA25" s="97" t="n">
        <v>25100</v>
      </c>
      <c r="AB25" s="96" t="inlineStr">
        <is>
          <t>LCH04</t>
        </is>
      </c>
      <c r="AC25" s="96" t="inlineStr">
        <is>
          <t>SGN03</t>
        </is>
      </c>
    </row>
    <row r="26" ht="12" customHeight="1">
      <c r="A26" s="96" t="inlineStr">
        <is>
          <t>HALU8501144</t>
        </is>
      </c>
      <c r="B26" s="161" t="inlineStr">
        <is>
          <t>2026-10-17</t>
        </is>
      </c>
      <c r="C26" s="96" t="inlineStr">
        <is>
          <t>SWIC</t>
        </is>
      </c>
      <c r="D26" s="96" t="inlineStr">
        <is>
          <t>2611N</t>
        </is>
      </c>
      <c r="E26" s="96" t="inlineStr">
        <is>
          <t>45RE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RUVVO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HASLS22261000784</t>
        </is>
      </c>
      <c r="R26" s="96" t="inlineStr">
        <is>
          <t>Y</t>
        </is>
      </c>
      <c r="S26" s="96" t="inlineStr">
        <is>
          <t>N</t>
        </is>
      </c>
      <c r="T26" s="96" t="inlineStr">
        <is>
          <t>KHS</t>
        </is>
      </c>
      <c r="U26" s="97" t="n"/>
      <c r="V26" s="96" t="inlineStr">
        <is>
          <t>C0825001</t>
        </is>
      </c>
      <c r="W26" s="96" t="inlineStr">
        <is>
          <t>THAI NIPPON RUBBER INDUSTRY PUBLIC</t>
        </is>
      </c>
      <c r="X26" s="96" t="inlineStr">
        <is>
          <t>VFD</t>
        </is>
      </c>
      <c r="Y26" s="96" t="inlineStr">
        <is>
          <t>LLC APRIORY LOGISTIC</t>
        </is>
      </c>
      <c r="Z26" s="96" t="inlineStr">
        <is>
          <t>INTER LOGISTIC LIMITED</t>
        </is>
      </c>
      <c r="AA26" s="97" t="n">
        <v>9234.200000000001</v>
      </c>
      <c r="AB26" s="96" t="inlineStr">
        <is>
          <t>LCH04</t>
        </is>
      </c>
      <c r="AC26" s="96" t="inlineStr">
        <is>
          <t>VVO01</t>
        </is>
      </c>
    </row>
    <row r="27" ht="12" customHeight="1">
      <c r="A27" s="96" t="inlineStr">
        <is>
          <t>HLHU6409733</t>
        </is>
      </c>
      <c r="B27" s="161" t="inlineStr">
        <is>
          <t>2026-10-17</t>
        </is>
      </c>
      <c r="C27" s="96" t="inlineStr">
        <is>
          <t>SWIC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OWN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HASLS22260900462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KHS</t>
        </is>
      </c>
      <c r="U27" s="97" t="n"/>
      <c r="V27" s="96" t="inlineStr">
        <is>
          <t>C0724001</t>
        </is>
      </c>
      <c r="W27" s="96" t="inlineStr">
        <is>
          <t>PTT GLOBAL CHEMICAL PUBLIC COMPANY</t>
        </is>
      </c>
      <c r="X27" s="96" t="inlineStr">
        <is>
          <t>VFD</t>
        </is>
      </c>
      <c r="Y27" s="96" t="inlineStr">
        <is>
          <t>TO ORDER OF ASIA COMMERCIAL BANK,</t>
        </is>
      </c>
      <c r="Z27" s="96" t="inlineStr">
        <is>
          <t>TAN PHONG PACKING COMPANY LIMITED</t>
        </is>
      </c>
      <c r="AA27" s="97" t="n">
        <v>25100</v>
      </c>
      <c r="AB27" s="96" t="inlineStr">
        <is>
          <t>LCH04</t>
        </is>
      </c>
      <c r="AC27" s="96" t="inlineStr">
        <is>
          <t>SGN03</t>
        </is>
      </c>
    </row>
    <row r="28" ht="12" customHeight="1">
      <c r="A28" s="96" t="inlineStr">
        <is>
          <t>HLHU8436050</t>
        </is>
      </c>
      <c r="B28" s="161" t="inlineStr">
        <is>
          <t>2026-10-17</t>
        </is>
      </c>
      <c r="C28" s="96" t="inlineStr">
        <is>
          <t>SWIC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HASLS22260800970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KHS</t>
        </is>
      </c>
      <c r="U28" s="97" t="n"/>
      <c r="V28" s="96" t="inlineStr">
        <is>
          <t>C0124001</t>
        </is>
      </c>
      <c r="W28" s="96" t="inlineStr">
        <is>
          <t>PTT GLOBAL CHEMICAL PUBLIC COMPANY</t>
        </is>
      </c>
      <c r="X28" s="96" t="inlineStr">
        <is>
          <t>VFD</t>
        </is>
      </c>
      <c r="Y28" s="96" t="inlineStr">
        <is>
          <t>TO ORDER OF TECHCOMBANK - CHO LON</t>
        </is>
      </c>
      <c r="Z28" s="96" t="inlineStr">
        <is>
          <t>DUC THINH AN ONE MEMBER COMPANY</t>
        </is>
      </c>
      <c r="AA28" s="97" t="n">
        <v>23092</v>
      </c>
      <c r="AB28" s="96" t="inlineStr">
        <is>
          <t>LCH04</t>
        </is>
      </c>
      <c r="AC28" s="96" t="inlineStr">
        <is>
          <t>SGN03</t>
        </is>
      </c>
    </row>
    <row r="29" ht="12" customHeight="1">
      <c r="A29" s="96" t="inlineStr">
        <is>
          <t>HLHU8438026</t>
        </is>
      </c>
      <c r="B29" s="161" t="inlineStr">
        <is>
          <t>2026-10-17</t>
        </is>
      </c>
      <c r="C29" s="96" t="inlineStr">
        <is>
          <t>SWIC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HASLS22260800970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KHS</t>
        </is>
      </c>
      <c r="U29" s="97" t="n"/>
      <c r="V29" s="96" t="inlineStr">
        <is>
          <t>C0124001</t>
        </is>
      </c>
      <c r="W29" s="96" t="inlineStr">
        <is>
          <t>PTT GLOBAL CHEMICAL PUBLIC COMPANY</t>
        </is>
      </c>
      <c r="X29" s="96" t="inlineStr">
        <is>
          <t>VFD</t>
        </is>
      </c>
      <c r="Y29" s="96" t="inlineStr">
        <is>
          <t>TO ORDER OF TECHCOMBANK - CHO LON</t>
        </is>
      </c>
      <c r="Z29" s="96" t="inlineStr">
        <is>
          <t>DUC THINH AN ONE MEMBER COMPANY</t>
        </is>
      </c>
      <c r="AA29" s="97" t="n">
        <v>23292.8</v>
      </c>
      <c r="AB29" s="96" t="inlineStr">
        <is>
          <t>LCH04</t>
        </is>
      </c>
      <c r="AC29" s="96" t="inlineStr">
        <is>
          <t>SGN03</t>
        </is>
      </c>
    </row>
    <row r="30" ht="12" customHeight="1">
      <c r="A30" s="96" t="inlineStr">
        <is>
          <t>HLHU8461751</t>
        </is>
      </c>
      <c r="B30" s="161" t="inlineStr">
        <is>
          <t>2026-10-17</t>
        </is>
      </c>
      <c r="C30" s="96" t="inlineStr">
        <is>
          <t>SWIC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HASLS22260800970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KHS</t>
        </is>
      </c>
      <c r="U30" s="97" t="n"/>
      <c r="V30" s="96" t="inlineStr">
        <is>
          <t>C5624002</t>
        </is>
      </c>
      <c r="W30" s="96" t="inlineStr">
        <is>
          <t>PTT GLOBAL CHEMICAL PUBLIC COMPANY</t>
        </is>
      </c>
      <c r="X30" s="96" t="inlineStr">
        <is>
          <t>VFD</t>
        </is>
      </c>
      <c r="Y30" s="96" t="inlineStr">
        <is>
          <t>TO ORDER OF TECHCOMBANK - CHO LON</t>
        </is>
      </c>
      <c r="Z30" s="96" t="inlineStr">
        <is>
          <t>DUC THINH AN ONE MEMBER COMPANY</t>
        </is>
      </c>
      <c r="AA30" s="97" t="n">
        <v>23092</v>
      </c>
      <c r="AB30" s="96" t="inlineStr">
        <is>
          <t>LCH04</t>
        </is>
      </c>
      <c r="AC30" s="96" t="inlineStr">
        <is>
          <t>SGN03</t>
        </is>
      </c>
    </row>
    <row r="31" ht="12" customHeight="1">
      <c r="A31" s="96" t="inlineStr">
        <is>
          <t>HLHU8468118</t>
        </is>
      </c>
      <c r="B31" s="161" t="inlineStr">
        <is>
          <t>2026-10-17</t>
        </is>
      </c>
      <c r="C31" s="96" t="inlineStr">
        <is>
          <t>SWIC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HASLS22260902743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KHS</t>
        </is>
      </c>
      <c r="U31" s="97" t="n"/>
      <c r="V31" s="96" t="inlineStr">
        <is>
          <t>C0324008</t>
        </is>
      </c>
      <c r="W31" s="96" t="inlineStr">
        <is>
          <t>CANVAS GLOBAL LOGISTICS (THAILAND)</t>
        </is>
      </c>
      <c r="X31" s="96" t="inlineStr">
        <is>
          <t>VFD</t>
        </is>
      </c>
      <c r="Y31" s="96" t="inlineStr">
        <is>
          <t>THAMI CORPORATION</t>
        </is>
      </c>
      <c r="Z31" s="96" t="inlineStr">
        <is>
          <t>THAMI CORPORATION</t>
        </is>
      </c>
      <c r="AA31" s="97" t="n">
        <v>22433</v>
      </c>
      <c r="AB31" s="96" t="inlineStr">
        <is>
          <t>LCH04</t>
        </is>
      </c>
      <c r="AC31" s="96" t="inlineStr">
        <is>
          <t>SGN03</t>
        </is>
      </c>
    </row>
    <row r="32" ht="12" customHeight="1">
      <c r="A32" s="96" t="inlineStr">
        <is>
          <t>HLHU8572082</t>
        </is>
      </c>
      <c r="B32" s="161" t="inlineStr">
        <is>
          <t>2026-10-17</t>
        </is>
      </c>
      <c r="C32" s="96" t="inlineStr">
        <is>
          <t>SWIC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HASLS22260902744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KHS</t>
        </is>
      </c>
      <c r="U32" s="97" t="n"/>
      <c r="V32" s="96" t="inlineStr">
        <is>
          <t>C0725001</t>
        </is>
      </c>
      <c r="W32" s="96" t="inlineStr">
        <is>
          <t>CANVAS GLOBAL LOGISTICS (THAILAND)</t>
        </is>
      </c>
      <c r="X32" s="96" t="inlineStr">
        <is>
          <t>VED</t>
        </is>
      </c>
      <c r="Y32" s="96" t="inlineStr">
        <is>
          <t>THAMI CORPORATION</t>
        </is>
      </c>
      <c r="Z32" s="96" t="inlineStr">
        <is>
          <t>THAMI CORPORATION</t>
        </is>
      </c>
      <c r="AA32" s="97" t="n">
        <v>22285.6</v>
      </c>
      <c r="AB32" s="96" t="inlineStr">
        <is>
          <t>LCH04</t>
        </is>
      </c>
      <c r="AC32" s="96" t="inlineStr">
        <is>
          <t>SGN03</t>
        </is>
      </c>
    </row>
    <row r="33" ht="12" customHeight="1">
      <c r="A33" s="96" t="inlineStr">
        <is>
          <t>HLHU8589980</t>
        </is>
      </c>
      <c r="B33" s="161" t="inlineStr">
        <is>
          <t>2026-10-17</t>
        </is>
      </c>
      <c r="C33" s="96" t="inlineStr">
        <is>
          <t>SWIC</t>
        </is>
      </c>
      <c r="D33" s="96" t="inlineStr">
        <is>
          <t>2611N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LCH04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HASLS22260800970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KHS</t>
        </is>
      </c>
      <c r="U33" s="97" t="n"/>
      <c r="V33" s="96" t="inlineStr">
        <is>
          <t>C0725001</t>
        </is>
      </c>
      <c r="W33" s="96" t="inlineStr">
        <is>
          <t>PTT GLOBAL CHEMICAL PUBLIC COMPANY</t>
        </is>
      </c>
      <c r="X33" s="96" t="inlineStr">
        <is>
          <t>VFD</t>
        </is>
      </c>
      <c r="Y33" s="96" t="inlineStr">
        <is>
          <t>TO ORDER OF TECHCOMBANK - CHO LON</t>
        </is>
      </c>
      <c r="Z33" s="96" t="inlineStr">
        <is>
          <t>DUC THINH AN ONE MEMBER COMPANY</t>
        </is>
      </c>
      <c r="AA33" s="97" t="n">
        <v>23092</v>
      </c>
      <c r="AB33" s="96" t="inlineStr">
        <is>
          <t>LCH04</t>
        </is>
      </c>
      <c r="AC33" s="96" t="inlineStr">
        <is>
          <t>SGN03</t>
        </is>
      </c>
    </row>
    <row r="34" ht="12" customHeight="1">
      <c r="A34" s="96" t="inlineStr">
        <is>
          <t>SKHU1540516</t>
        </is>
      </c>
      <c r="B34" s="161" t="inlineStr">
        <is>
          <t>2026-10-17</t>
        </is>
      </c>
      <c r="C34" s="96" t="inlineStr">
        <is>
          <t>SWIC</t>
        </is>
      </c>
      <c r="D34" s="96" t="inlineStr">
        <is>
          <t>2611N</t>
        </is>
      </c>
      <c r="E34" s="96" t="inlineStr">
        <is>
          <t>22PC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LCH04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HASLS22260901359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KHS</t>
        </is>
      </c>
      <c r="U34" s="97" t="n"/>
      <c r="V34" s="96" t="inlineStr">
        <is>
          <t>K0120028</t>
        </is>
      </c>
      <c r="W34" s="96" t="inlineStr">
        <is>
          <t>LOTUS FREIGHT AND SERVICES CORP.,</t>
        </is>
      </c>
      <c r="X34" s="96" t="inlineStr">
        <is>
          <t>VFD</t>
        </is>
      </c>
      <c r="Y34" s="96" t="inlineStr">
        <is>
          <t>TP GLOBAL LOGISTICS</t>
        </is>
      </c>
      <c r="Z34" s="96" t="inlineStr">
        <is>
          <t>TP GLOBAL LOGISTICS</t>
        </is>
      </c>
      <c r="AA34" s="97" t="n">
        <v>21500</v>
      </c>
      <c r="AB34" s="96" t="inlineStr">
        <is>
          <t>LCH04</t>
        </is>
      </c>
      <c r="AC34" s="96" t="inlineStr">
        <is>
          <t>SGN03</t>
        </is>
      </c>
    </row>
    <row r="35" ht="12" customHeight="1">
      <c r="A35" s="96" t="inlineStr">
        <is>
          <t>SKHU6201520</t>
        </is>
      </c>
      <c r="B35" s="161" t="inlineStr">
        <is>
          <t>2026-10-17</t>
        </is>
      </c>
      <c r="C35" s="96" t="inlineStr">
        <is>
          <t>SWIC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LCH04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HASLS22260800970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KHS</t>
        </is>
      </c>
      <c r="U35" s="97" t="n"/>
      <c r="V35" s="96" t="inlineStr">
        <is>
          <t>K0120023</t>
        </is>
      </c>
      <c r="W35" s="96" t="inlineStr">
        <is>
          <t>PTT GLOBAL CHEMICAL PUBLIC COMPANY</t>
        </is>
      </c>
      <c r="X35" s="96" t="inlineStr">
        <is>
          <t>VFD</t>
        </is>
      </c>
      <c r="Y35" s="96" t="inlineStr">
        <is>
          <t>TO ORDER OF TECHCOMBANK - CHO LON</t>
        </is>
      </c>
      <c r="Z35" s="96" t="inlineStr">
        <is>
          <t>DUC THINH AN ONE MEMBER COMPANY</t>
        </is>
      </c>
      <c r="AA35" s="97" t="n">
        <v>23092</v>
      </c>
      <c r="AB35" s="96" t="inlineStr">
        <is>
          <t>LCH04</t>
        </is>
      </c>
      <c r="AC35" s="96" t="inlineStr">
        <is>
          <t>SGN03</t>
        </is>
      </c>
    </row>
    <row r="36" ht="12" customHeight="1">
      <c r="A36" s="96" t="inlineStr">
        <is>
          <t>SKHU6304513</t>
        </is>
      </c>
      <c r="B36" s="161" t="inlineStr">
        <is>
          <t>2026-10-17</t>
        </is>
      </c>
      <c r="C36" s="96" t="inlineStr">
        <is>
          <t>SWIC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LCH04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HASLS22260800970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KHS</t>
        </is>
      </c>
      <c r="U36" s="97" t="n"/>
      <c r="V36" s="96" t="inlineStr">
        <is>
          <t>K0120023</t>
        </is>
      </c>
      <c r="W36" s="96" t="inlineStr">
        <is>
          <t>PTT GLOBAL CHEMICAL PUBLIC COMPANY</t>
        </is>
      </c>
      <c r="X36" s="96" t="inlineStr">
        <is>
          <t>VFD</t>
        </is>
      </c>
      <c r="Y36" s="96" t="inlineStr">
        <is>
          <t>TO ORDER OF TECHCOMBANK - CHO LON</t>
        </is>
      </c>
      <c r="Z36" s="96" t="inlineStr">
        <is>
          <t>DUC THINH AN ONE MEMBER COMPANY</t>
        </is>
      </c>
      <c r="AA36" s="97" t="n">
        <v>23092</v>
      </c>
      <c r="AB36" s="96" t="inlineStr">
        <is>
          <t>LCH04</t>
        </is>
      </c>
      <c r="AC36" s="96" t="inlineStr">
        <is>
          <t>SGN03</t>
        </is>
      </c>
    </row>
    <row r="37" ht="12" customHeight="1">
      <c r="A37" s="96" t="inlineStr">
        <is>
          <t>SKHU6306537</t>
        </is>
      </c>
      <c r="B37" s="161" t="inlineStr">
        <is>
          <t>2026-10-17</t>
        </is>
      </c>
      <c r="C37" s="96" t="inlineStr">
        <is>
          <t>SWIC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VNSGN</t>
        </is>
      </c>
      <c r="J37" s="96" t="inlineStr">
        <is>
          <t>VNSGN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LCH04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HASLS22260902743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KHS</t>
        </is>
      </c>
      <c r="U37" s="97" t="n"/>
      <c r="V37" s="96" t="inlineStr">
        <is>
          <t>K0120023</t>
        </is>
      </c>
      <c r="W37" s="96" t="inlineStr">
        <is>
          <t>CANVAS GLOBAL LOGISTICS (THAILAND)</t>
        </is>
      </c>
      <c r="X37" s="96" t="inlineStr">
        <is>
          <t>VED</t>
        </is>
      </c>
      <c r="Y37" s="96" t="inlineStr">
        <is>
          <t>THAMI CORPORATION</t>
        </is>
      </c>
      <c r="Z37" s="96" t="inlineStr">
        <is>
          <t>THAMI CORPORATION</t>
        </is>
      </c>
      <c r="AA37" s="97" t="n">
        <v>22302.5</v>
      </c>
      <c r="AB37" s="96" t="inlineStr">
        <is>
          <t>LCH04</t>
        </is>
      </c>
      <c r="AC37" s="96" t="inlineStr">
        <is>
          <t>SGN03</t>
        </is>
      </c>
    </row>
    <row r="38" ht="12" customHeight="1">
      <c r="A38" s="96" t="inlineStr">
        <is>
          <t>SKHU6308587</t>
        </is>
      </c>
      <c r="B38" s="161" t="inlineStr">
        <is>
          <t>2026-10-17</t>
        </is>
      </c>
      <c r="C38" s="96" t="inlineStr">
        <is>
          <t>SWIC</t>
        </is>
      </c>
      <c r="D38" s="96" t="inlineStr">
        <is>
          <t>2611N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JPKIJ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LCH04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HASLS22260902245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KHS</t>
        </is>
      </c>
      <c r="U38" s="97" t="n"/>
      <c r="V38" s="96" t="inlineStr">
        <is>
          <t>K0120023</t>
        </is>
      </c>
      <c r="W38" s="96" t="inlineStr">
        <is>
          <t>PTT GLOBAL CHEMICAL PUBLIC COMPANY</t>
        </is>
      </c>
      <c r="X38" s="96" t="inlineStr">
        <is>
          <t>VFD</t>
        </is>
      </c>
      <c r="Y38" s="96" t="inlineStr">
        <is>
          <t>INABATA &amp; CO.,LTD</t>
        </is>
      </c>
      <c r="Z38" s="96" t="inlineStr">
        <is>
          <t>INABATA &amp; CO.,LTD</t>
        </is>
      </c>
      <c r="AA38" s="97" t="n">
        <v>24240</v>
      </c>
      <c r="AB38" s="96" t="inlineStr">
        <is>
          <t>LCH04</t>
        </is>
      </c>
      <c r="AC38" s="96" t="inlineStr">
        <is>
          <t>KIJ01</t>
        </is>
      </c>
    </row>
    <row r="39" ht="12" customHeight="1">
      <c r="A39" s="96" t="inlineStr">
        <is>
          <t>SKHU6346205</t>
        </is>
      </c>
      <c r="B39" s="161" t="inlineStr">
        <is>
          <t>2026-10-17</t>
        </is>
      </c>
      <c r="C39" s="96" t="inlineStr">
        <is>
          <t>SWIC</t>
        </is>
      </c>
      <c r="D39" s="96" t="inlineStr">
        <is>
          <t>2611N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LCH04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HASLS22260900462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KHS</t>
        </is>
      </c>
      <c r="U39" s="97" t="n"/>
      <c r="V39" s="96" t="inlineStr">
        <is>
          <t>K0120023</t>
        </is>
      </c>
      <c r="W39" s="96" t="inlineStr">
        <is>
          <t>PTT GLOBAL CHEMICAL PUBLIC COMPANY</t>
        </is>
      </c>
      <c r="X39" s="96" t="inlineStr">
        <is>
          <t>VFD</t>
        </is>
      </c>
      <c r="Y39" s="96" t="inlineStr">
        <is>
          <t>TO ORDER OF ASIA COMMERCIAL BANK,</t>
        </is>
      </c>
      <c r="Z39" s="96" t="inlineStr">
        <is>
          <t>TAN PHONG PACKING COMPANY LIMITED</t>
        </is>
      </c>
      <c r="AA39" s="97" t="n">
        <v>25100</v>
      </c>
      <c r="AB39" s="96" t="inlineStr">
        <is>
          <t>LCH04</t>
        </is>
      </c>
      <c r="AC39" s="96" t="inlineStr">
        <is>
          <t>SGN03</t>
        </is>
      </c>
    </row>
    <row r="40" ht="12" customHeight="1">
      <c r="A40" s="96" t="inlineStr">
        <is>
          <t>SKHU6402021</t>
        </is>
      </c>
      <c r="B40" s="161" t="inlineStr">
        <is>
          <t>2026-10-17</t>
        </is>
      </c>
      <c r="C40" s="96" t="inlineStr">
        <is>
          <t>SWIC</t>
        </is>
      </c>
      <c r="D40" s="96" t="inlineStr">
        <is>
          <t>2611N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LCH04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HASLS22260902048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KHS</t>
        </is>
      </c>
      <c r="U40" s="97" t="n"/>
      <c r="V40" s="96" t="inlineStr">
        <is>
          <t>K0120023</t>
        </is>
      </c>
      <c r="W40" s="96" t="inlineStr">
        <is>
          <t>PTT GLOBAL CHEMICAL PUBLIC COMPANY</t>
        </is>
      </c>
      <c r="X40" s="96" t="inlineStr">
        <is>
          <t>VFD</t>
        </is>
      </c>
      <c r="Y40" s="96" t="inlineStr">
        <is>
          <t>GC MARKETING SOLUTIONS VIETNAM</t>
        </is>
      </c>
      <c r="Z40" s="96" t="inlineStr">
        <is>
          <t>GC MARKETING SOLUTIONS VIETNAM</t>
        </is>
      </c>
      <c r="AA40" s="97" t="n">
        <v>24528</v>
      </c>
      <c r="AB40" s="96" t="inlineStr">
        <is>
          <t>LCH04</t>
        </is>
      </c>
      <c r="AC40" s="96" t="inlineStr">
        <is>
          <t>SGN03</t>
        </is>
      </c>
    </row>
    <row r="41" ht="12" customHeight="1">
      <c r="A41" s="96" t="inlineStr">
        <is>
          <t>SKHU6508076</t>
        </is>
      </c>
      <c r="B41" s="161" t="inlineStr">
        <is>
          <t>2026-10-17</t>
        </is>
      </c>
      <c r="C41" s="96" t="inlineStr">
        <is>
          <t>SWIC</t>
        </is>
      </c>
      <c r="D41" s="96" t="inlineStr">
        <is>
          <t>2611N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KRPUS</t>
        </is>
      </c>
      <c r="J41" s="96" t="inlineStr">
        <is>
          <t>JPKIJ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LCH04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HASLS22260901519</t>
        </is>
      </c>
      <c r="R41" s="96" t="inlineStr">
        <is>
          <t>Y</t>
        </is>
      </c>
      <c r="S41" s="96" t="inlineStr">
        <is>
          <t>N</t>
        </is>
      </c>
      <c r="T41" s="96" t="inlineStr">
        <is>
          <t>KHS</t>
        </is>
      </c>
      <c r="U41" s="97" t="n"/>
      <c r="V41" s="96" t="inlineStr">
        <is>
          <t>K0120023</t>
        </is>
      </c>
      <c r="W41" s="96" t="inlineStr">
        <is>
          <t>PTT GLOBAL CHEMICAL PUBLIC COMPANY</t>
        </is>
      </c>
      <c r="X41" s="96" t="inlineStr">
        <is>
          <t>ONL</t>
        </is>
      </c>
      <c r="Y41" s="96" t="inlineStr">
        <is>
          <t>INABATA &amp; CO.,LTD</t>
        </is>
      </c>
      <c r="Z41" s="96" t="inlineStr">
        <is>
          <t>INABATA &amp; CO.,LTD</t>
        </is>
      </c>
      <c r="AA41" s="97" t="n">
        <v>24240</v>
      </c>
      <c r="AB41" s="96" t="inlineStr">
        <is>
          <t>LCH04</t>
        </is>
      </c>
      <c r="AC41" s="96" t="inlineStr">
        <is>
          <t>KIJ01</t>
        </is>
      </c>
    </row>
    <row r="42" ht="12" customHeight="1">
      <c r="A42" s="96" t="inlineStr">
        <is>
          <t>SKHU6522747</t>
        </is>
      </c>
      <c r="B42" s="161" t="inlineStr">
        <is>
          <t>2026-10-17</t>
        </is>
      </c>
      <c r="C42" s="96" t="inlineStr">
        <is>
          <t>SWIC</t>
        </is>
      </c>
      <c r="D42" s="96" t="inlineStr">
        <is>
          <t>2611N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KRPUS</t>
        </is>
      </c>
      <c r="J42" s="96" t="inlineStr">
        <is>
          <t>JPKIJ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LCH04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HASLS22260901519</t>
        </is>
      </c>
      <c r="R42" s="96" t="inlineStr">
        <is>
          <t>Y</t>
        </is>
      </c>
      <c r="S42" s="96" t="inlineStr">
        <is>
          <t>N</t>
        </is>
      </c>
      <c r="T42" s="96" t="inlineStr">
        <is>
          <t>KHS</t>
        </is>
      </c>
      <c r="U42" s="97" t="n"/>
      <c r="V42" s="96" t="inlineStr">
        <is>
          <t>K0120023</t>
        </is>
      </c>
      <c r="W42" s="96" t="inlineStr">
        <is>
          <t>PTT GLOBAL CHEMICAL PUBLIC COMPANY</t>
        </is>
      </c>
      <c r="X42" s="96" t="inlineStr">
        <is>
          <t>VED</t>
        </is>
      </c>
      <c r="Y42" s="96" t="inlineStr">
        <is>
          <t>INABATA &amp; CO.,LTD</t>
        </is>
      </c>
      <c r="Z42" s="96" t="inlineStr">
        <is>
          <t>INABATA &amp; CO.,LTD</t>
        </is>
      </c>
      <c r="AA42" s="97" t="n">
        <v>24240</v>
      </c>
      <c r="AB42" s="96" t="inlineStr">
        <is>
          <t>LCH04</t>
        </is>
      </c>
      <c r="AC42" s="96" t="inlineStr">
        <is>
          <t>KIJ01</t>
        </is>
      </c>
    </row>
    <row r="43" ht="12" customHeight="1">
      <c r="A43" s="96" t="inlineStr">
        <is>
          <t>SKHU8712221</t>
        </is>
      </c>
      <c r="B43" s="161" t="inlineStr">
        <is>
          <t>2026-10-17</t>
        </is>
      </c>
      <c r="C43" s="96" t="inlineStr">
        <is>
          <t>SWIC</t>
        </is>
      </c>
      <c r="D43" s="96" t="inlineStr">
        <is>
          <t>2611N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LCH04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HASLS22260902670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KHS</t>
        </is>
      </c>
      <c r="U43" s="97" t="n"/>
      <c r="V43" s="96" t="inlineStr">
        <is>
          <t>K0120023</t>
        </is>
      </c>
      <c r="W43" s="96" t="inlineStr">
        <is>
          <t>KORCHINA FREIGHT(THAILAND)CO.,LTD.</t>
        </is>
      </c>
      <c r="X43" s="96" t="inlineStr">
        <is>
          <t>ONL</t>
        </is>
      </c>
      <c r="Y43" s="96" t="inlineStr">
        <is>
          <t>HS HYOSUNG GLOBAL LOGISTICS VINA</t>
        </is>
      </c>
      <c r="Z43" s="96" t="inlineStr">
        <is>
          <t>HS HYOSUNG GLOBAL LOGISTICS VINA</t>
        </is>
      </c>
      <c r="AA43" s="97" t="n">
        <v>5387.2</v>
      </c>
      <c r="AB43" s="96" t="inlineStr">
        <is>
          <t>LCH04</t>
        </is>
      </c>
      <c r="AC43" s="96" t="inlineStr">
        <is>
          <t>SGN03</t>
        </is>
      </c>
    </row>
    <row r="44" ht="12" customHeight="1">
      <c r="A44" s="96" t="inlineStr">
        <is>
          <t>SKHU9322608</t>
        </is>
      </c>
      <c r="B44" s="161" t="inlineStr">
        <is>
          <t>2026-10-17</t>
        </is>
      </c>
      <c r="C44" s="96" t="inlineStr">
        <is>
          <t>SWIC</t>
        </is>
      </c>
      <c r="D44" s="96" t="inlineStr">
        <is>
          <t>2611N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LCH04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HASLS22260900462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KHS</t>
        </is>
      </c>
      <c r="U44" s="97" t="n"/>
      <c r="V44" s="96" t="inlineStr">
        <is>
          <t>K0120023</t>
        </is>
      </c>
      <c r="W44" s="96" t="inlineStr">
        <is>
          <t>PTT GLOBAL CHEMICAL PUBLIC COMPANY</t>
        </is>
      </c>
      <c r="X44" s="96" t="inlineStr">
        <is>
          <t>VFD</t>
        </is>
      </c>
      <c r="Y44" s="96" t="inlineStr">
        <is>
          <t>TO ORDER OF ASIA COMMERCIAL BANK,</t>
        </is>
      </c>
      <c r="Z44" s="96" t="inlineStr">
        <is>
          <t>TAN PHONG PACKING COMPANY LIMITED</t>
        </is>
      </c>
      <c r="AA44" s="97" t="n">
        <v>25100</v>
      </c>
      <c r="AB44" s="96" t="inlineStr">
        <is>
          <t>LCH04</t>
        </is>
      </c>
      <c r="AC44" s="96" t="inlineStr">
        <is>
          <t>SGN03</t>
        </is>
      </c>
    </row>
    <row r="45" ht="12" customHeight="1">
      <c r="A45" s="96" t="inlineStr">
        <is>
          <t>SKHU9547306</t>
        </is>
      </c>
      <c r="B45" s="161" t="inlineStr">
        <is>
          <t>2026-10-17</t>
        </is>
      </c>
      <c r="C45" s="96" t="inlineStr">
        <is>
          <t>SWIC</t>
        </is>
      </c>
      <c r="D45" s="96" t="inlineStr">
        <is>
          <t>2611N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LCH04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HASLS22260900462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KHS</t>
        </is>
      </c>
      <c r="U45" s="97" t="n"/>
      <c r="V45" s="96" t="inlineStr">
        <is>
          <t>K0120023</t>
        </is>
      </c>
      <c r="W45" s="96" t="inlineStr">
        <is>
          <t>PTT GLOBAL CHEMICAL PUBLIC COMPANY</t>
        </is>
      </c>
      <c r="X45" s="96" t="inlineStr">
        <is>
          <t>VFD</t>
        </is>
      </c>
      <c r="Y45" s="96" t="inlineStr">
        <is>
          <t>TO ORDER OF ASIA COMMERCIAL BANK,</t>
        </is>
      </c>
      <c r="Z45" s="96" t="inlineStr">
        <is>
          <t>TAN PHONG PACKING COMPANY LIMITED</t>
        </is>
      </c>
      <c r="AA45" s="97" t="n">
        <v>25100</v>
      </c>
      <c r="AB45" s="96" t="inlineStr">
        <is>
          <t>LCH04</t>
        </is>
      </c>
      <c r="AC45" s="96" t="inlineStr">
        <is>
          <t>SGN03</t>
        </is>
      </c>
    </row>
    <row r="46" ht="12" customHeight="1">
      <c r="A46" s="96" t="inlineStr">
        <is>
          <t>SKHU9555662</t>
        </is>
      </c>
      <c r="B46" s="161" t="inlineStr">
        <is>
          <t>2026-10-17</t>
        </is>
      </c>
      <c r="C46" s="96" t="inlineStr">
        <is>
          <t>SWIC</t>
        </is>
      </c>
      <c r="D46" s="96" t="inlineStr">
        <is>
          <t>2611N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LCH04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HASLS22260900462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KHS</t>
        </is>
      </c>
      <c r="U46" s="97" t="n"/>
      <c r="V46" s="96" t="inlineStr">
        <is>
          <t>K0120023</t>
        </is>
      </c>
      <c r="W46" s="96" t="inlineStr">
        <is>
          <t>PTT GLOBAL CHEMICAL PUBLIC COMPANY</t>
        </is>
      </c>
      <c r="X46" s="96" t="inlineStr">
        <is>
          <t>VFD</t>
        </is>
      </c>
      <c r="Y46" s="96" t="inlineStr">
        <is>
          <t>TO ORDER OF ASIA COMMERCIAL BANK,</t>
        </is>
      </c>
      <c r="Z46" s="96" t="inlineStr">
        <is>
          <t>TAN PHONG PACKING COMPANY LIMITED</t>
        </is>
      </c>
      <c r="AA46" s="97" t="n">
        <v>25100</v>
      </c>
      <c r="AB46" s="96" t="inlineStr">
        <is>
          <t>LCH04</t>
        </is>
      </c>
      <c r="AC46" s="96" t="inlineStr">
        <is>
          <t>SGN03</t>
        </is>
      </c>
    </row>
    <row r="47" ht="12" customHeight="1">
      <c r="A47" s="96" t="inlineStr">
        <is>
          <t>SKHU9612696</t>
        </is>
      </c>
      <c r="B47" s="161" t="inlineStr">
        <is>
          <t>2026-10-17</t>
        </is>
      </c>
      <c r="C47" s="96" t="inlineStr">
        <is>
          <t>SWIC</t>
        </is>
      </c>
      <c r="D47" s="96" t="inlineStr">
        <is>
          <t>2611N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VNSGN</t>
        </is>
      </c>
      <c r="J47" s="96" t="inlineStr">
        <is>
          <t>VNSGN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LCH04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HASLS22260902647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KHS</t>
        </is>
      </c>
      <c r="U47" s="97" t="n"/>
      <c r="V47" s="96" t="inlineStr">
        <is>
          <t>K0120023</t>
        </is>
      </c>
      <c r="W47" s="96" t="inlineStr">
        <is>
          <t>ALL CARGO SOLUTIONS CO., LTD.</t>
        </is>
      </c>
      <c r="X47" s="96" t="inlineStr">
        <is>
          <t>VFD</t>
        </is>
      </c>
      <c r="Y47" s="96" t="inlineStr">
        <is>
          <t>PANDA GLOBAL LOGISTICS CO., LTD.</t>
        </is>
      </c>
      <c r="Z47" s="96" t="inlineStr">
        <is>
          <t>PANDA GLOBAL LOGISTICS CO., LTD.</t>
        </is>
      </c>
      <c r="AA47" s="97" t="n">
        <v>6038.9</v>
      </c>
      <c r="AB47" s="96" t="inlineStr">
        <is>
          <t>LCH04</t>
        </is>
      </c>
      <c r="AC47" s="96" t="inlineStr">
        <is>
          <t>SGN03</t>
        </is>
      </c>
    </row>
    <row r="48" ht="12" customHeight="1">
      <c r="A48" s="96" t="inlineStr">
        <is>
          <t>SKHU9805062</t>
        </is>
      </c>
      <c r="B48" s="161" t="inlineStr">
        <is>
          <t>2026-10-17</t>
        </is>
      </c>
      <c r="C48" s="96" t="inlineStr">
        <is>
          <t>SWIC</t>
        </is>
      </c>
      <c r="D48" s="96" t="inlineStr">
        <is>
          <t>2611N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VNSGN</t>
        </is>
      </c>
      <c r="J48" s="96" t="inlineStr">
        <is>
          <t>VNSGN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LCH04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HASLS22260901359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KHS</t>
        </is>
      </c>
      <c r="U48" s="97" t="n"/>
      <c r="V48" s="96" t="inlineStr">
        <is>
          <t>K0120023</t>
        </is>
      </c>
      <c r="W48" s="96" t="inlineStr">
        <is>
          <t>LOTUS FREIGHT AND SERVICES CORP.,</t>
        </is>
      </c>
      <c r="X48" s="96" t="inlineStr">
        <is>
          <t>VFD</t>
        </is>
      </c>
      <c r="Y48" s="96" t="inlineStr">
        <is>
          <t>TP GLOBAL LOGISTICS</t>
        </is>
      </c>
      <c r="Z48" s="96" t="inlineStr">
        <is>
          <t>TP GLOBAL LOGISTICS</t>
        </is>
      </c>
      <c r="AA48" s="97" t="n">
        <v>6030</v>
      </c>
      <c r="AB48" s="96" t="inlineStr">
        <is>
          <t>LCH04</t>
        </is>
      </c>
      <c r="AC48" s="96" t="inlineStr">
        <is>
          <t>SGN03</t>
        </is>
      </c>
    </row>
    <row r="49" ht="12" customHeight="1">
      <c r="A49" s="96" t="inlineStr">
        <is>
          <t>SKHU9827919</t>
        </is>
      </c>
      <c r="B49" s="161" t="inlineStr">
        <is>
          <t>2026-10-17</t>
        </is>
      </c>
      <c r="C49" s="96" t="inlineStr">
        <is>
          <t>SWIC</t>
        </is>
      </c>
      <c r="D49" s="96" t="inlineStr">
        <is>
          <t>2611N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VNSGN</t>
        </is>
      </c>
      <c r="J49" s="96" t="inlineStr">
        <is>
          <t>VNSGN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LCH04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HASLS22260800970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KHS</t>
        </is>
      </c>
      <c r="U49" s="97" t="n"/>
      <c r="V49" s="96" t="inlineStr">
        <is>
          <t>K0120023</t>
        </is>
      </c>
      <c r="W49" s="96" t="inlineStr">
        <is>
          <t>PTT GLOBAL CHEMICAL PUBLIC COMPANY</t>
        </is>
      </c>
      <c r="X49" s="96" t="inlineStr">
        <is>
          <t>VED</t>
        </is>
      </c>
      <c r="Y49" s="96" t="inlineStr">
        <is>
          <t>TO ORDER OF TECHCOMBANK - CHO LON</t>
        </is>
      </c>
      <c r="Z49" s="96" t="inlineStr">
        <is>
          <t>DUC THINH AN ONE MEMBER COMPANY</t>
        </is>
      </c>
      <c r="AA49" s="97" t="n">
        <v>23092</v>
      </c>
      <c r="AB49" s="96" t="inlineStr">
        <is>
          <t>LCH04</t>
        </is>
      </c>
      <c r="AC49" s="96" t="inlineStr">
        <is>
          <t>SGN03</t>
        </is>
      </c>
    </row>
    <row r="50" ht="12" customHeight="1">
      <c r="A50" s="96" t="inlineStr">
        <is>
          <t>SKHU9919110</t>
        </is>
      </c>
      <c r="B50" s="161" t="inlineStr">
        <is>
          <t>2026-10-17</t>
        </is>
      </c>
      <c r="C50" s="96" t="inlineStr">
        <is>
          <t>SWIC</t>
        </is>
      </c>
      <c r="D50" s="96" t="inlineStr">
        <is>
          <t>2611N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VNSGN</t>
        </is>
      </c>
      <c r="J50" s="96" t="inlineStr">
        <is>
          <t>VNSGN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LCH04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HASLS22260902744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KHS</t>
        </is>
      </c>
      <c r="U50" s="97" t="n"/>
      <c r="V50" s="96" t="inlineStr">
        <is>
          <t>K0120023</t>
        </is>
      </c>
      <c r="W50" s="96" t="inlineStr">
        <is>
          <t>CANVAS GLOBAL LOGISTICS (THAILAND)</t>
        </is>
      </c>
      <c r="X50" s="96" t="inlineStr">
        <is>
          <t>VFD</t>
        </is>
      </c>
      <c r="Y50" s="96" t="inlineStr">
        <is>
          <t>THAMI CORPORATION</t>
        </is>
      </c>
      <c r="Z50" s="96" t="inlineStr">
        <is>
          <t>THAMI CORPORATION</t>
        </is>
      </c>
      <c r="AA50" s="97" t="n">
        <v>22612.7</v>
      </c>
      <c r="AB50" s="96" t="inlineStr">
        <is>
          <t>LCH04</t>
        </is>
      </c>
      <c r="AC50" s="96" t="inlineStr">
        <is>
          <t>SGN03</t>
        </is>
      </c>
    </row>
    <row r="51" ht="12" customHeight="1">
      <c r="A51" s="96" t="inlineStr">
        <is>
          <t>SKHU9924863</t>
        </is>
      </c>
      <c r="B51" s="161" t="inlineStr">
        <is>
          <t>2026-10-17</t>
        </is>
      </c>
      <c r="C51" s="96" t="inlineStr">
        <is>
          <t>SWIC</t>
        </is>
      </c>
      <c r="D51" s="96" t="inlineStr">
        <is>
          <t>2611N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VNSGN</t>
        </is>
      </c>
      <c r="J51" s="96" t="inlineStr">
        <is>
          <t>VNSGN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LCH04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HASLS22260900462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KHS</t>
        </is>
      </c>
      <c r="U51" s="97" t="n"/>
      <c r="V51" s="96" t="inlineStr">
        <is>
          <t>K0120023</t>
        </is>
      </c>
      <c r="W51" s="96" t="inlineStr">
        <is>
          <t>PTT GLOBAL CHEMICAL PUBLIC COMPANY</t>
        </is>
      </c>
      <c r="X51" s="96" t="inlineStr">
        <is>
          <t>VFD</t>
        </is>
      </c>
      <c r="Y51" s="96" t="inlineStr">
        <is>
          <t>TO ORDER OF ASIA COMMERCIAL BANK,</t>
        </is>
      </c>
      <c r="Z51" s="96" t="inlineStr">
        <is>
          <t>TAN PHONG PACKING COMPANY LIMITED</t>
        </is>
      </c>
      <c r="AA51" s="97" t="n">
        <v>25100</v>
      </c>
      <c r="AB51" s="96" t="inlineStr">
        <is>
          <t>LCH04</t>
        </is>
      </c>
      <c r="AC51" s="96" t="inlineStr">
        <is>
          <t>SGN03</t>
        </is>
      </c>
    </row>
    <row r="52" ht="12" customHeight="1">
      <c r="A52" s="96" t="inlineStr">
        <is>
          <t>SKHU9931796</t>
        </is>
      </c>
      <c r="B52" s="161" t="inlineStr">
        <is>
          <t>2026-10-17</t>
        </is>
      </c>
      <c r="C52" s="96" t="inlineStr">
        <is>
          <t>SWIC</t>
        </is>
      </c>
      <c r="D52" s="96" t="inlineStr">
        <is>
          <t>2611N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VNSGN</t>
        </is>
      </c>
      <c r="J52" s="96" t="inlineStr">
        <is>
          <t>VNSGN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LCH04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HASLS22260900462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KHS</t>
        </is>
      </c>
      <c r="U52" s="97" t="n"/>
      <c r="V52" s="96" t="inlineStr">
        <is>
          <t>K0120023</t>
        </is>
      </c>
      <c r="W52" s="96" t="inlineStr">
        <is>
          <t>PTT GLOBAL CHEMICAL PUBLIC COMPANY</t>
        </is>
      </c>
      <c r="X52" s="96" t="inlineStr">
        <is>
          <t>VFD</t>
        </is>
      </c>
      <c r="Y52" s="96" t="inlineStr">
        <is>
          <t>TO ORDER OF ASIA COMMERCIAL BANK,</t>
        </is>
      </c>
      <c r="Z52" s="96" t="inlineStr">
        <is>
          <t>TAN PHONG PACKING COMPANY LIMITED</t>
        </is>
      </c>
      <c r="AA52" s="97" t="n">
        <v>25100</v>
      </c>
      <c r="AB52" s="96" t="inlineStr">
        <is>
          <t>LCH04</t>
        </is>
      </c>
      <c r="AC52" s="96" t="inlineStr">
        <is>
          <t>SGN03</t>
        </is>
      </c>
    </row>
    <row r="53" ht="12" customHeight="1">
      <c r="A53" s="96" t="inlineStr">
        <is>
          <t>SKHU9931991</t>
        </is>
      </c>
      <c r="B53" s="161" t="inlineStr">
        <is>
          <t>2026-10-17</t>
        </is>
      </c>
      <c r="C53" s="96" t="inlineStr">
        <is>
          <t>SWIC</t>
        </is>
      </c>
      <c r="D53" s="96" t="inlineStr">
        <is>
          <t>2611N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KRPUS</t>
        </is>
      </c>
      <c r="J53" s="96" t="inlineStr">
        <is>
          <t>JPKIJ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LCH04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HASLS22260901519</t>
        </is>
      </c>
      <c r="R53" s="96" t="inlineStr">
        <is>
          <t>Y</t>
        </is>
      </c>
      <c r="S53" s="96" t="inlineStr">
        <is>
          <t>N</t>
        </is>
      </c>
      <c r="T53" s="96" t="inlineStr">
        <is>
          <t>KHS</t>
        </is>
      </c>
      <c r="U53" s="97" t="n"/>
      <c r="V53" s="96" t="inlineStr">
        <is>
          <t>K0120023</t>
        </is>
      </c>
      <c r="W53" s="96" t="inlineStr">
        <is>
          <t>PTT GLOBAL CHEMICAL PUBLIC COMPANY</t>
        </is>
      </c>
      <c r="X53" s="96" t="inlineStr">
        <is>
          <t>ONL</t>
        </is>
      </c>
      <c r="Y53" s="96" t="inlineStr">
        <is>
          <t>INABATA &amp; CO.,LTD</t>
        </is>
      </c>
      <c r="Z53" s="96" t="inlineStr">
        <is>
          <t>INABATA &amp; CO.,LTD</t>
        </is>
      </c>
      <c r="AA53" s="97" t="n">
        <v>24240</v>
      </c>
      <c r="AB53" s="96" t="inlineStr">
        <is>
          <t>LCH04</t>
        </is>
      </c>
      <c r="AC53" s="96" t="inlineStr">
        <is>
          <t>KIJ01</t>
        </is>
      </c>
    </row>
    <row r="54" ht="12" customHeight="1">
      <c r="A54" s="96" t="inlineStr">
        <is>
          <t>SKHU9936437</t>
        </is>
      </c>
      <c r="B54" s="161" t="inlineStr">
        <is>
          <t>2026-10-17</t>
        </is>
      </c>
      <c r="C54" s="96" t="inlineStr">
        <is>
          <t>SWIC</t>
        </is>
      </c>
      <c r="D54" s="96" t="inlineStr">
        <is>
          <t>2611N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LCH04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HASLS22260800970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KHS</t>
        </is>
      </c>
      <c r="U54" s="97" t="n"/>
      <c r="V54" s="96" t="inlineStr">
        <is>
          <t>K0120023</t>
        </is>
      </c>
      <c r="W54" s="96" t="inlineStr">
        <is>
          <t>PTT GLOBAL CHEMICAL PUBLIC COMPANY</t>
        </is>
      </c>
      <c r="X54" s="96" t="inlineStr">
        <is>
          <t>VFD</t>
        </is>
      </c>
      <c r="Y54" s="96" t="inlineStr">
        <is>
          <t>TO ORDER OF TECHCOMBANK - CHO LON</t>
        </is>
      </c>
      <c r="Z54" s="96" t="inlineStr">
        <is>
          <t>DUC THINH AN ONE MEMBER COMPANY</t>
        </is>
      </c>
      <c r="AA54" s="97" t="n">
        <v>23292.8</v>
      </c>
      <c r="AB54" s="96" t="inlineStr">
        <is>
          <t>LCH04</t>
        </is>
      </c>
      <c r="AC54" s="96" t="inlineStr">
        <is>
          <t>SGN03</t>
        </is>
      </c>
    </row>
    <row r="55" ht="12" customHeight="1">
      <c r="A55" s="96" t="inlineStr">
        <is>
          <t>SKLU0553775</t>
        </is>
      </c>
      <c r="B55" s="161" t="inlineStr">
        <is>
          <t>2026-10-17</t>
        </is>
      </c>
      <c r="C55" s="96" t="inlineStr">
        <is>
          <t>SWIC</t>
        </is>
      </c>
      <c r="D55" s="96" t="inlineStr">
        <is>
          <t>2611N</t>
        </is>
      </c>
      <c r="E55" s="96" t="inlineStr">
        <is>
          <t>22GP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VNSGN</t>
        </is>
      </c>
      <c r="J55" s="96" t="inlineStr">
        <is>
          <t>VNSGN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LCH04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HASLS22260800966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KHS</t>
        </is>
      </c>
      <c r="U55" s="97" t="n"/>
      <c r="V55" s="96" t="inlineStr">
        <is>
          <t>K0120021</t>
        </is>
      </c>
      <c r="W55" s="96" t="inlineStr">
        <is>
          <t>PTT GLOBAL CHEMICAL PUBLIC COMPANY</t>
        </is>
      </c>
      <c r="X55" s="96" t="inlineStr">
        <is>
          <t>VFD</t>
        </is>
      </c>
      <c r="Y55" s="96" t="inlineStr">
        <is>
          <t>TO ORDER OF VIETINBANK, BINH DUONG</t>
        </is>
      </c>
      <c r="Z55" s="96" t="inlineStr">
        <is>
          <t>CONG TY TNHH VIET AN PHA</t>
        </is>
      </c>
      <c r="AA55" s="97" t="n">
        <v>18072</v>
      </c>
      <c r="AB55" s="96" t="inlineStr">
        <is>
          <t>LCH04</t>
        </is>
      </c>
      <c r="AC55" s="96" t="inlineStr">
        <is>
          <t>SGN03</t>
        </is>
      </c>
    </row>
    <row r="56" ht="12" customHeight="1">
      <c r="A56" s="96" t="inlineStr">
        <is>
          <t>SKLU1102523</t>
        </is>
      </c>
      <c r="B56" s="161" t="inlineStr">
        <is>
          <t>2026-10-17</t>
        </is>
      </c>
      <c r="C56" s="96" t="inlineStr">
        <is>
          <t>SWIC</t>
        </is>
      </c>
      <c r="D56" s="96" t="inlineStr">
        <is>
          <t>2611N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KRPUS</t>
        </is>
      </c>
      <c r="J56" s="96" t="inlineStr">
        <is>
          <t>JPNAH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LCH04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HASLS22260900838</t>
        </is>
      </c>
      <c r="R56" s="96" t="inlineStr">
        <is>
          <t>Y</t>
        </is>
      </c>
      <c r="S56" s="96" t="inlineStr">
        <is>
          <t>N</t>
        </is>
      </c>
      <c r="T56" s="96" t="inlineStr">
        <is>
          <t>KHS</t>
        </is>
      </c>
      <c r="U56" s="97" t="n"/>
      <c r="V56" s="96" t="inlineStr">
        <is>
          <t>K0120021</t>
        </is>
      </c>
      <c r="W56" s="96" t="inlineStr">
        <is>
          <t>THAI POLYETHYLENE CO.,LTD.</t>
        </is>
      </c>
      <c r="X56" s="96" t="inlineStr">
        <is>
          <t>VFD</t>
        </is>
      </c>
      <c r="Y56" s="96" t="inlineStr">
        <is>
          <t>MITSUBISHI CORPORATION PLASTICS LTD</t>
        </is>
      </c>
      <c r="Z56" s="96" t="inlineStr">
        <is>
          <t>MITSUBISHI CORPORATION PLASTICS LTD</t>
        </is>
      </c>
      <c r="AA56" s="97" t="n">
        <v>15147</v>
      </c>
      <c r="AB56" s="96" t="inlineStr">
        <is>
          <t>LCH04</t>
        </is>
      </c>
      <c r="AC56" s="96" t="inlineStr">
        <is>
          <t>NAH01</t>
        </is>
      </c>
    </row>
    <row r="57" ht="12" customHeight="1">
      <c r="A57" s="96" t="inlineStr">
        <is>
          <t>SKLU1105667</t>
        </is>
      </c>
      <c r="B57" s="161" t="inlineStr">
        <is>
          <t>2026-10-17</t>
        </is>
      </c>
      <c r="C57" s="96" t="inlineStr">
        <is>
          <t>SWIC</t>
        </is>
      </c>
      <c r="D57" s="96" t="inlineStr">
        <is>
          <t>2611N</t>
        </is>
      </c>
      <c r="E57" s="96" t="inlineStr">
        <is>
          <t>22GP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VNSGN</t>
        </is>
      </c>
      <c r="J57" s="96" t="inlineStr">
        <is>
          <t>VNSGN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LCH04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HASLS22260902818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KHS</t>
        </is>
      </c>
      <c r="U57" s="97" t="n"/>
      <c r="V57" s="96" t="inlineStr">
        <is>
          <t>K0120021</t>
        </is>
      </c>
      <c r="W57" s="96" t="inlineStr">
        <is>
          <t>PTT GLOBAL CHEMICAL PUBLIC COMPANY</t>
        </is>
      </c>
      <c r="X57" s="96" t="inlineStr">
        <is>
          <t>VED</t>
        </is>
      </c>
      <c r="Y57" s="96" t="inlineStr">
        <is>
          <t>TO ORDER OF VIETINBANK,</t>
        </is>
      </c>
      <c r="Z57" s="96" t="inlineStr">
        <is>
          <t>CONG TY TNHH VIET AN PHA</t>
        </is>
      </c>
      <c r="AA57" s="97" t="n">
        <v>18072</v>
      </c>
      <c r="AB57" s="96" t="inlineStr">
        <is>
          <t>LCH04</t>
        </is>
      </c>
      <c r="AC57" s="96" t="inlineStr">
        <is>
          <t>SGN03</t>
        </is>
      </c>
    </row>
    <row r="58" ht="12" customHeight="1">
      <c r="A58" s="96" t="inlineStr">
        <is>
          <t>SKLU1115773</t>
        </is>
      </c>
      <c r="B58" s="161" t="inlineStr">
        <is>
          <t>2026-10-17</t>
        </is>
      </c>
      <c r="C58" s="96" t="inlineStr">
        <is>
          <t>SWIC</t>
        </is>
      </c>
      <c r="D58" s="96" t="inlineStr">
        <is>
          <t>2611N</t>
        </is>
      </c>
      <c r="E58" s="96" t="inlineStr">
        <is>
          <t>22GP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KRPUS</t>
        </is>
      </c>
      <c r="J58" s="96" t="inlineStr">
        <is>
          <t>JPKIJ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LCH04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HASLS22260902390</t>
        </is>
      </c>
      <c r="R58" s="96" t="inlineStr">
        <is>
          <t>Y</t>
        </is>
      </c>
      <c r="S58" s="96" t="inlineStr">
        <is>
          <t>N</t>
        </is>
      </c>
      <c r="T58" s="96" t="inlineStr">
        <is>
          <t>KHS</t>
        </is>
      </c>
      <c r="U58" s="97" t="n"/>
      <c r="V58" s="96" t="inlineStr">
        <is>
          <t>C0420003</t>
        </is>
      </c>
      <c r="W58" s="96" t="inlineStr">
        <is>
          <t>IRPC PUBLIC COMPANY LIMITED.</t>
        </is>
      </c>
      <c r="X58" s="96" t="inlineStr">
        <is>
          <t>VFD</t>
        </is>
      </c>
      <c r="Y58" s="96" t="inlineStr">
        <is>
          <t>TO ORDER OF SHIPPER</t>
        </is>
      </c>
      <c r="Z58" s="96" t="inlineStr">
        <is>
          <t>MITSUWA CO., LTD</t>
        </is>
      </c>
      <c r="AA58" s="97" t="n">
        <v>17340</v>
      </c>
      <c r="AB58" s="96" t="inlineStr">
        <is>
          <t>LCH04</t>
        </is>
      </c>
      <c r="AC58" s="96" t="inlineStr">
        <is>
          <t>KIJ01</t>
        </is>
      </c>
    </row>
    <row r="59" ht="12" customHeight="1">
      <c r="A59" s="96" t="inlineStr">
        <is>
          <t>SKLU1326610</t>
        </is>
      </c>
      <c r="B59" s="161" t="inlineStr">
        <is>
          <t>2026-10-17</t>
        </is>
      </c>
      <c r="C59" s="96" t="inlineStr">
        <is>
          <t>SWIC</t>
        </is>
      </c>
      <c r="D59" s="96" t="inlineStr">
        <is>
          <t>2611N</t>
        </is>
      </c>
      <c r="E59" s="96" t="inlineStr">
        <is>
          <t>22GP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VNSGN</t>
        </is>
      </c>
      <c r="J59" s="96" t="inlineStr">
        <is>
          <t>VNSGN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LCH04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HASLS22260800966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KHS</t>
        </is>
      </c>
      <c r="U59" s="97" t="n"/>
      <c r="V59" s="96" t="inlineStr">
        <is>
          <t>K0120021</t>
        </is>
      </c>
      <c r="W59" s="96" t="inlineStr">
        <is>
          <t>PTT GLOBAL CHEMICAL PUBLIC COMPANY</t>
        </is>
      </c>
      <c r="X59" s="96" t="inlineStr">
        <is>
          <t>VFD</t>
        </is>
      </c>
      <c r="Y59" s="96" t="inlineStr">
        <is>
          <t>TO ORDER OF VIETINBANK, BINH DUONG</t>
        </is>
      </c>
      <c r="Z59" s="96" t="inlineStr">
        <is>
          <t>CONG TY TNHH VIET AN PHA</t>
        </is>
      </c>
      <c r="AA59" s="97" t="n">
        <v>18072</v>
      </c>
      <c r="AB59" s="96" t="inlineStr">
        <is>
          <t>LCH04</t>
        </is>
      </c>
      <c r="AC59" s="96" t="inlineStr">
        <is>
          <t>SGN03</t>
        </is>
      </c>
    </row>
    <row r="60" ht="12" customHeight="1">
      <c r="A60" s="96" t="inlineStr">
        <is>
          <t>SKLU1344893</t>
        </is>
      </c>
      <c r="B60" s="161" t="inlineStr">
        <is>
          <t>2026-10-17</t>
        </is>
      </c>
      <c r="C60" s="96" t="inlineStr">
        <is>
          <t>SWIC</t>
        </is>
      </c>
      <c r="D60" s="96" t="inlineStr">
        <is>
          <t>2611N</t>
        </is>
      </c>
      <c r="E60" s="96" t="inlineStr">
        <is>
          <t>22GP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VNSGN</t>
        </is>
      </c>
      <c r="J60" s="96" t="inlineStr">
        <is>
          <t>VNSGN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LCH04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HASLS22260902676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KHS</t>
        </is>
      </c>
      <c r="U60" s="97" t="n"/>
      <c r="V60" s="96" t="inlineStr">
        <is>
          <t>K0120021</t>
        </is>
      </c>
      <c r="W60" s="96" t="inlineStr">
        <is>
          <t>THE THAI SUGAR TRADING CORPORATION</t>
        </is>
      </c>
      <c r="X60" s="96" t="inlineStr">
        <is>
          <t>VED</t>
        </is>
      </c>
      <c r="Y60" s="96" t="inlineStr">
        <is>
          <t>TO ORDER</t>
        </is>
      </c>
      <c r="Z60" s="96" t="inlineStr">
        <is>
          <t>PERFETTI VAN MELLE (VIETNAM)</t>
        </is>
      </c>
      <c r="AA60" s="97" t="n">
        <v>25080</v>
      </c>
      <c r="AB60" s="96" t="inlineStr">
        <is>
          <t>LCH04</t>
        </is>
      </c>
      <c r="AC60" s="96" t="inlineStr">
        <is>
          <t>SGN03</t>
        </is>
      </c>
    </row>
    <row r="61" ht="12" customHeight="1">
      <c r="A61" s="96" t="inlineStr">
        <is>
          <t>SKLU1409124</t>
        </is>
      </c>
      <c r="B61" s="161" t="inlineStr">
        <is>
          <t>2026-10-17</t>
        </is>
      </c>
      <c r="C61" s="96" t="inlineStr">
        <is>
          <t>SWIC</t>
        </is>
      </c>
      <c r="D61" s="96" t="inlineStr">
        <is>
          <t>2611N</t>
        </is>
      </c>
      <c r="E61" s="96" t="inlineStr">
        <is>
          <t>22GP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VNSGN</t>
        </is>
      </c>
      <c r="J61" s="96" t="inlineStr">
        <is>
          <t>VNSGN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LCH04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HASLS22260902818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KHS</t>
        </is>
      </c>
      <c r="U61" s="97" t="n"/>
      <c r="V61" s="96" t="inlineStr">
        <is>
          <t>K0120021</t>
        </is>
      </c>
      <c r="W61" s="96" t="inlineStr">
        <is>
          <t>PTT GLOBAL CHEMICAL PUBLIC COMPANY</t>
        </is>
      </c>
      <c r="X61" s="96" t="inlineStr">
        <is>
          <t>VED</t>
        </is>
      </c>
      <c r="Y61" s="96" t="inlineStr">
        <is>
          <t>TO ORDER OF VIETINBANK,</t>
        </is>
      </c>
      <c r="Z61" s="96" t="inlineStr">
        <is>
          <t>CONG TY TNHH VIET AN PHA</t>
        </is>
      </c>
      <c r="AA61" s="97" t="n">
        <v>18072</v>
      </c>
      <c r="AB61" s="96" t="inlineStr">
        <is>
          <t>LCH04</t>
        </is>
      </c>
      <c r="AC61" s="96" t="inlineStr">
        <is>
          <t>SGN03</t>
        </is>
      </c>
    </row>
    <row r="62" ht="12" customHeight="1">
      <c r="A62" s="96" t="inlineStr">
        <is>
          <t>SKLU1514475</t>
        </is>
      </c>
      <c r="B62" s="161" t="inlineStr">
        <is>
          <t>2026-10-17</t>
        </is>
      </c>
      <c r="C62" s="96" t="inlineStr">
        <is>
          <t>SWIC</t>
        </is>
      </c>
      <c r="D62" s="96" t="inlineStr">
        <is>
          <t>2611N</t>
        </is>
      </c>
      <c r="E62" s="96" t="inlineStr">
        <is>
          <t>22GP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VNSGN</t>
        </is>
      </c>
      <c r="J62" s="96" t="inlineStr">
        <is>
          <t>VNSGN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LCH04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HASLS22260902676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KHS</t>
        </is>
      </c>
      <c r="U62" s="97" t="n"/>
      <c r="V62" s="96" t="inlineStr">
        <is>
          <t>K0120021</t>
        </is>
      </c>
      <c r="W62" s="96" t="inlineStr">
        <is>
          <t>THE THAI SUGAR TRADING CORPORATION</t>
        </is>
      </c>
      <c r="X62" s="96" t="inlineStr">
        <is>
          <t>VFD</t>
        </is>
      </c>
      <c r="Y62" s="96" t="inlineStr">
        <is>
          <t>TO ORDER</t>
        </is>
      </c>
      <c r="Z62" s="96" t="inlineStr">
        <is>
          <t>PERFETTI VAN MELLE (VIETNAM)</t>
        </is>
      </c>
      <c r="AA62" s="97" t="n">
        <v>25080</v>
      </c>
      <c r="AB62" s="96" t="inlineStr">
        <is>
          <t>LCH04</t>
        </is>
      </c>
      <c r="AC62" s="96" t="inlineStr">
        <is>
          <t>SGN03</t>
        </is>
      </c>
    </row>
    <row r="63" ht="12" customHeight="1">
      <c r="A63" s="96" t="inlineStr">
        <is>
          <t>SKLU1524299</t>
        </is>
      </c>
      <c r="B63" s="161" t="inlineStr">
        <is>
          <t>2026-10-17</t>
        </is>
      </c>
      <c r="C63" s="96" t="inlineStr">
        <is>
          <t>SWIC</t>
        </is>
      </c>
      <c r="D63" s="96" t="inlineStr">
        <is>
          <t>2611N</t>
        </is>
      </c>
      <c r="E63" s="96" t="inlineStr">
        <is>
          <t>22GP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KRPUS</t>
        </is>
      </c>
      <c r="J63" s="96" t="inlineStr">
        <is>
          <t>JPMOJ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LCH04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HASLS22260902063</t>
        </is>
      </c>
      <c r="R63" s="96" t="inlineStr">
        <is>
          <t>Y</t>
        </is>
      </c>
      <c r="S63" s="96" t="inlineStr">
        <is>
          <t>N</t>
        </is>
      </c>
      <c r="T63" s="96" t="inlineStr">
        <is>
          <t>KHS</t>
        </is>
      </c>
      <c r="U63" s="97" t="n"/>
      <c r="V63" s="96" t="inlineStr">
        <is>
          <t>K0120021</t>
        </is>
      </c>
      <c r="W63" s="96" t="inlineStr">
        <is>
          <t>THAI POLYETHYLENE CO.,LTD.</t>
        </is>
      </c>
      <c r="X63" s="96" t="inlineStr">
        <is>
          <t>VFD</t>
        </is>
      </c>
      <c r="Y63" s="96" t="inlineStr">
        <is>
          <t>TOYOTSU CHEMIPLAS CORPORATION,</t>
        </is>
      </c>
      <c r="Z63" s="96" t="inlineStr">
        <is>
          <t>TOYOTSU CHEMIPLAS CORPORATION,</t>
        </is>
      </c>
      <c r="AA63" s="97" t="n">
        <v>15147</v>
      </c>
      <c r="AB63" s="96" t="inlineStr">
        <is>
          <t>LCH04</t>
        </is>
      </c>
      <c r="AC63" s="96" t="inlineStr">
        <is>
          <t>MOJ01</t>
        </is>
      </c>
    </row>
    <row r="64" ht="12" customHeight="1">
      <c r="A64" s="96" t="inlineStr">
        <is>
          <t>SKLU1534229</t>
        </is>
      </c>
      <c r="B64" s="161" t="inlineStr">
        <is>
          <t>2026-10-17</t>
        </is>
      </c>
      <c r="C64" s="96" t="inlineStr">
        <is>
          <t>SWIC</t>
        </is>
      </c>
      <c r="D64" s="96" t="inlineStr">
        <is>
          <t>2611N</t>
        </is>
      </c>
      <c r="E64" s="96" t="inlineStr">
        <is>
          <t>22GP</t>
        </is>
      </c>
      <c r="F64" s="96" t="inlineStr">
        <is>
          <t>SD</t>
        </is>
      </c>
      <c r="G64" s="96" t="inlineStr">
        <is>
          <t>THLCH</t>
        </is>
      </c>
      <c r="H64" s="96" t="inlineStr">
        <is>
          <t>THLCH</t>
        </is>
      </c>
      <c r="I64" s="96" t="inlineStr">
        <is>
          <t>VNSGN</t>
        </is>
      </c>
      <c r="J64" s="96" t="inlineStr">
        <is>
          <t>VNSGN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LCH04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HASLS22260902304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KHS</t>
        </is>
      </c>
      <c r="U64" s="97" t="n"/>
      <c r="V64" s="96" t="inlineStr">
        <is>
          <t>K0120021</t>
        </is>
      </c>
      <c r="W64" s="96" t="inlineStr">
        <is>
          <t>PTT GLOBAL CHEMICAL PUBLIC COMPANY</t>
        </is>
      </c>
      <c r="X64" s="96" t="inlineStr">
        <is>
          <t>VED</t>
        </is>
      </c>
      <c r="Y64" s="96" t="inlineStr">
        <is>
          <t>HONG TUONG CO.,LTD</t>
        </is>
      </c>
      <c r="Z64" s="96" t="inlineStr">
        <is>
          <t>HONG TUONG CO.,LTD</t>
        </is>
      </c>
      <c r="AA64" s="97" t="n">
        <v>18072</v>
      </c>
      <c r="AB64" s="96" t="inlineStr">
        <is>
          <t>LCH04</t>
        </is>
      </c>
      <c r="AC64" s="96" t="inlineStr">
        <is>
          <t>SGN03</t>
        </is>
      </c>
    </row>
    <row r="65" ht="12" customHeight="1">
      <c r="A65" s="96" t="inlineStr">
        <is>
          <t>SKLU1550425</t>
        </is>
      </c>
      <c r="B65" s="161" t="inlineStr">
        <is>
          <t>2026-10-17</t>
        </is>
      </c>
      <c r="C65" s="96" t="inlineStr">
        <is>
          <t>SWIC</t>
        </is>
      </c>
      <c r="D65" s="96" t="inlineStr">
        <is>
          <t>2611N</t>
        </is>
      </c>
      <c r="E65" s="96" t="inlineStr">
        <is>
          <t>22GP</t>
        </is>
      </c>
      <c r="F65" s="96" t="inlineStr">
        <is>
          <t>SD</t>
        </is>
      </c>
      <c r="G65" s="96" t="inlineStr">
        <is>
          <t>THLCH</t>
        </is>
      </c>
      <c r="H65" s="96" t="inlineStr">
        <is>
          <t>THLCH</t>
        </is>
      </c>
      <c r="I65" s="96" t="inlineStr">
        <is>
          <t>VNSGN</t>
        </is>
      </c>
      <c r="J65" s="96" t="inlineStr">
        <is>
          <t>VNSGN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LCH04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HASLS22260902676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KHS</t>
        </is>
      </c>
      <c r="U65" s="97" t="n"/>
      <c r="V65" s="96" t="inlineStr">
        <is>
          <t>K0120021</t>
        </is>
      </c>
      <c r="W65" s="96" t="inlineStr">
        <is>
          <t>THE THAI SUGAR TRADING CORPORATION</t>
        </is>
      </c>
      <c r="X65" s="96" t="inlineStr">
        <is>
          <t>VFD</t>
        </is>
      </c>
      <c r="Y65" s="96" t="inlineStr">
        <is>
          <t>TO ORDER</t>
        </is>
      </c>
      <c r="Z65" s="96" t="inlineStr">
        <is>
          <t>PERFETTI VAN MELLE (VIETNAM)</t>
        </is>
      </c>
      <c r="AA65" s="97" t="n">
        <v>25080</v>
      </c>
      <c r="AB65" s="96" t="inlineStr">
        <is>
          <t>LCH04</t>
        </is>
      </c>
      <c r="AC65" s="96" t="inlineStr">
        <is>
          <t>SGN03</t>
        </is>
      </c>
    </row>
    <row r="66" ht="12" customHeight="1">
      <c r="A66" s="96" t="inlineStr">
        <is>
          <t>SKLU1556697</t>
        </is>
      </c>
      <c r="B66" s="161" t="inlineStr">
        <is>
          <t>2026-10-17</t>
        </is>
      </c>
      <c r="C66" s="96" t="inlineStr">
        <is>
          <t>SWIC</t>
        </is>
      </c>
      <c r="D66" s="96" t="inlineStr">
        <is>
          <t>2611N</t>
        </is>
      </c>
      <c r="E66" s="96" t="inlineStr">
        <is>
          <t>22GP</t>
        </is>
      </c>
      <c r="F66" s="96" t="inlineStr">
        <is>
          <t>SD</t>
        </is>
      </c>
      <c r="G66" s="96" t="inlineStr">
        <is>
          <t>THLCH</t>
        </is>
      </c>
      <c r="H66" s="96" t="inlineStr">
        <is>
          <t>THLCH</t>
        </is>
      </c>
      <c r="I66" s="96" t="inlineStr">
        <is>
          <t>VNSGN</t>
        </is>
      </c>
      <c r="J66" s="96" t="inlineStr">
        <is>
          <t>VNSGN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LCH04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HASLS22260902676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KHS</t>
        </is>
      </c>
      <c r="U66" s="97" t="n"/>
      <c r="V66" s="96" t="inlineStr">
        <is>
          <t>K0120021</t>
        </is>
      </c>
      <c r="W66" s="96" t="inlineStr">
        <is>
          <t>THE THAI SUGAR TRADING CORPORATION</t>
        </is>
      </c>
      <c r="X66" s="96" t="inlineStr">
        <is>
          <t>VED</t>
        </is>
      </c>
      <c r="Y66" s="96" t="inlineStr">
        <is>
          <t>TO ORDER</t>
        </is>
      </c>
      <c r="Z66" s="96" t="inlineStr">
        <is>
          <t>PERFETTI VAN MELLE (VIETNAM)</t>
        </is>
      </c>
      <c r="AA66" s="97" t="n">
        <v>25080</v>
      </c>
      <c r="AB66" s="96" t="inlineStr">
        <is>
          <t>LCH04</t>
        </is>
      </c>
      <c r="AC66" s="96" t="inlineStr">
        <is>
          <t>SGN03</t>
        </is>
      </c>
    </row>
    <row r="67" ht="12" customHeight="1">
      <c r="A67" s="96" t="inlineStr">
        <is>
          <t>SKLU1594594</t>
        </is>
      </c>
      <c r="B67" s="161" t="inlineStr">
        <is>
          <t>2026-10-17</t>
        </is>
      </c>
      <c r="C67" s="96" t="inlineStr">
        <is>
          <t>SWIC</t>
        </is>
      </c>
      <c r="D67" s="96" t="inlineStr">
        <is>
          <t>2611N</t>
        </is>
      </c>
      <c r="E67" s="96" t="inlineStr">
        <is>
          <t>22GP</t>
        </is>
      </c>
      <c r="F67" s="96" t="inlineStr">
        <is>
          <t>SD</t>
        </is>
      </c>
      <c r="G67" s="96" t="inlineStr">
        <is>
          <t>THLCH</t>
        </is>
      </c>
      <c r="H67" s="96" t="inlineStr">
        <is>
          <t>THLCH</t>
        </is>
      </c>
      <c r="I67" s="96" t="inlineStr">
        <is>
          <t>VNSGN</t>
        </is>
      </c>
      <c r="J67" s="96" t="inlineStr">
        <is>
          <t>VNSGN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LCH04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HASLS22260800966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KHS</t>
        </is>
      </c>
      <c r="U67" s="97" t="n"/>
      <c r="V67" s="96" t="inlineStr">
        <is>
          <t>K0120021</t>
        </is>
      </c>
      <c r="W67" s="96" t="inlineStr">
        <is>
          <t>PTT GLOBAL CHEMICAL PUBLIC COMPANY</t>
        </is>
      </c>
      <c r="X67" s="96" t="inlineStr">
        <is>
          <t>VFD</t>
        </is>
      </c>
      <c r="Y67" s="96" t="inlineStr">
        <is>
          <t>TO ORDER OF VIETINBANK, BINH DUONG</t>
        </is>
      </c>
      <c r="Z67" s="96" t="inlineStr">
        <is>
          <t>CONG TY TNHH VIET AN PHA</t>
        </is>
      </c>
      <c r="AA67" s="97" t="n">
        <v>18072</v>
      </c>
      <c r="AB67" s="96" t="inlineStr">
        <is>
          <t>LCH04</t>
        </is>
      </c>
      <c r="AC67" s="96" t="inlineStr">
        <is>
          <t>SGN03</t>
        </is>
      </c>
    </row>
    <row r="68" ht="12" customHeight="1">
      <c r="A68" s="96" t="inlineStr">
        <is>
          <t>SKLU1597926</t>
        </is>
      </c>
      <c r="B68" s="161" t="inlineStr">
        <is>
          <t>2026-10-17</t>
        </is>
      </c>
      <c r="C68" s="96" t="inlineStr">
        <is>
          <t>SWIC</t>
        </is>
      </c>
      <c r="D68" s="96" t="inlineStr">
        <is>
          <t>2611N</t>
        </is>
      </c>
      <c r="E68" s="96" t="inlineStr">
        <is>
          <t>22GP</t>
        </is>
      </c>
      <c r="F68" s="96" t="inlineStr">
        <is>
          <t>SD</t>
        </is>
      </c>
      <c r="G68" s="96" t="inlineStr">
        <is>
          <t>THLCH</t>
        </is>
      </c>
      <c r="H68" s="96" t="inlineStr">
        <is>
          <t>THLCH</t>
        </is>
      </c>
      <c r="I68" s="96" t="inlineStr">
        <is>
          <t>VNSGN</t>
        </is>
      </c>
      <c r="J68" s="96" t="inlineStr">
        <is>
          <t>VNSGN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LCH04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HASLS22260902818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KHS</t>
        </is>
      </c>
      <c r="U68" s="97" t="n"/>
      <c r="V68" s="96" t="inlineStr">
        <is>
          <t>K0120021</t>
        </is>
      </c>
      <c r="W68" s="96" t="inlineStr">
        <is>
          <t>PTT GLOBAL CHEMICAL PUBLIC COMPANY</t>
        </is>
      </c>
      <c r="X68" s="96" t="inlineStr">
        <is>
          <t>VED</t>
        </is>
      </c>
      <c r="Y68" s="96" t="inlineStr">
        <is>
          <t>TO ORDER OF VIETINBANK,</t>
        </is>
      </c>
      <c r="Z68" s="96" t="inlineStr">
        <is>
          <t>CONG TY TNHH VIET AN PHA</t>
        </is>
      </c>
      <c r="AA68" s="97" t="n">
        <v>18072</v>
      </c>
      <c r="AB68" s="96" t="inlineStr">
        <is>
          <t>LCH04</t>
        </is>
      </c>
      <c r="AC68" s="96" t="inlineStr">
        <is>
          <t>SGN03</t>
        </is>
      </c>
    </row>
    <row r="69" ht="12" customHeight="1">
      <c r="A69" s="96" t="inlineStr">
        <is>
          <t>SKLU1630650</t>
        </is>
      </c>
      <c r="B69" s="161" t="inlineStr">
        <is>
          <t>2026-10-17</t>
        </is>
      </c>
      <c r="C69" s="96" t="inlineStr">
        <is>
          <t>SWIC</t>
        </is>
      </c>
      <c r="D69" s="96" t="inlineStr">
        <is>
          <t>2611N</t>
        </is>
      </c>
      <c r="E69" s="96" t="inlineStr">
        <is>
          <t>22GP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VNSGN</t>
        </is>
      </c>
      <c r="J69" s="96" t="inlineStr">
        <is>
          <t>VNSGN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LCH04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HASLS22261000763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KHS</t>
        </is>
      </c>
      <c r="U69" s="97" t="n"/>
      <c r="V69" s="96" t="inlineStr">
        <is>
          <t>K0120021</t>
        </is>
      </c>
      <c r="W69" s="96" t="inlineStr">
        <is>
          <t>WELLGROW GLASS INDUSTRY CO., LTD.</t>
        </is>
      </c>
      <c r="X69" s="96" t="inlineStr">
        <is>
          <t>VED</t>
        </is>
      </c>
      <c r="Y69" s="96" t="inlineStr">
        <is>
          <t>SAIGON COSMETICS CORPORATION</t>
        </is>
      </c>
      <c r="Z69" s="96" t="inlineStr">
        <is>
          <t>SAIGON COSMETICS CORPORATION</t>
        </is>
      </c>
      <c r="AA69" s="97" t="n">
        <v>12870</v>
      </c>
      <c r="AB69" s="96" t="inlineStr">
        <is>
          <t>LCH04</t>
        </is>
      </c>
      <c r="AC69" s="96" t="inlineStr">
        <is>
          <t>SGN03</t>
        </is>
      </c>
    </row>
    <row r="70" ht="12" customHeight="1">
      <c r="A70" s="96" t="inlineStr">
        <is>
          <t>SKLU1802152</t>
        </is>
      </c>
      <c r="B70" s="161" t="inlineStr">
        <is>
          <t>2026-10-17</t>
        </is>
      </c>
      <c r="C70" s="96" t="inlineStr">
        <is>
          <t>SWIC</t>
        </is>
      </c>
      <c r="D70" s="96" t="inlineStr">
        <is>
          <t>2611N</t>
        </is>
      </c>
      <c r="E70" s="96" t="inlineStr">
        <is>
          <t>22GP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KRPUS</t>
        </is>
      </c>
      <c r="J70" s="96" t="inlineStr">
        <is>
          <t>JPMOJ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LCH04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HASLS22260902063</t>
        </is>
      </c>
      <c r="R70" s="96" t="inlineStr">
        <is>
          <t>Y</t>
        </is>
      </c>
      <c r="S70" s="96" t="inlineStr">
        <is>
          <t>N</t>
        </is>
      </c>
      <c r="T70" s="96" t="inlineStr">
        <is>
          <t>KHS</t>
        </is>
      </c>
      <c r="U70" s="97" t="n"/>
      <c r="V70" s="96" t="inlineStr">
        <is>
          <t>K0120021</t>
        </is>
      </c>
      <c r="W70" s="96" t="inlineStr">
        <is>
          <t>THAI POLYETHYLENE CO.,LTD.</t>
        </is>
      </c>
      <c r="X70" s="96" t="inlineStr">
        <is>
          <t>VED</t>
        </is>
      </c>
      <c r="Y70" s="96" t="inlineStr">
        <is>
          <t>TOYOTSU CHEMIPLAS CORPORATION,</t>
        </is>
      </c>
      <c r="Z70" s="96" t="inlineStr">
        <is>
          <t>TOYOTSU CHEMIPLAS CORPORATION,</t>
        </is>
      </c>
      <c r="AA70" s="97" t="n">
        <v>15147</v>
      </c>
      <c r="AB70" s="96" t="inlineStr">
        <is>
          <t>LCH04</t>
        </is>
      </c>
      <c r="AC70" s="96" t="inlineStr">
        <is>
          <t>MOJ01</t>
        </is>
      </c>
    </row>
    <row r="71" ht="12" customHeight="1">
      <c r="A71" s="96" t="inlineStr">
        <is>
          <t>SKLU1803668</t>
        </is>
      </c>
      <c r="B71" s="161" t="inlineStr">
        <is>
          <t>2026-10-17</t>
        </is>
      </c>
      <c r="C71" s="96" t="inlineStr">
        <is>
          <t>SWIC</t>
        </is>
      </c>
      <c r="D71" s="96" t="inlineStr">
        <is>
          <t>2611N</t>
        </is>
      </c>
      <c r="E71" s="96" t="inlineStr">
        <is>
          <t>22GP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VNSGN</t>
        </is>
      </c>
      <c r="J71" s="96" t="inlineStr">
        <is>
          <t>VNSGN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LCH04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HASLS22260901329</t>
        </is>
      </c>
      <c r="R71" s="96" t="inlineStr">
        <is>
          <t>N</t>
        </is>
      </c>
      <c r="S71" s="96" t="inlineStr">
        <is>
          <t>N</t>
        </is>
      </c>
      <c r="T71" s="96" t="inlineStr">
        <is>
          <t>KHS</t>
        </is>
      </c>
      <c r="U71" s="97" t="n"/>
      <c r="V71" s="96" t="inlineStr">
        <is>
          <t>K0120021</t>
        </is>
      </c>
      <c r="W71" s="96" t="inlineStr">
        <is>
          <t>PTT GLOBAL CHEMICAL PUBLIC COMPANY</t>
        </is>
      </c>
      <c r="X71" s="96" t="inlineStr">
        <is>
          <t>VED</t>
        </is>
      </c>
      <c r="Y71" s="96" t="inlineStr">
        <is>
          <t>L.S PACK COMPANY LIMITED</t>
        </is>
      </c>
      <c r="Z71" s="96" t="inlineStr">
        <is>
          <t>L.S PACK COMPANY LIMITED</t>
        </is>
      </c>
      <c r="AA71" s="97" t="n">
        <v>18072</v>
      </c>
      <c r="AB71" s="96" t="inlineStr">
        <is>
          <t>LCH04</t>
        </is>
      </c>
      <c r="AC71" s="96" t="inlineStr">
        <is>
          <t>SGN03</t>
        </is>
      </c>
    </row>
    <row r="72" ht="12" customHeight="1">
      <c r="A72" s="96" t="inlineStr">
        <is>
          <t>SKLU1806610</t>
        </is>
      </c>
      <c r="B72" s="161" t="inlineStr">
        <is>
          <t>2026-10-17</t>
        </is>
      </c>
      <c r="C72" s="96" t="inlineStr">
        <is>
          <t>SWIC</t>
        </is>
      </c>
      <c r="D72" s="96" t="inlineStr">
        <is>
          <t>2611N</t>
        </is>
      </c>
      <c r="E72" s="96" t="inlineStr">
        <is>
          <t>22GP</t>
        </is>
      </c>
      <c r="F72" s="96" t="inlineStr">
        <is>
          <t>SD</t>
        </is>
      </c>
      <c r="G72" s="96" t="inlineStr">
        <is>
          <t>THLCH</t>
        </is>
      </c>
      <c r="H72" s="96" t="inlineStr">
        <is>
          <t>THLCH</t>
        </is>
      </c>
      <c r="I72" s="96" t="inlineStr">
        <is>
          <t>VNSGN</t>
        </is>
      </c>
      <c r="J72" s="96" t="inlineStr">
        <is>
          <t>VNSGN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LCH04</t>
        </is>
      </c>
      <c r="O72" s="96" t="inlineStr">
        <is>
          <t>LCH</t>
        </is>
      </c>
      <c r="P72" s="96" t="inlineStr">
        <is>
          <t>TH</t>
        </is>
      </c>
      <c r="Q72" s="96" t="inlineStr">
        <is>
          <t>HASLS22260902676</t>
        </is>
      </c>
      <c r="R72" s="96" t="inlineStr">
        <is>
          <t>N</t>
        </is>
      </c>
      <c r="S72" s="96" t="inlineStr">
        <is>
          <t>N</t>
        </is>
      </c>
      <c r="T72" s="96" t="inlineStr">
        <is>
          <t>KHS</t>
        </is>
      </c>
      <c r="U72" s="97" t="n"/>
      <c r="V72" s="96" t="inlineStr">
        <is>
          <t>K0120021</t>
        </is>
      </c>
      <c r="W72" s="96" t="inlineStr">
        <is>
          <t>THE THAI SUGAR TRADING CORPORATION</t>
        </is>
      </c>
      <c r="X72" s="96" t="inlineStr">
        <is>
          <t>VED</t>
        </is>
      </c>
      <c r="Y72" s="96" t="inlineStr">
        <is>
          <t>TO ORDER</t>
        </is>
      </c>
      <c r="Z72" s="96" t="inlineStr">
        <is>
          <t>PERFETTI VAN MELLE (VIETNAM)</t>
        </is>
      </c>
      <c r="AA72" s="97" t="n">
        <v>25080</v>
      </c>
      <c r="AB72" s="96" t="inlineStr">
        <is>
          <t>LCH04</t>
        </is>
      </c>
      <c r="AC72" s="96" t="inlineStr">
        <is>
          <t>SGN03</t>
        </is>
      </c>
    </row>
    <row r="73" ht="12" customHeight="1">
      <c r="A73" s="96" t="inlineStr">
        <is>
          <t>SKLU1821677</t>
        </is>
      </c>
      <c r="B73" s="161" t="inlineStr">
        <is>
          <t>2026-10-17</t>
        </is>
      </c>
      <c r="C73" s="96" t="inlineStr">
        <is>
          <t>SWIC</t>
        </is>
      </c>
      <c r="D73" s="96" t="inlineStr">
        <is>
          <t>2611N</t>
        </is>
      </c>
      <c r="E73" s="96" t="inlineStr">
        <is>
          <t>22GP</t>
        </is>
      </c>
      <c r="F73" s="96" t="inlineStr">
        <is>
          <t>SD</t>
        </is>
      </c>
      <c r="G73" s="96" t="inlineStr">
        <is>
          <t>THLCH</t>
        </is>
      </c>
      <c r="H73" s="96" t="inlineStr">
        <is>
          <t>THLCH</t>
        </is>
      </c>
      <c r="I73" s="96" t="inlineStr">
        <is>
          <t>KRPUS</t>
        </is>
      </c>
      <c r="J73" s="96" t="inlineStr">
        <is>
          <t>JPNAH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LCH04</t>
        </is>
      </c>
      <c r="O73" s="96" t="inlineStr">
        <is>
          <t>LCH</t>
        </is>
      </c>
      <c r="P73" s="96" t="inlineStr">
        <is>
          <t>TH</t>
        </is>
      </c>
      <c r="Q73" s="96" t="inlineStr">
        <is>
          <t>HASLS22260900838</t>
        </is>
      </c>
      <c r="R73" s="96" t="inlineStr">
        <is>
          <t>Y</t>
        </is>
      </c>
      <c r="S73" s="96" t="inlineStr">
        <is>
          <t>N</t>
        </is>
      </c>
      <c r="T73" s="96" t="inlineStr">
        <is>
          <t>KHS</t>
        </is>
      </c>
      <c r="U73" s="97" t="n"/>
      <c r="V73" s="96" t="inlineStr">
        <is>
          <t>K0120021</t>
        </is>
      </c>
      <c r="W73" s="96" t="inlineStr">
        <is>
          <t>THAI POLYETHYLENE CO.,LTD.</t>
        </is>
      </c>
      <c r="X73" s="96" t="inlineStr">
        <is>
          <t>VFD</t>
        </is>
      </c>
      <c r="Y73" s="96" t="inlineStr">
        <is>
          <t>MITSUBISHI CORPORATION PLASTICS LTD</t>
        </is>
      </c>
      <c r="Z73" s="96" t="inlineStr">
        <is>
          <t>MITSUBISHI CORPORATION PLASTICS LTD</t>
        </is>
      </c>
      <c r="AA73" s="97" t="n">
        <v>15147</v>
      </c>
      <c r="AB73" s="96" t="inlineStr">
        <is>
          <t>LCH04</t>
        </is>
      </c>
      <c r="AC73" s="96" t="inlineStr">
        <is>
          <t>NAH01</t>
        </is>
      </c>
    </row>
    <row r="74" ht="12" customHeight="1">
      <c r="A74" s="96" t="inlineStr">
        <is>
          <t>SKLU1822246</t>
        </is>
      </c>
      <c r="B74" s="161" t="inlineStr">
        <is>
          <t>2026-10-17</t>
        </is>
      </c>
      <c r="C74" s="96" t="inlineStr">
        <is>
          <t>SWIC</t>
        </is>
      </c>
      <c r="D74" s="96" t="inlineStr">
        <is>
          <t>2611N</t>
        </is>
      </c>
      <c r="E74" s="96" t="inlineStr">
        <is>
          <t>22GP</t>
        </is>
      </c>
      <c r="F74" s="96" t="inlineStr">
        <is>
          <t>SD</t>
        </is>
      </c>
      <c r="G74" s="96" t="inlineStr">
        <is>
          <t>THLCH</t>
        </is>
      </c>
      <c r="H74" s="96" t="inlineStr">
        <is>
          <t>THLCH</t>
        </is>
      </c>
      <c r="I74" s="96" t="inlineStr">
        <is>
          <t>VNSGN</t>
        </is>
      </c>
      <c r="J74" s="96" t="inlineStr">
        <is>
          <t>VNSGN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LCH04</t>
        </is>
      </c>
      <c r="O74" s="96" t="inlineStr">
        <is>
          <t>LCH</t>
        </is>
      </c>
      <c r="P74" s="96" t="inlineStr">
        <is>
          <t>TH</t>
        </is>
      </c>
      <c r="Q74" s="96" t="inlineStr">
        <is>
          <t>HASLS22260800966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KHS</t>
        </is>
      </c>
      <c r="U74" s="97" t="n"/>
      <c r="V74" s="96" t="inlineStr">
        <is>
          <t>K0120021</t>
        </is>
      </c>
      <c r="W74" s="96" t="inlineStr">
        <is>
          <t>PTT GLOBAL CHEMICAL PUBLIC COMPANY</t>
        </is>
      </c>
      <c r="X74" s="96" t="inlineStr">
        <is>
          <t>VFD</t>
        </is>
      </c>
      <c r="Y74" s="96" t="inlineStr">
        <is>
          <t>TO ORDER OF VIETINBANK, BINH DUONG</t>
        </is>
      </c>
      <c r="Z74" s="96" t="inlineStr">
        <is>
          <t>CONG TY TNHH VIET AN PHA</t>
        </is>
      </c>
      <c r="AA74" s="97" t="n">
        <v>18072</v>
      </c>
      <c r="AB74" s="96" t="inlineStr">
        <is>
          <t>LCH04</t>
        </is>
      </c>
      <c r="AC74" s="96" t="inlineStr">
        <is>
          <t>SGN03</t>
        </is>
      </c>
    </row>
    <row r="75" ht="12" customHeight="1">
      <c r="A75" s="96" t="inlineStr">
        <is>
          <t>SKLU1911111</t>
        </is>
      </c>
      <c r="B75" s="161" t="inlineStr">
        <is>
          <t>2026-10-17</t>
        </is>
      </c>
      <c r="C75" s="96" t="inlineStr">
        <is>
          <t>SWIC</t>
        </is>
      </c>
      <c r="D75" s="96" t="inlineStr">
        <is>
          <t>2611N</t>
        </is>
      </c>
      <c r="E75" s="96" t="inlineStr">
        <is>
          <t>22GP</t>
        </is>
      </c>
      <c r="F75" s="96" t="inlineStr">
        <is>
          <t>SD</t>
        </is>
      </c>
      <c r="G75" s="96" t="inlineStr">
        <is>
          <t>THLCH</t>
        </is>
      </c>
      <c r="H75" s="96" t="inlineStr">
        <is>
          <t>THLCH</t>
        </is>
      </c>
      <c r="I75" s="96" t="inlineStr">
        <is>
          <t>VNSGN</t>
        </is>
      </c>
      <c r="J75" s="96" t="inlineStr">
        <is>
          <t>VNSGN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LCH04</t>
        </is>
      </c>
      <c r="O75" s="96" t="inlineStr">
        <is>
          <t>LCH</t>
        </is>
      </c>
      <c r="P75" s="96" t="inlineStr">
        <is>
          <t>TH</t>
        </is>
      </c>
      <c r="Q75" s="96" t="inlineStr">
        <is>
          <t>HASLS22260902676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KHS</t>
        </is>
      </c>
      <c r="U75" s="97" t="n"/>
      <c r="V75" s="96" t="inlineStr">
        <is>
          <t>K0120021</t>
        </is>
      </c>
      <c r="W75" s="96" t="inlineStr">
        <is>
          <t>THE THAI SUGAR TRADING CORPORATION</t>
        </is>
      </c>
      <c r="X75" s="96" t="inlineStr">
        <is>
          <t>VED</t>
        </is>
      </c>
      <c r="Y75" s="96" t="inlineStr">
        <is>
          <t>TO ORDER</t>
        </is>
      </c>
      <c r="Z75" s="96" t="inlineStr">
        <is>
          <t>PERFETTI VAN MELLE (VIETNAM)</t>
        </is>
      </c>
      <c r="AA75" s="97" t="n">
        <v>25080</v>
      </c>
      <c r="AB75" s="96" t="inlineStr">
        <is>
          <t>LCH04</t>
        </is>
      </c>
      <c r="AC75" s="96" t="inlineStr">
        <is>
          <t>SGN03</t>
        </is>
      </c>
    </row>
    <row r="76" ht="12" customHeight="1">
      <c r="A76" s="96" t="inlineStr">
        <is>
          <t>SKLU1919684</t>
        </is>
      </c>
      <c r="B76" s="161" t="inlineStr">
        <is>
          <t>2026-10-17</t>
        </is>
      </c>
      <c r="C76" s="96" t="inlineStr">
        <is>
          <t>SWIC</t>
        </is>
      </c>
      <c r="D76" s="96" t="inlineStr">
        <is>
          <t>2611N</t>
        </is>
      </c>
      <c r="E76" s="96" t="inlineStr">
        <is>
          <t>22GP</t>
        </is>
      </c>
      <c r="F76" s="96" t="inlineStr">
        <is>
          <t>SD</t>
        </is>
      </c>
      <c r="G76" s="96" t="inlineStr">
        <is>
          <t>THLCH</t>
        </is>
      </c>
      <c r="H76" s="96" t="inlineStr">
        <is>
          <t>THLCH</t>
        </is>
      </c>
      <c r="I76" s="96" t="inlineStr">
        <is>
          <t>VNSGN</t>
        </is>
      </c>
      <c r="J76" s="96" t="inlineStr">
        <is>
          <t>VNSGN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LCH04</t>
        </is>
      </c>
      <c r="O76" s="96" t="inlineStr">
        <is>
          <t>LCH</t>
        </is>
      </c>
      <c r="P76" s="96" t="inlineStr">
        <is>
          <t>TH</t>
        </is>
      </c>
      <c r="Q76" s="96" t="inlineStr">
        <is>
          <t>HASLS22260901329</t>
        </is>
      </c>
      <c r="R76" s="96" t="inlineStr">
        <is>
          <t>N</t>
        </is>
      </c>
      <c r="S76" s="96" t="inlineStr">
        <is>
          <t>N</t>
        </is>
      </c>
      <c r="T76" s="96" t="inlineStr">
        <is>
          <t>KHS</t>
        </is>
      </c>
      <c r="U76" s="97" t="n"/>
      <c r="V76" s="96" t="inlineStr">
        <is>
          <t>K0120021</t>
        </is>
      </c>
      <c r="W76" s="96" t="inlineStr">
        <is>
          <t>PTT GLOBAL CHEMICAL PUBLIC COMPANY</t>
        </is>
      </c>
      <c r="X76" s="96" t="inlineStr">
        <is>
          <t>VFD</t>
        </is>
      </c>
      <c r="Y76" s="96" t="inlineStr">
        <is>
          <t>L.S PACK COMPANY LIMITED</t>
        </is>
      </c>
      <c r="Z76" s="96" t="inlineStr">
        <is>
          <t>L.S PACK COMPANY LIMITED</t>
        </is>
      </c>
      <c r="AA76" s="97" t="n">
        <v>18072</v>
      </c>
      <c r="AB76" s="96" t="inlineStr">
        <is>
          <t>LCH04</t>
        </is>
      </c>
      <c r="AC76" s="96" t="inlineStr">
        <is>
          <t>SGN03</t>
        </is>
      </c>
    </row>
    <row r="77" ht="12" customHeight="1">
      <c r="A77" s="96" t="inlineStr">
        <is>
          <t>SKLU1938581</t>
        </is>
      </c>
      <c r="B77" s="161" t="inlineStr">
        <is>
          <t>2026-10-17</t>
        </is>
      </c>
      <c r="C77" s="96" t="inlineStr">
        <is>
          <t>SWIC</t>
        </is>
      </c>
      <c r="D77" s="96" t="inlineStr">
        <is>
          <t>2611N</t>
        </is>
      </c>
      <c r="E77" s="96" t="inlineStr">
        <is>
          <t>22GP</t>
        </is>
      </c>
      <c r="F77" s="96" t="inlineStr">
        <is>
          <t>SD</t>
        </is>
      </c>
      <c r="G77" s="96" t="inlineStr">
        <is>
          <t>THLCH</t>
        </is>
      </c>
      <c r="H77" s="96" t="inlineStr">
        <is>
          <t>THLCH</t>
        </is>
      </c>
      <c r="I77" s="96" t="inlineStr">
        <is>
          <t>VNSGN</t>
        </is>
      </c>
      <c r="J77" s="96" t="inlineStr">
        <is>
          <t>VNSGN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LCH04</t>
        </is>
      </c>
      <c r="O77" s="96" t="inlineStr">
        <is>
          <t>LCH</t>
        </is>
      </c>
      <c r="P77" s="96" t="inlineStr">
        <is>
          <t>TH</t>
        </is>
      </c>
      <c r="Q77" s="96" t="inlineStr">
        <is>
          <t>HASLS22260902676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KHS</t>
        </is>
      </c>
      <c r="U77" s="97" t="n"/>
      <c r="V77" s="96" t="inlineStr">
        <is>
          <t>K0120021</t>
        </is>
      </c>
      <c r="W77" s="96" t="inlineStr">
        <is>
          <t>THE THAI SUGAR TRADING CORPORATION</t>
        </is>
      </c>
      <c r="X77" s="96" t="inlineStr">
        <is>
          <t>VED</t>
        </is>
      </c>
      <c r="Y77" s="96" t="inlineStr">
        <is>
          <t>TO ORDER</t>
        </is>
      </c>
      <c r="Z77" s="96" t="inlineStr">
        <is>
          <t>PERFETTI VAN MELLE (VIETNAM)</t>
        </is>
      </c>
      <c r="AA77" s="97" t="n">
        <v>25080</v>
      </c>
      <c r="AB77" s="96" t="inlineStr">
        <is>
          <t>LCH04</t>
        </is>
      </c>
      <c r="AC77" s="96" t="inlineStr">
        <is>
          <t>SGN03</t>
        </is>
      </c>
    </row>
    <row r="78" ht="12" customHeight="1">
      <c r="A78" s="96" t="inlineStr">
        <is>
          <t>SKLU1961154</t>
        </is>
      </c>
      <c r="B78" s="161" t="inlineStr">
        <is>
          <t>2026-10-17</t>
        </is>
      </c>
      <c r="C78" s="96" t="inlineStr">
        <is>
          <t>SWIC</t>
        </is>
      </c>
      <c r="D78" s="96" t="inlineStr">
        <is>
          <t>2611N</t>
        </is>
      </c>
      <c r="E78" s="96" t="inlineStr">
        <is>
          <t>22GP</t>
        </is>
      </c>
      <c r="F78" s="96" t="inlineStr">
        <is>
          <t>SD</t>
        </is>
      </c>
      <c r="G78" s="96" t="inlineStr">
        <is>
          <t>THLCH</t>
        </is>
      </c>
      <c r="H78" s="96" t="inlineStr">
        <is>
          <t>THLCH</t>
        </is>
      </c>
      <c r="I78" s="96" t="inlineStr">
        <is>
          <t>VNSGN</t>
        </is>
      </c>
      <c r="J78" s="96" t="inlineStr">
        <is>
          <t>VNSGN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LCH04</t>
        </is>
      </c>
      <c r="O78" s="96" t="inlineStr">
        <is>
          <t>LCH</t>
        </is>
      </c>
      <c r="P78" s="96" t="inlineStr">
        <is>
          <t>TH</t>
        </is>
      </c>
      <c r="Q78" s="96" t="inlineStr">
        <is>
          <t>HASLS22261000325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KHS</t>
        </is>
      </c>
      <c r="U78" s="97" t="n"/>
      <c r="V78" s="96" t="inlineStr">
        <is>
          <t>K0120021</t>
        </is>
      </c>
      <c r="W78" s="96" t="inlineStr">
        <is>
          <t>EASTERN AIR LOGISTICS CO., LTD.</t>
        </is>
      </c>
      <c r="X78" s="96" t="inlineStr">
        <is>
          <t>VED</t>
        </is>
      </c>
      <c r="Y78" s="96" t="inlineStr">
        <is>
          <t>SMART NETWORK LOGISTICS CO., LTD</t>
        </is>
      </c>
      <c r="Z78" s="96" t="inlineStr">
        <is>
          <t>SMART NETWORK LOGISTICS CO., LTD</t>
        </is>
      </c>
      <c r="AA78" s="97" t="n">
        <v>11485</v>
      </c>
      <c r="AB78" s="96" t="inlineStr">
        <is>
          <t>LCH04</t>
        </is>
      </c>
      <c r="AC78" s="96" t="inlineStr">
        <is>
          <t>SGN03</t>
        </is>
      </c>
    </row>
    <row r="79" ht="12" customHeight="1">
      <c r="A79" s="96" t="inlineStr">
        <is>
          <t>SKLU1979282</t>
        </is>
      </c>
      <c r="B79" s="161" t="inlineStr">
        <is>
          <t>2026-10-17</t>
        </is>
      </c>
      <c r="C79" s="96" t="inlineStr">
        <is>
          <t>SWIC</t>
        </is>
      </c>
      <c r="D79" s="96" t="inlineStr">
        <is>
          <t>2611N</t>
        </is>
      </c>
      <c r="E79" s="96" t="inlineStr">
        <is>
          <t>22GP</t>
        </is>
      </c>
      <c r="F79" s="96" t="inlineStr">
        <is>
          <t>SD</t>
        </is>
      </c>
      <c r="G79" s="96" t="inlineStr">
        <is>
          <t>THLCH</t>
        </is>
      </c>
      <c r="H79" s="96" t="inlineStr">
        <is>
          <t>THLCH</t>
        </is>
      </c>
      <c r="I79" s="96" t="inlineStr">
        <is>
          <t>KRPUS</t>
        </is>
      </c>
      <c r="J79" s="96" t="inlineStr">
        <is>
          <t>JPMOJ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LCH04</t>
        </is>
      </c>
      <c r="O79" s="96" t="inlineStr">
        <is>
          <t>LCH</t>
        </is>
      </c>
      <c r="P79" s="96" t="inlineStr">
        <is>
          <t>TH</t>
        </is>
      </c>
      <c r="Q79" s="96" t="inlineStr">
        <is>
          <t>HASLS22260902063</t>
        </is>
      </c>
      <c r="R79" s="96" t="inlineStr">
        <is>
          <t>Y</t>
        </is>
      </c>
      <c r="S79" s="96" t="inlineStr">
        <is>
          <t>N</t>
        </is>
      </c>
      <c r="T79" s="96" t="inlineStr">
        <is>
          <t>KHS</t>
        </is>
      </c>
      <c r="U79" s="97" t="n"/>
      <c r="V79" s="96" t="inlineStr">
        <is>
          <t>K0120021</t>
        </is>
      </c>
      <c r="W79" s="96" t="inlineStr">
        <is>
          <t>THAI POLYETHYLENE CO.,LTD.</t>
        </is>
      </c>
      <c r="X79" s="96" t="inlineStr">
        <is>
          <t>VFD</t>
        </is>
      </c>
      <c r="Y79" s="96" t="inlineStr">
        <is>
          <t>TOYOTSU CHEMIPLAS CORPORATION,</t>
        </is>
      </c>
      <c r="Z79" s="96" t="inlineStr">
        <is>
          <t>TOYOTSU CHEMIPLAS CORPORATION,</t>
        </is>
      </c>
      <c r="AA79" s="97" t="n">
        <v>15147</v>
      </c>
      <c r="AB79" s="96" t="inlineStr">
        <is>
          <t>LCH04</t>
        </is>
      </c>
      <c r="AC79" s="96" t="inlineStr">
        <is>
          <t>MOJ01</t>
        </is>
      </c>
    </row>
    <row r="80" ht="12" customHeight="1">
      <c r="A80" s="96" t="inlineStr">
        <is>
          <t>SKLU1993608</t>
        </is>
      </c>
      <c r="B80" s="161" t="inlineStr">
        <is>
          <t>2026-10-17</t>
        </is>
      </c>
      <c r="C80" s="96" t="inlineStr">
        <is>
          <t>SWIC</t>
        </is>
      </c>
      <c r="D80" s="96" t="inlineStr">
        <is>
          <t>2611N</t>
        </is>
      </c>
      <c r="E80" s="96" t="inlineStr">
        <is>
          <t>22GP</t>
        </is>
      </c>
      <c r="F80" s="96" t="inlineStr">
        <is>
          <t>SD</t>
        </is>
      </c>
      <c r="G80" s="96" t="inlineStr">
        <is>
          <t>THLCH</t>
        </is>
      </c>
      <c r="H80" s="96" t="inlineStr">
        <is>
          <t>THLCH</t>
        </is>
      </c>
      <c r="I80" s="96" t="inlineStr">
        <is>
          <t>KRPUS</t>
        </is>
      </c>
      <c r="J80" s="96" t="inlineStr">
        <is>
          <t>JPNAH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LCH04</t>
        </is>
      </c>
      <c r="O80" s="96" t="inlineStr">
        <is>
          <t>LCH</t>
        </is>
      </c>
      <c r="P80" s="96" t="inlineStr">
        <is>
          <t>TH</t>
        </is>
      </c>
      <c r="Q80" s="96" t="inlineStr">
        <is>
          <t>HASLS22260902232</t>
        </is>
      </c>
      <c r="R80" s="96" t="inlineStr">
        <is>
          <t>Y</t>
        </is>
      </c>
      <c r="S80" s="96" t="inlineStr">
        <is>
          <t>N</t>
        </is>
      </c>
      <c r="T80" s="96" t="inlineStr">
        <is>
          <t>KHS</t>
        </is>
      </c>
      <c r="U80" s="97" t="n"/>
      <c r="V80" s="96" t="inlineStr">
        <is>
          <t>K0120021</t>
        </is>
      </c>
      <c r="W80" s="96" t="inlineStr">
        <is>
          <t>THAI POLYETHYLENE CO., LTD.</t>
        </is>
      </c>
      <c r="X80" s="96" t="inlineStr">
        <is>
          <t>VFD</t>
        </is>
      </c>
      <c r="Y80" s="96" t="inlineStr">
        <is>
          <t>MITSUI &amp; CO. PLASTICS LTD. TGSD</t>
        </is>
      </c>
      <c r="Z80" s="96" t="inlineStr">
        <is>
          <t>MITSUI &amp; CO. PLASTICS LTD. TGSD</t>
        </is>
      </c>
      <c r="AA80" s="97" t="n">
        <v>15147</v>
      </c>
      <c r="AB80" s="96" t="inlineStr">
        <is>
          <t>LCH04</t>
        </is>
      </c>
      <c r="AC80" s="96" t="inlineStr">
        <is>
          <t>NAH01</t>
        </is>
      </c>
    </row>
    <row r="81" ht="12" customHeight="1">
      <c r="A81" s="96" t="inlineStr">
        <is>
          <t>SKLU1999988</t>
        </is>
      </c>
      <c r="B81" s="161" t="inlineStr">
        <is>
          <t>2026-10-17</t>
        </is>
      </c>
      <c r="C81" s="96" t="inlineStr">
        <is>
          <t>SWIC</t>
        </is>
      </c>
      <c r="D81" s="96" t="inlineStr">
        <is>
          <t>2611N</t>
        </is>
      </c>
      <c r="E81" s="96" t="inlineStr">
        <is>
          <t>22GP</t>
        </is>
      </c>
      <c r="F81" s="96" t="inlineStr">
        <is>
          <t>SD</t>
        </is>
      </c>
      <c r="G81" s="96" t="inlineStr">
        <is>
          <t>THLCH</t>
        </is>
      </c>
      <c r="H81" s="96" t="inlineStr">
        <is>
          <t>THLCH</t>
        </is>
      </c>
      <c r="I81" s="96" t="inlineStr">
        <is>
          <t>VNSGN</t>
        </is>
      </c>
      <c r="J81" s="96" t="inlineStr">
        <is>
          <t>VNSGN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LCH04</t>
        </is>
      </c>
      <c r="O81" s="96" t="inlineStr">
        <is>
          <t>LCH</t>
        </is>
      </c>
      <c r="P81" s="96" t="inlineStr">
        <is>
          <t>TH</t>
        </is>
      </c>
      <c r="Q81" s="96" t="inlineStr">
        <is>
          <t>HASLS22260902676</t>
        </is>
      </c>
      <c r="R81" s="96" t="inlineStr">
        <is>
          <t>N</t>
        </is>
      </c>
      <c r="S81" s="96" t="inlineStr">
        <is>
          <t>N</t>
        </is>
      </c>
      <c r="T81" s="96" t="inlineStr">
        <is>
          <t>KHS</t>
        </is>
      </c>
      <c r="U81" s="97" t="n"/>
      <c r="V81" s="96" t="inlineStr">
        <is>
          <t>K0120021</t>
        </is>
      </c>
      <c r="W81" s="96" t="inlineStr">
        <is>
          <t>THE THAI SUGAR TRADING CORPORATION</t>
        </is>
      </c>
      <c r="X81" s="96" t="inlineStr">
        <is>
          <t>VFD</t>
        </is>
      </c>
      <c r="Y81" s="96" t="inlineStr">
        <is>
          <t>TO ORDER</t>
        </is>
      </c>
      <c r="Z81" s="96" t="inlineStr">
        <is>
          <t>PERFETTI VAN MELLE (VIETNAM)</t>
        </is>
      </c>
      <c r="AA81" s="97" t="n">
        <v>25080</v>
      </c>
      <c r="AB81" s="96" t="inlineStr">
        <is>
          <t>LCH04</t>
        </is>
      </c>
      <c r="AC81" s="96" t="inlineStr">
        <is>
          <t>SGN03</t>
        </is>
      </c>
    </row>
    <row r="82" ht="12" customHeight="1">
      <c r="A82" s="96" t="inlineStr">
        <is>
          <t>SKLU2011990</t>
        </is>
      </c>
      <c r="B82" s="161" t="inlineStr">
        <is>
          <t>2026-10-17</t>
        </is>
      </c>
      <c r="C82" s="96" t="inlineStr">
        <is>
          <t>SWIC</t>
        </is>
      </c>
      <c r="D82" s="96" t="inlineStr">
        <is>
          <t>2611N</t>
        </is>
      </c>
      <c r="E82" s="96" t="inlineStr">
        <is>
          <t>22GP</t>
        </is>
      </c>
      <c r="F82" s="96" t="inlineStr">
        <is>
          <t>SD</t>
        </is>
      </c>
      <c r="G82" s="96" t="inlineStr">
        <is>
          <t>THLCH</t>
        </is>
      </c>
      <c r="H82" s="96" t="inlineStr">
        <is>
          <t>THLCH</t>
        </is>
      </c>
      <c r="I82" s="96" t="inlineStr">
        <is>
          <t>KRUSN</t>
        </is>
      </c>
      <c r="J82" s="96" t="inlineStr">
        <is>
          <t>KRUSN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LCH04</t>
        </is>
      </c>
      <c r="O82" s="96" t="inlineStr">
        <is>
          <t>LCH</t>
        </is>
      </c>
      <c r="P82" s="96" t="inlineStr">
        <is>
          <t>TH</t>
        </is>
      </c>
      <c r="Q82" s="96" t="inlineStr">
        <is>
          <t>HASLS22260900880</t>
        </is>
      </c>
      <c r="R82" s="96" t="inlineStr">
        <is>
          <t>N</t>
        </is>
      </c>
      <c r="S82" s="96" t="inlineStr">
        <is>
          <t>N</t>
        </is>
      </c>
      <c r="T82" s="96" t="inlineStr">
        <is>
          <t>KHS</t>
        </is>
      </c>
      <c r="U82" s="97" t="n"/>
      <c r="V82" s="96" t="inlineStr">
        <is>
          <t>K0120021</t>
        </is>
      </c>
      <c r="W82" s="96" t="inlineStr">
        <is>
          <t>LX PANTOS (THAILAND) CO., LTD.</t>
        </is>
      </c>
      <c r="X82" s="96" t="inlineStr">
        <is>
          <t>VED</t>
        </is>
      </c>
      <c r="Y82" s="96" t="inlineStr">
        <is>
          <t>LX PANTOS CO., LTD.</t>
        </is>
      </c>
      <c r="Z82" s="96" t="inlineStr">
        <is>
          <t>LX PANTOS CO., LTD.</t>
        </is>
      </c>
      <c r="AA82" s="97" t="n">
        <v>20100</v>
      </c>
      <c r="AB82" s="96" t="inlineStr">
        <is>
          <t>LCH04</t>
        </is>
      </c>
      <c r="AC82" s="96" t="inlineStr">
        <is>
          <t>USN03</t>
        </is>
      </c>
    </row>
    <row r="83" ht="12" customHeight="1">
      <c r="A83" s="96" t="inlineStr">
        <is>
          <t>SKLU2019856</t>
        </is>
      </c>
      <c r="B83" s="161" t="inlineStr">
        <is>
          <t>2026-10-17</t>
        </is>
      </c>
      <c r="C83" s="96" t="inlineStr">
        <is>
          <t>SWIC</t>
        </is>
      </c>
      <c r="D83" s="96" t="inlineStr">
        <is>
          <t>2611N</t>
        </is>
      </c>
      <c r="E83" s="96" t="inlineStr">
        <is>
          <t>22GP</t>
        </is>
      </c>
      <c r="F83" s="96" t="inlineStr">
        <is>
          <t>SD</t>
        </is>
      </c>
      <c r="G83" s="96" t="inlineStr">
        <is>
          <t>THLCH</t>
        </is>
      </c>
      <c r="H83" s="96" t="inlineStr">
        <is>
          <t>THLCH</t>
        </is>
      </c>
      <c r="I83" s="96" t="inlineStr">
        <is>
          <t>KRPUS</t>
        </is>
      </c>
      <c r="J83" s="96" t="inlineStr">
        <is>
          <t>JPNAH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LCH04</t>
        </is>
      </c>
      <c r="O83" s="96" t="inlineStr">
        <is>
          <t>LCH</t>
        </is>
      </c>
      <c r="P83" s="96" t="inlineStr">
        <is>
          <t>TH</t>
        </is>
      </c>
      <c r="Q83" s="96" t="inlineStr">
        <is>
          <t>HASLS22260902232</t>
        </is>
      </c>
      <c r="R83" s="96" t="inlineStr">
        <is>
          <t>Y</t>
        </is>
      </c>
      <c r="S83" s="96" t="inlineStr">
        <is>
          <t>N</t>
        </is>
      </c>
      <c r="T83" s="96" t="inlineStr">
        <is>
          <t>KHS</t>
        </is>
      </c>
      <c r="U83" s="97" t="n"/>
      <c r="V83" s="96" t="inlineStr">
        <is>
          <t>K0120021</t>
        </is>
      </c>
      <c r="W83" s="96" t="inlineStr">
        <is>
          <t>THAI POLYETHYLENE CO., LTD.</t>
        </is>
      </c>
      <c r="X83" s="96" t="inlineStr">
        <is>
          <t>VFD</t>
        </is>
      </c>
      <c r="Y83" s="96" t="inlineStr">
        <is>
          <t>MITSUI &amp; CO. PLASTICS LTD. TGSD</t>
        </is>
      </c>
      <c r="Z83" s="96" t="inlineStr">
        <is>
          <t>MITSUI &amp; CO. PLASTICS LTD. TGSD</t>
        </is>
      </c>
      <c r="AA83" s="97" t="n">
        <v>15147</v>
      </c>
      <c r="AB83" s="96" t="inlineStr">
        <is>
          <t>LCH04</t>
        </is>
      </c>
      <c r="AC83" s="96" t="inlineStr">
        <is>
          <t>NAH01</t>
        </is>
      </c>
    </row>
    <row r="84" ht="12" customHeight="1">
      <c r="A84" s="96" t="inlineStr">
        <is>
          <t>SKLU2113604</t>
        </is>
      </c>
      <c r="B84" s="161" t="inlineStr">
        <is>
          <t>2026-10-17</t>
        </is>
      </c>
      <c r="C84" s="96" t="inlineStr">
        <is>
          <t>SWIC</t>
        </is>
      </c>
      <c r="D84" s="96" t="inlineStr">
        <is>
          <t>2611N</t>
        </is>
      </c>
      <c r="E84" s="96" t="inlineStr">
        <is>
          <t>22GP</t>
        </is>
      </c>
      <c r="F84" s="96" t="inlineStr">
        <is>
          <t>SD</t>
        </is>
      </c>
      <c r="G84" s="96" t="inlineStr">
        <is>
          <t>THLCH</t>
        </is>
      </c>
      <c r="H84" s="96" t="inlineStr">
        <is>
          <t>THLCH</t>
        </is>
      </c>
      <c r="I84" s="96" t="inlineStr">
        <is>
          <t>VNSGN</t>
        </is>
      </c>
      <c r="J84" s="96" t="inlineStr">
        <is>
          <t>VNSGN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LCH04</t>
        </is>
      </c>
      <c r="O84" s="96" t="inlineStr">
        <is>
          <t>LCH</t>
        </is>
      </c>
      <c r="P84" s="96" t="inlineStr">
        <is>
          <t>TH</t>
        </is>
      </c>
      <c r="Q84" s="96" t="inlineStr">
        <is>
          <t>HASLS22260902676</t>
        </is>
      </c>
      <c r="R84" s="96" t="inlineStr">
        <is>
          <t>N</t>
        </is>
      </c>
      <c r="S84" s="96" t="inlineStr">
        <is>
          <t>N</t>
        </is>
      </c>
      <c r="T84" s="96" t="inlineStr">
        <is>
          <t>KHS</t>
        </is>
      </c>
      <c r="U84" s="97" t="n"/>
      <c r="V84" s="96" t="inlineStr">
        <is>
          <t>K0120021</t>
        </is>
      </c>
      <c r="W84" s="96" t="inlineStr">
        <is>
          <t>THE THAI SUGAR TRADING CORPORATION</t>
        </is>
      </c>
      <c r="X84" s="96" t="inlineStr">
        <is>
          <t>VED</t>
        </is>
      </c>
      <c r="Y84" s="96" t="inlineStr">
        <is>
          <t>TO ORDER</t>
        </is>
      </c>
      <c r="Z84" s="96" t="inlineStr">
        <is>
          <t>PERFETTI VAN MELLE (VIETNAM)</t>
        </is>
      </c>
      <c r="AA84" s="97" t="n">
        <v>25080</v>
      </c>
      <c r="AB84" s="96" t="inlineStr">
        <is>
          <t>LCH04</t>
        </is>
      </c>
      <c r="AC84" s="96" t="inlineStr">
        <is>
          <t>SGN03</t>
        </is>
      </c>
    </row>
    <row r="85" ht="12" customHeight="1">
      <c r="A85" s="96" t="inlineStr">
        <is>
          <t>SKLU2302450</t>
        </is>
      </c>
      <c r="B85" s="161" t="inlineStr">
        <is>
          <t>2026-10-17</t>
        </is>
      </c>
      <c r="C85" s="96" t="inlineStr">
        <is>
          <t>SWIC</t>
        </is>
      </c>
      <c r="D85" s="96" t="inlineStr">
        <is>
          <t>2611N</t>
        </is>
      </c>
      <c r="E85" s="96" t="inlineStr">
        <is>
          <t>22GP</t>
        </is>
      </c>
      <c r="F85" s="96" t="inlineStr">
        <is>
          <t>SD</t>
        </is>
      </c>
      <c r="G85" s="96" t="inlineStr">
        <is>
          <t>THLCH</t>
        </is>
      </c>
      <c r="H85" s="96" t="inlineStr">
        <is>
          <t>THLCH</t>
        </is>
      </c>
      <c r="I85" s="96" t="inlineStr">
        <is>
          <t>VNSGN</t>
        </is>
      </c>
      <c r="J85" s="96" t="inlineStr">
        <is>
          <t>VNSGN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LCH04</t>
        </is>
      </c>
      <c r="O85" s="96" t="inlineStr">
        <is>
          <t>LCH</t>
        </is>
      </c>
      <c r="P85" s="96" t="inlineStr">
        <is>
          <t>TH</t>
        </is>
      </c>
      <c r="Q85" s="96" t="inlineStr">
        <is>
          <t>HASLS22260902676</t>
        </is>
      </c>
      <c r="R85" s="96" t="inlineStr">
        <is>
          <t>N</t>
        </is>
      </c>
      <c r="S85" s="96" t="inlineStr">
        <is>
          <t>N</t>
        </is>
      </c>
      <c r="T85" s="96" t="inlineStr">
        <is>
          <t>KHS</t>
        </is>
      </c>
      <c r="U85" s="97" t="n"/>
      <c r="V85" s="96" t="inlineStr">
        <is>
          <t>K0120021</t>
        </is>
      </c>
      <c r="W85" s="96" t="inlineStr">
        <is>
          <t>THE THAI SUGAR TRADING CORPORATION</t>
        </is>
      </c>
      <c r="X85" s="96" t="inlineStr">
        <is>
          <t>VED</t>
        </is>
      </c>
      <c r="Y85" s="96" t="inlineStr">
        <is>
          <t>TO ORDER</t>
        </is>
      </c>
      <c r="Z85" s="96" t="inlineStr">
        <is>
          <t>PERFETTI VAN MELLE (VIETNAM)</t>
        </is>
      </c>
      <c r="AA85" s="97" t="n">
        <v>25080</v>
      </c>
      <c r="AB85" s="96" t="inlineStr">
        <is>
          <t>LCH04</t>
        </is>
      </c>
      <c r="AC85" s="96" t="inlineStr">
        <is>
          <t>SGN03</t>
        </is>
      </c>
    </row>
    <row r="86" ht="12" customHeight="1">
      <c r="A86" s="96" t="inlineStr">
        <is>
          <t>SKLU2308289</t>
        </is>
      </c>
      <c r="B86" s="161" t="inlineStr">
        <is>
          <t>2026-10-17</t>
        </is>
      </c>
      <c r="C86" s="96" t="inlineStr">
        <is>
          <t>SWIC</t>
        </is>
      </c>
      <c r="D86" s="96" t="inlineStr">
        <is>
          <t>2611N</t>
        </is>
      </c>
      <c r="E86" s="96" t="inlineStr">
        <is>
          <t>22GP</t>
        </is>
      </c>
      <c r="F86" s="96" t="inlineStr">
        <is>
          <t>SD</t>
        </is>
      </c>
      <c r="G86" s="96" t="inlineStr">
        <is>
          <t>THLCH</t>
        </is>
      </c>
      <c r="H86" s="96" t="inlineStr">
        <is>
          <t>THLCH</t>
        </is>
      </c>
      <c r="I86" s="96" t="inlineStr">
        <is>
          <t>KRPUS</t>
        </is>
      </c>
      <c r="J86" s="96" t="inlineStr">
        <is>
          <t>JPMOJ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LCH04</t>
        </is>
      </c>
      <c r="O86" s="96" t="inlineStr">
        <is>
          <t>LCH</t>
        </is>
      </c>
      <c r="P86" s="96" t="inlineStr">
        <is>
          <t>TH</t>
        </is>
      </c>
      <c r="Q86" s="96" t="inlineStr">
        <is>
          <t>HASLS22260902063</t>
        </is>
      </c>
      <c r="R86" s="96" t="inlineStr">
        <is>
          <t>Y</t>
        </is>
      </c>
      <c r="S86" s="96" t="inlineStr">
        <is>
          <t>N</t>
        </is>
      </c>
      <c r="T86" s="96" t="inlineStr">
        <is>
          <t>KHS</t>
        </is>
      </c>
      <c r="U86" s="97" t="n"/>
      <c r="V86" s="96" t="inlineStr">
        <is>
          <t>K0120021</t>
        </is>
      </c>
      <c r="W86" s="96" t="inlineStr">
        <is>
          <t>THAI POLYETHYLENE CO.,LTD.</t>
        </is>
      </c>
      <c r="X86" s="96" t="inlineStr">
        <is>
          <t>VFD</t>
        </is>
      </c>
      <c r="Y86" s="96" t="inlineStr">
        <is>
          <t>TOYOTSU CHEMIPLAS CORPORATION,</t>
        </is>
      </c>
      <c r="Z86" s="96" t="inlineStr">
        <is>
          <t>TOYOTSU CHEMIPLAS CORPORATION,</t>
        </is>
      </c>
      <c r="AA86" s="97" t="n">
        <v>15147</v>
      </c>
      <c r="AB86" s="96" t="inlineStr">
        <is>
          <t>LCH04</t>
        </is>
      </c>
      <c r="AC86" s="96" t="inlineStr">
        <is>
          <t>MOJ01</t>
        </is>
      </c>
    </row>
    <row r="87" ht="12" customHeight="1">
      <c r="A87" s="96" t="inlineStr">
        <is>
          <t>SKLU2337970</t>
        </is>
      </c>
      <c r="B87" s="161" t="inlineStr">
        <is>
          <t>2026-10-17</t>
        </is>
      </c>
      <c r="C87" s="96" t="inlineStr">
        <is>
          <t>SWIC</t>
        </is>
      </c>
      <c r="D87" s="96" t="inlineStr">
        <is>
          <t>2611N</t>
        </is>
      </c>
      <c r="E87" s="96" t="inlineStr">
        <is>
          <t>22GP</t>
        </is>
      </c>
      <c r="F87" s="96" t="inlineStr">
        <is>
          <t>SD</t>
        </is>
      </c>
      <c r="G87" s="96" t="inlineStr">
        <is>
          <t>THLCH</t>
        </is>
      </c>
      <c r="H87" s="96" t="inlineStr">
        <is>
          <t>THLCH</t>
        </is>
      </c>
      <c r="I87" s="96" t="inlineStr">
        <is>
          <t>VNSGN</t>
        </is>
      </c>
      <c r="J87" s="96" t="inlineStr">
        <is>
          <t>VNSGN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LCH04</t>
        </is>
      </c>
      <c r="O87" s="96" t="inlineStr">
        <is>
          <t>LCH</t>
        </is>
      </c>
      <c r="P87" s="96" t="inlineStr">
        <is>
          <t>TH</t>
        </is>
      </c>
      <c r="Q87" s="96" t="inlineStr">
        <is>
          <t>HASLS22261000153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KHS</t>
        </is>
      </c>
      <c r="U87" s="97" t="n"/>
      <c r="V87" s="96" t="inlineStr">
        <is>
          <t>K0120021</t>
        </is>
      </c>
      <c r="W87" s="96" t="inlineStr">
        <is>
          <t>BEE LOGISTICS (THAILAND) CO., LTD.</t>
        </is>
      </c>
      <c r="X87" s="96" t="inlineStr">
        <is>
          <t>VED</t>
        </is>
      </c>
      <c r="Y87" s="96" t="inlineStr">
        <is>
          <t>BOND GLOBAL LOGISTICS JOINT STOCK</t>
        </is>
      </c>
      <c r="Z87" s="96" t="inlineStr">
        <is>
          <t>BOND GLOBAL LOGISTICS JOINT STOCK</t>
        </is>
      </c>
      <c r="AA87" s="97" t="n">
        <v>13965</v>
      </c>
      <c r="AB87" s="96" t="inlineStr">
        <is>
          <t>LCH04</t>
        </is>
      </c>
      <c r="AC87" s="96" t="inlineStr">
        <is>
          <t>SGN03</t>
        </is>
      </c>
    </row>
    <row r="88" ht="12" customHeight="1">
      <c r="A88" s="96" t="inlineStr">
        <is>
          <t>SKLU2360559</t>
        </is>
      </c>
      <c r="B88" s="161" t="inlineStr">
        <is>
          <t>2026-10-17</t>
        </is>
      </c>
      <c r="C88" s="96" t="inlineStr">
        <is>
          <t>SWIC</t>
        </is>
      </c>
      <c r="D88" s="96" t="inlineStr">
        <is>
          <t>2611N</t>
        </is>
      </c>
      <c r="E88" s="96" t="inlineStr">
        <is>
          <t>22GP</t>
        </is>
      </c>
      <c r="F88" s="96" t="inlineStr">
        <is>
          <t>SD</t>
        </is>
      </c>
      <c r="G88" s="96" t="inlineStr">
        <is>
          <t>THLCH</t>
        </is>
      </c>
      <c r="H88" s="96" t="inlineStr">
        <is>
          <t>THLCH</t>
        </is>
      </c>
      <c r="I88" s="96" t="inlineStr">
        <is>
          <t>VNSGN</t>
        </is>
      </c>
      <c r="J88" s="96" t="inlineStr">
        <is>
          <t>VNSGN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LCH04</t>
        </is>
      </c>
      <c r="O88" s="96" t="inlineStr">
        <is>
          <t>LCH</t>
        </is>
      </c>
      <c r="P88" s="96" t="inlineStr">
        <is>
          <t>TH</t>
        </is>
      </c>
      <c r="Q88" s="96" t="inlineStr">
        <is>
          <t>HASLS22260800966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KHS</t>
        </is>
      </c>
      <c r="U88" s="97" t="n"/>
      <c r="V88" s="96" t="inlineStr">
        <is>
          <t>K0120021</t>
        </is>
      </c>
      <c r="W88" s="96" t="inlineStr">
        <is>
          <t>PTT GLOBAL CHEMICAL PUBLIC COMPANY</t>
        </is>
      </c>
      <c r="X88" s="96" t="inlineStr">
        <is>
          <t>VFD</t>
        </is>
      </c>
      <c r="Y88" s="96" t="inlineStr">
        <is>
          <t>TO ORDER OF VIETINBANK, BINH DUONG</t>
        </is>
      </c>
      <c r="Z88" s="96" t="inlineStr">
        <is>
          <t>CONG TY TNHH VIET AN PHA</t>
        </is>
      </c>
      <c r="AA88" s="97" t="n">
        <v>18072</v>
      </c>
      <c r="AB88" s="96" t="inlineStr">
        <is>
          <t>LCH04</t>
        </is>
      </c>
      <c r="AC88" s="96" t="inlineStr">
        <is>
          <t>SGN03</t>
        </is>
      </c>
    </row>
    <row r="89" ht="12" customHeight="1">
      <c r="A89" s="96" t="inlineStr">
        <is>
          <t>SKLU2402504</t>
        </is>
      </c>
      <c r="B89" s="161" t="inlineStr">
        <is>
          <t>2026-10-17</t>
        </is>
      </c>
      <c r="C89" s="96" t="inlineStr">
        <is>
          <t>SWIC</t>
        </is>
      </c>
      <c r="D89" s="96" t="inlineStr">
        <is>
          <t>2611N</t>
        </is>
      </c>
      <c r="E89" s="96" t="inlineStr">
        <is>
          <t>22GP</t>
        </is>
      </c>
      <c r="F89" s="96" t="inlineStr">
        <is>
          <t>SD</t>
        </is>
      </c>
      <c r="G89" s="96" t="inlineStr">
        <is>
          <t>THLCH</t>
        </is>
      </c>
      <c r="H89" s="96" t="inlineStr">
        <is>
          <t>THLCH</t>
        </is>
      </c>
      <c r="I89" s="96" t="inlineStr">
        <is>
          <t>VNSGN</t>
        </is>
      </c>
      <c r="J89" s="96" t="inlineStr">
        <is>
          <t>VNSGN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LCH04</t>
        </is>
      </c>
      <c r="O89" s="96" t="inlineStr">
        <is>
          <t>LCH</t>
        </is>
      </c>
      <c r="P89" s="96" t="inlineStr">
        <is>
          <t>TH</t>
        </is>
      </c>
      <c r="Q89" s="96" t="inlineStr">
        <is>
          <t>HASLS22260800966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KHS</t>
        </is>
      </c>
      <c r="U89" s="97" t="n"/>
      <c r="V89" s="96" t="inlineStr">
        <is>
          <t>K0120021</t>
        </is>
      </c>
      <c r="W89" s="96" t="inlineStr">
        <is>
          <t>PTT GLOBAL CHEMICAL PUBLIC COMPANY</t>
        </is>
      </c>
      <c r="X89" s="96" t="inlineStr">
        <is>
          <t>VFD</t>
        </is>
      </c>
      <c r="Y89" s="96" t="inlineStr">
        <is>
          <t>TO ORDER OF VIETINBANK, BINH DUONG</t>
        </is>
      </c>
      <c r="Z89" s="96" t="inlineStr">
        <is>
          <t>CONG TY TNHH VIET AN PHA</t>
        </is>
      </c>
      <c r="AA89" s="97" t="n">
        <v>18072</v>
      </c>
      <c r="AB89" s="96" t="inlineStr">
        <is>
          <t>LCH04</t>
        </is>
      </c>
      <c r="AC89" s="96" t="inlineStr">
        <is>
          <t>SGN03</t>
        </is>
      </c>
    </row>
    <row r="90" ht="12" customHeight="1">
      <c r="A90" s="96" t="inlineStr">
        <is>
          <t>SKLU2424695</t>
        </is>
      </c>
      <c r="B90" s="161" t="inlineStr">
        <is>
          <t>2026-10-17</t>
        </is>
      </c>
      <c r="C90" s="96" t="inlineStr">
        <is>
          <t>SWIC</t>
        </is>
      </c>
      <c r="D90" s="96" t="inlineStr">
        <is>
          <t>2611N</t>
        </is>
      </c>
      <c r="E90" s="96" t="inlineStr">
        <is>
          <t>22GP</t>
        </is>
      </c>
      <c r="F90" s="96" t="inlineStr">
        <is>
          <t>SD</t>
        </is>
      </c>
      <c r="G90" s="96" t="inlineStr">
        <is>
          <t>THLCH</t>
        </is>
      </c>
      <c r="H90" s="96" t="inlineStr">
        <is>
          <t>THLCH</t>
        </is>
      </c>
      <c r="I90" s="96" t="inlineStr">
        <is>
          <t>KRPUS</t>
        </is>
      </c>
      <c r="J90" s="96" t="inlineStr">
        <is>
          <t>JPYKK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LCH04</t>
        </is>
      </c>
      <c r="O90" s="96" t="inlineStr">
        <is>
          <t>LCH</t>
        </is>
      </c>
      <c r="P90" s="96" t="inlineStr">
        <is>
          <t>TH</t>
        </is>
      </c>
      <c r="Q90" s="96" t="inlineStr">
        <is>
          <t>HASLS22260902029</t>
        </is>
      </c>
      <c r="R90" s="96" t="inlineStr">
        <is>
          <t>Y</t>
        </is>
      </c>
      <c r="S90" s="96" t="inlineStr">
        <is>
          <t>N</t>
        </is>
      </c>
      <c r="T90" s="96" t="inlineStr">
        <is>
          <t>KHS</t>
        </is>
      </c>
      <c r="U90" s="97" t="n"/>
      <c r="V90" s="96" t="inlineStr">
        <is>
          <t>K0120021</t>
        </is>
      </c>
      <c r="W90" s="96" t="inlineStr">
        <is>
          <t>SIAM POLYETHYLENE CO., LTD.</t>
        </is>
      </c>
      <c r="X90" s="96" t="inlineStr">
        <is>
          <t>VED</t>
        </is>
      </c>
      <c r="Y90" s="96" t="inlineStr">
        <is>
          <t>DOW CHEMICAL JAPAN LIMITED</t>
        </is>
      </c>
      <c r="Z90" s="96" t="inlineStr">
        <is>
          <t>THE SHIBUSAWA WAREHOUSE CO., LTD.</t>
        </is>
      </c>
      <c r="AA90" s="97" t="n">
        <v>16970</v>
      </c>
      <c r="AB90" s="96" t="inlineStr">
        <is>
          <t>LCH04</t>
        </is>
      </c>
      <c r="AC90" s="96" t="inlineStr">
        <is>
          <t>YKK01</t>
        </is>
      </c>
    </row>
    <row r="91" ht="12" customHeight="1">
      <c r="A91" s="96" t="inlineStr">
        <is>
          <t>SKLU2435663</t>
        </is>
      </c>
      <c r="B91" s="161" t="inlineStr">
        <is>
          <t>2026-10-17</t>
        </is>
      </c>
      <c r="C91" s="96" t="inlineStr">
        <is>
          <t>SWIC</t>
        </is>
      </c>
      <c r="D91" s="96" t="inlineStr">
        <is>
          <t>2611N</t>
        </is>
      </c>
      <c r="E91" s="96" t="inlineStr">
        <is>
          <t>22GP</t>
        </is>
      </c>
      <c r="F91" s="96" t="inlineStr">
        <is>
          <t>SD</t>
        </is>
      </c>
      <c r="G91" s="96" t="inlineStr">
        <is>
          <t>THLCH</t>
        </is>
      </c>
      <c r="H91" s="96" t="inlineStr">
        <is>
          <t>THLCH</t>
        </is>
      </c>
      <c r="I91" s="96" t="inlineStr">
        <is>
          <t>KRPUS</t>
        </is>
      </c>
      <c r="J91" s="96" t="inlineStr">
        <is>
          <t>KRPUS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LCH04</t>
        </is>
      </c>
      <c r="O91" s="96" t="inlineStr">
        <is>
          <t>LCH</t>
        </is>
      </c>
      <c r="P91" s="96" t="inlineStr">
        <is>
          <t>TH</t>
        </is>
      </c>
      <c r="Q91" s="96" t="inlineStr">
        <is>
          <t>HASLS22261000114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KHS</t>
        </is>
      </c>
      <c r="U91" s="97" t="n"/>
      <c r="V91" s="96" t="inlineStr">
        <is>
          <t>K0120021</t>
        </is>
      </c>
      <c r="W91" s="96" t="inlineStr">
        <is>
          <t>SRI TRANG GLOVES (THAILAND) PUBLIC</t>
        </is>
      </c>
      <c r="X91" s="96" t="inlineStr">
        <is>
          <t>VFD</t>
        </is>
      </c>
      <c r="Y91" s="96" t="inlineStr">
        <is>
          <t>GNMED CO., LTD.</t>
        </is>
      </c>
      <c r="Z91" s="96" t="inlineStr">
        <is>
          <t>GNMED CO., LTD.</t>
        </is>
      </c>
      <c r="AA91" s="97" t="n">
        <v>8530.691999999999</v>
      </c>
      <c r="AB91" s="96" t="inlineStr">
        <is>
          <t>LCH04</t>
        </is>
      </c>
      <c r="AC91" s="96" t="inlineStr">
        <is>
          <t>PUS05</t>
        </is>
      </c>
    </row>
    <row r="92" ht="12" customHeight="1">
      <c r="A92" s="96" t="inlineStr">
        <is>
          <t>SKLU2484502</t>
        </is>
      </c>
      <c r="B92" s="161" t="inlineStr">
        <is>
          <t>2026-10-17</t>
        </is>
      </c>
      <c r="C92" s="96" t="inlineStr">
        <is>
          <t>SWIC</t>
        </is>
      </c>
      <c r="D92" s="96" t="inlineStr">
        <is>
          <t>2611N</t>
        </is>
      </c>
      <c r="E92" s="96" t="inlineStr">
        <is>
          <t>22GP</t>
        </is>
      </c>
      <c r="F92" s="96" t="inlineStr">
        <is>
          <t>SD</t>
        </is>
      </c>
      <c r="G92" s="96" t="inlineStr">
        <is>
          <t>THLCH</t>
        </is>
      </c>
      <c r="H92" s="96" t="inlineStr">
        <is>
          <t>THLCH</t>
        </is>
      </c>
      <c r="I92" s="96" t="inlineStr">
        <is>
          <t>VNSGN</t>
        </is>
      </c>
      <c r="J92" s="96" t="inlineStr">
        <is>
          <t>VNSGN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LCH04</t>
        </is>
      </c>
      <c r="O92" s="96" t="inlineStr">
        <is>
          <t>LCH</t>
        </is>
      </c>
      <c r="P92" s="96" t="inlineStr">
        <is>
          <t>TH</t>
        </is>
      </c>
      <c r="Q92" s="96" t="inlineStr">
        <is>
          <t>HASLS22260800966</t>
        </is>
      </c>
      <c r="R92" s="96" t="inlineStr">
        <is>
          <t>N</t>
        </is>
      </c>
      <c r="S92" s="96" t="inlineStr">
        <is>
          <t>N</t>
        </is>
      </c>
      <c r="T92" s="96" t="inlineStr">
        <is>
          <t>KHS</t>
        </is>
      </c>
      <c r="U92" s="97" t="n"/>
      <c r="V92" s="96" t="inlineStr">
        <is>
          <t>K0120021</t>
        </is>
      </c>
      <c r="W92" s="96" t="inlineStr">
        <is>
          <t>PTT GLOBAL CHEMICAL PUBLIC COMPANY</t>
        </is>
      </c>
      <c r="X92" s="96" t="inlineStr">
        <is>
          <t>VFD</t>
        </is>
      </c>
      <c r="Y92" s="96" t="inlineStr">
        <is>
          <t>TO ORDER OF VIETINBANK, BINH DUONG</t>
        </is>
      </c>
      <c r="Z92" s="96" t="inlineStr">
        <is>
          <t>CONG TY TNHH VIET AN PHA</t>
        </is>
      </c>
      <c r="AA92" s="97" t="n">
        <v>18072</v>
      </c>
      <c r="AB92" s="96" t="inlineStr">
        <is>
          <t>LCH04</t>
        </is>
      </c>
      <c r="AC92" s="96" t="inlineStr">
        <is>
          <t>SGN03</t>
        </is>
      </c>
    </row>
    <row r="93" ht="12" customHeight="1">
      <c r="A93" s="96" t="inlineStr">
        <is>
          <t>SKLU2487060</t>
        </is>
      </c>
      <c r="B93" s="161" t="inlineStr">
        <is>
          <t>2026-10-17</t>
        </is>
      </c>
      <c r="C93" s="96" t="inlineStr">
        <is>
          <t>SWIC</t>
        </is>
      </c>
      <c r="D93" s="96" t="inlineStr">
        <is>
          <t>2611N</t>
        </is>
      </c>
      <c r="E93" s="96" t="inlineStr">
        <is>
          <t>22GP</t>
        </is>
      </c>
      <c r="F93" s="96" t="inlineStr">
        <is>
          <t>SD</t>
        </is>
      </c>
      <c r="G93" s="96" t="inlineStr">
        <is>
          <t>THLCH</t>
        </is>
      </c>
      <c r="H93" s="96" t="inlineStr">
        <is>
          <t>THLCH</t>
        </is>
      </c>
      <c r="I93" s="96" t="inlineStr">
        <is>
          <t>KRPUS</t>
        </is>
      </c>
      <c r="J93" s="96" t="inlineStr">
        <is>
          <t>JPYKK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LCH04</t>
        </is>
      </c>
      <c r="O93" s="96" t="inlineStr">
        <is>
          <t>LCH</t>
        </is>
      </c>
      <c r="P93" s="96" t="inlineStr">
        <is>
          <t>TH</t>
        </is>
      </c>
      <c r="Q93" s="96" t="inlineStr">
        <is>
          <t>HASLS22260902027</t>
        </is>
      </c>
      <c r="R93" s="96" t="inlineStr">
        <is>
          <t>Y</t>
        </is>
      </c>
      <c r="S93" s="96" t="inlineStr">
        <is>
          <t>N</t>
        </is>
      </c>
      <c r="T93" s="96" t="inlineStr">
        <is>
          <t>KHS</t>
        </is>
      </c>
      <c r="U93" s="97" t="n"/>
      <c r="V93" s="96" t="inlineStr">
        <is>
          <t>K0120021</t>
        </is>
      </c>
      <c r="W93" s="96" t="inlineStr">
        <is>
          <t>SIAM POLYETHYLENE CO., LTD.</t>
        </is>
      </c>
      <c r="X93" s="96" t="inlineStr">
        <is>
          <t>VFD</t>
        </is>
      </c>
      <c r="Y93" s="96" t="inlineStr">
        <is>
          <t>DOW CHEMICAL JAPAN LIMITED</t>
        </is>
      </c>
      <c r="Z93" s="96" t="inlineStr">
        <is>
          <t>THE SHIBUSAWA WAREHOUSE CO., LTD.</t>
        </is>
      </c>
      <c r="AA93" s="97" t="n">
        <v>16800</v>
      </c>
      <c r="AB93" s="96" t="inlineStr">
        <is>
          <t>LCH04</t>
        </is>
      </c>
      <c r="AC93" s="96" t="inlineStr">
        <is>
          <t>YKK01</t>
        </is>
      </c>
    </row>
    <row r="94" ht="12" customHeight="1">
      <c r="A94" s="96" t="inlineStr">
        <is>
          <t>SKRU9909283</t>
        </is>
      </c>
      <c r="B94" s="161" t="inlineStr">
        <is>
          <t>2026-10-17</t>
        </is>
      </c>
      <c r="C94" s="96" t="inlineStr">
        <is>
          <t>SWIC</t>
        </is>
      </c>
      <c r="D94" s="96" t="inlineStr">
        <is>
          <t>2611N</t>
        </is>
      </c>
      <c r="E94" s="96" t="inlineStr">
        <is>
          <t>45RE</t>
        </is>
      </c>
      <c r="F94" s="96" t="inlineStr">
        <is>
          <t>SD</t>
        </is>
      </c>
      <c r="G94" s="96" t="inlineStr">
        <is>
          <t>THLCH</t>
        </is>
      </c>
      <c r="H94" s="96" t="inlineStr">
        <is>
          <t>THLCH</t>
        </is>
      </c>
      <c r="I94" s="96" t="inlineStr">
        <is>
          <t>VNSGN</t>
        </is>
      </c>
      <c r="J94" s="96" t="inlineStr">
        <is>
          <t>VNSGN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LCH04</t>
        </is>
      </c>
      <c r="O94" s="96" t="inlineStr">
        <is>
          <t>LCH</t>
        </is>
      </c>
      <c r="P94" s="96" t="inlineStr">
        <is>
          <t>TH</t>
        </is>
      </c>
      <c r="Q94" s="96" t="inlineStr">
        <is>
          <t>HASLS22260902806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KHS</t>
        </is>
      </c>
      <c r="U94" s="97" t="n"/>
      <c r="V94" s="96" t="inlineStr">
        <is>
          <t>K0120025</t>
        </is>
      </c>
      <c r="W94" s="96" t="inlineStr">
        <is>
          <t>GOLDEN SEA FROZEN FOODS CO.,LTD.</t>
        </is>
      </c>
      <c r="X94" s="96" t="inlineStr">
        <is>
          <t>VFD</t>
        </is>
      </c>
      <c r="Y94" s="96" t="inlineStr">
        <is>
          <t>THANH THAO SEAFOOD IMPORT EXPORT</t>
        </is>
      </c>
      <c r="Z94" s="96" t="inlineStr">
        <is>
          <t>THANH THAO SEAFOOD IMPORT EXPORT</t>
        </is>
      </c>
      <c r="AA94" s="97" t="n">
        <v>28142</v>
      </c>
      <c r="AB94" s="96" t="inlineStr">
        <is>
          <t>LCH04</t>
        </is>
      </c>
      <c r="AC94" s="96" t="inlineStr">
        <is>
          <t>SGN03</t>
        </is>
      </c>
    </row>
    <row r="95" ht="12" customHeight="1">
      <c r="A95" s="96" t="inlineStr">
        <is>
          <t>TCKU2122328</t>
        </is>
      </c>
      <c r="B95" s="161" t="inlineStr">
        <is>
          <t>2026-10-17</t>
        </is>
      </c>
      <c r="C95" s="96" t="inlineStr">
        <is>
          <t>SWIC</t>
        </is>
      </c>
      <c r="D95" s="96" t="inlineStr">
        <is>
          <t>2611N</t>
        </is>
      </c>
      <c r="E95" s="96" t="inlineStr">
        <is>
          <t>22GP</t>
        </is>
      </c>
      <c r="F95" s="96" t="inlineStr">
        <is>
          <t>SD</t>
        </is>
      </c>
      <c r="G95" s="96" t="inlineStr">
        <is>
          <t>THLCH</t>
        </is>
      </c>
      <c r="H95" s="96" t="inlineStr">
        <is>
          <t>THLCH</t>
        </is>
      </c>
      <c r="I95" s="96" t="inlineStr">
        <is>
          <t>KRUSN</t>
        </is>
      </c>
      <c r="J95" s="96" t="inlineStr">
        <is>
          <t>KRUSN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LCH04</t>
        </is>
      </c>
      <c r="O95" s="96" t="inlineStr">
        <is>
          <t>LCH</t>
        </is>
      </c>
      <c r="P95" s="96" t="inlineStr">
        <is>
          <t>TH</t>
        </is>
      </c>
      <c r="Q95" s="96" t="inlineStr">
        <is>
          <t>HASLS22260902070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KHS</t>
        </is>
      </c>
      <c r="U95" s="97" t="n"/>
      <c r="V95" s="96" t="inlineStr">
        <is>
          <t>K0120021</t>
        </is>
      </c>
      <c r="W95" s="96" t="inlineStr">
        <is>
          <t>H &amp; FRIENDS GTL (THAILAND) CO.,LTD.</t>
        </is>
      </c>
      <c r="X95" s="96" t="inlineStr">
        <is>
          <t>VED</t>
        </is>
      </c>
      <c r="Y95" s="96" t="inlineStr">
        <is>
          <t>IMA SHIPPING CO., LTD.</t>
        </is>
      </c>
      <c r="Z95" s="96" t="inlineStr">
        <is>
          <t>IMA SHIPPING CO., LTD.</t>
        </is>
      </c>
      <c r="AA95" s="97" t="n">
        <v>10507.44</v>
      </c>
      <c r="AB95" s="96" t="inlineStr">
        <is>
          <t>LCH04</t>
        </is>
      </c>
      <c r="AC95" s="96" t="inlineStr">
        <is>
          <t>USN03</t>
        </is>
      </c>
    </row>
    <row r="96" ht="12" customHeight="1">
      <c r="A96" s="96" t="n"/>
      <c r="B96" s="161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7" t="n"/>
      <c r="V96" s="96" t="n"/>
      <c r="W96" s="96" t="n"/>
      <c r="X96" s="96" t="n"/>
      <c r="Y96" s="96" t="n"/>
      <c r="Z96" s="96" t="n"/>
      <c r="AA96" s="97" t="n">
        <v>1909361.432</v>
      </c>
      <c r="AB96" s="96" t="n"/>
      <c r="AC96" s="96" t="n"/>
    </row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4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HASLS22260901359</t>
        </is>
      </c>
      <c r="B2" s="96" t="inlineStr">
        <is>
          <t>20FRx1 40FRx1 40Hx1</t>
        </is>
      </c>
      <c r="C2" s="97" t="n">
        <v>3</v>
      </c>
      <c r="D2" s="97" t="n">
        <v>3</v>
      </c>
      <c r="E2" s="97" t="n"/>
      <c r="F2" s="97" t="n">
        <v>0</v>
      </c>
      <c r="G2" s="97" t="n">
        <v>1</v>
      </c>
      <c r="H2" s="97" t="n">
        <v>1</v>
      </c>
      <c r="I2" s="97" t="n">
        <v>1</v>
      </c>
      <c r="J2" s="97" t="n">
        <v>5</v>
      </c>
      <c r="K2" s="96" t="inlineStr">
        <is>
          <t>N</t>
        </is>
      </c>
      <c r="L2" s="96" t="inlineStr">
        <is>
          <t>KHS1</t>
        </is>
      </c>
      <c r="M2" s="96" t="inlineStr">
        <is>
          <t>SWIC</t>
        </is>
      </c>
      <c r="N2" s="96" t="inlineStr">
        <is>
          <t>2611N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2026-10-17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LOTUS FREIGHT AND SERVICES CORP.,LTD.</t>
        </is>
      </c>
      <c r="AB2" s="96" t="inlineStr">
        <is>
          <t>EXCEL ENTECH CO.,LTD.</t>
        </is>
      </c>
      <c r="AC2" s="163" t="n">
        <v>43720</v>
      </c>
      <c r="AD2" s="163" t="n">
        <v>56220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TH0042</t>
        </is>
      </c>
      <c r="AN2" s="96" t="inlineStr">
        <is>
          <t>Sukunpoj Damrongying</t>
        </is>
      </c>
      <c r="AO2" s="96" t="inlineStr">
        <is>
          <t xml:space="preserve">DOUBLE SHAFT BATCH MIXER 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inlineStr">
        <is>
          <t>W_T: 22000 W_N:5600 L_F:0 L_B:0 W_L:38.5 W_R:38.5 AWK: H:75 (IN-GAUGE)</t>
        </is>
      </c>
      <c r="AV2" s="97" t="inlineStr">
        <is>
          <t xml:space="preserve">22PCx1 42PCx1 </t>
        </is>
      </c>
      <c r="AW2" s="97" t="n">
        <v>15</v>
      </c>
      <c r="AX2" s="96" t="inlineStr">
        <is>
          <t>N</t>
        </is>
      </c>
      <c r="AY2" s="97" t="inlineStr">
        <is>
          <t>OBL</t>
        </is>
      </c>
      <c r="AZ2" s="96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BA2" s="97" t="inlineStr">
        <is>
          <t>WAIT CHECK COMMODITY MACHINERY
ADD 1X40'HC DD.06/10/26
มีจดหมายลูกค้าขอสินค้าไม่คลุมผ้าใบสำหรับตู้ 20'FR, 40'FR DD.7/10/202620'FR Container.Dimension:Wide : 4.00 M.,Length : 4.65 M.,High : 3.3 M.,G.W.22 Tons.40'FR Container.Dimension:Wide : 3.2 M.,Length : 12.00 M.,High : 2.7 M.,G.W.16 Tons.</t>
        </is>
      </c>
      <c r="BB2" s="96" t="inlineStr">
        <is>
          <t>P</t>
        </is>
      </c>
      <c r="BC2" s="161" t="inlineStr">
        <is>
          <t>2026-09-16</t>
        </is>
      </c>
      <c r="BD2" s="161" t="inlineStr">
        <is>
          <t>2026-10-15</t>
        </is>
      </c>
      <c r="BE2" s="96" t="inlineStr">
        <is>
          <t>Y</t>
        </is>
      </c>
      <c r="BF2" s="96" t="inlineStr">
        <is>
          <t>Machinery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LCH20</t>
        </is>
      </c>
      <c r="BL2" s="161" t="inlineStr">
        <is>
          <t>2026-10-09</t>
        </is>
      </c>
      <c r="BM2" s="127" t="n"/>
      <c r="BN2" s="127" t="n"/>
      <c r="BO2" s="127" t="n"/>
      <c r="BP2" s="127" t="n">
        <v>1</v>
      </c>
      <c r="BQ2" s="127" t="n"/>
      <c r="BR2" s="127" t="n"/>
      <c r="BS2" s="127" t="n"/>
      <c r="BT2" s="127" t="n"/>
      <c r="BU2" s="127" t="n">
        <v>1</v>
      </c>
      <c r="BV2" s="127" t="n">
        <v>1</v>
      </c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export@lotusfrt.co.th</t>
        </is>
      </c>
      <c r="CJ2" s="96" t="inlineStr">
        <is>
          <t>LOTUS FREIGHT AND SERVICES CORP.,</t>
        </is>
      </c>
      <c r="CK2" s="96" t="inlineStr">
        <is>
          <t>TP GLOBAL LOGISTICS</t>
        </is>
      </c>
      <c r="CL2" s="96" t="inlineStr">
        <is>
          <t>TP GLOBAL LOGISTICS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202610142100</t>
        </is>
      </c>
      <c r="CP2" s="97" t="inlineStr">
        <is>
          <t>22PC x1: OOG(Size(cm) L:465 / W:400 / H:330 / (Weight(KGS) :22000) / (VOID: 5 ),42PC x1: OOG(Size(cm) L:1080 / W:320 / H:270 / (Weight(KGS) :16000) / (VOID: 10 )</t>
        </is>
      </c>
      <c r="CQ2" s="96" t="inlineStr">
        <is>
          <t>S22-2512011</t>
        </is>
      </c>
      <c r="CR2" s="96" t="inlineStr">
        <is>
          <t>BB1033</t>
        </is>
      </c>
      <c r="CS2" s="96" t="inlineStr">
        <is>
          <t>LOTUS FREIGHT AND SERVICES CORP.,LTD.</t>
        </is>
      </c>
      <c r="CT2" s="96" t="inlineStr">
        <is>
          <t>N</t>
        </is>
      </c>
      <c r="CU2" s="97" t="n"/>
      <c r="CV2" s="97" t="n"/>
      <c r="CW2" s="161" t="inlineStr">
        <is>
          <t>2026-10-13</t>
        </is>
      </c>
      <c r="CX2" s="97" t="inlineStr">
        <is>
          <t>847982</t>
        </is>
      </c>
      <c r="CY2" s="156" t="n"/>
    </row>
    <row r="3" ht="12" customHeight="1">
      <c r="A3" s="116" t="inlineStr">
        <is>
          <t>HASLS22260902030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KHS1</t>
        </is>
      </c>
      <c r="M3" s="96" t="inlineStr">
        <is>
          <t>SWIC</t>
        </is>
      </c>
      <c r="N3" s="96" t="inlineStr">
        <is>
          <t>2611N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2026-10-17</t>
        </is>
      </c>
      <c r="S3" s="96" t="inlineStr">
        <is>
          <t>JPYKK</t>
        </is>
      </c>
      <c r="T3" s="96" t="inlineStr">
        <is>
          <t>YKK01</t>
        </is>
      </c>
      <c r="U3" s="96" t="inlineStr">
        <is>
          <t>JPYKK</t>
        </is>
      </c>
      <c r="V3" s="161" t="inlineStr">
        <is>
          <t>2026-11-01</t>
        </is>
      </c>
      <c r="W3" s="96" t="inlineStr">
        <is>
          <t>JP</t>
        </is>
      </c>
      <c r="X3" s="97" t="n"/>
      <c r="Y3" s="97" t="inlineStr">
        <is>
          <t>PUS05</t>
        </is>
      </c>
      <c r="Z3" s="97" t="inlineStr">
        <is>
          <t>KRPUS</t>
        </is>
      </c>
      <c r="AA3" s="96" t="inlineStr">
        <is>
          <t>DOW CHEMICAL THAILAND LTD.</t>
        </is>
      </c>
      <c r="AB3" s="96" t="inlineStr">
        <is>
          <t>SIAM POLYETHYLENE CO., LTD.</t>
        </is>
      </c>
      <c r="AC3" s="163" t="n">
        <v>16870</v>
      </c>
      <c r="AD3" s="163" t="n">
        <v>19070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B0004</t>
        </is>
      </c>
      <c r="AN3" s="96" t="inlineStr">
        <is>
          <t>SEO JI YEONG</t>
        </is>
      </c>
      <c r="AO3" s="96" t="inlineStr">
        <is>
          <t>ELITE TM 5260LC ENHANCED POLYETHYLENE RESIN BULK</t>
        </is>
      </c>
      <c r="AP3" s="96" t="inlineStr">
        <is>
          <t>T/S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2026-10-05, Return : 2026-10-09</t>
        </is>
      </c>
      <c r="BA3" s="97" t="inlineStr">
        <is>
          <t>1X20' SEABULK "1.Pls send Email to  kittima.t@bdpint.com 2.Issue SEA WAYBILL "</t>
        </is>
      </c>
      <c r="BB3" s="96" t="inlineStr">
        <is>
          <t>P</t>
        </is>
      </c>
      <c r="BC3" s="161" t="inlineStr">
        <is>
          <t>2026-09-22</t>
        </is>
      </c>
      <c r="BD3" s="161" t="inlineStr">
        <is>
          <t>2026-10-14</t>
        </is>
      </c>
      <c r="BE3" s="96" t="inlineStr">
        <is>
          <t>Y</t>
        </is>
      </c>
      <c r="BF3" s="96" t="inlineStr">
        <is>
          <t>RESIN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2026-10-05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4</v>
      </c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THLCH [SWIC/2611N]; T/S(1st): KRPUS [PCSS/2635E]; POD: JPYKK [/]</t>
        </is>
      </c>
      <c r="CI3" s="96" t="inlineStr">
        <is>
          <t>rattiya.w@psabdp.com</t>
        </is>
      </c>
      <c r="CJ3" s="96" t="inlineStr">
        <is>
          <t>SIAM POLYETHYLENE CO., LTD.</t>
        </is>
      </c>
      <c r="CK3" s="96" t="inlineStr">
        <is>
          <t>DOW CHEMICAL JAPAN LIMITED</t>
        </is>
      </c>
      <c r="CL3" s="96" t="inlineStr">
        <is>
          <t>THE SHIBUSAWA WAREHOUSE CO., LTD.</t>
        </is>
      </c>
      <c r="CM3" s="97" t="n"/>
      <c r="CN3" s="96" t="inlineStr">
        <is>
          <t>202610121700</t>
        </is>
      </c>
      <c r="CO3" s="96" t="inlineStr">
        <is>
          <t>202610142100</t>
        </is>
      </c>
      <c r="CP3" s="97" t="n"/>
      <c r="CQ3" s="96" t="inlineStr">
        <is>
          <t>76492-25003</t>
        </is>
      </c>
      <c r="CR3" s="96" t="inlineStr">
        <is>
          <t>THTJG3</t>
        </is>
      </c>
      <c r="CS3" s="96" t="inlineStr">
        <is>
          <t>DOW CHEMICAL THAILAND LTD.</t>
        </is>
      </c>
      <c r="CT3" s="96" t="inlineStr">
        <is>
          <t>N</t>
        </is>
      </c>
      <c r="CU3" s="97" t="n"/>
      <c r="CV3" s="97" t="n"/>
      <c r="CW3" s="161" t="inlineStr">
        <is>
          <t>2026-10-13</t>
        </is>
      </c>
      <c r="CX3" s="97" t="inlineStr">
        <is>
          <t>390140</t>
        </is>
      </c>
      <c r="CY3" s="183" t="n"/>
    </row>
    <row r="4" ht="12" customHeight="1">
      <c r="A4" s="116" t="inlineStr">
        <is>
          <t>HASLS22261000763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KHS1</t>
        </is>
      </c>
      <c r="M4" s="96" t="inlineStr">
        <is>
          <t>SWIC</t>
        </is>
      </c>
      <c r="N4" s="96" t="inlineStr">
        <is>
          <t>2611N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2026-10-17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UNITED MARINE LOGISTIC CO., LTD.</t>
        </is>
      </c>
      <c r="AB4" s="96" t="inlineStr">
        <is>
          <t>WELLGROW GLASS INDUSTRY CO., LTD.</t>
        </is>
      </c>
      <c r="AC4" s="163" t="n">
        <v>12870</v>
      </c>
      <c r="AD4" s="163" t="n">
        <v>15070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TH0011</t>
        </is>
      </c>
      <c r="AN4" s="96" t="inlineStr">
        <is>
          <t>Nannaapust Sukporntaweewat</t>
        </is>
      </c>
      <c r="AO4" s="96" t="inlineStr">
        <is>
          <t>GLASS BOTTLE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 xml:space="preserve">Pickup : 2026-10-10, Return : 2026-10-12 
** PLEASE CHECK OPEN GATE BEFORE RETURN CONTAINER **  </t>
        </is>
      </c>
      <c r="BA4" s="97" t="inlineStr">
        <is>
          <t>SURRENDER</t>
        </is>
      </c>
      <c r="BB4" s="96" t="inlineStr">
        <is>
          <t>P</t>
        </is>
      </c>
      <c r="BC4" s="161" t="inlineStr">
        <is>
          <t>2026-10-09</t>
        </is>
      </c>
      <c r="BD4" s="161" t="inlineStr">
        <is>
          <t>2026-10-12</t>
        </is>
      </c>
      <c r="BE4" s="96" t="inlineStr">
        <is>
          <t>Y</t>
        </is>
      </c>
      <c r="BF4" s="96" t="inlineStr">
        <is>
          <t xml:space="preserve">GLASS BOTTLE 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2026-10-10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customer@umac.co.th</t>
        </is>
      </c>
      <c r="CJ4" s="96" t="inlineStr">
        <is>
          <t>WELLGROW GLASS INDUSTRY CO., LTD.</t>
        </is>
      </c>
      <c r="CK4" s="96" t="inlineStr">
        <is>
          <t>SAIGON COSMETICS CORPORATION</t>
        </is>
      </c>
      <c r="CL4" s="96" t="inlineStr">
        <is>
          <t>SAIGON COSMETICS CORPORATION</t>
        </is>
      </c>
      <c r="CM4" s="97" t="inlineStr">
        <is>
          <t>CLOSED</t>
        </is>
      </c>
      <c r="CN4" s="96" t="inlineStr">
        <is>
          <t>202610121700</t>
        </is>
      </c>
      <c r="CO4" s="96" t="inlineStr">
        <is>
          <t>202610142100</t>
        </is>
      </c>
      <c r="CP4" s="97" t="n"/>
      <c r="CQ4" s="96" t="inlineStr">
        <is>
          <t>S22-2406015</t>
        </is>
      </c>
      <c r="CR4" s="96" t="inlineStr">
        <is>
          <t>BB1277</t>
        </is>
      </c>
      <c r="CS4" s="96" t="inlineStr">
        <is>
          <t>UNITED MARINE LOGISTIC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7" t="inlineStr">
        <is>
          <t>701090</t>
        </is>
      </c>
      <c r="CY4" s="183" t="n"/>
    </row>
    <row r="5" ht="12" customHeight="1">
      <c r="A5" s="116" t="inlineStr">
        <is>
          <t>HASLS22261000114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KHS1</t>
        </is>
      </c>
      <c r="M5" s="96" t="inlineStr">
        <is>
          <t>SWIC</t>
        </is>
      </c>
      <c r="N5" s="96" t="inlineStr">
        <is>
          <t>2611N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2026-10-17</t>
        </is>
      </c>
      <c r="S5" s="96" t="inlineStr">
        <is>
          <t>KRPUS</t>
        </is>
      </c>
      <c r="T5" s="96" t="inlineStr">
        <is>
          <t>PUS05</t>
        </is>
      </c>
      <c r="U5" s="96" t="inlineStr">
        <is>
          <t>KRPUS</t>
        </is>
      </c>
      <c r="V5" s="161" t="inlineStr">
        <is>
          <t>2026-10-25</t>
        </is>
      </c>
      <c r="W5" s="96" t="inlineStr">
        <is>
          <t>KR</t>
        </is>
      </c>
      <c r="X5" s="97" t="n"/>
      <c r="Y5" s="97" t="n"/>
      <c r="Z5" s="97" t="n"/>
      <c r="AA5" s="96" t="inlineStr">
        <is>
          <t>CANVAS GLOBAL LOGISTICS (THAILAND) CO., LTD.</t>
        </is>
      </c>
      <c r="AB5" s="96" t="inlineStr">
        <is>
          <t>SRI TRANG GLOVES (THAILAND) PUBLIC COMPANY LIMITED</t>
        </is>
      </c>
      <c r="AC5" s="163" t="n">
        <v>8530.691999999999</v>
      </c>
      <c r="AD5" s="163" t="n">
        <v>10730.692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TBKK97</t>
        </is>
      </c>
      <c r="AN5" s="96" t="inlineStr">
        <is>
          <t>Arunphat W. (Aiw)</t>
        </is>
      </c>
      <c r="AO5" s="96" t="inlineStr">
        <is>
          <t>LATEX EXAM TEXTURE POWDER FREE GLOVES SIZE XS S M L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2026-10-07, Return : 2026-10-12</t>
        </is>
      </c>
      <c r="BA5" s="97" t="inlineStr">
        <is>
          <t>ขอย้ายลำใกล้เคียงช่วงเรือใกล้ออกได้Shipper: Sritrang gloves</t>
        </is>
      </c>
      <c r="BB5" s="96" t="inlineStr">
        <is>
          <t>P</t>
        </is>
      </c>
      <c r="BC5" s="161" t="inlineStr">
        <is>
          <t>2026-10-02</t>
        </is>
      </c>
      <c r="BD5" s="161" t="inlineStr">
        <is>
          <t>2026-10-12</t>
        </is>
      </c>
      <c r="BE5" s="96" t="inlineStr">
        <is>
          <t>Y</t>
        </is>
      </c>
      <c r="BF5" s="96" t="inlineStr">
        <is>
          <t xml:space="preserve">GLOVES 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2026-10-07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cs.log@canvasglobal-log.co.th</t>
        </is>
      </c>
      <c r="CJ5" s="96" t="inlineStr">
        <is>
          <t>SRI TRANG GLOVES (THAILAND) PUBLIC</t>
        </is>
      </c>
      <c r="CK5" s="96" t="inlineStr">
        <is>
          <t>GNMED CO., LTD.</t>
        </is>
      </c>
      <c r="CL5" s="96" t="inlineStr">
        <is>
          <t>GNMED CO., LTD.</t>
        </is>
      </c>
      <c r="CM5" s="97" t="n"/>
      <c r="CN5" s="96" t="inlineStr">
        <is>
          <t>202610121700</t>
        </is>
      </c>
      <c r="CO5" s="96" t="inlineStr">
        <is>
          <t>202610142100</t>
        </is>
      </c>
      <c r="CP5" s="97" t="n"/>
      <c r="CQ5" s="96" t="inlineStr">
        <is>
          <t>S22-2609010</t>
        </is>
      </c>
      <c r="CR5" s="96" t="inlineStr">
        <is>
          <t>THTWN1</t>
        </is>
      </c>
      <c r="CS5" s="96" t="inlineStr">
        <is>
          <t>CANVAS GLOBAL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2026-10-16</t>
        </is>
      </c>
      <c r="CX5" s="97" t="n"/>
      <c r="CY5" s="183" t="n"/>
    </row>
    <row r="6" ht="12" customHeight="1">
      <c r="A6" s="116" t="inlineStr">
        <is>
          <t>HASLS22260902027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KHS1</t>
        </is>
      </c>
      <c r="M6" s="96" t="inlineStr">
        <is>
          <t>SWIC</t>
        </is>
      </c>
      <c r="N6" s="96" t="inlineStr">
        <is>
          <t>2611N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2026-10-17</t>
        </is>
      </c>
      <c r="S6" s="96" t="inlineStr">
        <is>
          <t>JPYKK</t>
        </is>
      </c>
      <c r="T6" s="96" t="inlineStr">
        <is>
          <t>YKK01</t>
        </is>
      </c>
      <c r="U6" s="96" t="inlineStr">
        <is>
          <t>JPYKK</t>
        </is>
      </c>
      <c r="V6" s="161" t="inlineStr">
        <is>
          <t>2026-11-01</t>
        </is>
      </c>
      <c r="W6" s="96" t="inlineStr">
        <is>
          <t>JP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DOW CHEMICAL THAILAND LTD.</t>
        </is>
      </c>
      <c r="AB6" s="96" t="inlineStr">
        <is>
          <t>SIAM POLYETHYLENE CO., LTD.</t>
        </is>
      </c>
      <c r="AC6" s="163" t="n">
        <v>16800</v>
      </c>
      <c r="AD6" s="163" t="n">
        <v>19000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B0004</t>
        </is>
      </c>
      <c r="AN6" s="96" t="inlineStr">
        <is>
          <t>SEO JI YEONG</t>
        </is>
      </c>
      <c r="AO6" s="96" t="inlineStr">
        <is>
          <t>ELITE TM 5220LC ENHANCED POLYETHYLENE RESIN BULK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2026-10-05, Return : 2026-10-09</t>
        </is>
      </c>
      <c r="BA6" s="97" t="inlineStr">
        <is>
          <t>1X20' SEABULK "1.Pls send Email to  kittima.t@bdpint.com 2.Issue SEA WAYBILL "</t>
        </is>
      </c>
      <c r="BB6" s="96" t="inlineStr">
        <is>
          <t>P</t>
        </is>
      </c>
      <c r="BC6" s="161" t="inlineStr">
        <is>
          <t>2026-09-22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RESIN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2026-10-05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4</v>
      </c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THLCH [SWIC/2611N]; T/S(1st): KRPUS [PCSS/2635E]; POD: JPYKK [/]</t>
        </is>
      </c>
      <c r="CI6" s="96" t="inlineStr">
        <is>
          <t>rattiya.w@psabdp.com</t>
        </is>
      </c>
      <c r="CJ6" s="96" t="inlineStr">
        <is>
          <t>SIAM POLYETHYLENE CO., LTD.</t>
        </is>
      </c>
      <c r="CK6" s="96" t="inlineStr">
        <is>
          <t>DOW CHEMICAL JAPAN LIMITED</t>
        </is>
      </c>
      <c r="CL6" s="96" t="inlineStr">
        <is>
          <t>THE SHIBUSAWA WAREHOUSE CO., LTD.</t>
        </is>
      </c>
      <c r="CM6" s="97" t="n"/>
      <c r="CN6" s="96" t="inlineStr">
        <is>
          <t>202610121700</t>
        </is>
      </c>
      <c r="CO6" s="96" t="inlineStr">
        <is>
          <t>202610142100</t>
        </is>
      </c>
      <c r="CP6" s="97" t="n"/>
      <c r="CQ6" s="96" t="inlineStr">
        <is>
          <t>76492-25003</t>
        </is>
      </c>
      <c r="CR6" s="96" t="inlineStr">
        <is>
          <t>THTJG3</t>
        </is>
      </c>
      <c r="CS6" s="96" t="inlineStr">
        <is>
          <t>DOW CHEMICAL THAILAND LTD.</t>
        </is>
      </c>
      <c r="CT6" s="96" t="inlineStr">
        <is>
          <t>N</t>
        </is>
      </c>
      <c r="CU6" s="97" t="n"/>
      <c r="CV6" s="97" t="n"/>
      <c r="CW6" s="161" t="inlineStr">
        <is>
          <t>2026-10-13</t>
        </is>
      </c>
      <c r="CX6" s="97" t="inlineStr">
        <is>
          <t>390140</t>
        </is>
      </c>
      <c r="CY6" s="183" t="n"/>
    </row>
    <row r="7" ht="12" customHeight="1">
      <c r="A7" s="116" t="inlineStr">
        <is>
          <t>HASLS22260902304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KHS1</t>
        </is>
      </c>
      <c r="M7" s="96" t="inlineStr">
        <is>
          <t>SWIC</t>
        </is>
      </c>
      <c r="N7" s="96" t="inlineStr">
        <is>
          <t>2611N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2026-10-17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18072</v>
      </c>
      <c r="AD7" s="163" t="n">
        <v>20272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LOW DENSITY POLYETHYLENE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CY : 02/10/26 , RTN : 04/10/26 [1ST RTN 09/10/2026 W/O RENT]
** PLEASE CHECK OPEN GATE BEFORE RETURN CONTAINER ** 
</t>
        </is>
      </c>
      <c r="BA7" s="97" t="inlineStr">
        <is>
          <t xml:space="preserve">SI DD.7/10/26
FM PCCP 2609N BY HAL DD.18/08 ** SKIP THAILAND**
FM SWAL 2608N BY HAL (SKIP THAILAND) DD 31/08    </t>
        </is>
      </c>
      <c r="BB7" s="96" t="inlineStr">
        <is>
          <t>P</t>
        </is>
      </c>
      <c r="BC7" s="161" t="inlineStr">
        <is>
          <t>2026-09-24</t>
        </is>
      </c>
      <c r="BD7" s="161" t="inlineStr">
        <is>
          <t>2026-10-13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wannicha.p@wha-gc.com</t>
        </is>
      </c>
      <c r="CJ7" s="96" t="inlineStr">
        <is>
          <t>PTT GLOBAL CHEMICAL PUBLIC COMPANY</t>
        </is>
      </c>
      <c r="CK7" s="96" t="inlineStr">
        <is>
          <t>HONG TUONG CO.,LTD</t>
        </is>
      </c>
      <c r="CL7" s="96" t="inlineStr">
        <is>
          <t>HONG TUONG CO.,LTD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202610142100</t>
        </is>
      </c>
      <c r="CP7" s="97" t="n"/>
      <c r="CQ7" s="96" t="inlineStr">
        <is>
          <t>S22-2309036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2026-10-16</t>
        </is>
      </c>
      <c r="CX7" s="97" t="inlineStr">
        <is>
          <t>390110</t>
        </is>
      </c>
      <c r="CY7" s="183" t="n"/>
    </row>
    <row r="8" ht="12" customHeight="1">
      <c r="A8" s="116" t="inlineStr">
        <is>
          <t>HASLS22260901729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KHS1</t>
        </is>
      </c>
      <c r="M8" s="96" t="inlineStr">
        <is>
          <t>SWIC</t>
        </is>
      </c>
      <c r="N8" s="96" t="inlineStr">
        <is>
          <t>2611N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2026-10-17</t>
        </is>
      </c>
      <c r="S8" s="96" t="inlineStr">
        <is>
          <t>JPTMK</t>
        </is>
      </c>
      <c r="T8" s="96" t="inlineStr">
        <is>
          <t>TMK03</t>
        </is>
      </c>
      <c r="U8" s="96" t="inlineStr">
        <is>
          <t>JPTMK</t>
        </is>
      </c>
      <c r="V8" s="161" t="inlineStr">
        <is>
          <t>2026-11-12</t>
        </is>
      </c>
      <c r="W8" s="96" t="inlineStr">
        <is>
          <t>JP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CROSS-WORLD INTERNATIONAL CO., LTD.</t>
        </is>
      </c>
      <c r="AB8" s="96" t="inlineStr">
        <is>
          <t>TPBI PUBLIC COMPANY LIMITED</t>
        </is>
      </c>
      <c r="AC8" s="163" t="n">
        <v>13301.2</v>
      </c>
      <c r="AD8" s="163" t="n">
        <v>15501.2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TH0042</t>
        </is>
      </c>
      <c r="AN8" s="96" t="inlineStr">
        <is>
          <t>Sukunpoj Damrongying</t>
        </is>
      </c>
      <c r="AO8" s="96" t="inlineStr">
        <is>
          <t>PLASTIC BAG</t>
        </is>
      </c>
      <c r="AP8" s="96" t="inlineStr">
        <is>
          <t>T/S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[FIX]Pickup : 2026-10-10, Return : 2026-10-12 (1ST RTN DD: 12/10/26 WO/RENT)</t>
        </is>
      </c>
      <c r="BA8" s="97" t="inlineStr">
        <is>
          <t xml:space="preserve">- GOOD &amp; CLEAN CONTAINER </t>
        </is>
      </c>
      <c r="BB8" s="96" t="inlineStr">
        <is>
          <t>P</t>
        </is>
      </c>
      <c r="BC8" s="161" t="inlineStr">
        <is>
          <t>2026-09-18</t>
        </is>
      </c>
      <c r="BD8" s="161" t="inlineStr">
        <is>
          <t>2026-10-15</t>
        </is>
      </c>
      <c r="BE8" s="96" t="inlineStr">
        <is>
          <t>Y</t>
        </is>
      </c>
      <c r="BF8" s="96" t="inlineStr">
        <is>
          <t>PLASTIC BAG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2026-10-10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15</v>
      </c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[SWIC/2611N]; T/S(1st): KRPUS [TYTR/2641E]; POD: JPTMK [/]</t>
        </is>
      </c>
      <c r="CI8" s="96" t="inlineStr">
        <is>
          <t>marketing1@cwi.co.th;parnuwat@cwi.co.th</t>
        </is>
      </c>
      <c r="CJ8" s="96" t="inlineStr">
        <is>
          <t>TPBI PUBLIC COMPANY LIMITED</t>
        </is>
      </c>
      <c r="CK8" s="96" t="inlineStr">
        <is>
          <t>OZAX CORPORATION</t>
        </is>
      </c>
      <c r="CL8" s="96" t="inlineStr">
        <is>
          <t>OZAX CORPORATION</t>
        </is>
      </c>
      <c r="CM8" s="97" t="n"/>
      <c r="CN8" s="96" t="inlineStr">
        <is>
          <t>202610121700</t>
        </is>
      </c>
      <c r="CO8" s="96" t="inlineStr">
        <is>
          <t>202610142100</t>
        </is>
      </c>
      <c r="CP8" s="97" t="n"/>
      <c r="CQ8" s="96" t="inlineStr">
        <is>
          <t>S22-2312034</t>
        </is>
      </c>
      <c r="CR8" s="96" t="inlineStr">
        <is>
          <t>BB0646</t>
        </is>
      </c>
      <c r="CS8" s="96" t="inlineStr">
        <is>
          <t>CROSS-WORLD INTERNATIONAL CO., LTD.</t>
        </is>
      </c>
      <c r="CT8" s="96" t="inlineStr">
        <is>
          <t>N</t>
        </is>
      </c>
      <c r="CU8" s="97" t="n"/>
      <c r="CV8" s="97" t="n"/>
      <c r="CW8" s="161" t="inlineStr">
        <is>
          <t>2026-10-16</t>
        </is>
      </c>
      <c r="CX8" s="97" t="inlineStr">
        <is>
          <t>392321</t>
        </is>
      </c>
      <c r="CY8" s="183" t="n"/>
    </row>
    <row r="9" ht="12" customHeight="1">
      <c r="A9" s="116" t="inlineStr">
        <is>
          <t>HASLS22260902070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KHS1</t>
        </is>
      </c>
      <c r="M9" s="96" t="inlineStr">
        <is>
          <t>SWIC</t>
        </is>
      </c>
      <c r="N9" s="96" t="inlineStr">
        <is>
          <t>2611N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2026-10-17</t>
        </is>
      </c>
      <c r="S9" s="96" t="inlineStr">
        <is>
          <t>KRUSN</t>
        </is>
      </c>
      <c r="T9" s="96" t="inlineStr">
        <is>
          <t>USN03</t>
        </is>
      </c>
      <c r="U9" s="96" t="inlineStr">
        <is>
          <t>KRUSN</t>
        </is>
      </c>
      <c r="V9" s="161" t="inlineStr">
        <is>
          <t>2026-10-26</t>
        </is>
      </c>
      <c r="W9" s="96" t="inlineStr">
        <is>
          <t>KR</t>
        </is>
      </c>
      <c r="X9" s="97" t="n"/>
      <c r="Y9" s="97" t="n"/>
      <c r="Z9" s="97" t="n"/>
      <c r="AA9" s="96" t="inlineStr">
        <is>
          <t>H &amp; FRIENDS GTL (THAILAND) CO., LTD.</t>
        </is>
      </c>
      <c r="AB9" s="96" t="inlineStr">
        <is>
          <t xml:space="preserve"> N.C.R.RUBBER INDUSTRY CO., LTD.</t>
        </is>
      </c>
      <c r="AC9" s="163" t="n">
        <v>10507.44</v>
      </c>
      <c r="AD9" s="163" t="n">
        <v>12707.44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CON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96033</t>
        </is>
      </c>
      <c r="AN9" s="96" t="inlineStr">
        <is>
          <t>AHN DAE UN</t>
        </is>
      </c>
      <c r="AO9" s="96" t="inlineStr">
        <is>
          <t>RUBBER HOSES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2026-10-10, Return : 2026-10-13</t>
        </is>
      </c>
      <c r="BA9" s="97" t="inlineStr">
        <is>
          <t>HEUNG-A: K01-2110076  cy/re at Lct request container no smel /no damage</t>
        </is>
      </c>
      <c r="BB9" s="96" t="inlineStr">
        <is>
          <t>C</t>
        </is>
      </c>
      <c r="BC9" s="161" t="inlineStr">
        <is>
          <t>2026-09-23</t>
        </is>
      </c>
      <c r="BD9" s="161" t="inlineStr">
        <is>
          <t>2026-10-15</t>
        </is>
      </c>
      <c r="BE9" s="96" t="inlineStr">
        <is>
          <t>Y</t>
        </is>
      </c>
      <c r="BF9" s="96" t="inlineStr">
        <is>
          <t>CO-POLYESTER 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2026-10-10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bkksea@hnfriends.com</t>
        </is>
      </c>
      <c r="CJ9" s="96" t="inlineStr">
        <is>
          <t>H &amp; FRIENDS GTL (THAILAND) CO.,LTD.</t>
        </is>
      </c>
      <c r="CK9" s="96" t="inlineStr">
        <is>
          <t>IMA SHIPPING CO., LTD.</t>
        </is>
      </c>
      <c r="CL9" s="96" t="inlineStr">
        <is>
          <t>IMA SHIPPING CO., LTD.</t>
        </is>
      </c>
      <c r="CM9" s="97" t="n"/>
      <c r="CN9" s="96" t="inlineStr">
        <is>
          <t>202610121700</t>
        </is>
      </c>
      <c r="CO9" s="96" t="inlineStr">
        <is>
          <t>202610142100</t>
        </is>
      </c>
      <c r="CP9" s="97" t="n"/>
      <c r="CQ9" s="96" t="inlineStr">
        <is>
          <t>K02-2512034</t>
        </is>
      </c>
      <c r="CR9" s="96" t="inlineStr">
        <is>
          <t>THTIK5</t>
        </is>
      </c>
      <c r="CS9" s="96" t="inlineStr">
        <is>
          <t>H &amp; FRIENDS GTL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2026-10-16</t>
        </is>
      </c>
      <c r="CX9" s="97" t="n"/>
      <c r="CY9" s="183" t="n"/>
    </row>
    <row r="10" ht="12" customHeight="1">
      <c r="A10" s="116" t="inlineStr">
        <is>
          <t>HASLS22260902029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KHS1</t>
        </is>
      </c>
      <c r="M10" s="96" t="inlineStr">
        <is>
          <t>SWIC</t>
        </is>
      </c>
      <c r="N10" s="96" t="inlineStr">
        <is>
          <t>2611N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2026-10-17</t>
        </is>
      </c>
      <c r="S10" s="96" t="inlineStr">
        <is>
          <t>JPYKK</t>
        </is>
      </c>
      <c r="T10" s="96" t="inlineStr">
        <is>
          <t>YKK01</t>
        </is>
      </c>
      <c r="U10" s="96" t="inlineStr">
        <is>
          <t>JPYKK</t>
        </is>
      </c>
      <c r="V10" s="161" t="inlineStr">
        <is>
          <t>2026-11-01</t>
        </is>
      </c>
      <c r="W10" s="96" t="inlineStr">
        <is>
          <t>JP</t>
        </is>
      </c>
      <c r="X10" s="97" t="n"/>
      <c r="Y10" s="97" t="inlineStr">
        <is>
          <t>PUS05</t>
        </is>
      </c>
      <c r="Z10" s="97" t="inlineStr">
        <is>
          <t>KRPUS</t>
        </is>
      </c>
      <c r="AA10" s="96" t="inlineStr">
        <is>
          <t>DOW CHEMICAL THAILAND LTD.</t>
        </is>
      </c>
      <c r="AB10" s="96" t="inlineStr">
        <is>
          <t>SIAM POLYETHYLENE CO., LTD.</t>
        </is>
      </c>
      <c r="AC10" s="163" t="n">
        <v>16970</v>
      </c>
      <c r="AD10" s="163" t="n">
        <v>19170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B0004</t>
        </is>
      </c>
      <c r="AN10" s="96" t="inlineStr">
        <is>
          <t>SEO JI YEONG</t>
        </is>
      </c>
      <c r="AO10" s="96" t="inlineStr">
        <is>
          <t>ELITE TM 5260LC ENHANCED POLYETHYLENE RESIN BULK</t>
        </is>
      </c>
      <c r="AP10" s="96" t="inlineStr">
        <is>
          <t>T/S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2026-10-05, Return : 2026-10-09</t>
        </is>
      </c>
      <c r="BA10" s="97" t="inlineStr">
        <is>
          <t>1X20' SEABULK "1.Pls send Email to  kittima.t@bdpint.com 2.Issue SEA WAYBILL "</t>
        </is>
      </c>
      <c r="BB10" s="96" t="inlineStr">
        <is>
          <t>P</t>
        </is>
      </c>
      <c r="BC10" s="161" t="inlineStr">
        <is>
          <t>2026-09-22</t>
        </is>
      </c>
      <c r="BD10" s="161" t="inlineStr">
        <is>
          <t>2026-10-14</t>
        </is>
      </c>
      <c r="BE10" s="96" t="inlineStr">
        <is>
          <t>Y</t>
        </is>
      </c>
      <c r="BF10" s="96" t="inlineStr">
        <is>
          <t>RESIN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2026-10-05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>
        <v>4</v>
      </c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inlineStr">
        <is>
          <t>POL: THLCH [SWIC/2611N]; T/S(1st): KRPUS [PCSS/2635E]; POD: JPYKK [/]</t>
        </is>
      </c>
      <c r="CI10" s="96" t="inlineStr">
        <is>
          <t>rattiya.w@psabdp.com</t>
        </is>
      </c>
      <c r="CJ10" s="96" t="inlineStr">
        <is>
          <t>SIAM POLYETHYLENE CO., LTD.</t>
        </is>
      </c>
      <c r="CK10" s="96" t="inlineStr">
        <is>
          <t>DOW CHEMICAL JAPAN LIMITED</t>
        </is>
      </c>
      <c r="CL10" s="96" t="inlineStr">
        <is>
          <t>THE SHIBUSAWA WAREHOUSE CO., LTD.</t>
        </is>
      </c>
      <c r="CM10" s="97" t="n"/>
      <c r="CN10" s="96" t="inlineStr">
        <is>
          <t>202610121700</t>
        </is>
      </c>
      <c r="CO10" s="96" t="inlineStr">
        <is>
          <t>202610142100</t>
        </is>
      </c>
      <c r="CP10" s="97" t="n"/>
      <c r="CQ10" s="96" t="inlineStr">
        <is>
          <t>76492-25003</t>
        </is>
      </c>
      <c r="CR10" s="96" t="inlineStr">
        <is>
          <t>THTJG3</t>
        </is>
      </c>
      <c r="CS10" s="96" t="inlineStr">
        <is>
          <t>DOW CHEMICAL THAILAND LTD.</t>
        </is>
      </c>
      <c r="CT10" s="96" t="inlineStr">
        <is>
          <t>N</t>
        </is>
      </c>
      <c r="CU10" s="97" t="n"/>
      <c r="CV10" s="97" t="n"/>
      <c r="CW10" s="161" t="inlineStr">
        <is>
          <t>2026-10-13</t>
        </is>
      </c>
      <c r="CX10" s="97" t="inlineStr">
        <is>
          <t>390140</t>
        </is>
      </c>
      <c r="CY10" s="183" t="n"/>
    </row>
    <row r="11" ht="12" customHeight="1">
      <c r="A11" s="116" t="inlineStr">
        <is>
          <t>HASLS22261000325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KHS1</t>
        </is>
      </c>
      <c r="M11" s="96" t="inlineStr">
        <is>
          <t>SWIC</t>
        </is>
      </c>
      <c r="N11" s="96" t="inlineStr">
        <is>
          <t>2611N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2026-10-17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EASTERN AIR LOGISTICS CO., LTD.</t>
        </is>
      </c>
      <c r="AB11" s="96" t="inlineStr">
        <is>
          <t>YU WON NRT (THAILAND) CO.,LTD.</t>
        </is>
      </c>
      <c r="AC11" s="163" t="n">
        <v>11485</v>
      </c>
      <c r="AD11" s="163" t="n">
        <v>13685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TH0031</t>
        </is>
      </c>
      <c r="AN11" s="96" t="inlineStr">
        <is>
          <t>Pattarapong Saengthong</t>
        </is>
      </c>
      <c r="AO11" s="96" t="inlineStr">
        <is>
          <t>HEAT SINK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 xml:space="preserve">Pickup : 2026-10-12, Return : 2026-10-12 
** PLEASE CHECK OPEN GATE BEFORE RETURN CONTAINER ** </t>
        </is>
      </c>
      <c r="BA11" s="97" t="inlineStr">
        <is>
          <t xml:space="preserve">ROLL OVER FROM PREVIOUS VSL SWBT 2616N BY ALLOCATION TEAM MS.TARN APRPOVED COST IS UNDER HA DD.14/10
FM SHRP : APEX CIRCUIT (THAILAND) CO., LTD. DD 06/10 </t>
        </is>
      </c>
      <c r="BB11" s="96" t="inlineStr">
        <is>
          <t>P</t>
        </is>
      </c>
      <c r="BC11" s="161" t="inlineStr">
        <is>
          <t>2026-10-05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HEAT SINK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2026-10-12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seahq_export4@easternair.co.th;seahq_export2@easternair.co.th;seahq_export@easternair.co.th</t>
        </is>
      </c>
      <c r="CJ11" s="96" t="inlineStr">
        <is>
          <t>EASTERN AIR LOGISTICS CO., LTD.</t>
        </is>
      </c>
      <c r="CK11" s="96" t="inlineStr">
        <is>
          <t>SMART NETWORK LOGISTICS CO., LTD</t>
        </is>
      </c>
      <c r="CL11" s="96" t="inlineStr">
        <is>
          <t>SMART NETWORK LOGISTICS CO., LTD</t>
        </is>
      </c>
      <c r="CM11" s="97" t="inlineStr">
        <is>
          <t>CLOSED</t>
        </is>
      </c>
      <c r="CN11" s="96" t="inlineStr">
        <is>
          <t>202610121700</t>
        </is>
      </c>
      <c r="CO11" s="96" t="inlineStr">
        <is>
          <t>202610142100</t>
        </is>
      </c>
      <c r="CP11" s="97" t="n"/>
      <c r="CQ11" s="96" t="inlineStr">
        <is>
          <t>S22-2209015</t>
        </is>
      </c>
      <c r="CR11" s="96" t="inlineStr">
        <is>
          <t>THTL32</t>
        </is>
      </c>
      <c r="CS11" s="96" t="inlineStr">
        <is>
          <t>EASTERN AIR LOGISTICS CO., LTD.</t>
        </is>
      </c>
      <c r="CT11" s="96" t="inlineStr">
        <is>
          <t>N</t>
        </is>
      </c>
      <c r="CU11" s="97" t="n"/>
      <c r="CV11" s="97" t="n"/>
      <c r="CW11" s="161" t="inlineStr">
        <is>
          <t>2026-10-16</t>
        </is>
      </c>
      <c r="CX11" s="97" t="inlineStr">
        <is>
          <t>761699</t>
        </is>
      </c>
      <c r="CY11" s="183" t="inlineStr">
        <is>
          <t>ROLL OVER FROM PREVIOUS VSL SWBT 2616N BY ALLOCATION TEAM MS.TARN APRPOVED COST IS UNDER HA DD.14/10</t>
        </is>
      </c>
    </row>
    <row r="12" ht="12" customHeight="1">
      <c r="A12" s="116" t="inlineStr">
        <is>
          <t>HASLS22260902028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KHS1</t>
        </is>
      </c>
      <c r="M12" s="96" t="inlineStr">
        <is>
          <t>SWIC</t>
        </is>
      </c>
      <c r="N12" s="96" t="inlineStr">
        <is>
          <t>2611N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2026-10-17</t>
        </is>
      </c>
      <c r="S12" s="96" t="inlineStr">
        <is>
          <t>JPYKK</t>
        </is>
      </c>
      <c r="T12" s="96" t="inlineStr">
        <is>
          <t>YKK01</t>
        </is>
      </c>
      <c r="U12" s="96" t="inlineStr">
        <is>
          <t>JPYKK</t>
        </is>
      </c>
      <c r="V12" s="161" t="inlineStr">
        <is>
          <t>2026-11-01</t>
        </is>
      </c>
      <c r="W12" s="96" t="inlineStr">
        <is>
          <t>JP</t>
        </is>
      </c>
      <c r="X12" s="97" t="n"/>
      <c r="Y12" s="97" t="inlineStr">
        <is>
          <t>PUS05</t>
        </is>
      </c>
      <c r="Z12" s="97" t="inlineStr">
        <is>
          <t>KRPUS</t>
        </is>
      </c>
      <c r="AA12" s="96" t="inlineStr">
        <is>
          <t>DOW CHEMICAL THAILAND LTD.</t>
        </is>
      </c>
      <c r="AB12" s="96" t="inlineStr">
        <is>
          <t>SIAM POLYETHYLENE CO., LTD.</t>
        </is>
      </c>
      <c r="AC12" s="163" t="n">
        <v>16590</v>
      </c>
      <c r="AD12" s="163" t="n">
        <v>18790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B0004</t>
        </is>
      </c>
      <c r="AN12" s="96" t="inlineStr">
        <is>
          <t>SEO JI YEONG</t>
        </is>
      </c>
      <c r="AO12" s="96" t="inlineStr">
        <is>
          <t>ELITE TM 5220LC ENHANCED POLYETHYLENE RESIN BULK</t>
        </is>
      </c>
      <c r="AP12" s="96" t="inlineStr">
        <is>
          <t>T/S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2026-10-05, Return : 2026-10-09</t>
        </is>
      </c>
      <c r="BA12" s="97" t="inlineStr">
        <is>
          <t>1X20' SEABULK "1.Pls send Email to  kittima.t@bdpint.com 2.Issue SEA WAYBILL "</t>
        </is>
      </c>
      <c r="BB12" s="96" t="inlineStr">
        <is>
          <t>P</t>
        </is>
      </c>
      <c r="BC12" s="161" t="inlineStr">
        <is>
          <t>2026-09-22</t>
        </is>
      </c>
      <c r="BD12" s="161" t="inlineStr">
        <is>
          <t>2026-10-14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2026-10-05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4</v>
      </c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inlineStr">
        <is>
          <t>POL: THLCH [SWIC/2611N]; T/S(1st): KRPUS [PCSS/2635E]; POD: JPYKK [/]</t>
        </is>
      </c>
      <c r="CI12" s="96" t="inlineStr">
        <is>
          <t>rattiya.w@psabdp.com</t>
        </is>
      </c>
      <c r="CJ12" s="96" t="inlineStr">
        <is>
          <t>SIAM POLYETHYLENE CO., LTD.</t>
        </is>
      </c>
      <c r="CK12" s="96" t="inlineStr">
        <is>
          <t>DOW CHEMICAL JAPAN LIMITED</t>
        </is>
      </c>
      <c r="CL12" s="96" t="inlineStr">
        <is>
          <t>THE SHIBUSAWA WAREHOUSE CO., LTD.</t>
        </is>
      </c>
      <c r="CM12" s="97" t="n"/>
      <c r="CN12" s="96" t="inlineStr">
        <is>
          <t>202610121700</t>
        </is>
      </c>
      <c r="CO12" s="96" t="inlineStr">
        <is>
          <t>202610142100</t>
        </is>
      </c>
      <c r="CP12" s="97" t="n"/>
      <c r="CQ12" s="96" t="inlineStr">
        <is>
          <t>76492-25003</t>
        </is>
      </c>
      <c r="CR12" s="96" t="inlineStr">
        <is>
          <t>THTJG3</t>
        </is>
      </c>
      <c r="CS12" s="96" t="inlineStr">
        <is>
          <t>DOW CHEMICAL THAILAND LTD.</t>
        </is>
      </c>
      <c r="CT12" s="96" t="inlineStr">
        <is>
          <t>N</t>
        </is>
      </c>
      <c r="CU12" s="97" t="n"/>
      <c r="CV12" s="97" t="n"/>
      <c r="CW12" s="161" t="inlineStr">
        <is>
          <t>2026-10-13</t>
        </is>
      </c>
      <c r="CX12" s="97" t="inlineStr">
        <is>
          <t>390140</t>
        </is>
      </c>
      <c r="CY12" s="183" t="n"/>
    </row>
    <row r="13" ht="12" customHeight="1">
      <c r="A13" s="116" t="inlineStr">
        <is>
          <t>HASLS22261000153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KHS1</t>
        </is>
      </c>
      <c r="M13" s="96" t="inlineStr">
        <is>
          <t>SWIC</t>
        </is>
      </c>
      <c r="N13" s="96" t="inlineStr">
        <is>
          <t>2611N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2026-10-17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BEE LOGISTICS (THAILAND) CO., LTD.</t>
        </is>
      </c>
      <c r="AB13" s="96" t="inlineStr">
        <is>
          <t>INGREDION (THAILAND) CO., LTD.</t>
        </is>
      </c>
      <c r="AC13" s="163" t="n">
        <v>13965</v>
      </c>
      <c r="AD13" s="163" t="n">
        <v>16165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TBKK28</t>
        </is>
      </c>
      <c r="AN13" s="96" t="inlineStr">
        <is>
          <t>Nustsireerach</t>
        </is>
      </c>
      <c r="AO13" s="96" t="inlineStr">
        <is>
          <t>MODIFIED STARCH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Pickup : 2026-10-09, Return : 2026-10-11 (1ST RTN DD: 12/10/26 WO/RENT)
**CHECK OPENGATE BEFORE RETURN CNTR**</t>
        </is>
      </c>
      <c r="BA13" s="97" t="inlineStr">
        <is>
          <t>ROLL OVER FROM PREVIOUS VSL SWBT 2616N BY ALLOCATION TEAM MS.TARN APRPOVED COST IS UNDER HA DD.14/10
A-grade container</t>
        </is>
      </c>
      <c r="BB13" s="96" t="inlineStr">
        <is>
          <t>P</t>
        </is>
      </c>
      <c r="BC13" s="161" t="inlineStr">
        <is>
          <t>2026-10-02</t>
        </is>
      </c>
      <c r="BD13" s="161" t="inlineStr">
        <is>
          <t>2026-10-14</t>
        </is>
      </c>
      <c r="BE13" s="96" t="inlineStr">
        <is>
          <t>Y</t>
        </is>
      </c>
      <c r="BF13" s="96" t="inlineStr">
        <is>
          <t>FOODSTUFFS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2026-10-09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csexp.th@beelogistics.com</t>
        </is>
      </c>
      <c r="CJ13" s="96" t="inlineStr">
        <is>
          <t>BEE LOGISTICS (THAILAND) CO., LTD.</t>
        </is>
      </c>
      <c r="CK13" s="96" t="inlineStr">
        <is>
          <t>BOND GLOBAL LOGISTICS JOINT STOCK</t>
        </is>
      </c>
      <c r="CL13" s="96" t="inlineStr">
        <is>
          <t>BOND GLOBAL LOGISTICS JOINT STOCK</t>
        </is>
      </c>
      <c r="CM13" s="97" t="inlineStr">
        <is>
          <t>CLOSED</t>
        </is>
      </c>
      <c r="CN13" s="96" t="inlineStr">
        <is>
          <t>202610121700</t>
        </is>
      </c>
      <c r="CO13" s="96" t="inlineStr">
        <is>
          <t>202610142100</t>
        </is>
      </c>
      <c r="CP13" s="97" t="n"/>
      <c r="CQ13" s="96" t="inlineStr">
        <is>
          <t>S22-2308015</t>
        </is>
      </c>
      <c r="CR13" s="96" t="inlineStr">
        <is>
          <t>THTIK1</t>
        </is>
      </c>
      <c r="CS13" s="96" t="inlineStr">
        <is>
          <t>BEE LOGISTICS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2026-10-16</t>
        </is>
      </c>
      <c r="CX13" s="97" t="inlineStr">
        <is>
          <t>350510</t>
        </is>
      </c>
      <c r="CY13" s="183" t="inlineStr">
        <is>
          <t>ROLL OVER FROM PREVIOUS VSL SWBT 2616N BY ALLOCATION TEAM MS.TARN APRPOVED COST IS UNDER HA DD.14/10</t>
        </is>
      </c>
    </row>
    <row r="14" ht="12" customHeight="1">
      <c r="A14" s="116" t="inlineStr">
        <is>
          <t>HASLS22260902676</t>
        </is>
      </c>
      <c r="B14" s="96" t="inlineStr">
        <is>
          <t>20'x10</t>
        </is>
      </c>
      <c r="C14" s="97" t="n">
        <v>10</v>
      </c>
      <c r="D14" s="97" t="n">
        <v>10</v>
      </c>
      <c r="E14" s="97" t="n"/>
      <c r="F14" s="97" t="n">
        <v>0</v>
      </c>
      <c r="G14" s="97" t="n">
        <v>10</v>
      </c>
      <c r="H14" s="97" t="n">
        <v>0</v>
      </c>
      <c r="I14" s="97" t="n">
        <v>0</v>
      </c>
      <c r="J14" s="97" t="n">
        <v>10</v>
      </c>
      <c r="K14" s="96" t="inlineStr">
        <is>
          <t>N</t>
        </is>
      </c>
      <c r="L14" s="96" t="inlineStr">
        <is>
          <t>KHS1</t>
        </is>
      </c>
      <c r="M14" s="96" t="inlineStr">
        <is>
          <t>SWIC</t>
        </is>
      </c>
      <c r="N14" s="96" t="inlineStr">
        <is>
          <t>2611N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2026-10-17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2026-10-18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HAST LOGISTICS CO., LTD.</t>
        </is>
      </c>
      <c r="AB14" s="96" t="inlineStr">
        <is>
          <t>THE THAI SUGAR TRADING CORPORATION LTD.</t>
        </is>
      </c>
      <c r="AC14" s="163" t="n">
        <v>250800</v>
      </c>
      <c r="AD14" s="163" t="n">
        <v>272800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TBKK19</t>
        </is>
      </c>
      <c r="AN14" s="96" t="inlineStr">
        <is>
          <t>Kanokporn</t>
        </is>
      </c>
      <c r="AO14" s="96" t="inlineStr">
        <is>
          <t>SUGAR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2026-10-10, Return : 2026-10-12</t>
        </is>
      </c>
      <c r="BA14" s="97" t="inlineStr">
        <is>
          <t>&gt;&gt; CHANGE CY-RTN DATE &lt;&lt;GOOD &amp; CLEAN CNTR / Upgrade CNTR</t>
        </is>
      </c>
      <c r="BB14" s="96" t="inlineStr">
        <is>
          <t>P</t>
        </is>
      </c>
      <c r="BC14" s="161" t="inlineStr">
        <is>
          <t>2026-09-29</t>
        </is>
      </c>
      <c r="BD14" s="161" t="inlineStr">
        <is>
          <t>2026-10-13</t>
        </is>
      </c>
      <c r="BE14" s="96" t="inlineStr">
        <is>
          <t>Y</t>
        </is>
      </c>
      <c r="BF14" s="96" t="inlineStr">
        <is>
          <t>Sugar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2026-10-10</t>
        </is>
      </c>
      <c r="BM14" s="127" t="n"/>
      <c r="BN14" s="127" t="n">
        <v>10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cs@hast.co.th</t>
        </is>
      </c>
      <c r="CJ14" s="96" t="inlineStr">
        <is>
          <t>THE THAI SUGAR TRADING CORPORATION</t>
        </is>
      </c>
      <c r="CK14" s="96" t="inlineStr">
        <is>
          <t>TO ORDER</t>
        </is>
      </c>
      <c r="CL14" s="96" t="inlineStr">
        <is>
          <t>PERFETTI VAN MELLE (VIETNAM)</t>
        </is>
      </c>
      <c r="CM14" s="97" t="inlineStr">
        <is>
          <t>CLOSED</t>
        </is>
      </c>
      <c r="CN14" s="96" t="inlineStr">
        <is>
          <t>202610121700</t>
        </is>
      </c>
      <c r="CO14" s="96" t="inlineStr">
        <is>
          <t>202610142100</t>
        </is>
      </c>
      <c r="CP14" s="97" t="n"/>
      <c r="CQ14" s="96" t="inlineStr">
        <is>
          <t>BKK15A0252-1</t>
        </is>
      </c>
      <c r="CR14" s="96" t="inlineStr">
        <is>
          <t>THTHBP</t>
        </is>
      </c>
      <c r="CS14" s="96" t="inlineStr">
        <is>
          <t>HAST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2026-10-16</t>
        </is>
      </c>
      <c r="CX14" s="97" t="inlineStr">
        <is>
          <t>170199</t>
        </is>
      </c>
      <c r="CY14" s="183" t="n"/>
    </row>
    <row r="15" ht="12" customHeight="1">
      <c r="A15" s="116" t="inlineStr">
        <is>
          <t>HASLS22260800966</t>
        </is>
      </c>
      <c r="B15" s="96" t="inlineStr">
        <is>
          <t>20'x10</t>
        </is>
      </c>
      <c r="C15" s="97" t="n">
        <v>10</v>
      </c>
      <c r="D15" s="97" t="n">
        <v>10</v>
      </c>
      <c r="E15" s="97" t="n"/>
      <c r="F15" s="97" t="n">
        <v>0</v>
      </c>
      <c r="G15" s="97" t="n">
        <v>10</v>
      </c>
      <c r="H15" s="97" t="n">
        <v>0</v>
      </c>
      <c r="I15" s="97" t="n">
        <v>0</v>
      </c>
      <c r="J15" s="97" t="n">
        <v>10</v>
      </c>
      <c r="K15" s="96" t="inlineStr">
        <is>
          <t>N</t>
        </is>
      </c>
      <c r="L15" s="96" t="inlineStr">
        <is>
          <t>KHS1</t>
        </is>
      </c>
      <c r="M15" s="96" t="inlineStr">
        <is>
          <t>SWIC</t>
        </is>
      </c>
      <c r="N15" s="96" t="inlineStr">
        <is>
          <t>2611N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2026-10-17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2026-10-18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WHA GC LOGISTICS COMPANY LIMITED</t>
        </is>
      </c>
      <c r="AB15" s="96" t="inlineStr">
        <is>
          <t>PTT GLOBAL CHEMICAL PUBLIC COMPANY LIMITED</t>
        </is>
      </c>
      <c r="AC15" s="163" t="n">
        <v>180720</v>
      </c>
      <c r="AD15" s="163" t="n">
        <v>202720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LOW DENSITY POLYETHYLENE</t>
        </is>
      </c>
      <c r="AP15" s="96" t="inlineStr">
        <is>
          <t>PARTIAL MASTER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CY 02/10/26 , RTN 08/10/26
*PLS CHECK OPEN GATE BEFOER RETURN CTNR*</t>
        </is>
      </c>
      <c r="BA15" s="97" t="inlineStr">
        <is>
          <t>ROLL OVER FROM PREVIOUS VSL PGPO 2612N BY ALLOCATION TEAM MS.TARN APPROVED COST IS UNDER HA DD.13/10
SI DD.12/10/26
[Split] - HASLS22260901296
FM KMBK 2611N DD.23/09
[Split] - HASLS22260902818 / HASLS22260902819</t>
        </is>
      </c>
      <c r="BB15" s="96" t="inlineStr">
        <is>
          <t>P</t>
        </is>
      </c>
      <c r="BC15" s="161" t="inlineStr">
        <is>
          <t>2026-08-13</t>
        </is>
      </c>
      <c r="BD15" s="161" t="inlineStr">
        <is>
          <t>2026-10-14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2026-10-02</t>
        </is>
      </c>
      <c r="BM15" s="127" t="n"/>
      <c r="BN15" s="127" t="n">
        <v>10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wannicha.p@wha-gc.com</t>
        </is>
      </c>
      <c r="CJ15" s="96" t="inlineStr">
        <is>
          <t>PTT GLOBAL CHEMICAL PUBLIC COMPANY</t>
        </is>
      </c>
      <c r="CK15" s="96" t="inlineStr">
        <is>
          <t>TO ORDER OF VIETINBANK, BINH DUONG</t>
        </is>
      </c>
      <c r="CL15" s="96" t="inlineStr">
        <is>
          <t>CONG TY TNHH VIET AN PHA</t>
        </is>
      </c>
      <c r="CM15" s="97" t="inlineStr">
        <is>
          <t>CLOSED</t>
        </is>
      </c>
      <c r="CN15" s="96" t="inlineStr">
        <is>
          <t>202610121700</t>
        </is>
      </c>
      <c r="CO15" s="96" t="inlineStr">
        <is>
          <t>202610142100</t>
        </is>
      </c>
      <c r="CP15" s="97" t="n"/>
      <c r="CQ15" s="96" t="inlineStr">
        <is>
          <t>S22-2309036</t>
        </is>
      </c>
      <c r="CR15" s="96" t="inlineStr">
        <is>
          <t>TH02GR</t>
        </is>
      </c>
      <c r="CS15" s="96" t="inlineStr">
        <is>
          <t>WHA GC LOGISTICS COMPANY LIMITED</t>
        </is>
      </c>
      <c r="CT15" s="96" t="inlineStr">
        <is>
          <t>Y</t>
        </is>
      </c>
      <c r="CU15" s="97" t="n"/>
      <c r="CV15" s="97" t="n"/>
      <c r="CW15" s="161" t="inlineStr">
        <is>
          <t>2026-10-16</t>
        </is>
      </c>
      <c r="CX15" s="97" t="inlineStr">
        <is>
          <t>390110</t>
        </is>
      </c>
      <c r="CY15" s="183" t="inlineStr">
        <is>
          <t>ROLL OVER FROM PREVIOUS VSL PGPO 2612N BY ALLOCATION TEAM MS.TARN APPROVED COST IS UNDER HA DD.13/10</t>
        </is>
      </c>
    </row>
    <row r="16" ht="12" customHeight="1">
      <c r="A16" s="116" t="inlineStr">
        <is>
          <t>HASLS22260901329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KHS1</t>
        </is>
      </c>
      <c r="M16" s="96" t="inlineStr">
        <is>
          <t>SWIC</t>
        </is>
      </c>
      <c r="N16" s="96" t="inlineStr">
        <is>
          <t>2611N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2026-10-17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2026-10-18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WHA GC LOGISTICS COMPANY LIMITED</t>
        </is>
      </c>
      <c r="AB16" s="96" t="inlineStr">
        <is>
          <t>PTT GLOBAL CHEMICAL PUBLIC COMPANY LIMITED</t>
        </is>
      </c>
      <c r="AC16" s="163" t="n">
        <v>36144</v>
      </c>
      <c r="AD16" s="163" t="n">
        <v>40544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HIGH DENSITY POLYETHYLENE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CY-RTN 05-07/10/26 (PR2610002025)
*PLS CHECK OPEN GATE BEFORE RETURN CTNR*</t>
        </is>
      </c>
      <c r="BA16" s="97" t="inlineStr">
        <is>
          <t>ROLL OVER FROM PREVIOUS VSL SWBT 2616N BY ALLOCATION TEAM MS.TARN APRPOVED COST IS UNDER HA DD.14/10
SI
[Split] - HASLS22261000016</t>
        </is>
      </c>
      <c r="BB16" s="96" t="inlineStr">
        <is>
          <t>P</t>
        </is>
      </c>
      <c r="BC16" s="161" t="inlineStr">
        <is>
          <t>2026-09-16</t>
        </is>
      </c>
      <c r="BD16" s="161" t="inlineStr">
        <is>
          <t>2026-10-14</t>
        </is>
      </c>
      <c r="BE16" s="96" t="inlineStr">
        <is>
          <t>Y</t>
        </is>
      </c>
      <c r="BF16" s="96" t="inlineStr">
        <is>
          <t>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2026-10-05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n"/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warayu.p@wha-gc.com</t>
        </is>
      </c>
      <c r="CJ16" s="96" t="inlineStr">
        <is>
          <t>PTT GLOBAL CHEMICAL PUBLIC COMPANY</t>
        </is>
      </c>
      <c r="CK16" s="96" t="inlineStr">
        <is>
          <t>L.S PACK COMPANY LIMITED</t>
        </is>
      </c>
      <c r="CL16" s="96" t="inlineStr">
        <is>
          <t>L.S PACK COMPANY LIMITED</t>
        </is>
      </c>
      <c r="CM16" s="97" t="inlineStr">
        <is>
          <t>CLOSED</t>
        </is>
      </c>
      <c r="CN16" s="96" t="inlineStr">
        <is>
          <t>202610121700</t>
        </is>
      </c>
      <c r="CO16" s="96" t="inlineStr">
        <is>
          <t>202610142100</t>
        </is>
      </c>
      <c r="CP16" s="97" t="n"/>
      <c r="CQ16" s="96" t="inlineStr">
        <is>
          <t>S22-2309036</t>
        </is>
      </c>
      <c r="CR16" s="96" t="inlineStr">
        <is>
          <t>TH02GR</t>
        </is>
      </c>
      <c r="CS16" s="96" t="inlineStr">
        <is>
          <t>WHA GC LOGISTICS COMPANY LIMITED</t>
        </is>
      </c>
      <c r="CT16" s="96" t="inlineStr">
        <is>
          <t>Y</t>
        </is>
      </c>
      <c r="CU16" s="97" t="n"/>
      <c r="CV16" s="97" t="n"/>
      <c r="CW16" s="161" t="inlineStr">
        <is>
          <t>2026-10-16</t>
        </is>
      </c>
      <c r="CX16" s="97" t="inlineStr">
        <is>
          <t>390120</t>
        </is>
      </c>
      <c r="CY16" s="183" t="inlineStr">
        <is>
          <t>ROLL OVER FROM PREVIOUS VSL SWBT 2616N BY ALLOCATION TEAM MS.TARN APRPOVED COST IS UNDER HA DD.14/10</t>
        </is>
      </c>
    </row>
    <row r="17" ht="12" customHeight="1">
      <c r="A17" s="116" t="inlineStr">
        <is>
          <t>HASLS22260900838</t>
        </is>
      </c>
      <c r="B17" s="96" t="inlineStr">
        <is>
          <t>20'x2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KHS1</t>
        </is>
      </c>
      <c r="M17" s="96" t="inlineStr">
        <is>
          <t>SWIC</t>
        </is>
      </c>
      <c r="N17" s="96" t="inlineStr">
        <is>
          <t>2611N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2026-10-17</t>
        </is>
      </c>
      <c r="S17" s="96" t="inlineStr">
        <is>
          <t>JPNAH</t>
        </is>
      </c>
      <c r="T17" s="96" t="inlineStr">
        <is>
          <t>NAH01</t>
        </is>
      </c>
      <c r="U17" s="96" t="inlineStr">
        <is>
          <t>JPNAH</t>
        </is>
      </c>
      <c r="V17" s="161" t="inlineStr">
        <is>
          <t>2026-10-31</t>
        </is>
      </c>
      <c r="W17" s="96" t="inlineStr">
        <is>
          <t>JP</t>
        </is>
      </c>
      <c r="X17" s="97" t="n"/>
      <c r="Y17" s="97" t="inlineStr">
        <is>
          <t>PUS05</t>
        </is>
      </c>
      <c r="Z17" s="97" t="inlineStr">
        <is>
          <t>KRPUS</t>
        </is>
      </c>
      <c r="AA17" s="96" t="inlineStr">
        <is>
          <t>SCGJWD LOGISTICS PUBLIC COMPANY LIMITED</t>
        </is>
      </c>
      <c r="AB17" s="96" t="inlineStr">
        <is>
          <t>THAI POLYETHYLENE CO., LTD.</t>
        </is>
      </c>
      <c r="AC17" s="163" t="n">
        <v>30294</v>
      </c>
      <c r="AD17" s="163" t="n">
        <v>34694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TBKK19</t>
        </is>
      </c>
      <c r="AN17" s="96" t="inlineStr">
        <is>
          <t>Kanokporn</t>
        </is>
      </c>
      <c r="AO17" s="96" t="inlineStr">
        <is>
          <t>HIGH DENSITY POLYETHYLENE RESIN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CY 30/09/26 , RTN 02/10/26 (  INV  3031061819 ) </t>
        </is>
      </c>
      <c r="BA17" s="97" t="inlineStr">
        <is>
          <t>FM LCHY5
ROLL OVER FROM PREVIOUS VSL SWRG 2609N BY ALLOCATION TEAM MS.TAN APPROVED COST IS UNDER HA DD.09/10</t>
        </is>
      </c>
      <c r="BB17" s="96" t="inlineStr">
        <is>
          <t>P</t>
        </is>
      </c>
      <c r="BC17" s="161" t="inlineStr">
        <is>
          <t>2026-09-10</t>
        </is>
      </c>
      <c r="BD17" s="161" t="inlineStr">
        <is>
          <t>2026-10-09</t>
        </is>
      </c>
      <c r="BE17" s="96" t="inlineStr">
        <is>
          <t>Y</t>
        </is>
      </c>
      <c r="BF17" s="96" t="inlineStr">
        <is>
          <t>RESIN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LCH28</t>
        </is>
      </c>
      <c r="BL17" s="161" t="inlineStr">
        <is>
          <t>2026-09-30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>
        <v>2</v>
      </c>
      <c r="CA17" s="96" t="n"/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inlineStr">
        <is>
          <t>POL: THLCH [SWIC/2611N]; T/S(1st): KRPUS [IHG/0273S]; POD: JPNAH [/]</t>
        </is>
      </c>
      <c r="CI17" s="96" t="inlineStr">
        <is>
          <t>natwalad@scgjwd.com</t>
        </is>
      </c>
      <c r="CJ17" s="96" t="inlineStr">
        <is>
          <t>THAI POLYETHYLENE CO.,LTD.</t>
        </is>
      </c>
      <c r="CK17" s="96" t="inlineStr">
        <is>
          <t>MITSUBISHI CORPORATION PLASTICS LTD</t>
        </is>
      </c>
      <c r="CL17" s="96" t="inlineStr">
        <is>
          <t>MITSUBISHI CORPORATION PLASTICS LTD</t>
        </is>
      </c>
      <c r="CM17" s="97" t="n"/>
      <c r="CN17" s="96" t="inlineStr">
        <is>
          <t>202610121700</t>
        </is>
      </c>
      <c r="CO17" s="96" t="inlineStr">
        <is>
          <t>202610142100</t>
        </is>
      </c>
      <c r="CP17" s="97" t="n"/>
      <c r="CQ17" s="96" t="inlineStr">
        <is>
          <t>S19-2308040</t>
        </is>
      </c>
      <c r="CR17" s="96" t="inlineStr">
        <is>
          <t>TH0235</t>
        </is>
      </c>
      <c r="CS17" s="96" t="inlineStr">
        <is>
          <t>SCGJWD LOGISTICS PUBLIC COMPANY LIMITED</t>
        </is>
      </c>
      <c r="CT17" s="96" t="inlineStr">
        <is>
          <t>N</t>
        </is>
      </c>
      <c r="CU17" s="97" t="n"/>
      <c r="CV17" s="97" t="n"/>
      <c r="CW17" s="161" t="inlineStr">
        <is>
          <t>2026-10-15</t>
        </is>
      </c>
      <c r="CX17" s="97" t="inlineStr">
        <is>
          <t>390120</t>
        </is>
      </c>
      <c r="CY17" s="183" t="inlineStr">
        <is>
          <t>ROLL OVER FROM PREVIOUS VSL SWRG 2609N BY ALLOCATION TEAM MS.TAN APPROVED COST IS UNDER HA DD.09/10</t>
        </is>
      </c>
    </row>
    <row r="18" ht="12" customHeight="1">
      <c r="A18" s="116" t="inlineStr">
        <is>
          <t>HASLS22260902390</t>
        </is>
      </c>
      <c r="B18" s="96" t="inlineStr">
        <is>
          <t>20'x2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2</v>
      </c>
      <c r="H18" s="97" t="n">
        <v>0</v>
      </c>
      <c r="I18" s="97" t="n">
        <v>0</v>
      </c>
      <c r="J18" s="97" t="n">
        <v>2</v>
      </c>
      <c r="K18" s="96" t="inlineStr">
        <is>
          <t>N</t>
        </is>
      </c>
      <c r="L18" s="96" t="inlineStr">
        <is>
          <t>KHS1</t>
        </is>
      </c>
      <c r="M18" s="96" t="inlineStr">
        <is>
          <t>SWIC</t>
        </is>
      </c>
      <c r="N18" s="96" t="inlineStr">
        <is>
          <t>2611N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2026-10-17</t>
        </is>
      </c>
      <c r="S18" s="96" t="inlineStr">
        <is>
          <t>JPKIJ</t>
        </is>
      </c>
      <c r="T18" s="96" t="inlineStr">
        <is>
          <t>KIJ01</t>
        </is>
      </c>
      <c r="U18" s="96" t="inlineStr">
        <is>
          <t>JPKIJ</t>
        </is>
      </c>
      <c r="V18" s="161" t="inlineStr">
        <is>
          <t>2026-11-04</t>
        </is>
      </c>
      <c r="W18" s="96" t="inlineStr">
        <is>
          <t>JP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IRPC PUBLIC COMPANY LIMITED</t>
        </is>
      </c>
      <c r="AB18" s="96" t="inlineStr">
        <is>
          <t>IRPC PUBLIC COMPANY LIMITED</t>
        </is>
      </c>
      <c r="AC18" s="163" t="n">
        <v>34680</v>
      </c>
      <c r="AD18" s="163" t="n">
        <v>39080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TBKK13</t>
        </is>
      </c>
      <c r="AN18" s="96" t="inlineStr">
        <is>
          <t>Dharaporn</t>
        </is>
      </c>
      <c r="AO18" s="96" t="inlineStr">
        <is>
          <t>POLIMAXX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CY-RTN 05-07/10/26 (PI26090085-1)</t>
        </is>
      </c>
      <c r="BA18" s="97" t="inlineStr">
        <is>
          <t>PLEASE SEND DRAFT BL TO sasathorn.tangsantikulanont@krungsri.com
ROLL OVER FROM PREVIOUS VSL SWRG 2609N BY ALLOCATION TEAM MS.TAN APPROVED COST IS UNDER HA DD.09/10</t>
        </is>
      </c>
      <c r="BB18" s="96" t="inlineStr">
        <is>
          <t>P</t>
        </is>
      </c>
      <c r="BC18" s="161" t="inlineStr">
        <is>
          <t>2026-09-25</t>
        </is>
      </c>
      <c r="BD18" s="161" t="inlineStr">
        <is>
          <t>2026-10-15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2026-10-05</t>
        </is>
      </c>
      <c r="BM18" s="127" t="n"/>
      <c r="BN18" s="127" t="n">
        <v>2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7</v>
      </c>
      <c r="CA18" s="96" t="n"/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inlineStr">
        <is>
          <t>POL: THLCH [SWIC/2611N]; T/S(1st): KRPUS [PSUN/2617E]; POD: JPKIJ [/]</t>
        </is>
      </c>
      <c r="CI18" s="96" t="inlineStr">
        <is>
          <t>natthachanan.k@irpc.co.th</t>
        </is>
      </c>
      <c r="CJ18" s="96" t="inlineStr">
        <is>
          <t>IRPC PUBLIC COMPANY LIMITED.</t>
        </is>
      </c>
      <c r="CK18" s="96" t="inlineStr">
        <is>
          <t>TO ORDER OF SHIPPER</t>
        </is>
      </c>
      <c r="CL18" s="96" t="inlineStr">
        <is>
          <t>MITSUWA CO., LTD</t>
        </is>
      </c>
      <c r="CM18" s="97" t="n"/>
      <c r="CN18" s="96" t="inlineStr">
        <is>
          <t>202610121700</t>
        </is>
      </c>
      <c r="CO18" s="96" t="inlineStr">
        <is>
          <t>202610142100</t>
        </is>
      </c>
      <c r="CP18" s="97" t="n"/>
      <c r="CQ18" s="96" t="inlineStr">
        <is>
          <t>S22-2603014</t>
        </is>
      </c>
      <c r="CR18" s="96" t="inlineStr">
        <is>
          <t>BB0062</t>
        </is>
      </c>
      <c r="CS18" s="96" t="inlineStr">
        <is>
          <t>IRPC PUBLIC COMPANY LIMITED</t>
        </is>
      </c>
      <c r="CT18" s="96" t="inlineStr">
        <is>
          <t>N</t>
        </is>
      </c>
      <c r="CU18" s="97" t="n"/>
      <c r="CV18" s="97" t="n"/>
      <c r="CW18" s="161" t="inlineStr">
        <is>
          <t>2026-10-15</t>
        </is>
      </c>
      <c r="CX18" s="97" t="inlineStr">
        <is>
          <t>390319</t>
        </is>
      </c>
      <c r="CY18" s="183" t="inlineStr">
        <is>
          <t>ROLL OVER FROM PREVIOUS VSL SWRG 2609N BY ALLOCATION TEAM MS.TAN APPROVED COST IS UNDER HA DD.09/10</t>
        </is>
      </c>
    </row>
    <row r="19" ht="12" customHeight="1">
      <c r="A19" s="116" t="inlineStr">
        <is>
          <t>HASLS22260902232</t>
        </is>
      </c>
      <c r="B19" s="96" t="inlineStr">
        <is>
          <t>20'x2</t>
        </is>
      </c>
      <c r="C19" s="97" t="n">
        <v>2</v>
      </c>
      <c r="D19" s="97" t="n">
        <v>2</v>
      </c>
      <c r="E19" s="97" t="n"/>
      <c r="F19" s="97" t="n">
        <v>0</v>
      </c>
      <c r="G19" s="97" t="n">
        <v>2</v>
      </c>
      <c r="H19" s="97" t="n">
        <v>0</v>
      </c>
      <c r="I19" s="97" t="n">
        <v>0</v>
      </c>
      <c r="J19" s="97" t="n">
        <v>2</v>
      </c>
      <c r="K19" s="96" t="inlineStr">
        <is>
          <t>N</t>
        </is>
      </c>
      <c r="L19" s="96" t="inlineStr">
        <is>
          <t>KHS1</t>
        </is>
      </c>
      <c r="M19" s="96" t="inlineStr">
        <is>
          <t>SWIC</t>
        </is>
      </c>
      <c r="N19" s="96" t="inlineStr">
        <is>
          <t>2611N</t>
        </is>
      </c>
      <c r="O19" s="96" t="inlineStr">
        <is>
          <t>THLCH</t>
        </is>
      </c>
      <c r="P19" s="96" t="inlineStr">
        <is>
          <t>LCH04</t>
        </is>
      </c>
      <c r="Q19" s="96" t="inlineStr">
        <is>
          <t>IA</t>
        </is>
      </c>
      <c r="R19" s="161" t="inlineStr">
        <is>
          <t>2026-10-17</t>
        </is>
      </c>
      <c r="S19" s="96" t="inlineStr">
        <is>
          <t>JPNAH</t>
        </is>
      </c>
      <c r="T19" s="96" t="inlineStr">
        <is>
          <t>NAH01</t>
        </is>
      </c>
      <c r="U19" s="96" t="inlineStr">
        <is>
          <t>JPNAH</t>
        </is>
      </c>
      <c r="V19" s="161" t="inlineStr">
        <is>
          <t>2026-11-09</t>
        </is>
      </c>
      <c r="W19" s="96" t="inlineStr">
        <is>
          <t>JP</t>
        </is>
      </c>
      <c r="X19" s="97" t="n"/>
      <c r="Y19" s="97" t="inlineStr">
        <is>
          <t>PUS05</t>
        </is>
      </c>
      <c r="Z19" s="97" t="inlineStr">
        <is>
          <t>KRPUS</t>
        </is>
      </c>
      <c r="AA19" s="96" t="inlineStr">
        <is>
          <t>SCGJWD LOGISTICS PUBLIC COMPANY LIMITED</t>
        </is>
      </c>
      <c r="AB19" s="96" t="inlineStr">
        <is>
          <t>THAI POLYETHYLENE CO., LTD.</t>
        </is>
      </c>
      <c r="AC19" s="163" t="n">
        <v>30294</v>
      </c>
      <c r="AD19" s="163" t="n">
        <v>34694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TBKK19</t>
        </is>
      </c>
      <c r="AN19" s="96" t="inlineStr">
        <is>
          <t>Kanokporn</t>
        </is>
      </c>
      <c r="AO19" s="96" t="inlineStr">
        <is>
          <t>HIGH DENSITY POLYETHYLENE RESIN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>CY-RTN 09-12/10/26 (  INV  3031062369 )
*PLS CHECK OPEN GATE BEFORE RETURN CTNR*</t>
        </is>
      </c>
      <c r="BA19" s="97" t="n"/>
      <c r="BB19" s="96" t="inlineStr">
        <is>
          <t>P</t>
        </is>
      </c>
      <c r="BC19" s="161" t="inlineStr">
        <is>
          <t>2026-09-24</t>
        </is>
      </c>
      <c r="BD19" s="161" t="inlineStr">
        <is>
          <t>2026-10-09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2026-10-09</t>
        </is>
      </c>
      <c r="BM19" s="127" t="n"/>
      <c r="BN19" s="127" t="n">
        <v>2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>
        <v>9</v>
      </c>
      <c r="CA19" s="96" t="n"/>
      <c r="CB19" s="97" t="n"/>
      <c r="CC19" s="96" t="inlineStr">
        <is>
          <t>LCH04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inlineStr">
        <is>
          <t>POL: THLCH [SWIC/2611N]; T/S(1st): KRPUS [IEM/0119S]; POD: JPNAH [/]</t>
        </is>
      </c>
      <c r="CI19" s="96" t="inlineStr">
        <is>
          <t>natwalad@scgjwd.com</t>
        </is>
      </c>
      <c r="CJ19" s="96" t="inlineStr">
        <is>
          <t>THAI POLYETHYLENE CO., LTD.</t>
        </is>
      </c>
      <c r="CK19" s="96" t="inlineStr">
        <is>
          <t>MITSUI &amp; CO. PLASTICS LTD. TGSD</t>
        </is>
      </c>
      <c r="CL19" s="96" t="inlineStr">
        <is>
          <t>MITSUI &amp; CO. PLASTICS LTD. TGSD</t>
        </is>
      </c>
      <c r="CM19" s="97" t="n"/>
      <c r="CN19" s="96" t="inlineStr">
        <is>
          <t>202610121700</t>
        </is>
      </c>
      <c r="CO19" s="96" t="inlineStr">
        <is>
          <t>202610142100</t>
        </is>
      </c>
      <c r="CP19" s="97" t="n"/>
      <c r="CQ19" s="96" t="inlineStr">
        <is>
          <t>S19-2308040</t>
        </is>
      </c>
      <c r="CR19" s="96" t="inlineStr">
        <is>
          <t>TH0235</t>
        </is>
      </c>
      <c r="CS19" s="96" t="inlineStr">
        <is>
          <t>SCGJWD LOGISTICS PUBLIC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2026-10-16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HASLS22260900880</t>
        </is>
      </c>
      <c r="B20" s="96" t="inlineStr">
        <is>
          <t>20'x2</t>
        </is>
      </c>
      <c r="C20" s="97" t="n">
        <v>2</v>
      </c>
      <c r="D20" s="97" t="n">
        <v>2</v>
      </c>
      <c r="E20" s="97" t="n"/>
      <c r="F20" s="97" t="n">
        <v>0</v>
      </c>
      <c r="G20" s="97" t="n">
        <v>2</v>
      </c>
      <c r="H20" s="97" t="n">
        <v>0</v>
      </c>
      <c r="I20" s="97" t="n">
        <v>0</v>
      </c>
      <c r="J20" s="97" t="n">
        <v>2</v>
      </c>
      <c r="K20" s="96" t="inlineStr">
        <is>
          <t>N</t>
        </is>
      </c>
      <c r="L20" s="96" t="inlineStr">
        <is>
          <t>KHS1</t>
        </is>
      </c>
      <c r="M20" s="96" t="inlineStr">
        <is>
          <t>SWIC</t>
        </is>
      </c>
      <c r="N20" s="96" t="inlineStr">
        <is>
          <t>2611N</t>
        </is>
      </c>
      <c r="O20" s="96" t="inlineStr">
        <is>
          <t>THLCH</t>
        </is>
      </c>
      <c r="P20" s="96" t="inlineStr">
        <is>
          <t>LCH04</t>
        </is>
      </c>
      <c r="Q20" s="96" t="inlineStr">
        <is>
          <t>IA</t>
        </is>
      </c>
      <c r="R20" s="161" t="inlineStr">
        <is>
          <t>2026-10-17</t>
        </is>
      </c>
      <c r="S20" s="96" t="inlineStr">
        <is>
          <t>KRUSN</t>
        </is>
      </c>
      <c r="T20" s="96" t="inlineStr">
        <is>
          <t>USN03</t>
        </is>
      </c>
      <c r="U20" s="96" t="inlineStr">
        <is>
          <t>KRUSN</t>
        </is>
      </c>
      <c r="V20" s="161" t="inlineStr">
        <is>
          <t>2026-10-26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LX PANTOS (THAILAND) CO., LTD.</t>
        </is>
      </c>
      <c r="AB20" s="96" t="inlineStr">
        <is>
          <t>UNITEX RUBBER CO.,LTD</t>
        </is>
      </c>
      <c r="AC20" s="163" t="n">
        <v>40200</v>
      </c>
      <c r="AD20" s="163" t="n">
        <v>44600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CON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H2602</t>
        </is>
      </c>
      <c r="AN20" s="96" t="inlineStr">
        <is>
          <t>Kim jaewon</t>
        </is>
      </c>
      <c r="AO20" s="96" t="inlineStr">
        <is>
          <t>NATURAL RUBBER LATEX  HIGH AMMONIA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Y</t>
        </is>
      </c>
      <c r="AY20" s="97" t="n"/>
      <c r="AZ20" s="96" t="inlineStr">
        <is>
          <t>**APPROVED BY MJ CHANG DD.30/09/26** *FLEXIBAG ONDECK*
Survey : 2026-10-06, Pickup : 2026-10-07, Return : 2026-10-08 [1ST RTN 10/10/2026 W/O RENT]
**PLS CHECK OPEN GATE BEFORE RETURN CNTR**</t>
        </is>
      </c>
      <c r="BA20" s="97" t="inlineStr">
        <is>
          <t xml:space="preserve">GOOD AND CLEAN CONTAINERSurvey date : 28 SepCy date ; 29 SepRtn date : 30 SepStow load On deck </t>
        </is>
      </c>
      <c r="BB20" s="96" t="inlineStr">
        <is>
          <t>C</t>
        </is>
      </c>
      <c r="BC20" s="161" t="inlineStr">
        <is>
          <t>2026-09-10</t>
        </is>
      </c>
      <c r="BD20" s="161" t="inlineStr">
        <is>
          <t>2026-10-14</t>
        </is>
      </c>
      <c r="BE20" s="96" t="inlineStr">
        <is>
          <t>Y</t>
        </is>
      </c>
      <c r="BF20" s="96" t="inlineStr">
        <is>
          <t>NATURAL RUBBER LATEX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2026-10-06</t>
        </is>
      </c>
      <c r="BM20" s="127" t="n"/>
      <c r="BN20" s="127" t="n">
        <v>2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LCH04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th.seaopenex@lxpantos.com</t>
        </is>
      </c>
      <c r="CJ20" s="96" t="inlineStr">
        <is>
          <t>LX PANTOS (THAILAND) CO., LTD.</t>
        </is>
      </c>
      <c r="CK20" s="96" t="inlineStr">
        <is>
          <t>LX PANTOS CO., LTD.</t>
        </is>
      </c>
      <c r="CL20" s="96" t="inlineStr">
        <is>
          <t>LX PANTOS CO., LTD.</t>
        </is>
      </c>
      <c r="CM20" s="97" t="n"/>
      <c r="CN20" s="96" t="inlineStr">
        <is>
          <t>202610121700</t>
        </is>
      </c>
      <c r="CO20" s="96" t="inlineStr">
        <is>
          <t>202610142100</t>
        </is>
      </c>
      <c r="CP20" s="97" t="n"/>
      <c r="CQ20" s="96" t="inlineStr">
        <is>
          <t>K01-2112121</t>
        </is>
      </c>
      <c r="CR20" s="96" t="inlineStr">
        <is>
          <t>THTRJ5</t>
        </is>
      </c>
      <c r="CS20" s="96" t="inlineStr">
        <is>
          <t>LX PANTOS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2026-10-13</t>
        </is>
      </c>
      <c r="CX20" s="97" t="n"/>
      <c r="CY20" s="183" t="n"/>
    </row>
    <row r="21" ht="12" customHeight="1">
      <c r="A21" s="116" t="inlineStr">
        <is>
          <t>HASLS22260902063</t>
        </is>
      </c>
      <c r="B21" s="96" t="inlineStr">
        <is>
          <t>20'x5</t>
        </is>
      </c>
      <c r="C21" s="97" t="n">
        <v>5</v>
      </c>
      <c r="D21" s="97" t="n">
        <v>5</v>
      </c>
      <c r="E21" s="97" t="n"/>
      <c r="F21" s="97" t="n">
        <v>0</v>
      </c>
      <c r="G21" s="97" t="n">
        <v>5</v>
      </c>
      <c r="H21" s="97" t="n">
        <v>0</v>
      </c>
      <c r="I21" s="97" t="n">
        <v>0</v>
      </c>
      <c r="J21" s="97" t="n">
        <v>5</v>
      </c>
      <c r="K21" s="96" t="inlineStr">
        <is>
          <t>N</t>
        </is>
      </c>
      <c r="L21" s="96" t="inlineStr">
        <is>
          <t>KHS1</t>
        </is>
      </c>
      <c r="M21" s="96" t="inlineStr">
        <is>
          <t>SWIC</t>
        </is>
      </c>
      <c r="N21" s="96" t="inlineStr">
        <is>
          <t>2611N</t>
        </is>
      </c>
      <c r="O21" s="96" t="inlineStr">
        <is>
          <t>THLCH</t>
        </is>
      </c>
      <c r="P21" s="96" t="inlineStr">
        <is>
          <t>LCH04</t>
        </is>
      </c>
      <c r="Q21" s="96" t="inlineStr">
        <is>
          <t>IA</t>
        </is>
      </c>
      <c r="R21" s="161" t="inlineStr">
        <is>
          <t>2026-10-17</t>
        </is>
      </c>
      <c r="S21" s="96" t="inlineStr">
        <is>
          <t>JPMOJ</t>
        </is>
      </c>
      <c r="T21" s="96" t="inlineStr">
        <is>
          <t>MOJ01</t>
        </is>
      </c>
      <c r="U21" s="96" t="inlineStr">
        <is>
          <t>JPMOJ</t>
        </is>
      </c>
      <c r="V21" s="161" t="inlineStr">
        <is>
          <t>2026-10-30</t>
        </is>
      </c>
      <c r="W21" s="96" t="inlineStr">
        <is>
          <t>JP</t>
        </is>
      </c>
      <c r="X21" s="97" t="n"/>
      <c r="Y21" s="97" t="inlineStr">
        <is>
          <t>PUS05</t>
        </is>
      </c>
      <c r="Z21" s="97" t="inlineStr">
        <is>
          <t>KRPUS</t>
        </is>
      </c>
      <c r="AA21" s="96" t="inlineStr">
        <is>
          <t>SCGJWD LOGISTICS PUBLIC COMPANY LIMITED</t>
        </is>
      </c>
      <c r="AB21" s="96" t="inlineStr">
        <is>
          <t>THAI POLYETHYLENE CO., LTD.</t>
        </is>
      </c>
      <c r="AC21" s="163" t="n">
        <v>75735</v>
      </c>
      <c r="AD21" s="163" t="n">
        <v>86735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TBKK19</t>
        </is>
      </c>
      <c r="AN21" s="96" t="inlineStr">
        <is>
          <t>Kanokporn</t>
        </is>
      </c>
      <c r="AO21" s="96" t="inlineStr">
        <is>
          <t>HIGH DENSITY POLYETHYLENE RESIN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[FIX]CY-RTN 02-05/10/26 (  INV  3031061853 ) 
*PLS CHECK OPEN GATE BEFORE RETURN CTNR*</t>
        </is>
      </c>
      <c r="BA21" s="97" t="inlineStr">
        <is>
          <t>ROLL OVER FROM PREVIOUS VSL SWRG 2609N BY ALLOCATION TEAM MS.TAN APPROVED COST IS UNDER HA DD.09/10</t>
        </is>
      </c>
      <c r="BB21" s="96" t="inlineStr">
        <is>
          <t>P</t>
        </is>
      </c>
      <c r="BC21" s="161" t="inlineStr">
        <is>
          <t>2026-09-22</t>
        </is>
      </c>
      <c r="BD21" s="161" t="inlineStr">
        <is>
          <t>2026-10-09</t>
        </is>
      </c>
      <c r="BE21" s="96" t="inlineStr">
        <is>
          <t>Y</t>
        </is>
      </c>
      <c r="BF21" s="96" t="inlineStr">
        <is>
          <t>RESIN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2026-10-02</t>
        </is>
      </c>
      <c r="BM21" s="127" t="n"/>
      <c r="BN21" s="127" t="n">
        <v>5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>
        <v>3</v>
      </c>
      <c r="CA21" s="96" t="n"/>
      <c r="CB21" s="97" t="n"/>
      <c r="CC21" s="96" t="inlineStr">
        <is>
          <t>LCH04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inlineStr">
        <is>
          <t>POL: THLCH [SWIC/2611N]; T/S(1st): KRPUS [DJFS/0750S]; POD: JPMOJ [/]</t>
        </is>
      </c>
      <c r="CI21" s="96" t="inlineStr">
        <is>
          <t>natwalad@scgjwd.com</t>
        </is>
      </c>
      <c r="CJ21" s="96" t="inlineStr">
        <is>
          <t>THAI POLYETHYLENE CO.,LTD.</t>
        </is>
      </c>
      <c r="CK21" s="96" t="inlineStr">
        <is>
          <t>TOYOTSU CHEMIPLAS CORPORATION,</t>
        </is>
      </c>
      <c r="CL21" s="96" t="inlineStr">
        <is>
          <t>TOYOTSU CHEMIPLAS CORPORATION,</t>
        </is>
      </c>
      <c r="CM21" s="97" t="n"/>
      <c r="CN21" s="96" t="inlineStr">
        <is>
          <t>202610121700</t>
        </is>
      </c>
      <c r="CO21" s="96" t="inlineStr">
        <is>
          <t>202610142100</t>
        </is>
      </c>
      <c r="CP21" s="97" t="n"/>
      <c r="CQ21" s="96" t="inlineStr">
        <is>
          <t>S19-2308040</t>
        </is>
      </c>
      <c r="CR21" s="96" t="inlineStr">
        <is>
          <t>TH0235</t>
        </is>
      </c>
      <c r="CS21" s="96" t="inlineStr">
        <is>
          <t>SCGJWD LOGISTICS PUBLIC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2026-10-15</t>
        </is>
      </c>
      <c r="CX21" s="97" t="inlineStr">
        <is>
          <t>390120</t>
        </is>
      </c>
      <c r="CY21" s="183" t="inlineStr">
        <is>
          <t>ROLL OVER FROM PREVIOUS VSL SWRG 2609N BY ALLOCATION TEAM MS.TAN APPROVED COST IS UNDER HA DD.09/10</t>
        </is>
      </c>
    </row>
    <row r="22" ht="12" customHeight="1">
      <c r="A22" s="116" t="inlineStr">
        <is>
          <t>HASLS22260902818</t>
        </is>
      </c>
      <c r="B22" s="96" t="inlineStr">
        <is>
          <t>20'x6</t>
        </is>
      </c>
      <c r="C22" s="97" t="n">
        <v>6</v>
      </c>
      <c r="D22" s="97" t="n">
        <v>6</v>
      </c>
      <c r="E22" s="97" t="n"/>
      <c r="F22" s="97" t="n">
        <v>0</v>
      </c>
      <c r="G22" s="97" t="n">
        <v>6</v>
      </c>
      <c r="H22" s="97" t="n">
        <v>0</v>
      </c>
      <c r="I22" s="97" t="n">
        <v>0</v>
      </c>
      <c r="J22" s="97" t="n">
        <v>6</v>
      </c>
      <c r="K22" s="96" t="inlineStr">
        <is>
          <t>N</t>
        </is>
      </c>
      <c r="L22" s="96" t="inlineStr">
        <is>
          <t>KHS1</t>
        </is>
      </c>
      <c r="M22" s="96" t="inlineStr">
        <is>
          <t>SWIC</t>
        </is>
      </c>
      <c r="N22" s="96" t="inlineStr">
        <is>
          <t>2611N</t>
        </is>
      </c>
      <c r="O22" s="96" t="inlineStr">
        <is>
          <t>THLCH</t>
        </is>
      </c>
      <c r="P22" s="96" t="inlineStr">
        <is>
          <t>LCH04</t>
        </is>
      </c>
      <c r="Q22" s="96" t="inlineStr">
        <is>
          <t>IA</t>
        </is>
      </c>
      <c r="R22" s="161" t="inlineStr">
        <is>
          <t>2026-10-17</t>
        </is>
      </c>
      <c r="S22" s="96" t="inlineStr">
        <is>
          <t>VNSGN</t>
        </is>
      </c>
      <c r="T22" s="96" t="inlineStr">
        <is>
          <t>SGN03</t>
        </is>
      </c>
      <c r="U22" s="96" t="inlineStr">
        <is>
          <t>VNSGN</t>
        </is>
      </c>
      <c r="V22" s="161" t="inlineStr">
        <is>
          <t>2026-10-18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WHA GC LOGISTICS COMPANY LIMITED</t>
        </is>
      </c>
      <c r="AB22" s="96" t="inlineStr">
        <is>
          <t>PTT GLOBAL CHEMICAL PUBLIC COMPANY LIMITED</t>
        </is>
      </c>
      <c r="AC22" s="163" t="n">
        <v>108432</v>
      </c>
      <c r="AD22" s="163" t="n">
        <v>121632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TBKK13</t>
        </is>
      </c>
      <c r="AN22" s="96" t="inlineStr">
        <is>
          <t>Dharaporn</t>
        </is>
      </c>
      <c r="AO22" s="96" t="inlineStr">
        <is>
          <t>LOW DENSITY POLYETHYLENE</t>
        </is>
      </c>
      <c r="AP22" s="96" t="inlineStr">
        <is>
          <t>PARTIAL MASTER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CY 02/10/26 , RTN 08/10/26
*PLS CHECK OPEN GATE BEFOER RETURN CTNR*</t>
        </is>
      </c>
      <c r="BA22" s="97" t="inlineStr">
        <is>
          <t>ROLL OVER FROM PREVIOUS VSL PGPO 2612N BY ALLOCATION TEAM MS.TARN APPROVED COST IS UNDER HA DD.13/10
SI DD.12/10/26
[Split] - HASLS22260901296
FM KMBK 2611N DD.23/09</t>
        </is>
      </c>
      <c r="BB22" s="96" t="inlineStr">
        <is>
          <t>P</t>
        </is>
      </c>
      <c r="BC22" s="161" t="inlineStr">
        <is>
          <t>2026-09-30</t>
        </is>
      </c>
      <c r="BD22" s="161" t="inlineStr">
        <is>
          <t>2026-10-13</t>
        </is>
      </c>
      <c r="BE22" s="96" t="inlineStr">
        <is>
          <t>Y</t>
        </is>
      </c>
      <c r="BF22" s="96" t="inlineStr">
        <is>
          <t>RESIN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2026-10-02</t>
        </is>
      </c>
      <c r="BM22" s="127" t="n"/>
      <c r="BN22" s="127" t="n">
        <v>6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n"/>
      <c r="CB22" s="97" t="n"/>
      <c r="CC22" s="96" t="inlineStr">
        <is>
          <t>LCH04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wannicha.p@wha-gc.com</t>
        </is>
      </c>
      <c r="CJ22" s="96" t="inlineStr">
        <is>
          <t>PTT GLOBAL CHEMICAL PUBLIC COMPANY</t>
        </is>
      </c>
      <c r="CK22" s="96" t="inlineStr">
        <is>
          <t>TO ORDER OF VIETINBANK,</t>
        </is>
      </c>
      <c r="CL22" s="96" t="inlineStr">
        <is>
          <t>CONG TY TNHH VIET AN PHA</t>
        </is>
      </c>
      <c r="CM22" s="97" t="inlineStr">
        <is>
          <t>CLOSED</t>
        </is>
      </c>
      <c r="CN22" s="96" t="inlineStr">
        <is>
          <t>202610121700</t>
        </is>
      </c>
      <c r="CO22" s="96" t="inlineStr">
        <is>
          <t>202610142100</t>
        </is>
      </c>
      <c r="CP22" s="97" t="n"/>
      <c r="CQ22" s="96" t="inlineStr">
        <is>
          <t>S22-2309036</t>
        </is>
      </c>
      <c r="CR22" s="96" t="inlineStr">
        <is>
          <t>TH02GR</t>
        </is>
      </c>
      <c r="CS22" s="96" t="inlineStr">
        <is>
          <t>WHA GC LOGISTICS COMPANY LIMITED</t>
        </is>
      </c>
      <c r="CT22" s="96" t="inlineStr">
        <is>
          <t>N</t>
        </is>
      </c>
      <c r="CU22" s="97" t="n"/>
      <c r="CV22" s="97" t="n"/>
      <c r="CW22" s="161" t="inlineStr">
        <is>
          <t>2026-10-16</t>
        </is>
      </c>
      <c r="CX22" s="97" t="inlineStr">
        <is>
          <t>390110</t>
        </is>
      </c>
      <c r="CY22" s="183" t="inlineStr">
        <is>
          <t>ROLL OVER FROM PREVIOUS VSL PGPO 2612N BY ALLOCATION TEAM MS.TARN APPROVED COST IS UNDER HA DD.13/10</t>
        </is>
      </c>
    </row>
    <row r="23" ht="12" customHeight="1">
      <c r="A23" s="116" t="inlineStr">
        <is>
          <t>HASLS22260902048</t>
        </is>
      </c>
      <c r="B23" s="96" t="inlineStr">
        <is>
          <t>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KHS1</t>
        </is>
      </c>
      <c r="M23" s="96" t="inlineStr">
        <is>
          <t>SWIC</t>
        </is>
      </c>
      <c r="N23" s="96" t="inlineStr">
        <is>
          <t>2611N</t>
        </is>
      </c>
      <c r="O23" s="96" t="inlineStr">
        <is>
          <t>THLCH</t>
        </is>
      </c>
      <c r="P23" s="96" t="inlineStr">
        <is>
          <t>LCH04</t>
        </is>
      </c>
      <c r="Q23" s="96" t="inlineStr">
        <is>
          <t>IA</t>
        </is>
      </c>
      <c r="R23" s="161" t="inlineStr">
        <is>
          <t>2026-10-17</t>
        </is>
      </c>
      <c r="S23" s="96" t="inlineStr">
        <is>
          <t>VNSGN</t>
        </is>
      </c>
      <c r="T23" s="96" t="inlineStr">
        <is>
          <t>SGN03</t>
        </is>
      </c>
      <c r="U23" s="96" t="inlineStr">
        <is>
          <t>VNSGN</t>
        </is>
      </c>
      <c r="V23" s="161" t="inlineStr">
        <is>
          <t>2026-10-18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WHA GC LOGISTICS COMPANY LIMITED</t>
        </is>
      </c>
      <c r="AB23" s="96" t="inlineStr">
        <is>
          <t>PTT GLOBAL CHEMICAL PUBLIC COMPANY LIMITED</t>
        </is>
      </c>
      <c r="AC23" s="163" t="n">
        <v>24528</v>
      </c>
      <c r="AD23" s="163" t="n">
        <v>28528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PP MOPLEN HP749H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 xml:space="preserve">CY : 05/10/26 , RTN : 0810/26 [1ST RTN 08/10/2026 W/O RENT]
** PLEASE CHECK OPEN GATE BEFORE RETURN CONTAINER ** 
</t>
        </is>
      </c>
      <c r="BA23" s="97" t="inlineStr">
        <is>
          <t>SI 02/10 
FM 2X40'HQ</t>
        </is>
      </c>
      <c r="BB23" s="96" t="inlineStr">
        <is>
          <t>P</t>
        </is>
      </c>
      <c r="BC23" s="161" t="inlineStr">
        <is>
          <t>2026-09-22</t>
        </is>
      </c>
      <c r="BD23" s="161" t="inlineStr">
        <is>
          <t>2026-10-13</t>
        </is>
      </c>
      <c r="BE23" s="96" t="inlineStr">
        <is>
          <t>Y</t>
        </is>
      </c>
      <c r="BF23" s="96" t="inlineStr">
        <is>
          <t>RESIN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2026-10-05</t>
        </is>
      </c>
      <c r="BM23" s="127" t="n"/>
      <c r="BN23" s="127" t="n"/>
      <c r="BO23" s="127" t="n"/>
      <c r="BP23" s="127" t="n">
        <v>1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n"/>
      <c r="CB23" s="97" t="n"/>
      <c r="CC23" s="96" t="inlineStr">
        <is>
          <t>LCH04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wannicha.p@wha-gc.com</t>
        </is>
      </c>
      <c r="CJ23" s="96" t="inlineStr">
        <is>
          <t>PTT GLOBAL CHEMICAL PUBLIC COMPANY</t>
        </is>
      </c>
      <c r="CK23" s="96" t="inlineStr">
        <is>
          <t>GC MARKETING SOLUTIONS VIETNAM</t>
        </is>
      </c>
      <c r="CL23" s="96" t="inlineStr">
        <is>
          <t>GC MARKETING SOLUTIONS VIETNAM</t>
        </is>
      </c>
      <c r="CM23" s="97" t="inlineStr">
        <is>
          <t>CLOSED</t>
        </is>
      </c>
      <c r="CN23" s="96" t="inlineStr">
        <is>
          <t>202610121700</t>
        </is>
      </c>
      <c r="CO23" s="96" t="inlineStr">
        <is>
          <t>202610142100</t>
        </is>
      </c>
      <c r="CP23" s="97" t="n"/>
      <c r="CQ23" s="96" t="inlineStr">
        <is>
          <t>S22-2309036</t>
        </is>
      </c>
      <c r="CR23" s="96" t="inlineStr">
        <is>
          <t>TH02GR</t>
        </is>
      </c>
      <c r="CS23" s="96" t="inlineStr">
        <is>
          <t>WHA GC LOGISTICS COMPANY LIMITED</t>
        </is>
      </c>
      <c r="CT23" s="96" t="inlineStr">
        <is>
          <t>Y</t>
        </is>
      </c>
      <c r="CU23" s="97" t="n"/>
      <c r="CV23" s="97" t="n"/>
      <c r="CW23" s="161" t="inlineStr">
        <is>
          <t>2026-10-10</t>
        </is>
      </c>
      <c r="CX23" s="97" t="inlineStr">
        <is>
          <t>390210</t>
        </is>
      </c>
      <c r="CY23" s="183" t="n"/>
    </row>
    <row r="24" ht="12" customHeight="1">
      <c r="A24" s="116" t="inlineStr">
        <is>
          <t>HASLS22260902647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KHS1</t>
        </is>
      </c>
      <c r="M24" s="96" t="inlineStr">
        <is>
          <t>SWIC</t>
        </is>
      </c>
      <c r="N24" s="96" t="inlineStr">
        <is>
          <t>2611N</t>
        </is>
      </c>
      <c r="O24" s="96" t="inlineStr">
        <is>
          <t>THLCH</t>
        </is>
      </c>
      <c r="P24" s="96" t="inlineStr">
        <is>
          <t>LCH04</t>
        </is>
      </c>
      <c r="Q24" s="96" t="inlineStr">
        <is>
          <t>IA</t>
        </is>
      </c>
      <c r="R24" s="161" t="inlineStr">
        <is>
          <t>2026-10-17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2026-10-18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ALL CARGO SOLUTIONS CO., LTD.</t>
        </is>
      </c>
      <c r="AB24" s="96" t="inlineStr">
        <is>
          <t>SHEICO (THAILAND) CO., LTD.</t>
        </is>
      </c>
      <c r="AC24" s="163" t="n">
        <v>6038.9</v>
      </c>
      <c r="AD24" s="163" t="n">
        <v>10038.9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TBKK97</t>
        </is>
      </c>
      <c r="AN24" s="96" t="inlineStr">
        <is>
          <t>Arunphat W. (Aiw)</t>
        </is>
      </c>
      <c r="AO24" s="96" t="inlineStr">
        <is>
          <t>GARMENTS ACCESSORIES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 xml:space="preserve">Pickup : 2026-10-09, Return : 2026-10-09 [1ST RTN 12/10/2026 W/O RENT]
** PLEASE CHECK OPEN GATE BEFORE RETURN CONTAINER ** </t>
        </is>
      </c>
      <c r="BA24" s="97" t="n"/>
      <c r="BB24" s="96" t="inlineStr">
        <is>
          <t>P</t>
        </is>
      </c>
      <c r="BC24" s="161" t="inlineStr">
        <is>
          <t>2026-09-29</t>
        </is>
      </c>
      <c r="BD24" s="161" t="inlineStr">
        <is>
          <t>2026-10-06</t>
        </is>
      </c>
      <c r="BE24" s="96" t="inlineStr">
        <is>
          <t>Y</t>
        </is>
      </c>
      <c r="BF24" s="96" t="inlineStr">
        <is>
          <t>GARMENTS ACCESSORIES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LCHY5</t>
        </is>
      </c>
      <c r="BL24" s="161" t="inlineStr">
        <is>
          <t>2026-10-09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LCH04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sea.tha@allcargo4u.com</t>
        </is>
      </c>
      <c r="CJ24" s="96" t="inlineStr">
        <is>
          <t>ALL CARGO SOLUTIONS CO., LTD.</t>
        </is>
      </c>
      <c r="CK24" s="96" t="inlineStr">
        <is>
          <t>PANDA GLOBAL LOGISTICS CO., LTD.</t>
        </is>
      </c>
      <c r="CL24" s="96" t="inlineStr">
        <is>
          <t>PANDA GLOBAL LOGISTICS CO., LTD.</t>
        </is>
      </c>
      <c r="CM24" s="97" t="inlineStr">
        <is>
          <t>CLOSED</t>
        </is>
      </c>
      <c r="CN24" s="96" t="inlineStr">
        <is>
          <t>202610121700</t>
        </is>
      </c>
      <c r="CO24" s="96" t="inlineStr">
        <is>
          <t>202610142100</t>
        </is>
      </c>
      <c r="CP24" s="97" t="n"/>
      <c r="CQ24" s="96" t="inlineStr">
        <is>
          <t>S22-2603001</t>
        </is>
      </c>
      <c r="CR24" s="96" t="inlineStr">
        <is>
          <t>THTYMT</t>
        </is>
      </c>
      <c r="CS24" s="96" t="inlineStr">
        <is>
          <t>ALL CARGO SOLUTIONS CO., LTD.</t>
        </is>
      </c>
      <c r="CT24" s="96" t="inlineStr">
        <is>
          <t>N</t>
        </is>
      </c>
      <c r="CU24" s="97" t="n"/>
      <c r="CV24" s="97" t="n"/>
      <c r="CW24" s="161" t="inlineStr">
        <is>
          <t>2026-10-16</t>
        </is>
      </c>
      <c r="CX24" s="97" t="inlineStr">
        <is>
          <t>400510</t>
        </is>
      </c>
      <c r="CY24" s="183" t="n"/>
    </row>
    <row r="25" ht="12" customHeight="1">
      <c r="A25" s="116" t="inlineStr">
        <is>
          <t>HASLS22260902670</t>
        </is>
      </c>
      <c r="B25" s="96" t="inlineStr">
        <is>
          <t>40Hx1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KHS1</t>
        </is>
      </c>
      <c r="M25" s="96" t="inlineStr">
        <is>
          <t>SWIC</t>
        </is>
      </c>
      <c r="N25" s="96" t="inlineStr">
        <is>
          <t>2611N</t>
        </is>
      </c>
      <c r="O25" s="96" t="inlineStr">
        <is>
          <t>THLCH</t>
        </is>
      </c>
      <c r="P25" s="96" t="inlineStr">
        <is>
          <t>LCH04</t>
        </is>
      </c>
      <c r="Q25" s="96" t="inlineStr">
        <is>
          <t>IA</t>
        </is>
      </c>
      <c r="R25" s="161" t="inlineStr">
        <is>
          <t>2026-10-17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2026-10-18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KORCHINA FREIGHT (THAILAND) CO., LTD.</t>
        </is>
      </c>
      <c r="AB25" s="96" t="inlineStr">
        <is>
          <t>CONTINENTAL TYRES (THAILAND) CO., LTD.</t>
        </is>
      </c>
      <c r="AC25" s="163" t="n">
        <v>5387.2</v>
      </c>
      <c r="AD25" s="163" t="n">
        <v>9387.200000000001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A1029</t>
        </is>
      </c>
      <c r="AN25" s="96" t="inlineStr">
        <is>
          <t>LEE HWA DONG</t>
        </is>
      </c>
      <c r="AO25" s="96" t="inlineStr">
        <is>
          <t>RETURN STEEL BOBBIN(B-80) // RETURN PLASTIC SEPARATOR // RETURN PLASTIC PALLETS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Pickup : 2026-10-12, Return : 2026-10-12</t>
        </is>
      </c>
      <c r="BA25" s="97" t="inlineStr">
        <is>
          <t>ROLL OVER FROM PREVIOUS VSL SWBT 2616N BY ALLOCATION TEAM MS.TARN APRPOVED COST IS UNDER HA DD.14/10</t>
        </is>
      </c>
      <c r="BB25" s="96" t="inlineStr">
        <is>
          <t>C</t>
        </is>
      </c>
      <c r="BC25" s="161" t="inlineStr">
        <is>
          <t>2026-09-29</t>
        </is>
      </c>
      <c r="BD25" s="161" t="inlineStr">
        <is>
          <t>2026-10-15</t>
        </is>
      </c>
      <c r="BE25" s="96" t="inlineStr">
        <is>
          <t>Y</t>
        </is>
      </c>
      <c r="BF25" s="96" t="inlineStr">
        <is>
          <t>STEEL BOBBINS / PALLET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LCHY5</t>
        </is>
      </c>
      <c r="BL25" s="161" t="inlineStr">
        <is>
          <t>2026-10-12</t>
        </is>
      </c>
      <c r="BM25" s="127" t="n"/>
      <c r="BN25" s="127" t="n"/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LCH04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seaexport@korchina.co.th;seaexport2@korchina.co.th;seaexport3@korchina.co.th;seaexport4@korchina.co.th</t>
        </is>
      </c>
      <c r="CJ25" s="96" t="inlineStr">
        <is>
          <t>KORCHINA FREIGHT(THAILAND)CO.,LTD.</t>
        </is>
      </c>
      <c r="CK25" s="96" t="inlineStr">
        <is>
          <t>HS HYOSUNG GLOBAL LOGISTICS VINA</t>
        </is>
      </c>
      <c r="CL25" s="96" t="inlineStr">
        <is>
          <t>HS HYOSUNG GLOBAL LOGISTICS VINA</t>
        </is>
      </c>
      <c r="CM25" s="97" t="inlineStr">
        <is>
          <t>CLOSED</t>
        </is>
      </c>
      <c r="CN25" s="96" t="inlineStr">
        <is>
          <t>202610121700</t>
        </is>
      </c>
      <c r="CO25" s="96" t="inlineStr">
        <is>
          <t>202610142100</t>
        </is>
      </c>
      <c r="CP25" s="97" t="n"/>
      <c r="CQ25" s="96" t="inlineStr">
        <is>
          <t>A1XZT-22018</t>
        </is>
      </c>
      <c r="CR25" s="96" t="inlineStr">
        <is>
          <t>THTKT0</t>
        </is>
      </c>
      <c r="CS25" s="96" t="inlineStr">
        <is>
          <t>KORCHINA FREIGHT (THAILAND) CO., LTD.</t>
        </is>
      </c>
      <c r="CT25" s="96" t="inlineStr">
        <is>
          <t>N</t>
        </is>
      </c>
      <c r="CU25" s="97" t="n"/>
      <c r="CV25" s="97" t="n"/>
      <c r="CW25" s="161" t="inlineStr">
        <is>
          <t>2026-10-16</t>
        </is>
      </c>
      <c r="CX25" s="97" t="inlineStr">
        <is>
          <t>732690</t>
        </is>
      </c>
      <c r="CY25" s="183" t="inlineStr">
        <is>
          <t>ROLL OVER FROM PREVIOUS VSL SWBT 2616N BY ALLOCATION TEAM MS.TARN APRPOVED COST IS UNDER HA DD.14/10</t>
        </is>
      </c>
    </row>
    <row r="26" ht="12" customHeight="1">
      <c r="A26" s="116" t="inlineStr">
        <is>
          <t>HASLS22260902245</t>
        </is>
      </c>
      <c r="B26" s="96" t="inlineStr">
        <is>
          <t>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KHS1</t>
        </is>
      </c>
      <c r="M26" s="96" t="inlineStr">
        <is>
          <t>SWIC</t>
        </is>
      </c>
      <c r="N26" s="96" t="inlineStr">
        <is>
          <t>2611N</t>
        </is>
      </c>
      <c r="O26" s="96" t="inlineStr">
        <is>
          <t>THLCH</t>
        </is>
      </c>
      <c r="P26" s="96" t="inlineStr">
        <is>
          <t>LCH04</t>
        </is>
      </c>
      <c r="Q26" s="96" t="inlineStr">
        <is>
          <t>IA</t>
        </is>
      </c>
      <c r="R26" s="161" t="inlineStr">
        <is>
          <t>2026-10-17</t>
        </is>
      </c>
      <c r="S26" s="96" t="inlineStr">
        <is>
          <t>JPKIJ</t>
        </is>
      </c>
      <c r="T26" s="96" t="inlineStr">
        <is>
          <t>KIJ01</t>
        </is>
      </c>
      <c r="U26" s="96" t="inlineStr">
        <is>
          <t>JPKIJ</t>
        </is>
      </c>
      <c r="V26" s="161" t="inlineStr">
        <is>
          <t>2026-11-04</t>
        </is>
      </c>
      <c r="W26" s="96" t="inlineStr">
        <is>
          <t>JP</t>
        </is>
      </c>
      <c r="X26" s="97" t="n"/>
      <c r="Y26" s="97" t="inlineStr">
        <is>
          <t>PUS05</t>
        </is>
      </c>
      <c r="Z26" s="97" t="inlineStr">
        <is>
          <t>KRPUS</t>
        </is>
      </c>
      <c r="AA26" s="96" t="inlineStr">
        <is>
          <t>WHA GC LOGISTICS COMPANY LIMITED</t>
        </is>
      </c>
      <c r="AB26" s="96" t="inlineStr">
        <is>
          <t>PTT GLOBAL CHEMICAL PUBLIC COMPANY LIMITED</t>
        </is>
      </c>
      <c r="AC26" s="163" t="n">
        <v>24240</v>
      </c>
      <c r="AD26" s="163" t="n">
        <v>28240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TBKK13</t>
        </is>
      </c>
      <c r="AN26" s="96" t="inlineStr">
        <is>
          <t>Dharaporn</t>
        </is>
      </c>
      <c r="AO26" s="96" t="inlineStr">
        <is>
          <t>HIGH DENSITY POLYETHYLENE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CY-RTN 24-27/09/26 (1ST RETURN DATE DD.04/10/26)
*PLS CHECK OPEN GATE BEFORE RETURN CTNR*</t>
        </is>
      </c>
      <c r="BA26" s="97" t="inlineStr">
        <is>
          <t>SI DD.2/10/26
ROLL OVER FROM PREVIOUS VSL SWRG 2609N BY ALLOCATION TEAM MS.TAN APPROVED COST IS UNDER HA DD.09/10</t>
        </is>
      </c>
      <c r="BB26" s="96" t="inlineStr">
        <is>
          <t>P</t>
        </is>
      </c>
      <c r="BC26" s="161" t="inlineStr">
        <is>
          <t>2026-09-24</t>
        </is>
      </c>
      <c r="BD26" s="161" t="inlineStr">
        <is>
          <t>2026-10-09</t>
        </is>
      </c>
      <c r="BE26" s="96" t="inlineStr">
        <is>
          <t>Y</t>
        </is>
      </c>
      <c r="BF26" s="96" t="inlineStr">
        <is>
          <t>RESIN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2026-09-24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>
        <v>7</v>
      </c>
      <c r="CA26" s="96" t="n"/>
      <c r="CB26" s="97" t="n"/>
      <c r="CC26" s="96" t="inlineStr">
        <is>
          <t>LCH04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inlineStr">
        <is>
          <t>POL: THLCH [SWIC/2611N]; T/S(1st): KRPUS [PSUN/2617E]; POD: JPKIJ [/]</t>
        </is>
      </c>
      <c r="CI26" s="96" t="inlineStr">
        <is>
          <t>jariya.c@wha-gc.com</t>
        </is>
      </c>
      <c r="CJ26" s="96" t="inlineStr">
        <is>
          <t>PTT GLOBAL CHEMICAL PUBLIC COMPANY</t>
        </is>
      </c>
      <c r="CK26" s="96" t="inlineStr">
        <is>
          <t>INABATA &amp; CO.,LTD</t>
        </is>
      </c>
      <c r="CL26" s="96" t="inlineStr">
        <is>
          <t>INABATA &amp; CO.,LTD</t>
        </is>
      </c>
      <c r="CM26" s="97" t="n"/>
      <c r="CN26" s="96" t="inlineStr">
        <is>
          <t>202610121700</t>
        </is>
      </c>
      <c r="CO26" s="96" t="inlineStr">
        <is>
          <t>202610142100</t>
        </is>
      </c>
      <c r="CP26" s="97" t="n"/>
      <c r="CQ26" s="96" t="inlineStr">
        <is>
          <t>S19-2309008</t>
        </is>
      </c>
      <c r="CR26" s="96" t="inlineStr">
        <is>
          <t>TH02GR</t>
        </is>
      </c>
      <c r="CS26" s="96" t="inlineStr">
        <is>
          <t>WHA GC LOGISTICS COMPANY LIMITED</t>
        </is>
      </c>
      <c r="CT26" s="96" t="inlineStr">
        <is>
          <t>N</t>
        </is>
      </c>
      <c r="CU26" s="97" t="n"/>
      <c r="CV26" s="97" t="n"/>
      <c r="CW26" s="161" t="inlineStr">
        <is>
          <t>2026-10-15</t>
        </is>
      </c>
      <c r="CX26" s="97" t="inlineStr">
        <is>
          <t>390120</t>
        </is>
      </c>
      <c r="CY26" s="183" t="inlineStr">
        <is>
          <t>ROLL OVER FROM PREVIOUS VSL SWRG 2609N BY ALLOCATION TEAM MS.TAN APPROVED COST IS UNDER HA DD.09/10</t>
        </is>
      </c>
    </row>
    <row r="27" ht="12" customHeight="1">
      <c r="A27" s="116" t="inlineStr">
        <is>
          <t>HASLS22260902744</t>
        </is>
      </c>
      <c r="B27" s="96" t="inlineStr">
        <is>
          <t>40Hx2</t>
        </is>
      </c>
      <c r="C27" s="97" t="n">
        <v>2</v>
      </c>
      <c r="D27" s="97" t="n">
        <v>2</v>
      </c>
      <c r="E27" s="97" t="n"/>
      <c r="F27" s="97" t="n">
        <v>0</v>
      </c>
      <c r="G27" s="97" t="n">
        <v>0</v>
      </c>
      <c r="H27" s="97" t="n">
        <v>0</v>
      </c>
      <c r="I27" s="97" t="n">
        <v>2</v>
      </c>
      <c r="J27" s="97" t="n">
        <v>4</v>
      </c>
      <c r="K27" s="96" t="inlineStr">
        <is>
          <t>N</t>
        </is>
      </c>
      <c r="L27" s="96" t="inlineStr">
        <is>
          <t>KHS1</t>
        </is>
      </c>
      <c r="M27" s="96" t="inlineStr">
        <is>
          <t>SWIC</t>
        </is>
      </c>
      <c r="N27" s="96" t="inlineStr">
        <is>
          <t>2611N</t>
        </is>
      </c>
      <c r="O27" s="96" t="inlineStr">
        <is>
          <t>THLCH</t>
        </is>
      </c>
      <c r="P27" s="96" t="inlineStr">
        <is>
          <t>LCH04</t>
        </is>
      </c>
      <c r="Q27" s="96" t="inlineStr">
        <is>
          <t>IA</t>
        </is>
      </c>
      <c r="R27" s="161" t="inlineStr">
        <is>
          <t>2026-10-17</t>
        </is>
      </c>
      <c r="S27" s="96" t="inlineStr">
        <is>
          <t>VNSGN</t>
        </is>
      </c>
      <c r="T27" s="96" t="inlineStr">
        <is>
          <t>SGN03</t>
        </is>
      </c>
      <c r="U27" s="96" t="inlineStr">
        <is>
          <t>VNSGN</t>
        </is>
      </c>
      <c r="V27" s="161" t="inlineStr">
        <is>
          <t>2026-10-18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CANVAS GLOBAL LOGISTICS (THAILAND) CO., LTD.</t>
        </is>
      </c>
      <c r="AB27" s="96" t="inlineStr">
        <is>
          <t>SANJIANG CHEMICAL FIBER (THAILAND) CO.,LTD</t>
        </is>
      </c>
      <c r="AC27" s="163" t="n">
        <v>44898.3</v>
      </c>
      <c r="AD27" s="163" t="n">
        <v>52898.3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TBKK97</t>
        </is>
      </c>
      <c r="AN27" s="96" t="inlineStr">
        <is>
          <t>Arunphat W. (Aiw)</t>
        </is>
      </c>
      <c r="AO27" s="96" t="inlineStr">
        <is>
          <t>POLYESTER STAPLE FIBER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Pickup : 2026-10-10, Return : 2026-10-12</t>
        </is>
      </c>
      <c r="BA27" s="97" t="n"/>
      <c r="BB27" s="96" t="inlineStr">
        <is>
          <t>P</t>
        </is>
      </c>
      <c r="BC27" s="161" t="inlineStr">
        <is>
          <t>2026-09-29</t>
        </is>
      </c>
      <c r="BD27" s="161" t="inlineStr">
        <is>
          <t>2026-10-12</t>
        </is>
      </c>
      <c r="BE27" s="96" t="inlineStr">
        <is>
          <t>Y</t>
        </is>
      </c>
      <c r="BF27" s="96" t="inlineStr">
        <is>
          <t>POLYESTER STAPLE FIBER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LCHY5</t>
        </is>
      </c>
      <c r="BL27" s="161" t="inlineStr">
        <is>
          <t>2026-10-10</t>
        </is>
      </c>
      <c r="BM27" s="127" t="n"/>
      <c r="BN27" s="127" t="n"/>
      <c r="BO27" s="127" t="n"/>
      <c r="BP27" s="127" t="n">
        <v>2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LCH04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cs.log@canvasglobal-log.co.th</t>
        </is>
      </c>
      <c r="CJ27" s="96" t="inlineStr">
        <is>
          <t>CANVAS GLOBAL LOGISTICS (THAILAND)</t>
        </is>
      </c>
      <c r="CK27" s="96" t="inlineStr">
        <is>
          <t>THAMI CORPORATION</t>
        </is>
      </c>
      <c r="CL27" s="96" t="inlineStr">
        <is>
          <t>THAMI CORPORATION</t>
        </is>
      </c>
      <c r="CM27" s="97" t="inlineStr">
        <is>
          <t>CLOSED</t>
        </is>
      </c>
      <c r="CN27" s="96" t="inlineStr">
        <is>
          <t>202610121700</t>
        </is>
      </c>
      <c r="CO27" s="96" t="inlineStr">
        <is>
          <t>202610142100</t>
        </is>
      </c>
      <c r="CP27" s="97" t="n"/>
      <c r="CQ27" s="96" t="inlineStr">
        <is>
          <t>S22-2609010</t>
        </is>
      </c>
      <c r="CR27" s="96" t="inlineStr">
        <is>
          <t>THTWN1</t>
        </is>
      </c>
      <c r="CS27" s="96" t="inlineStr">
        <is>
          <t>CANVAS GLOBAL LOGISTICS (THAILAND) CO., LTD.</t>
        </is>
      </c>
      <c r="CT27" s="96" t="inlineStr">
        <is>
          <t>N</t>
        </is>
      </c>
      <c r="CU27" s="97" t="n"/>
      <c r="CV27" s="97" t="n"/>
      <c r="CW27" s="161" t="inlineStr">
        <is>
          <t>2026-10-14</t>
        </is>
      </c>
      <c r="CX27" s="97" t="inlineStr">
        <is>
          <t>550320</t>
        </is>
      </c>
      <c r="CY27" s="183" t="n"/>
    </row>
    <row r="28" ht="12" customHeight="1">
      <c r="A28" s="116" t="inlineStr">
        <is>
          <t>HASLS22260902743</t>
        </is>
      </c>
      <c r="B28" s="96" t="inlineStr">
        <is>
          <t>40Hx2</t>
        </is>
      </c>
      <c r="C28" s="97" t="n">
        <v>2</v>
      </c>
      <c r="D28" s="97" t="n">
        <v>2</v>
      </c>
      <c r="E28" s="97" t="n"/>
      <c r="F28" s="97" t="n">
        <v>0</v>
      </c>
      <c r="G28" s="97" t="n">
        <v>0</v>
      </c>
      <c r="H28" s="97" t="n">
        <v>0</v>
      </c>
      <c r="I28" s="97" t="n">
        <v>2</v>
      </c>
      <c r="J28" s="97" t="n">
        <v>4</v>
      </c>
      <c r="K28" s="96" t="inlineStr">
        <is>
          <t>N</t>
        </is>
      </c>
      <c r="L28" s="96" t="inlineStr">
        <is>
          <t>KHS1</t>
        </is>
      </c>
      <c r="M28" s="96" t="inlineStr">
        <is>
          <t>SWIC</t>
        </is>
      </c>
      <c r="N28" s="96" t="inlineStr">
        <is>
          <t>2611N</t>
        </is>
      </c>
      <c r="O28" s="96" t="inlineStr">
        <is>
          <t>THLCH</t>
        </is>
      </c>
      <c r="P28" s="96" t="inlineStr">
        <is>
          <t>LCH04</t>
        </is>
      </c>
      <c r="Q28" s="96" t="inlineStr">
        <is>
          <t>IA</t>
        </is>
      </c>
      <c r="R28" s="161" t="inlineStr">
        <is>
          <t>2026-10-17</t>
        </is>
      </c>
      <c r="S28" s="96" t="inlineStr">
        <is>
          <t>VNSGN</t>
        </is>
      </c>
      <c r="T28" s="96" t="inlineStr">
        <is>
          <t>SGN03</t>
        </is>
      </c>
      <c r="U28" s="96" t="inlineStr">
        <is>
          <t>VNSGN</t>
        </is>
      </c>
      <c r="V28" s="161" t="inlineStr">
        <is>
          <t>2026-10-18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CANVAS GLOBAL LOGISTICS (THAILAND) CO., LTD.</t>
        </is>
      </c>
      <c r="AB28" s="96" t="inlineStr">
        <is>
          <t>SANJIANG CHEMICAL FIBER (THAILAND) CO.,LTD</t>
        </is>
      </c>
      <c r="AC28" s="163" t="n">
        <v>44735.5</v>
      </c>
      <c r="AD28" s="163" t="n">
        <v>52735.5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TBKK97</t>
        </is>
      </c>
      <c r="AN28" s="96" t="inlineStr">
        <is>
          <t>Arunphat W. (Aiw)</t>
        </is>
      </c>
      <c r="AO28" s="96" t="inlineStr">
        <is>
          <t>POLYESTER STAPLE FIBER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2026-10-09, Return : 2026-10-10</t>
        </is>
      </c>
      <c r="BA28" s="97" t="n"/>
      <c r="BB28" s="96" t="inlineStr">
        <is>
          <t>P</t>
        </is>
      </c>
      <c r="BC28" s="161" t="inlineStr">
        <is>
          <t>2026-09-29</t>
        </is>
      </c>
      <c r="BD28" s="161" t="inlineStr">
        <is>
          <t>2026-10-12</t>
        </is>
      </c>
      <c r="BE28" s="96" t="inlineStr">
        <is>
          <t>Y</t>
        </is>
      </c>
      <c r="BF28" s="96" t="inlineStr">
        <is>
          <t>POLYESTER STAPLE FIBER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LCHY5</t>
        </is>
      </c>
      <c r="BL28" s="161" t="inlineStr">
        <is>
          <t>2026-10-09</t>
        </is>
      </c>
      <c r="BM28" s="127" t="n"/>
      <c r="BN28" s="127" t="n"/>
      <c r="BO28" s="127" t="n"/>
      <c r="BP28" s="127" t="n">
        <v>2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LCH04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cs.log@canvasglobal-log.co.th</t>
        </is>
      </c>
      <c r="CJ28" s="96" t="inlineStr">
        <is>
          <t>CANVAS GLOBAL LOGISTICS (THAILAND)</t>
        </is>
      </c>
      <c r="CK28" s="96" t="inlineStr">
        <is>
          <t>THAMI CORPORATION</t>
        </is>
      </c>
      <c r="CL28" s="96" t="inlineStr">
        <is>
          <t>THAMI CORPORATION</t>
        </is>
      </c>
      <c r="CM28" s="97" t="inlineStr">
        <is>
          <t>CLOSED</t>
        </is>
      </c>
      <c r="CN28" s="96" t="inlineStr">
        <is>
          <t>202610121700</t>
        </is>
      </c>
      <c r="CO28" s="96" t="inlineStr">
        <is>
          <t>202610142100</t>
        </is>
      </c>
      <c r="CP28" s="97" t="n"/>
      <c r="CQ28" s="96" t="inlineStr">
        <is>
          <t>S22-2609010</t>
        </is>
      </c>
      <c r="CR28" s="96" t="inlineStr">
        <is>
          <t>THTWN1</t>
        </is>
      </c>
      <c r="CS28" s="96" t="inlineStr">
        <is>
          <t>CANVAS GLOBAL LOGISTICS (THAILAND) CO., LTD.</t>
        </is>
      </c>
      <c r="CT28" s="96" t="inlineStr">
        <is>
          <t>N</t>
        </is>
      </c>
      <c r="CU28" s="97" t="n"/>
      <c r="CV28" s="97" t="n"/>
      <c r="CW28" s="161" t="inlineStr">
        <is>
          <t>2026-10-14</t>
        </is>
      </c>
      <c r="CX28" s="97" t="inlineStr">
        <is>
          <t>550320</t>
        </is>
      </c>
      <c r="CY28" s="183" t="n"/>
    </row>
    <row r="29" ht="12" customHeight="1">
      <c r="A29" s="116" t="inlineStr">
        <is>
          <t>HASLS22260901519</t>
        </is>
      </c>
      <c r="B29" s="96" t="inlineStr">
        <is>
          <t>40Hx4</t>
        </is>
      </c>
      <c r="C29" s="97" t="n">
        <v>4</v>
      </c>
      <c r="D29" s="97" t="n">
        <v>4</v>
      </c>
      <c r="E29" s="97" t="n"/>
      <c r="F29" s="97" t="n">
        <v>0</v>
      </c>
      <c r="G29" s="97" t="n">
        <v>0</v>
      </c>
      <c r="H29" s="97" t="n">
        <v>0</v>
      </c>
      <c r="I29" s="97" t="n">
        <v>4</v>
      </c>
      <c r="J29" s="97" t="n">
        <v>8</v>
      </c>
      <c r="K29" s="96" t="inlineStr">
        <is>
          <t>N</t>
        </is>
      </c>
      <c r="L29" s="96" t="inlineStr">
        <is>
          <t>KHS1</t>
        </is>
      </c>
      <c r="M29" s="96" t="inlineStr">
        <is>
          <t>SWIC</t>
        </is>
      </c>
      <c r="N29" s="96" t="inlineStr">
        <is>
          <t>2611N</t>
        </is>
      </c>
      <c r="O29" s="96" t="inlineStr">
        <is>
          <t>THLCH</t>
        </is>
      </c>
      <c r="P29" s="96" t="inlineStr">
        <is>
          <t>LCH04</t>
        </is>
      </c>
      <c r="Q29" s="96" t="inlineStr">
        <is>
          <t>IA</t>
        </is>
      </c>
      <c r="R29" s="161" t="inlineStr">
        <is>
          <t>2026-10-17</t>
        </is>
      </c>
      <c r="S29" s="96" t="inlineStr">
        <is>
          <t>JPKIJ</t>
        </is>
      </c>
      <c r="T29" s="96" t="inlineStr">
        <is>
          <t>KIJ01</t>
        </is>
      </c>
      <c r="U29" s="96" t="inlineStr">
        <is>
          <t>JPKIJ</t>
        </is>
      </c>
      <c r="V29" s="161" t="inlineStr">
        <is>
          <t>2026-11-04</t>
        </is>
      </c>
      <c r="W29" s="96" t="inlineStr">
        <is>
          <t>JP</t>
        </is>
      </c>
      <c r="X29" s="97" t="n"/>
      <c r="Y29" s="97" t="inlineStr">
        <is>
          <t>PUS05</t>
        </is>
      </c>
      <c r="Z29" s="97" t="inlineStr">
        <is>
          <t>KRPUS</t>
        </is>
      </c>
      <c r="AA29" s="96" t="inlineStr">
        <is>
          <t>WHA GC LOGISTICS COMPANY LIMITED</t>
        </is>
      </c>
      <c r="AB29" s="96" t="inlineStr">
        <is>
          <t>PTT GLOBAL CHEMICAL PUBLIC COMPANY LIMITED</t>
        </is>
      </c>
      <c r="AC29" s="163" t="n">
        <v>96960</v>
      </c>
      <c r="AD29" s="163" t="n">
        <v>112960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TBKK13</t>
        </is>
      </c>
      <c r="AN29" s="96" t="inlineStr">
        <is>
          <t>Dharaporn</t>
        </is>
      </c>
      <c r="AO29" s="96" t="inlineStr">
        <is>
          <t>HIGH DENSITY POLYETHYLENE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>CY 28/09/26 , RTN 04/10/26 (PR2610002658 )
*PLS CHECK OPEN GATE BEFORE RETURN CTNR*</t>
        </is>
      </c>
      <c r="BA29" s="97" t="inlineStr">
        <is>
          <t>SI DD.24/9/26
ROLL OVER FROM PREVIOUS VSL SWRG 2609N BY ALLOCATION TEAM MS.TAN APPROVED COST IS UNDER HA DD.09/10</t>
        </is>
      </c>
      <c r="BB29" s="96" t="inlineStr">
        <is>
          <t>P</t>
        </is>
      </c>
      <c r="BC29" s="161" t="inlineStr">
        <is>
          <t>2026-09-17</t>
        </is>
      </c>
      <c r="BD29" s="161" t="inlineStr">
        <is>
          <t>2026-10-09</t>
        </is>
      </c>
      <c r="BE29" s="96" t="inlineStr">
        <is>
          <t>Y</t>
        </is>
      </c>
      <c r="BF29" s="96" t="inlineStr">
        <is>
          <t>RESIN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LCHY5</t>
        </is>
      </c>
      <c r="BL29" s="161" t="inlineStr">
        <is>
          <t>2026-09-28</t>
        </is>
      </c>
      <c r="BM29" s="127" t="n"/>
      <c r="BN29" s="127" t="n"/>
      <c r="BO29" s="127" t="n"/>
      <c r="BP29" s="127" t="n">
        <v>4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>
        <v>7</v>
      </c>
      <c r="CA29" s="96" t="n"/>
      <c r="CB29" s="97" t="n"/>
      <c r="CC29" s="96" t="inlineStr">
        <is>
          <t>LCH04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inlineStr">
        <is>
          <t>POL: THLCH [SWIC/2611N]; T/S(1st): KRPUS [PSUN/2617E]; POD: JPKIJ [/]</t>
        </is>
      </c>
      <c r="CI29" s="96" t="inlineStr">
        <is>
          <t>wannicha.p@wha-gc.com</t>
        </is>
      </c>
      <c r="CJ29" s="96" t="inlineStr">
        <is>
          <t>PTT GLOBAL CHEMICAL PUBLIC COMPANY</t>
        </is>
      </c>
      <c r="CK29" s="96" t="inlineStr">
        <is>
          <t>INABATA &amp; CO.,LTD</t>
        </is>
      </c>
      <c r="CL29" s="96" t="inlineStr">
        <is>
          <t>INABATA &amp; CO.,LTD</t>
        </is>
      </c>
      <c r="CM29" s="97" t="n"/>
      <c r="CN29" s="96" t="inlineStr">
        <is>
          <t>202610121700</t>
        </is>
      </c>
      <c r="CO29" s="96" t="inlineStr">
        <is>
          <t>202610142100</t>
        </is>
      </c>
      <c r="CP29" s="97" t="n"/>
      <c r="CQ29" s="96" t="inlineStr">
        <is>
          <t>S19-2309008</t>
        </is>
      </c>
      <c r="CR29" s="96" t="inlineStr">
        <is>
          <t>TH02GR</t>
        </is>
      </c>
      <c r="CS29" s="96" t="inlineStr">
        <is>
          <t>WHA GC LOGISTICS COMPANY LIMITED</t>
        </is>
      </c>
      <c r="CT29" s="96" t="inlineStr">
        <is>
          <t>N</t>
        </is>
      </c>
      <c r="CU29" s="97" t="n"/>
      <c r="CV29" s="97" t="n"/>
      <c r="CW29" s="161" t="inlineStr">
        <is>
          <t>2026-10-15</t>
        </is>
      </c>
      <c r="CX29" s="97" t="inlineStr">
        <is>
          <t>390120</t>
        </is>
      </c>
      <c r="CY29" s="183" t="inlineStr">
        <is>
          <t>ROLL OVER FROM PREVIOUS VSL SWRG 2609N BY ALLOCATION TEAM MS.TAN APPROVED COST IS UNDER HA DD.09/10</t>
        </is>
      </c>
    </row>
    <row r="30" ht="12" customHeight="1">
      <c r="A30" s="116" t="inlineStr">
        <is>
          <t>HASLS22260900462</t>
        </is>
      </c>
      <c r="B30" s="96" t="inlineStr">
        <is>
          <t>40Hx8</t>
        </is>
      </c>
      <c r="C30" s="97" t="n">
        <v>8</v>
      </c>
      <c r="D30" s="97" t="n">
        <v>8</v>
      </c>
      <c r="E30" s="97" t="n"/>
      <c r="F30" s="97" t="n">
        <v>0</v>
      </c>
      <c r="G30" s="97" t="n">
        <v>0</v>
      </c>
      <c r="H30" s="97" t="n">
        <v>0</v>
      </c>
      <c r="I30" s="97" t="n">
        <v>8</v>
      </c>
      <c r="J30" s="97" t="n">
        <v>16</v>
      </c>
      <c r="K30" s="96" t="inlineStr">
        <is>
          <t>N</t>
        </is>
      </c>
      <c r="L30" s="96" t="inlineStr">
        <is>
          <t>KHS1</t>
        </is>
      </c>
      <c r="M30" s="96" t="inlineStr">
        <is>
          <t>SWIC</t>
        </is>
      </c>
      <c r="N30" s="96" t="inlineStr">
        <is>
          <t>2611N</t>
        </is>
      </c>
      <c r="O30" s="96" t="inlineStr">
        <is>
          <t>THLCH</t>
        </is>
      </c>
      <c r="P30" s="96" t="inlineStr">
        <is>
          <t>LCH04</t>
        </is>
      </c>
      <c r="Q30" s="96" t="inlineStr">
        <is>
          <t>IA</t>
        </is>
      </c>
      <c r="R30" s="161" t="inlineStr">
        <is>
          <t>2026-10-17</t>
        </is>
      </c>
      <c r="S30" s="96" t="inlineStr">
        <is>
          <t>VNSGN</t>
        </is>
      </c>
      <c r="T30" s="96" t="inlineStr">
        <is>
          <t>SGN03</t>
        </is>
      </c>
      <c r="U30" s="96" t="inlineStr">
        <is>
          <t>VNSGN</t>
        </is>
      </c>
      <c r="V30" s="161" t="inlineStr">
        <is>
          <t>2026-10-18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WHA GC LOGISTICS COMPANY LIMITED</t>
        </is>
      </c>
      <c r="AB30" s="96" t="inlineStr">
        <is>
          <t>PTT GLOBAL CHEMICAL PUBLIC COMPANY LIMITED</t>
        </is>
      </c>
      <c r="AC30" s="163" t="n">
        <v>200800</v>
      </c>
      <c r="AD30" s="163" t="n">
        <v>232800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TBKK13</t>
        </is>
      </c>
      <c r="AN30" s="96" t="inlineStr">
        <is>
          <t>Dharaporn</t>
        </is>
      </c>
      <c r="AO30" s="96" t="inlineStr">
        <is>
          <t>HIGH DENSITY POLYETHYLENE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 xml:space="preserve">CY-RTN 09-11/10/26
</t>
        </is>
      </c>
      <c r="BA30" s="97" t="inlineStr">
        <is>
          <t>SI DD.6/10/26
[Split] - HASLS22261000156</t>
        </is>
      </c>
      <c r="BB30" s="96" t="inlineStr">
        <is>
          <t>P</t>
        </is>
      </c>
      <c r="BC30" s="161" t="inlineStr">
        <is>
          <t>2026-09-04</t>
        </is>
      </c>
      <c r="BD30" s="161" t="inlineStr">
        <is>
          <t>2026-10-13</t>
        </is>
      </c>
      <c r="BE30" s="96" t="inlineStr">
        <is>
          <t>Y</t>
        </is>
      </c>
      <c r="BF30" s="96" t="inlineStr">
        <is>
          <t>RESIN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LCH27</t>
        </is>
      </c>
      <c r="BL30" s="161" t="inlineStr">
        <is>
          <t>2026-10-09</t>
        </is>
      </c>
      <c r="BM30" s="127" t="n"/>
      <c r="BN30" s="127" t="n"/>
      <c r="BO30" s="127" t="n"/>
      <c r="BP30" s="127" t="n">
        <v>8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n"/>
      <c r="CB30" s="97" t="n"/>
      <c r="CC30" s="96" t="inlineStr">
        <is>
          <t>LCH04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warayu.p@wha-gc.com</t>
        </is>
      </c>
      <c r="CJ30" s="96" t="inlineStr">
        <is>
          <t>PTT GLOBAL CHEMICAL PUBLIC COMPANY</t>
        </is>
      </c>
      <c r="CK30" s="96" t="inlineStr">
        <is>
          <t>TO ORDER OF ASIA COMMERCIAL BANK,</t>
        </is>
      </c>
      <c r="CL30" s="96" t="inlineStr">
        <is>
          <t>TAN PHONG PACKING COMPANY LIMITED</t>
        </is>
      </c>
      <c r="CM30" s="97" t="inlineStr">
        <is>
          <t>CLOSED</t>
        </is>
      </c>
      <c r="CN30" s="96" t="inlineStr">
        <is>
          <t>202610121700</t>
        </is>
      </c>
      <c r="CO30" s="96" t="inlineStr">
        <is>
          <t>202610142100</t>
        </is>
      </c>
      <c r="CP30" s="97" t="n"/>
      <c r="CQ30" s="96" t="inlineStr">
        <is>
          <t>S22-2309036</t>
        </is>
      </c>
      <c r="CR30" s="96" t="inlineStr">
        <is>
          <t>TH02GR</t>
        </is>
      </c>
      <c r="CS30" s="96" t="inlineStr">
        <is>
          <t>WHA GC LOGISTICS COMPANY LIMITED</t>
        </is>
      </c>
      <c r="CT30" s="96" t="inlineStr">
        <is>
          <t>Y</t>
        </is>
      </c>
      <c r="CU30" s="97" t="n"/>
      <c r="CV30" s="97" t="n"/>
      <c r="CW30" s="161" t="inlineStr">
        <is>
          <t>2026-10-12</t>
        </is>
      </c>
      <c r="CX30" s="97" t="inlineStr">
        <is>
          <t>390120</t>
        </is>
      </c>
      <c r="CY30" s="183" t="n"/>
    </row>
    <row r="31" ht="12" customHeight="1">
      <c r="A31" s="116" t="inlineStr">
        <is>
          <t>HASLS22260800970</t>
        </is>
      </c>
      <c r="B31" s="96" t="inlineStr">
        <is>
          <t>40Hx9</t>
        </is>
      </c>
      <c r="C31" s="97" t="n">
        <v>9</v>
      </c>
      <c r="D31" s="97" t="n">
        <v>9</v>
      </c>
      <c r="E31" s="97" t="n"/>
      <c r="F31" s="97" t="n">
        <v>0</v>
      </c>
      <c r="G31" s="97" t="n">
        <v>0</v>
      </c>
      <c r="H31" s="97" t="n">
        <v>0</v>
      </c>
      <c r="I31" s="97" t="n">
        <v>9</v>
      </c>
      <c r="J31" s="97" t="n">
        <v>18</v>
      </c>
      <c r="K31" s="96" t="inlineStr">
        <is>
          <t>N</t>
        </is>
      </c>
      <c r="L31" s="96" t="inlineStr">
        <is>
          <t>KHS1</t>
        </is>
      </c>
      <c r="M31" s="96" t="inlineStr">
        <is>
          <t>SWIC</t>
        </is>
      </c>
      <c r="N31" s="96" t="inlineStr">
        <is>
          <t>2611N</t>
        </is>
      </c>
      <c r="O31" s="96" t="inlineStr">
        <is>
          <t>THLCH</t>
        </is>
      </c>
      <c r="P31" s="96" t="inlineStr">
        <is>
          <t>LCH04</t>
        </is>
      </c>
      <c r="Q31" s="96" t="inlineStr">
        <is>
          <t>IA</t>
        </is>
      </c>
      <c r="R31" s="161" t="inlineStr">
        <is>
          <t>2026-10-17</t>
        </is>
      </c>
      <c r="S31" s="96" t="inlineStr">
        <is>
          <t>VNSGN</t>
        </is>
      </c>
      <c r="T31" s="96" t="inlineStr">
        <is>
          <t>SGN03</t>
        </is>
      </c>
      <c r="U31" s="96" t="inlineStr">
        <is>
          <t>VNSGN</t>
        </is>
      </c>
      <c r="V31" s="161" t="inlineStr">
        <is>
          <t>2026-10-18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WHA GC LOGISTICS COMPANY LIMITED</t>
        </is>
      </c>
      <c r="AB31" s="96" t="inlineStr">
        <is>
          <t>PTT GLOBAL CHEMICAL PUBLIC COMPANY LIMITED</t>
        </is>
      </c>
      <c r="AC31" s="163" t="n">
        <v>208229.6</v>
      </c>
      <c r="AD31" s="163" t="n">
        <v>244229.6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TBKK13</t>
        </is>
      </c>
      <c r="AN31" s="96" t="inlineStr">
        <is>
          <t>Dharaporn</t>
        </is>
      </c>
      <c r="AO31" s="96" t="inlineStr">
        <is>
          <t>METALLOCENE LINEAR LOW DENSITY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 xml:space="preserve">CY : 02/10/26 , RTN : 04/10/26 [1ST RTN 08/10/2026 W/O RENT]
** PLEASE CHECK OPEN GATE BEFORE RETURN CONTAINER ** 
</t>
        </is>
      </c>
      <c r="BA31" s="97" t="inlineStr">
        <is>
          <t>SI DD.7/10/26
FM PCCP 2609N BY HAL DD.18/08 ** SKIP THAILAND**
FM SWAL 2608N BY HAL (SKIP THAILAND) DD 31/08    
[Split] - HASLS22260902048</t>
        </is>
      </c>
      <c r="BB31" s="96" t="inlineStr">
        <is>
          <t>P</t>
        </is>
      </c>
      <c r="BC31" s="161" t="inlineStr">
        <is>
          <t>2026-08-13</t>
        </is>
      </c>
      <c r="BD31" s="161" t="inlineStr">
        <is>
          <t>2026-10-07</t>
        </is>
      </c>
      <c r="BE31" s="96" t="inlineStr">
        <is>
          <t>Y</t>
        </is>
      </c>
      <c r="BF31" s="96" t="inlineStr">
        <is>
          <t>RESIN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LCHY5</t>
        </is>
      </c>
      <c r="BL31" s="161" t="inlineStr">
        <is>
          <t>2026-10-02</t>
        </is>
      </c>
      <c r="BM31" s="127" t="n"/>
      <c r="BN31" s="127" t="n"/>
      <c r="BO31" s="127" t="n"/>
      <c r="BP31" s="127" t="n">
        <v>9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n"/>
      <c r="CB31" s="97" t="n"/>
      <c r="CC31" s="96" t="inlineStr">
        <is>
          <t>LCH04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wannicha.p@wha-gc.com</t>
        </is>
      </c>
      <c r="CJ31" s="96" t="inlineStr">
        <is>
          <t>PTT GLOBAL CHEMICAL PUBLIC COMPANY</t>
        </is>
      </c>
      <c r="CK31" s="96" t="inlineStr">
        <is>
          <t>TO ORDER OF TECHCOMBANK - CHO LON</t>
        </is>
      </c>
      <c r="CL31" s="96" t="inlineStr">
        <is>
          <t>DUC THINH AN ONE MEMBER COMPANY</t>
        </is>
      </c>
      <c r="CM31" s="97" t="inlineStr">
        <is>
          <t>CLOSED</t>
        </is>
      </c>
      <c r="CN31" s="96" t="inlineStr">
        <is>
          <t>202610121700</t>
        </is>
      </c>
      <c r="CO31" s="96" t="inlineStr">
        <is>
          <t>202610142100</t>
        </is>
      </c>
      <c r="CP31" s="97" t="n"/>
      <c r="CQ31" s="96" t="inlineStr">
        <is>
          <t>S22-2309036</t>
        </is>
      </c>
      <c r="CR31" s="96" t="inlineStr">
        <is>
          <t>TH02GR</t>
        </is>
      </c>
      <c r="CS31" s="96" t="inlineStr">
        <is>
          <t>WHA GC LOGISTICS COMPANY LIMITED</t>
        </is>
      </c>
      <c r="CT31" s="96" t="inlineStr">
        <is>
          <t>Y</t>
        </is>
      </c>
      <c r="CU31" s="97" t="n"/>
      <c r="CV31" s="97" t="n"/>
      <c r="CW31" s="161" t="inlineStr">
        <is>
          <t>2026-10-10</t>
        </is>
      </c>
      <c r="CX31" s="97" t="inlineStr">
        <is>
          <t>390140</t>
        </is>
      </c>
      <c r="CY31" s="183" t="n"/>
    </row>
    <row r="32" ht="12" customHeight="1">
      <c r="A32" s="116" t="inlineStr">
        <is>
          <t>HASLS22261000784</t>
        </is>
      </c>
      <c r="B32" s="96" t="inlineStr">
        <is>
          <t>R40Hx1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KHS1</t>
        </is>
      </c>
      <c r="M32" s="96" t="inlineStr">
        <is>
          <t>SWIC</t>
        </is>
      </c>
      <c r="N32" s="96" t="inlineStr">
        <is>
          <t>2611N</t>
        </is>
      </c>
      <c r="O32" s="96" t="inlineStr">
        <is>
          <t>THLCH</t>
        </is>
      </c>
      <c r="P32" s="96" t="inlineStr">
        <is>
          <t>LCH04</t>
        </is>
      </c>
      <c r="Q32" s="96" t="inlineStr">
        <is>
          <t>IA</t>
        </is>
      </c>
      <c r="R32" s="161" t="inlineStr">
        <is>
          <t>2026-10-17</t>
        </is>
      </c>
      <c r="S32" s="96" t="inlineStr">
        <is>
          <t>RUVVO</t>
        </is>
      </c>
      <c r="T32" s="96" t="inlineStr">
        <is>
          <t>VVO01</t>
        </is>
      </c>
      <c r="U32" s="96" t="inlineStr">
        <is>
          <t>RUVVO</t>
        </is>
      </c>
      <c r="V32" s="161" t="inlineStr">
        <is>
          <t>2026-11-03</t>
        </is>
      </c>
      <c r="W32" s="96" t="inlineStr">
        <is>
          <t>RU</t>
        </is>
      </c>
      <c r="X32" s="97" t="n"/>
      <c r="Y32" s="97" t="inlineStr">
        <is>
          <t>PUS05</t>
        </is>
      </c>
      <c r="Z32" s="97" t="inlineStr">
        <is>
          <t>KRPUS</t>
        </is>
      </c>
      <c r="AA32" s="96" t="inlineStr">
        <is>
          <t>YJC (THAILAND) CO., LTD.</t>
        </is>
      </c>
      <c r="AB32" s="96" t="inlineStr">
        <is>
          <t>THAI NIPPON RUBBER INDUSTRY PUBLIC COMPANY LIMITED</t>
        </is>
      </c>
      <c r="AC32" s="163" t="n">
        <v>9234.200000000001</v>
      </c>
      <c r="AD32" s="163" t="n">
        <v>13234.2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370023</t>
        </is>
      </c>
      <c r="AN32" s="96" t="inlineStr">
        <is>
          <t>Kim yong rae</t>
        </is>
      </c>
      <c r="AO32" s="96" t="inlineStr">
        <is>
          <t>NATURAL LATEX CONDOMS</t>
        </is>
      </c>
      <c r="AP32" s="96" t="inlineStr">
        <is>
          <t>T/S</t>
        </is>
      </c>
      <c r="AQ32" s="97" t="n"/>
      <c r="AR32" s="97" t="n"/>
      <c r="AS32" s="97" t="inlineStr">
        <is>
          <t>RF// MIN:+20.0 MAX:+20.0 [COVER:20% OPEN]</t>
        </is>
      </c>
      <c r="AT32" s="97" t="inlineStr">
        <is>
          <t xml:space="preserve">45REx1 </t>
        </is>
      </c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>[FIX][FIX][FIX]Pickup : 2026-10-12, Return : 2026-10-13 (Temp +20.0 / Vent 20% Open) *PRECOOL*
CLS TIME 14/10/26 @23.59 COST PRECOOL = 1,200 BAHT</t>
        </is>
      </c>
      <c r="BA32" s="97" t="inlineStr">
        <is>
          <t>COST PRECOOL = 1,200 BAHT</t>
        </is>
      </c>
      <c r="BB32" s="96" t="inlineStr">
        <is>
          <t>C</t>
        </is>
      </c>
      <c r="BC32" s="161" t="inlineStr">
        <is>
          <t>2026-10-09</t>
        </is>
      </c>
      <c r="BD32" s="161" t="inlineStr">
        <is>
          <t>2026-10-15</t>
        </is>
      </c>
      <c r="BE32" s="96" t="inlineStr">
        <is>
          <t>Y</t>
        </is>
      </c>
      <c r="BF32" s="96" t="inlineStr">
        <is>
          <t>CONDOM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LCH27</t>
        </is>
      </c>
      <c r="BL32" s="161" t="inlineStr">
        <is>
          <t>2026-10-12</t>
        </is>
      </c>
      <c r="BM32" s="127" t="n"/>
      <c r="BN32" s="127" t="n"/>
      <c r="BO32" s="127" t="n"/>
      <c r="BP32" s="127" t="n"/>
      <c r="BQ32" s="127" t="n"/>
      <c r="BR32" s="127" t="n">
        <v>1</v>
      </c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>
        <v>7</v>
      </c>
      <c r="CA32" s="96" t="inlineStr">
        <is>
          <t>Y</t>
        </is>
      </c>
      <c r="CB32" s="97" t="n"/>
      <c r="CC32" s="96" t="inlineStr">
        <is>
          <t>LCH04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inlineStr">
        <is>
          <t>POL: THLCH [SWIC/2611N]; T/S(1st): KRPUS [SWTD/9019N]; POD: RUVVO [/]</t>
        </is>
      </c>
      <c r="CI32" s="96" t="inlineStr">
        <is>
          <t>yjcth@yjcthai.com</t>
        </is>
      </c>
      <c r="CJ32" s="96" t="inlineStr">
        <is>
          <t>THAI NIPPON RUBBER INDUSTRY PUBLIC</t>
        </is>
      </c>
      <c r="CK32" s="96" t="inlineStr">
        <is>
          <t>LLC APRIORY LOGISTIC</t>
        </is>
      </c>
      <c r="CL32" s="96" t="inlineStr">
        <is>
          <t>INTER LOGISTIC LIMITED</t>
        </is>
      </c>
      <c r="CM32" s="97" t="n"/>
      <c r="CN32" s="96" t="inlineStr">
        <is>
          <t>202610121700</t>
        </is>
      </c>
      <c r="CO32" s="96" t="inlineStr">
        <is>
          <t>202610142100</t>
        </is>
      </c>
      <c r="CP32" s="97" t="inlineStr">
        <is>
          <t>45RE x1: RF(Temp:+20.0' / Cover:20% OPEN)</t>
        </is>
      </c>
      <c r="CQ32" s="96" t="inlineStr">
        <is>
          <t>K01-2609005</t>
        </is>
      </c>
      <c r="CR32" s="96" t="inlineStr">
        <is>
          <t>TH02CQ</t>
        </is>
      </c>
      <c r="CS32" s="96" t="inlineStr">
        <is>
          <t>YJC (THAILAND) CO., LTD.</t>
        </is>
      </c>
      <c r="CT32" s="96" t="inlineStr">
        <is>
          <t>N</t>
        </is>
      </c>
      <c r="CU32" s="97" t="n"/>
      <c r="CV32" s="97" t="n"/>
      <c r="CW32" s="161" t="inlineStr">
        <is>
          <t>2026-10-15</t>
        </is>
      </c>
      <c r="CX32" s="97" t="inlineStr">
        <is>
          <t>401410</t>
        </is>
      </c>
      <c r="CY32" s="183" t="n"/>
    </row>
    <row r="33" ht="12" customHeight="1">
      <c r="A33" s="116" t="inlineStr">
        <is>
          <t>HASLS22260902790</t>
        </is>
      </c>
      <c r="B33" s="96" t="inlineStr">
        <is>
          <t>R40Hx1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KHS1</t>
        </is>
      </c>
      <c r="M33" s="96" t="inlineStr">
        <is>
          <t>SWIC</t>
        </is>
      </c>
      <c r="N33" s="96" t="inlineStr">
        <is>
          <t>2611N</t>
        </is>
      </c>
      <c r="O33" s="96" t="inlineStr">
        <is>
          <t>THLCH</t>
        </is>
      </c>
      <c r="P33" s="96" t="inlineStr">
        <is>
          <t>LCH04</t>
        </is>
      </c>
      <c r="Q33" s="96" t="inlineStr">
        <is>
          <t>IA</t>
        </is>
      </c>
      <c r="R33" s="161" t="inlineStr">
        <is>
          <t>2026-10-17</t>
        </is>
      </c>
      <c r="S33" s="96" t="inlineStr">
        <is>
          <t>VNSGN</t>
        </is>
      </c>
      <c r="T33" s="96" t="inlineStr">
        <is>
          <t>SGN03</t>
        </is>
      </c>
      <c r="U33" s="96" t="inlineStr">
        <is>
          <t>VNSGN</t>
        </is>
      </c>
      <c r="V33" s="161" t="inlineStr">
        <is>
          <t>2026-10-18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GOLDEN SEA FROZEN FOODS CO.,LTD</t>
        </is>
      </c>
      <c r="AB33" s="96" t="inlineStr">
        <is>
          <t>GOLDEN SEA FROZEN FOODS CO.,LTD</t>
        </is>
      </c>
      <c r="AC33" s="163" t="n">
        <v>28771.2</v>
      </c>
      <c r="AD33" s="163" t="n">
        <v>32771.2</v>
      </c>
      <c r="AE33" s="96" t="inlineStr">
        <is>
          <t>OK</t>
        </is>
      </c>
      <c r="AF33" s="96" t="n"/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TBKK19</t>
        </is>
      </c>
      <c r="AN33" s="96" t="inlineStr">
        <is>
          <t>Kanokporn</t>
        </is>
      </c>
      <c r="AO33" s="96" t="inlineStr">
        <is>
          <t>FROZEN SOFT CUTTLEFISH</t>
        </is>
      </c>
      <c r="AP33" s="96" t="inlineStr">
        <is>
          <t>Normal</t>
        </is>
      </c>
      <c r="AQ33" s="97" t="n"/>
      <c r="AR33" s="97" t="n"/>
      <c r="AS33" s="97" t="inlineStr">
        <is>
          <t>RF// MIN:-18.0 MAX:-18.0 [COVER:CLOSE]</t>
        </is>
      </c>
      <c r="AT33" s="97" t="inlineStr">
        <is>
          <t xml:space="preserve">45REx1 </t>
        </is>
      </c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Pickup : 2026-10-09, Return : 2026-10-12 (Temp -18.0 / Vent Close) 
CLS TIME 13/10/26 @18.00</t>
        </is>
      </c>
      <c r="BA33" s="97" t="inlineStr">
        <is>
          <t>SI DD.12/10/26</t>
        </is>
      </c>
      <c r="BB33" s="96" t="inlineStr">
        <is>
          <t>P</t>
        </is>
      </c>
      <c r="BC33" s="161" t="inlineStr">
        <is>
          <t>2026-09-30</t>
        </is>
      </c>
      <c r="BD33" s="161" t="inlineStr">
        <is>
          <t>2026-10-12</t>
        </is>
      </c>
      <c r="BE33" s="96" t="inlineStr">
        <is>
          <t>Y</t>
        </is>
      </c>
      <c r="BF33" s="96" t="inlineStr">
        <is>
          <t>FROZEN FISH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LCH27</t>
        </is>
      </c>
      <c r="BL33" s="161" t="inlineStr">
        <is>
          <t>2026-10-08</t>
        </is>
      </c>
      <c r="BM33" s="127" t="n"/>
      <c r="BN33" s="127" t="n"/>
      <c r="BO33" s="127" t="n"/>
      <c r="BP33" s="127" t="n"/>
      <c r="BQ33" s="127" t="n"/>
      <c r="BR33" s="127" t="n">
        <v>1</v>
      </c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LCH04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gsf.goldensea@gmail.com</t>
        </is>
      </c>
      <c r="CJ33" s="96" t="inlineStr">
        <is>
          <t>GOLDEN SEA FROZEN FOODS CO.,LTD.</t>
        </is>
      </c>
      <c r="CK33" s="96" t="inlineStr">
        <is>
          <t>HUY HOANG SEAFOOD BUSINESS</t>
        </is>
      </c>
      <c r="CL33" s="96" t="inlineStr">
        <is>
          <t>HUY HOANG SEAFOOD BUSINESS</t>
        </is>
      </c>
      <c r="CM33" s="97" t="inlineStr">
        <is>
          <t>CLOSED</t>
        </is>
      </c>
      <c r="CN33" s="96" t="inlineStr">
        <is>
          <t>202610121700</t>
        </is>
      </c>
      <c r="CO33" s="96" t="inlineStr">
        <is>
          <t>202610142100</t>
        </is>
      </c>
      <c r="CP33" s="97" t="inlineStr">
        <is>
          <t>45RE x1: RF(Temp:-18.0' / Cover:CLOSE)</t>
        </is>
      </c>
      <c r="CQ33" s="96" t="inlineStr">
        <is>
          <t>S22-2507029</t>
        </is>
      </c>
      <c r="CR33" s="96" t="inlineStr">
        <is>
          <t>THTXYN</t>
        </is>
      </c>
      <c r="CS33" s="96" t="inlineStr">
        <is>
          <t>GOLDEN SEA FROZEN FOODS CO.,LTD</t>
        </is>
      </c>
      <c r="CT33" s="96" t="inlineStr">
        <is>
          <t>N</t>
        </is>
      </c>
      <c r="CU33" s="97" t="n"/>
      <c r="CV33" s="97" t="n"/>
      <c r="CW33" s="161" t="inlineStr">
        <is>
          <t>2026-10-14</t>
        </is>
      </c>
      <c r="CX33" s="97" t="inlineStr">
        <is>
          <t>030743</t>
        </is>
      </c>
      <c r="CY33" s="183" t="n"/>
    </row>
    <row r="34" ht="12" customHeight="1">
      <c r="A34" s="116" t="inlineStr">
        <is>
          <t>HASLS22261000262</t>
        </is>
      </c>
      <c r="B34" s="96" t="inlineStr">
        <is>
          <t>R40Hx1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KHS1</t>
        </is>
      </c>
      <c r="M34" s="96" t="inlineStr">
        <is>
          <t>SWIC</t>
        </is>
      </c>
      <c r="N34" s="96" t="inlineStr">
        <is>
          <t>2611N</t>
        </is>
      </c>
      <c r="O34" s="96" t="inlineStr">
        <is>
          <t>THLCH</t>
        </is>
      </c>
      <c r="P34" s="96" t="inlineStr">
        <is>
          <t>LCH04</t>
        </is>
      </c>
      <c r="Q34" s="96" t="inlineStr">
        <is>
          <t>IA</t>
        </is>
      </c>
      <c r="R34" s="161" t="inlineStr">
        <is>
          <t>2026-10-17</t>
        </is>
      </c>
      <c r="S34" s="96" t="inlineStr">
        <is>
          <t>VNSGN</t>
        </is>
      </c>
      <c r="T34" s="96" t="inlineStr">
        <is>
          <t>SGN03</t>
        </is>
      </c>
      <c r="U34" s="96" t="inlineStr">
        <is>
          <t>VNSGN</t>
        </is>
      </c>
      <c r="V34" s="161" t="inlineStr">
        <is>
          <t>2026-10-18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GOLDEN SEA FROZEN FOODS CO.,LTD</t>
        </is>
      </c>
      <c r="AB34" s="96" t="inlineStr">
        <is>
          <t>GOLDEN SEA FROZEN FOODS CO.,LTD</t>
        </is>
      </c>
      <c r="AC34" s="163" t="n">
        <v>28119</v>
      </c>
      <c r="AD34" s="163" t="n">
        <v>32119</v>
      </c>
      <c r="AE34" s="96" t="inlineStr">
        <is>
          <t>OK</t>
        </is>
      </c>
      <c r="AF34" s="96" t="n"/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FROZEN SNAKESKIN GOURAMI FISH</t>
        </is>
      </c>
      <c r="AP34" s="96" t="inlineStr">
        <is>
          <t>Normal</t>
        </is>
      </c>
      <c r="AQ34" s="97" t="n"/>
      <c r="AR34" s="97" t="n"/>
      <c r="AS34" s="97" t="inlineStr">
        <is>
          <t>RF// MIN:-18.0 MAX:-18.0 [COVER:CLOSE]</t>
        </is>
      </c>
      <c r="AT34" s="97" t="inlineStr">
        <is>
          <t xml:space="preserve">45REx1 </t>
        </is>
      </c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>Pickup : 2026-10-09, Return : 2026-10-13  (Temp -18.0 / Vent Close) 
CLS TIME 15/10/26  @18.00 (1ST DATE RTN 13/10/2026 W/O RENT,ELECTRIC)</t>
        </is>
      </c>
      <c r="BA34" s="97" t="inlineStr">
        <is>
          <t>SI DD.12/10/26</t>
        </is>
      </c>
      <c r="BB34" s="96" t="inlineStr">
        <is>
          <t>P</t>
        </is>
      </c>
      <c r="BC34" s="161" t="inlineStr">
        <is>
          <t>2026-10-05</t>
        </is>
      </c>
      <c r="BD34" s="161" t="inlineStr">
        <is>
          <t>2026-10-12</t>
        </is>
      </c>
      <c r="BE34" s="96" t="inlineStr">
        <is>
          <t>Y</t>
        </is>
      </c>
      <c r="BF34" s="96" t="inlineStr">
        <is>
          <t>FROZEN FISH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LCH27</t>
        </is>
      </c>
      <c r="BL34" s="161" t="inlineStr">
        <is>
          <t>2026-10-09</t>
        </is>
      </c>
      <c r="BM34" s="127" t="n"/>
      <c r="BN34" s="127" t="n"/>
      <c r="BO34" s="127" t="n"/>
      <c r="BP34" s="127" t="n"/>
      <c r="BQ34" s="127" t="n"/>
      <c r="BR34" s="127" t="n">
        <v>1</v>
      </c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LCH04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gsf.goldensea@gmail.com</t>
        </is>
      </c>
      <c r="CJ34" s="96" t="inlineStr">
        <is>
          <t>GOLDEN SEA FROZEN FOODS CO.,LTD.</t>
        </is>
      </c>
      <c r="CK34" s="96" t="inlineStr">
        <is>
          <t>LY MA TRADING SERVICE CO., LTD</t>
        </is>
      </c>
      <c r="CL34" s="96" t="inlineStr">
        <is>
          <t>LY MA TRADING SERVICE CO., LTD</t>
        </is>
      </c>
      <c r="CM34" s="97" t="inlineStr">
        <is>
          <t>CLOSED</t>
        </is>
      </c>
      <c r="CN34" s="96" t="inlineStr">
        <is>
          <t>202610121700</t>
        </is>
      </c>
      <c r="CO34" s="96" t="inlineStr">
        <is>
          <t>202610142100</t>
        </is>
      </c>
      <c r="CP34" s="97" t="inlineStr">
        <is>
          <t>45RE x1: RF(Temp:-18.0' / Cover:CLOSE)</t>
        </is>
      </c>
      <c r="CQ34" s="96" t="inlineStr">
        <is>
          <t>S22-2507029</t>
        </is>
      </c>
      <c r="CR34" s="96" t="inlineStr">
        <is>
          <t>THTXYN</t>
        </is>
      </c>
      <c r="CS34" s="96" t="inlineStr">
        <is>
          <t>GOLDEN SEA FROZEN FOODS CO.,LTD</t>
        </is>
      </c>
      <c r="CT34" s="96" t="inlineStr">
        <is>
          <t>N</t>
        </is>
      </c>
      <c r="CU34" s="97" t="n"/>
      <c r="CV34" s="97" t="n"/>
      <c r="CW34" s="161" t="inlineStr">
        <is>
          <t>2026-10-16</t>
        </is>
      </c>
      <c r="CX34" s="97" t="inlineStr">
        <is>
          <t>030389</t>
        </is>
      </c>
      <c r="CY34" s="183" t="n"/>
    </row>
    <row r="35" ht="12" customHeight="1">
      <c r="A35" s="116" t="inlineStr">
        <is>
          <t>HASLS22260902805</t>
        </is>
      </c>
      <c r="B35" s="96" t="inlineStr">
        <is>
          <t>R40Hx1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KHS1</t>
        </is>
      </c>
      <c r="M35" s="96" t="inlineStr">
        <is>
          <t>SWIC</t>
        </is>
      </c>
      <c r="N35" s="96" t="inlineStr">
        <is>
          <t>2611N</t>
        </is>
      </c>
      <c r="O35" s="96" t="inlineStr">
        <is>
          <t>THLCH</t>
        </is>
      </c>
      <c r="P35" s="96" t="inlineStr">
        <is>
          <t>LCH04</t>
        </is>
      </c>
      <c r="Q35" s="96" t="inlineStr">
        <is>
          <t>IA</t>
        </is>
      </c>
      <c r="R35" s="161" t="inlineStr">
        <is>
          <t>2026-10-17</t>
        </is>
      </c>
      <c r="S35" s="96" t="inlineStr">
        <is>
          <t>VNSGN</t>
        </is>
      </c>
      <c r="T35" s="96" t="inlineStr">
        <is>
          <t>SGN03</t>
        </is>
      </c>
      <c r="U35" s="96" t="inlineStr">
        <is>
          <t>VNSGN</t>
        </is>
      </c>
      <c r="V35" s="161" t="inlineStr">
        <is>
          <t>2026-10-18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GOLDEN SEA FROZEN FOODS CO.,LTD</t>
        </is>
      </c>
      <c r="AB35" s="96" t="inlineStr">
        <is>
          <t>GOLDEN SEA FROZEN FOODS CO.,LTD</t>
        </is>
      </c>
      <c r="AC35" s="163" t="n">
        <v>28782</v>
      </c>
      <c r="AD35" s="163" t="n">
        <v>32782</v>
      </c>
      <c r="AE35" s="96" t="inlineStr">
        <is>
          <t>OK</t>
        </is>
      </c>
      <c r="AF35" s="96" t="n"/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TBKK19</t>
        </is>
      </c>
      <c r="AN35" s="96" t="inlineStr">
        <is>
          <t>Kanokporn</t>
        </is>
      </c>
      <c r="AO35" s="96" t="inlineStr">
        <is>
          <t>FROZEN SOFT CUTTLEFISH</t>
        </is>
      </c>
      <c r="AP35" s="96" t="inlineStr">
        <is>
          <t>Normal</t>
        </is>
      </c>
      <c r="AQ35" s="97" t="n"/>
      <c r="AR35" s="97" t="n"/>
      <c r="AS35" s="97" t="inlineStr">
        <is>
          <t>RF// MIN:-18.0 MAX:-18.0 [COVER:CLOSE]</t>
        </is>
      </c>
      <c r="AT35" s="97" t="inlineStr">
        <is>
          <t xml:space="preserve">45REx1 </t>
        </is>
      </c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>Pickup : 2026-10-06, Return : 2026-10-12  (Temp -18.0 / Vent Close) 
CLS TIME 13/10/26 @18.00</t>
        </is>
      </c>
      <c r="BA35" s="97" t="inlineStr">
        <is>
          <t>SI DD.12/10/26</t>
        </is>
      </c>
      <c r="BB35" s="96" t="inlineStr">
        <is>
          <t>P</t>
        </is>
      </c>
      <c r="BC35" s="161" t="inlineStr">
        <is>
          <t>2026-09-30</t>
        </is>
      </c>
      <c r="BD35" s="161" t="inlineStr">
        <is>
          <t>2026-10-12</t>
        </is>
      </c>
      <c r="BE35" s="96" t="inlineStr">
        <is>
          <t>Y</t>
        </is>
      </c>
      <c r="BF35" s="96" t="inlineStr">
        <is>
          <t>FROZEN FISH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LCH27</t>
        </is>
      </c>
      <c r="BL35" s="161" t="inlineStr">
        <is>
          <t>2026-10-06</t>
        </is>
      </c>
      <c r="BM35" s="127" t="n"/>
      <c r="BN35" s="127" t="n"/>
      <c r="BO35" s="127" t="n"/>
      <c r="BP35" s="127" t="n"/>
      <c r="BQ35" s="127" t="n"/>
      <c r="BR35" s="127" t="n">
        <v>1</v>
      </c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LCH04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gsf.goldensea@gmail.com</t>
        </is>
      </c>
      <c r="CJ35" s="96" t="inlineStr">
        <is>
          <t>GOLDEN SEA FROZEN FOODS CO.,LTD.</t>
        </is>
      </c>
      <c r="CK35" s="96" t="inlineStr">
        <is>
          <t>HUY HOANG SEAFOOD BUSINESS</t>
        </is>
      </c>
      <c r="CL35" s="96" t="inlineStr">
        <is>
          <t>HUY HOANG SEAFOOD BUSINESS</t>
        </is>
      </c>
      <c r="CM35" s="97" t="inlineStr">
        <is>
          <t>CLOSED</t>
        </is>
      </c>
      <c r="CN35" s="96" t="inlineStr">
        <is>
          <t>202610121700</t>
        </is>
      </c>
      <c r="CO35" s="96" t="inlineStr">
        <is>
          <t>202610142100</t>
        </is>
      </c>
      <c r="CP35" s="97" t="inlineStr">
        <is>
          <t>45RE x1: RF(Temp:-18.0' / Cover:CLOSE)</t>
        </is>
      </c>
      <c r="CQ35" s="96" t="inlineStr">
        <is>
          <t>S22-2507029</t>
        </is>
      </c>
      <c r="CR35" s="96" t="inlineStr">
        <is>
          <t>THTXYN</t>
        </is>
      </c>
      <c r="CS35" s="96" t="inlineStr">
        <is>
          <t>GOLDEN SEA FROZEN FOODS CO.,LTD</t>
        </is>
      </c>
      <c r="CT35" s="96" t="inlineStr">
        <is>
          <t>N</t>
        </is>
      </c>
      <c r="CU35" s="97" t="n"/>
      <c r="CV35" s="97" t="n"/>
      <c r="CW35" s="161" t="inlineStr">
        <is>
          <t>2026-10-14</t>
        </is>
      </c>
      <c r="CX35" s="97" t="inlineStr">
        <is>
          <t>030743</t>
        </is>
      </c>
      <c r="CY35" s="183" t="n"/>
    </row>
    <row r="36" ht="12" customHeight="1">
      <c r="A36" s="116" t="inlineStr">
        <is>
          <t>HASLS22261000530</t>
        </is>
      </c>
      <c r="B36" s="96" t="inlineStr">
        <is>
          <t>R40Hx1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KHS1</t>
        </is>
      </c>
      <c r="M36" s="96" t="inlineStr">
        <is>
          <t>SWIC</t>
        </is>
      </c>
      <c r="N36" s="96" t="inlineStr">
        <is>
          <t>2611N</t>
        </is>
      </c>
      <c r="O36" s="96" t="inlineStr">
        <is>
          <t>THLCH</t>
        </is>
      </c>
      <c r="P36" s="96" t="inlineStr">
        <is>
          <t>LCH04</t>
        </is>
      </c>
      <c r="Q36" s="96" t="inlineStr">
        <is>
          <t>IA</t>
        </is>
      </c>
      <c r="R36" s="161" t="inlineStr">
        <is>
          <t>2026-10-17</t>
        </is>
      </c>
      <c r="S36" s="96" t="inlineStr">
        <is>
          <t>VNSGN</t>
        </is>
      </c>
      <c r="T36" s="96" t="inlineStr">
        <is>
          <t>SGN03</t>
        </is>
      </c>
      <c r="U36" s="96" t="inlineStr">
        <is>
          <t>VNSGN</t>
        </is>
      </c>
      <c r="V36" s="161" t="inlineStr">
        <is>
          <t>2026-10-18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GOLDEN SEA FROZEN FOODS CO.,LTD</t>
        </is>
      </c>
      <c r="AB36" s="96" t="inlineStr">
        <is>
          <t>GOLDEN SEA FROZEN FOODS CO.,LTD</t>
        </is>
      </c>
      <c r="AC36" s="163" t="n">
        <v>27972</v>
      </c>
      <c r="AD36" s="163" t="n">
        <v>31972</v>
      </c>
      <c r="AE36" s="96" t="inlineStr">
        <is>
          <t>OK</t>
        </is>
      </c>
      <c r="AF36" s="96" t="n"/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TBKK19</t>
        </is>
      </c>
      <c r="AN36" s="96" t="inlineStr">
        <is>
          <t>Kanokporn</t>
        </is>
      </c>
      <c r="AO36" s="96" t="inlineStr">
        <is>
          <t>FROZEN SNAKESKIN GOURAMI FISH</t>
        </is>
      </c>
      <c r="AP36" s="96" t="inlineStr">
        <is>
          <t>Normal</t>
        </is>
      </c>
      <c r="AQ36" s="97" t="n"/>
      <c r="AR36" s="97" t="n"/>
      <c r="AS36" s="97" t="inlineStr">
        <is>
          <t>RF// MIN:-18.0 MAX:-18.0 [COVER:CLOSE]</t>
        </is>
      </c>
      <c r="AT36" s="97" t="inlineStr">
        <is>
          <t xml:space="preserve">45REx1 </t>
        </is>
      </c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OBL</t>
        </is>
      </c>
      <c r="AZ36" s="96" t="inlineStr">
        <is>
          <t>Pickup : 2026-10-09, Return : 2026-10-13  (Temp -18.0 / Vent Close) 
CLS TIME 14/10/26 @23.59</t>
        </is>
      </c>
      <c r="BA36" s="97" t="inlineStr">
        <is>
          <t>SI DD.12/10/26</t>
        </is>
      </c>
      <c r="BB36" s="96" t="inlineStr">
        <is>
          <t>P</t>
        </is>
      </c>
      <c r="BC36" s="161" t="inlineStr">
        <is>
          <t>2026-10-07</t>
        </is>
      </c>
      <c r="BD36" s="161" t="inlineStr">
        <is>
          <t>2026-10-12</t>
        </is>
      </c>
      <c r="BE36" s="96" t="inlineStr">
        <is>
          <t>Y</t>
        </is>
      </c>
      <c r="BF36" s="96" t="inlineStr">
        <is>
          <t>FROZEN FISH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LCH27</t>
        </is>
      </c>
      <c r="BL36" s="161" t="inlineStr">
        <is>
          <t>2026-10-09</t>
        </is>
      </c>
      <c r="BM36" s="127" t="n"/>
      <c r="BN36" s="127" t="n"/>
      <c r="BO36" s="127" t="n"/>
      <c r="BP36" s="127" t="n"/>
      <c r="BQ36" s="127" t="n"/>
      <c r="BR36" s="127" t="n">
        <v>1</v>
      </c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LCH04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gsf.goldensea@gmail.com</t>
        </is>
      </c>
      <c r="CJ36" s="96" t="inlineStr">
        <is>
          <t>GOLDEN SEA FROZEN FOODS CO.,LTD.</t>
        </is>
      </c>
      <c r="CK36" s="96" t="inlineStr">
        <is>
          <t>LY MA TRADING SERVICE CO., LTD</t>
        </is>
      </c>
      <c r="CL36" s="96" t="inlineStr">
        <is>
          <t>LY MA TRADING SERVICE CO., LTD</t>
        </is>
      </c>
      <c r="CM36" s="97" t="inlineStr">
        <is>
          <t>CLOSED</t>
        </is>
      </c>
      <c r="CN36" s="96" t="inlineStr">
        <is>
          <t>202610121700</t>
        </is>
      </c>
      <c r="CO36" s="96" t="inlineStr">
        <is>
          <t>202610142100</t>
        </is>
      </c>
      <c r="CP36" s="97" t="inlineStr">
        <is>
          <t>45RE x1: RF(Temp:-18.0' / Cover:CLOSE)</t>
        </is>
      </c>
      <c r="CQ36" s="96" t="inlineStr">
        <is>
          <t>S22-2507029</t>
        </is>
      </c>
      <c r="CR36" s="96" t="inlineStr">
        <is>
          <t>THTXYN</t>
        </is>
      </c>
      <c r="CS36" s="96" t="inlineStr">
        <is>
          <t>GOLDEN SEA FROZEN FOODS CO.,LTD</t>
        </is>
      </c>
      <c r="CT36" s="96" t="inlineStr">
        <is>
          <t>N</t>
        </is>
      </c>
      <c r="CU36" s="97" t="n"/>
      <c r="CV36" s="97" t="n"/>
      <c r="CW36" s="161" t="inlineStr">
        <is>
          <t>2026-10-15</t>
        </is>
      </c>
      <c r="CX36" s="97" t="inlineStr">
        <is>
          <t>030389</t>
        </is>
      </c>
      <c r="CY36" s="183" t="n"/>
    </row>
    <row r="37" ht="12" customHeight="1">
      <c r="A37" s="116" t="inlineStr">
        <is>
          <t>HASLS22260902806</t>
        </is>
      </c>
      <c r="B37" s="96" t="inlineStr">
        <is>
          <t>R40Hx1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0</v>
      </c>
      <c r="H37" s="97" t="n">
        <v>0</v>
      </c>
      <c r="I37" s="97" t="n">
        <v>1</v>
      </c>
      <c r="J37" s="97" t="n">
        <v>2</v>
      </c>
      <c r="K37" s="96" t="inlineStr">
        <is>
          <t>N</t>
        </is>
      </c>
      <c r="L37" s="96" t="inlineStr">
        <is>
          <t>KHS1</t>
        </is>
      </c>
      <c r="M37" s="96" t="inlineStr">
        <is>
          <t>SWIC</t>
        </is>
      </c>
      <c r="N37" s="96" t="inlineStr">
        <is>
          <t>2611N</t>
        </is>
      </c>
      <c r="O37" s="96" t="inlineStr">
        <is>
          <t>THLCH</t>
        </is>
      </c>
      <c r="P37" s="96" t="inlineStr">
        <is>
          <t>LCH04</t>
        </is>
      </c>
      <c r="Q37" s="96" t="inlineStr">
        <is>
          <t>IA</t>
        </is>
      </c>
      <c r="R37" s="161" t="inlineStr">
        <is>
          <t>2026-10-17</t>
        </is>
      </c>
      <c r="S37" s="96" t="inlineStr">
        <is>
          <t>VNSGN</t>
        </is>
      </c>
      <c r="T37" s="96" t="inlineStr">
        <is>
          <t>SGN03</t>
        </is>
      </c>
      <c r="U37" s="96" t="inlineStr">
        <is>
          <t>VNSGN</t>
        </is>
      </c>
      <c r="V37" s="161" t="inlineStr">
        <is>
          <t>2026-10-18</t>
        </is>
      </c>
      <c r="W37" s="96" t="inlineStr">
        <is>
          <t>IA</t>
        </is>
      </c>
      <c r="X37" s="97" t="n"/>
      <c r="Y37" s="97" t="n"/>
      <c r="Z37" s="97" t="n"/>
      <c r="AA37" s="96" t="inlineStr">
        <is>
          <t>GOLDEN SEA FROZEN FOODS CO.,LTD</t>
        </is>
      </c>
      <c r="AB37" s="96" t="inlineStr">
        <is>
          <t>GOLDEN SEA FROZEN FOODS CO.,LTD</t>
        </is>
      </c>
      <c r="AC37" s="163" t="n">
        <v>28142</v>
      </c>
      <c r="AD37" s="163" t="n">
        <v>32142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TBKK19</t>
        </is>
      </c>
      <c r="AN37" s="96" t="inlineStr">
        <is>
          <t>Kanokporn</t>
        </is>
      </c>
      <c r="AO37" s="96" t="inlineStr">
        <is>
          <t>FROZEN GOATFISH</t>
        </is>
      </c>
      <c r="AP37" s="96" t="inlineStr">
        <is>
          <t>Normal</t>
        </is>
      </c>
      <c r="AQ37" s="97" t="n"/>
      <c r="AR37" s="97" t="n"/>
      <c r="AS37" s="97" t="inlineStr">
        <is>
          <t>RF// MIN:-18.0 MAX:-18.0 [COVER:CLOSE]</t>
        </is>
      </c>
      <c r="AT37" s="97" t="inlineStr">
        <is>
          <t xml:space="preserve">45REx1 </t>
        </is>
      </c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>Pickup : 2026-10-06, Return : 2026-10-12  (Temp -18.0 / Vent Close) 
CLS TIME 13/10/26 @18.00</t>
        </is>
      </c>
      <c r="BA37" s="97" t="inlineStr">
        <is>
          <t>SI DD.12/10/26</t>
        </is>
      </c>
      <c r="BB37" s="96" t="inlineStr">
        <is>
          <t>P</t>
        </is>
      </c>
      <c r="BC37" s="161" t="inlineStr">
        <is>
          <t>2026-09-30</t>
        </is>
      </c>
      <c r="BD37" s="161" t="inlineStr">
        <is>
          <t>2026-10-12</t>
        </is>
      </c>
      <c r="BE37" s="96" t="inlineStr">
        <is>
          <t>Y</t>
        </is>
      </c>
      <c r="BF37" s="96" t="inlineStr">
        <is>
          <t>FROZEN FISH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LCH27</t>
        </is>
      </c>
      <c r="BL37" s="161" t="inlineStr">
        <is>
          <t>2026-10-06</t>
        </is>
      </c>
      <c r="BM37" s="127" t="n"/>
      <c r="BN37" s="127" t="n"/>
      <c r="BO37" s="127" t="n"/>
      <c r="BP37" s="127" t="n"/>
      <c r="BQ37" s="127" t="n"/>
      <c r="BR37" s="127" t="n">
        <v>1</v>
      </c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LCH04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gsf.goldensea@gmail.com</t>
        </is>
      </c>
      <c r="CJ37" s="96" t="inlineStr">
        <is>
          <t>GOLDEN SEA FROZEN FOODS CO.,LTD.</t>
        </is>
      </c>
      <c r="CK37" s="96" t="inlineStr">
        <is>
          <t>THANH THAO SEAFOOD IMPORT EXPORT</t>
        </is>
      </c>
      <c r="CL37" s="96" t="inlineStr">
        <is>
          <t>THANH THAO SEAFOOD IMPORT EXPORT</t>
        </is>
      </c>
      <c r="CM37" s="97" t="inlineStr">
        <is>
          <t>CLOSED</t>
        </is>
      </c>
      <c r="CN37" s="96" t="inlineStr">
        <is>
          <t>202610121700</t>
        </is>
      </c>
      <c r="CO37" s="96" t="inlineStr">
        <is>
          <t>202610142100</t>
        </is>
      </c>
      <c r="CP37" s="97" t="inlineStr">
        <is>
          <t>45RE x1: RF(Temp:-18.0' / Cover:CLOSE)</t>
        </is>
      </c>
      <c r="CQ37" s="96" t="inlineStr">
        <is>
          <t>S22-2507029</t>
        </is>
      </c>
      <c r="CR37" s="96" t="inlineStr">
        <is>
          <t>THTXYN</t>
        </is>
      </c>
      <c r="CS37" s="96" t="inlineStr">
        <is>
          <t>GOLDEN SEA FROZEN FOODS CO.,LTD</t>
        </is>
      </c>
      <c r="CT37" s="96" t="inlineStr">
        <is>
          <t>N</t>
        </is>
      </c>
      <c r="CU37" s="97" t="n"/>
      <c r="CV37" s="97" t="n"/>
      <c r="CW37" s="161" t="inlineStr">
        <is>
          <t>2026-10-14</t>
        </is>
      </c>
      <c r="CX37" s="97" t="inlineStr">
        <is>
          <t>030389</t>
        </is>
      </c>
      <c r="CY37" s="183" t="n"/>
    </row>
    <row r="38" ht="12" customHeight="1">
      <c r="A38" s="116" t="inlineStr">
        <is>
          <t>HASLS22261000260</t>
        </is>
      </c>
      <c r="B38" s="96" t="inlineStr">
        <is>
          <t>R40Hx1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KHS1</t>
        </is>
      </c>
      <c r="M38" s="96" t="inlineStr">
        <is>
          <t>SWIC</t>
        </is>
      </c>
      <c r="N38" s="96" t="inlineStr">
        <is>
          <t>2611N</t>
        </is>
      </c>
      <c r="O38" s="96" t="inlineStr">
        <is>
          <t>THLCH</t>
        </is>
      </c>
      <c r="P38" s="96" t="inlineStr">
        <is>
          <t>LCH04</t>
        </is>
      </c>
      <c r="Q38" s="96" t="inlineStr">
        <is>
          <t>IA</t>
        </is>
      </c>
      <c r="R38" s="161" t="inlineStr">
        <is>
          <t>2026-10-17</t>
        </is>
      </c>
      <c r="S38" s="96" t="inlineStr">
        <is>
          <t>VNSGN</t>
        </is>
      </c>
      <c r="T38" s="96" t="inlineStr">
        <is>
          <t>SGN03</t>
        </is>
      </c>
      <c r="U38" s="96" t="inlineStr">
        <is>
          <t>VNSGN</t>
        </is>
      </c>
      <c r="V38" s="161" t="inlineStr">
        <is>
          <t>2026-10-18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GOLDEN SEA FROZEN FOODS CO.,LTD</t>
        </is>
      </c>
      <c r="AB38" s="96" t="inlineStr">
        <is>
          <t>GOLDEN SEA FROZEN FOODS CO.,LTD</t>
        </is>
      </c>
      <c r="AC38" s="163" t="n">
        <v>28620</v>
      </c>
      <c r="AD38" s="163" t="n">
        <v>32620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TBKK19</t>
        </is>
      </c>
      <c r="AN38" s="96" t="inlineStr">
        <is>
          <t>Kanokporn</t>
        </is>
      </c>
      <c r="AO38" s="96" t="inlineStr">
        <is>
          <t>FROZEN SOFT CUTTLEFISH</t>
        </is>
      </c>
      <c r="AP38" s="96" t="inlineStr">
        <is>
          <t>Normal</t>
        </is>
      </c>
      <c r="AQ38" s="97" t="n"/>
      <c r="AR38" s="97" t="n"/>
      <c r="AS38" s="97" t="inlineStr">
        <is>
          <t>RF// MIN:-18.0 MAX:-18.0 [COVER:CLOSE]</t>
        </is>
      </c>
      <c r="AT38" s="97" t="inlineStr">
        <is>
          <t xml:space="preserve">45REx1 </t>
        </is>
      </c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Pickup : 2026-10-09, Return : 2026-10-13 (Temp -18.0 / Vent Close) 
CLS TIME 15/10/26  @18.00 (1ST DATE RTN 13/10/2026 W/O RENT,ELECTRIC)</t>
        </is>
      </c>
      <c r="BA38" s="97" t="inlineStr">
        <is>
          <t>SI DD.12/10/26</t>
        </is>
      </c>
      <c r="BB38" s="96" t="inlineStr">
        <is>
          <t>P</t>
        </is>
      </c>
      <c r="BC38" s="161" t="inlineStr">
        <is>
          <t>2026-10-05</t>
        </is>
      </c>
      <c r="BD38" s="161" t="inlineStr">
        <is>
          <t>2026-10-12</t>
        </is>
      </c>
      <c r="BE38" s="96" t="inlineStr">
        <is>
          <t>Y</t>
        </is>
      </c>
      <c r="BF38" s="96" t="inlineStr">
        <is>
          <t>FROZEN FISH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LCH27</t>
        </is>
      </c>
      <c r="BL38" s="161" t="inlineStr">
        <is>
          <t>2026-10-09</t>
        </is>
      </c>
      <c r="BM38" s="127" t="n"/>
      <c r="BN38" s="127" t="n"/>
      <c r="BO38" s="127" t="n"/>
      <c r="BP38" s="127" t="n"/>
      <c r="BQ38" s="127" t="n"/>
      <c r="BR38" s="127" t="n">
        <v>1</v>
      </c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LCH04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gsf.goldensea@gmail.com</t>
        </is>
      </c>
      <c r="CJ38" s="96" t="inlineStr">
        <is>
          <t>GOLDEN SEA FROZEN FOODS CO.,LTD.</t>
        </is>
      </c>
      <c r="CK38" s="96" t="inlineStr">
        <is>
          <t>H&amp;N SEAFOOD IMPORT &amp; EXPORT</t>
        </is>
      </c>
      <c r="CL38" s="96" t="inlineStr">
        <is>
          <t>H&amp;N SEAFOOD IMPORT &amp; EXPORT</t>
        </is>
      </c>
      <c r="CM38" s="97" t="inlineStr">
        <is>
          <t>CLOSED</t>
        </is>
      </c>
      <c r="CN38" s="96" t="inlineStr">
        <is>
          <t>202610121700</t>
        </is>
      </c>
      <c r="CO38" s="96" t="inlineStr">
        <is>
          <t>202610142100</t>
        </is>
      </c>
      <c r="CP38" s="97" t="inlineStr">
        <is>
          <t>45RE x1: RF(Temp:-18.0' / Cover:CLOSE)</t>
        </is>
      </c>
      <c r="CQ38" s="96" t="inlineStr">
        <is>
          <t>S22-2507029</t>
        </is>
      </c>
      <c r="CR38" s="96" t="inlineStr">
        <is>
          <t>THTXYN</t>
        </is>
      </c>
      <c r="CS38" s="96" t="inlineStr">
        <is>
          <t>GOLDEN SEA FROZEN FOODS CO.,LTD</t>
        </is>
      </c>
      <c r="CT38" s="96" t="inlineStr">
        <is>
          <t>N</t>
        </is>
      </c>
      <c r="CU38" s="97" t="n"/>
      <c r="CV38" s="97" t="n"/>
      <c r="CW38" s="161" t="inlineStr">
        <is>
          <t>2026-10-16</t>
        </is>
      </c>
      <c r="CX38" s="97" t="inlineStr">
        <is>
          <t>030743</t>
        </is>
      </c>
      <c r="CY38" s="183" t="n"/>
    </row>
    <row r="39" ht="12" customHeight="1">
      <c r="A39" s="116" t="inlineStr">
        <is>
          <t>HASLS22260902810</t>
        </is>
      </c>
      <c r="B39" s="96" t="inlineStr">
        <is>
          <t>R40Hx1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0</v>
      </c>
      <c r="H39" s="97" t="n">
        <v>0</v>
      </c>
      <c r="I39" s="97" t="n">
        <v>1</v>
      </c>
      <c r="J39" s="97" t="n">
        <v>2</v>
      </c>
      <c r="K39" s="96" t="inlineStr">
        <is>
          <t>N</t>
        </is>
      </c>
      <c r="L39" s="96" t="inlineStr">
        <is>
          <t>KHS1</t>
        </is>
      </c>
      <c r="M39" s="96" t="inlineStr">
        <is>
          <t>SWIC</t>
        </is>
      </c>
      <c r="N39" s="96" t="inlineStr">
        <is>
          <t>2611N</t>
        </is>
      </c>
      <c r="O39" s="96" t="inlineStr">
        <is>
          <t>THLCH</t>
        </is>
      </c>
      <c r="P39" s="96" t="inlineStr">
        <is>
          <t>LCH04</t>
        </is>
      </c>
      <c r="Q39" s="96" t="inlineStr">
        <is>
          <t>IA</t>
        </is>
      </c>
      <c r="R39" s="161" t="inlineStr">
        <is>
          <t>2026-10-17</t>
        </is>
      </c>
      <c r="S39" s="96" t="inlineStr">
        <is>
          <t>VNSGN</t>
        </is>
      </c>
      <c r="T39" s="96" t="inlineStr">
        <is>
          <t>SGN03</t>
        </is>
      </c>
      <c r="U39" s="96" t="inlineStr">
        <is>
          <t>VNSGN</t>
        </is>
      </c>
      <c r="V39" s="161" t="inlineStr">
        <is>
          <t>2026-10-18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GOLDEN SEA FROZEN FOODS CO.,LTD</t>
        </is>
      </c>
      <c r="AB39" s="96" t="inlineStr">
        <is>
          <t>GOLDEN SEA FROZEN FOODS CO.,LTD</t>
        </is>
      </c>
      <c r="AC39" s="163" t="n">
        <v>28974.4</v>
      </c>
      <c r="AD39" s="163" t="n">
        <v>32974.4</v>
      </c>
      <c r="AE39" s="96" t="inlineStr">
        <is>
          <t>OK</t>
        </is>
      </c>
      <c r="AF39" s="96" t="n"/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TBKK19</t>
        </is>
      </c>
      <c r="AN39" s="96" t="inlineStr">
        <is>
          <t>Kanokporn</t>
        </is>
      </c>
      <c r="AO39" s="96" t="inlineStr">
        <is>
          <t>FROZEN SNAKESKIN GOURAMI FISH</t>
        </is>
      </c>
      <c r="AP39" s="96" t="inlineStr">
        <is>
          <t>Normal</t>
        </is>
      </c>
      <c r="AQ39" s="97" t="n"/>
      <c r="AR39" s="97" t="n"/>
      <c r="AS39" s="97" t="inlineStr">
        <is>
          <t>RF// MIN:-18.0 MAX:-18.0 [COVER:CLOSE]</t>
        </is>
      </c>
      <c r="AT39" s="97" t="inlineStr">
        <is>
          <t xml:space="preserve">45REx1 </t>
        </is>
      </c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 xml:space="preserve">Pickup : 2026-10-06, Return : 2026-10-12 RF45REx1 (Temp -18.0 / Vent Close)  
CLS TIME : 13/10/2026 @23.00  </t>
        </is>
      </c>
      <c r="BA39" s="97" t="inlineStr">
        <is>
          <t>SI DD.12/10/26</t>
        </is>
      </c>
      <c r="BB39" s="96" t="inlineStr">
        <is>
          <t>P</t>
        </is>
      </c>
      <c r="BC39" s="161" t="inlineStr">
        <is>
          <t>2026-09-30</t>
        </is>
      </c>
      <c r="BD39" s="161" t="inlineStr">
        <is>
          <t>2026-10-12</t>
        </is>
      </c>
      <c r="BE39" s="96" t="inlineStr">
        <is>
          <t>Y</t>
        </is>
      </c>
      <c r="BF39" s="96" t="inlineStr">
        <is>
          <t>FROZEN FISH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LCH27</t>
        </is>
      </c>
      <c r="BL39" s="161" t="inlineStr">
        <is>
          <t>2026-10-06</t>
        </is>
      </c>
      <c r="BM39" s="127" t="n"/>
      <c r="BN39" s="127" t="n"/>
      <c r="BO39" s="127" t="n"/>
      <c r="BP39" s="127" t="n"/>
      <c r="BQ39" s="127" t="n"/>
      <c r="BR39" s="127" t="n">
        <v>1</v>
      </c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LCH04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gsf.goldensea@gmail.com</t>
        </is>
      </c>
      <c r="CJ39" s="96" t="inlineStr">
        <is>
          <t>GOLDEN SEA FROZEN FOODS CO.,LTD.</t>
        </is>
      </c>
      <c r="CK39" s="96" t="inlineStr">
        <is>
          <t>KHOI MINH FORWARDING SERVICES</t>
        </is>
      </c>
      <c r="CL39" s="96" t="inlineStr">
        <is>
          <t>KHOI MINH FORWARDING SERVICES</t>
        </is>
      </c>
      <c r="CM39" s="97" t="inlineStr">
        <is>
          <t>CLOSED</t>
        </is>
      </c>
      <c r="CN39" s="96" t="inlineStr">
        <is>
          <t>202610121700</t>
        </is>
      </c>
      <c r="CO39" s="96" t="inlineStr">
        <is>
          <t>202610142100</t>
        </is>
      </c>
      <c r="CP39" s="97" t="inlineStr">
        <is>
          <t>45RE x1: RF(Temp:-18.0' / Cover:CLOSE)</t>
        </is>
      </c>
      <c r="CQ39" s="96" t="inlineStr">
        <is>
          <t>S22-2507029</t>
        </is>
      </c>
      <c r="CR39" s="96" t="inlineStr">
        <is>
          <t>THTXYN</t>
        </is>
      </c>
      <c r="CS39" s="96" t="inlineStr">
        <is>
          <t>GOLDEN SEA FROZEN FOODS CO.,LTD</t>
        </is>
      </c>
      <c r="CT39" s="96" t="inlineStr">
        <is>
          <t>N</t>
        </is>
      </c>
      <c r="CU39" s="97" t="n"/>
      <c r="CV39" s="97" t="n"/>
      <c r="CW39" s="161" t="inlineStr">
        <is>
          <t>2026-10-14</t>
        </is>
      </c>
      <c r="CX39" s="97" t="inlineStr">
        <is>
          <t>030389</t>
        </is>
      </c>
      <c r="CY39" s="183" t="n"/>
    </row>
    <row r="40" ht="12" customHeight="1">
      <c r="A40" s="116" t="inlineStr">
        <is>
          <t>HASLS22260902808</t>
        </is>
      </c>
      <c r="B40" s="96" t="inlineStr">
        <is>
          <t>R40Hx2</t>
        </is>
      </c>
      <c r="C40" s="97" t="n">
        <v>2</v>
      </c>
      <c r="D40" s="97" t="n">
        <v>2</v>
      </c>
      <c r="E40" s="97" t="n"/>
      <c r="F40" s="97" t="n">
        <v>0</v>
      </c>
      <c r="G40" s="97" t="n">
        <v>0</v>
      </c>
      <c r="H40" s="97" t="n">
        <v>0</v>
      </c>
      <c r="I40" s="97" t="n">
        <v>2</v>
      </c>
      <c r="J40" s="97" t="n">
        <v>4</v>
      </c>
      <c r="K40" s="96" t="inlineStr">
        <is>
          <t>N</t>
        </is>
      </c>
      <c r="L40" s="96" t="inlineStr">
        <is>
          <t>KHS1</t>
        </is>
      </c>
      <c r="M40" s="96" t="inlineStr">
        <is>
          <t>SWIC</t>
        </is>
      </c>
      <c r="N40" s="96" t="inlineStr">
        <is>
          <t>2611N</t>
        </is>
      </c>
      <c r="O40" s="96" t="inlineStr">
        <is>
          <t>THLCH</t>
        </is>
      </c>
      <c r="P40" s="96" t="inlineStr">
        <is>
          <t>LCH04</t>
        </is>
      </c>
      <c r="Q40" s="96" t="inlineStr">
        <is>
          <t>IA</t>
        </is>
      </c>
      <c r="R40" s="161" t="inlineStr">
        <is>
          <t>2026-10-17</t>
        </is>
      </c>
      <c r="S40" s="96" t="inlineStr">
        <is>
          <t>VNSGN</t>
        </is>
      </c>
      <c r="T40" s="96" t="inlineStr">
        <is>
          <t>SGN03</t>
        </is>
      </c>
      <c r="U40" s="96" t="inlineStr">
        <is>
          <t>VNSGN</t>
        </is>
      </c>
      <c r="V40" s="161" t="inlineStr">
        <is>
          <t>2026-10-18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GOLDEN SEA FROZEN FOODS CO.,LTD</t>
        </is>
      </c>
      <c r="AB40" s="96" t="inlineStr">
        <is>
          <t>GOLDEN SEA FROZEN FOODS CO.,LTD</t>
        </is>
      </c>
      <c r="AC40" s="163" t="n">
        <v>57948.8</v>
      </c>
      <c r="AD40" s="163" t="n">
        <v>65948.8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TBKK19</t>
        </is>
      </c>
      <c r="AN40" s="96" t="inlineStr">
        <is>
          <t>Kanokporn</t>
        </is>
      </c>
      <c r="AO40" s="96" t="inlineStr">
        <is>
          <t>FROZEN SNAKESKIN GOURAMI FISH</t>
        </is>
      </c>
      <c r="AP40" s="96" t="inlineStr">
        <is>
          <t>Normal</t>
        </is>
      </c>
      <c r="AQ40" s="97" t="n"/>
      <c r="AR40" s="97" t="n"/>
      <c r="AS40" s="97" t="inlineStr">
        <is>
          <t>RF// MIN:-18.0 MAX:-18.0 [COVER:CLOSE]</t>
        </is>
      </c>
      <c r="AT40" s="97" t="inlineStr">
        <is>
          <t xml:space="preserve">45REx2 </t>
        </is>
      </c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 xml:space="preserve">Pickup : 2026-10-06, Return : 2026-10-12 RF45REx1 (Temp -18.0 / Vent Close) 
CLS TIME : 13/10/2026 @23.00 </t>
        </is>
      </c>
      <c r="BA40" s="97" t="inlineStr">
        <is>
          <t>SI DD.12/10/26</t>
        </is>
      </c>
      <c r="BB40" s="96" t="inlineStr">
        <is>
          <t>P</t>
        </is>
      </c>
      <c r="BC40" s="161" t="inlineStr">
        <is>
          <t>2026-09-30</t>
        </is>
      </c>
      <c r="BD40" s="161" t="inlineStr">
        <is>
          <t>2026-10-12</t>
        </is>
      </c>
      <c r="BE40" s="96" t="inlineStr">
        <is>
          <t>Y</t>
        </is>
      </c>
      <c r="BF40" s="96" t="inlineStr">
        <is>
          <t>FROZEN FISH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LCH27</t>
        </is>
      </c>
      <c r="BL40" s="161" t="inlineStr">
        <is>
          <t>2026-10-06</t>
        </is>
      </c>
      <c r="BM40" s="127" t="n"/>
      <c r="BN40" s="127" t="n"/>
      <c r="BO40" s="127" t="n"/>
      <c r="BP40" s="127" t="n"/>
      <c r="BQ40" s="127" t="n"/>
      <c r="BR40" s="127" t="n">
        <v>2</v>
      </c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LCH04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gsf.goldensea@gmail.com</t>
        </is>
      </c>
      <c r="CJ40" s="96" t="inlineStr">
        <is>
          <t>GOLDEN SEA FROZEN FOODS CO.,LTD.</t>
        </is>
      </c>
      <c r="CK40" s="96" t="inlineStr">
        <is>
          <t>MK TRADING COMPANY LIMITED</t>
        </is>
      </c>
      <c r="CL40" s="96" t="inlineStr">
        <is>
          <t>MK TRADING COMPANY LIMITED</t>
        </is>
      </c>
      <c r="CM40" s="97" t="inlineStr">
        <is>
          <t>CLOSED</t>
        </is>
      </c>
      <c r="CN40" s="96" t="inlineStr">
        <is>
          <t>202610121700</t>
        </is>
      </c>
      <c r="CO40" s="96" t="inlineStr">
        <is>
          <t>202610142100</t>
        </is>
      </c>
      <c r="CP40" s="97" t="inlineStr">
        <is>
          <t>45RE x2: RF(Temp:-18.0' / Cover:CLOSE)</t>
        </is>
      </c>
      <c r="CQ40" s="96" t="inlineStr">
        <is>
          <t>S22-2507029</t>
        </is>
      </c>
      <c r="CR40" s="96" t="inlineStr">
        <is>
          <t>THTXYN</t>
        </is>
      </c>
      <c r="CS40" s="96" t="inlineStr">
        <is>
          <t>GOLDEN SEA FROZEN FOODS CO.,LTD</t>
        </is>
      </c>
      <c r="CT40" s="96" t="inlineStr">
        <is>
          <t>N</t>
        </is>
      </c>
      <c r="CU40" s="97" t="n"/>
      <c r="CV40" s="97" t="n"/>
      <c r="CW40" s="161" t="inlineStr">
        <is>
          <t>2026-10-14</t>
        </is>
      </c>
      <c r="CX40" s="97" t="inlineStr">
        <is>
          <t>030389</t>
        </is>
      </c>
      <c r="CY40" s="183" t="n"/>
    </row>
    <row r="41" ht="12" customHeight="1">
      <c r="A41" s="116" t="inlineStr">
        <is>
          <t xml:space="preserve">TOTAL </t>
        </is>
      </c>
      <c r="B41" s="96" t="n">
        <v>0</v>
      </c>
      <c r="C41" s="97" t="n"/>
      <c r="D41" s="97" t="n"/>
      <c r="E41" s="97" t="n"/>
      <c r="F41" s="97" t="n">
        <v>0</v>
      </c>
      <c r="G41" s="97" t="n">
        <v>53</v>
      </c>
      <c r="H41" s="97" t="n">
        <v>1</v>
      </c>
      <c r="I41" s="97" t="n">
        <v>40</v>
      </c>
      <c r="J41" s="97" t="n">
        <v>135</v>
      </c>
      <c r="K41" s="96" t="n"/>
      <c r="L41" s="96" t="n"/>
      <c r="M41" s="96" t="n"/>
      <c r="N41" s="96" t="n"/>
      <c r="O41" s="96" t="n"/>
      <c r="P41" s="96" t="n"/>
      <c r="Q41" s="96" t="n"/>
      <c r="R41" s="161" t="n"/>
      <c r="S41" s="96" t="n"/>
      <c r="T41" s="96" t="n"/>
      <c r="U41" s="96" t="n"/>
      <c r="V41" s="161" t="n"/>
      <c r="W41" s="96" t="n"/>
      <c r="X41" s="97" t="n"/>
      <c r="Y41" s="97" t="n"/>
      <c r="Z41" s="97" t="n"/>
      <c r="AA41" s="96" t="n"/>
      <c r="AB41" s="96" t="n"/>
      <c r="AC41" s="163" t="n">
        <v>1909361.432</v>
      </c>
      <c r="AD41" s="163" t="n">
        <v>2192261.432</v>
      </c>
      <c r="AE41" s="96" t="n"/>
      <c r="AF41" s="96" t="n"/>
      <c r="AG41" s="97" t="n"/>
      <c r="AH41" s="96" t="n"/>
      <c r="AI41" s="97" t="n"/>
      <c r="AJ41" s="97" t="n"/>
      <c r="AK41" s="97" t="n"/>
      <c r="AL41" s="97" t="n"/>
      <c r="AM41" s="96" t="n"/>
      <c r="AN41" s="96" t="n"/>
      <c r="AO41" s="96" t="n"/>
      <c r="AP41" s="96" t="n"/>
      <c r="AQ41" s="97" t="n"/>
      <c r="AR41" s="97" t="n"/>
      <c r="AS41" s="97" t="n"/>
      <c r="AT41" s="97" t="n"/>
      <c r="AU41" s="97" t="n"/>
      <c r="AV41" s="97" t="n"/>
      <c r="AW41" s="97" t="n"/>
      <c r="AX41" s="96" t="n"/>
      <c r="AY41" s="97" t="n"/>
      <c r="AZ41" s="96" t="n"/>
      <c r="BA41" s="97" t="n"/>
      <c r="BB41" s="96" t="n"/>
      <c r="BC41" s="161" t="n"/>
      <c r="BD41" s="161" t="n"/>
      <c r="BE41" s="96" t="n"/>
      <c r="BF41" s="96" t="n"/>
      <c r="BG41" s="96" t="n"/>
      <c r="BH41" s="96" t="n"/>
      <c r="BI41" s="97" t="n"/>
      <c r="BJ41" s="97" t="n"/>
      <c r="BK41" s="96" t="n"/>
      <c r="BL41" s="161" t="n"/>
      <c r="BM41" s="127" t="n">
        <v>0</v>
      </c>
      <c r="BN41" s="127" t="n">
        <v>52</v>
      </c>
      <c r="BO41" s="127" t="n">
        <v>0</v>
      </c>
      <c r="BP41" s="127" t="n">
        <v>30</v>
      </c>
      <c r="BQ41" s="127" t="n">
        <v>0</v>
      </c>
      <c r="BR41" s="127" t="n">
        <v>10</v>
      </c>
      <c r="BS41" s="127" t="n">
        <v>0</v>
      </c>
      <c r="BT41" s="127" t="n">
        <v>0</v>
      </c>
      <c r="BU41" s="127" t="n">
        <v>1</v>
      </c>
      <c r="BV41" s="127" t="n">
        <v>1</v>
      </c>
      <c r="BW41" s="127" t="n">
        <v>0</v>
      </c>
      <c r="BX41" s="127" t="n">
        <v>0</v>
      </c>
      <c r="BY41" s="96" t="n"/>
      <c r="BZ41" s="97" t="n"/>
      <c r="CA41" s="96" t="n"/>
      <c r="CB41" s="97" t="n"/>
      <c r="CC41" s="96" t="n"/>
      <c r="CD41" s="97" t="n"/>
      <c r="CE41" s="97" t="n"/>
      <c r="CF41" s="96" t="n"/>
      <c r="CG41" s="96" t="n"/>
      <c r="CH41" s="97" t="n"/>
      <c r="CI41" s="96" t="n"/>
      <c r="CJ41" s="96" t="n"/>
      <c r="CK41" s="96" t="n"/>
      <c r="CL41" s="96" t="n"/>
      <c r="CM41" s="97" t="n"/>
      <c r="CN41" s="96" t="n"/>
      <c r="CO41" s="96" t="n"/>
      <c r="CP41" s="97" t="n"/>
      <c r="CQ41" s="96" t="n"/>
      <c r="CR41" s="96" t="n"/>
      <c r="CS41" s="96" t="n"/>
      <c r="CT41" s="96" t="n"/>
      <c r="CU41" s="97" t="n"/>
      <c r="CV41" s="97" t="n"/>
      <c r="CW41" s="161" t="n"/>
      <c r="CX41" s="97" t="n"/>
      <c r="CY41" s="183" t="n"/>
    </row>
    <row r="42" ht="12" customHeight="1">
      <c r="A42" s="116" t="inlineStr">
        <is>
          <t xml:space="preserve">COC </t>
        </is>
      </c>
      <c r="B42" s="96" t="n">
        <v>10</v>
      </c>
      <c r="C42" s="97" t="n"/>
      <c r="D42" s="97" t="n"/>
      <c r="E42" s="97" t="n"/>
      <c r="F42" s="97" t="n">
        <v>0</v>
      </c>
      <c r="G42" s="97" t="n">
        <v>53</v>
      </c>
      <c r="H42" s="97" t="n">
        <v>1</v>
      </c>
      <c r="I42" s="97" t="n">
        <v>40</v>
      </c>
      <c r="J42" s="97" t="n">
        <v>135</v>
      </c>
      <c r="K42" s="96" t="n"/>
      <c r="L42" s="96" t="n"/>
      <c r="M42" s="96" t="n"/>
      <c r="N42" s="96" t="n"/>
      <c r="O42" s="96" t="n"/>
      <c r="P42" s="96" t="n"/>
      <c r="Q42" s="96" t="n"/>
      <c r="R42" s="161" t="n"/>
      <c r="S42" s="96" t="n"/>
      <c r="T42" s="96" t="n"/>
      <c r="U42" s="96" t="n"/>
      <c r="V42" s="161" t="n"/>
      <c r="W42" s="96" t="n"/>
      <c r="X42" s="97" t="n"/>
      <c r="Y42" s="97" t="n"/>
      <c r="Z42" s="97" t="n"/>
      <c r="AA42" s="96" t="n"/>
      <c r="AB42" s="96" t="n"/>
      <c r="AC42" s="163" t="n"/>
      <c r="AD42" s="163" t="n"/>
      <c r="AE42" s="96" t="n"/>
      <c r="AF42" s="96" t="n"/>
      <c r="AG42" s="97" t="n"/>
      <c r="AH42" s="96" t="n"/>
      <c r="AI42" s="97" t="n"/>
      <c r="AJ42" s="97" t="n"/>
      <c r="AK42" s="97" t="n"/>
      <c r="AL42" s="97" t="n"/>
      <c r="AM42" s="96" t="n"/>
      <c r="AN42" s="96" t="n"/>
      <c r="AO42" s="96" t="n"/>
      <c r="AP42" s="96" t="n"/>
      <c r="AQ42" s="97" t="n"/>
      <c r="AR42" s="97" t="n"/>
      <c r="AS42" s="97" t="n"/>
      <c r="AT42" s="97" t="n"/>
      <c r="AU42" s="97" t="n"/>
      <c r="AV42" s="97" t="n"/>
      <c r="AW42" s="97" t="n"/>
      <c r="AX42" s="96" t="n"/>
      <c r="AY42" s="97" t="n"/>
      <c r="AZ42" s="96" t="n"/>
      <c r="BA42" s="97" t="n"/>
      <c r="BB42" s="96" t="n"/>
      <c r="BC42" s="161" t="n"/>
      <c r="BD42" s="161" t="n"/>
      <c r="BE42" s="96" t="n"/>
      <c r="BF42" s="96" t="n"/>
      <c r="BG42" s="96" t="n"/>
      <c r="BH42" s="96" t="n"/>
      <c r="BI42" s="97" t="n"/>
      <c r="BJ42" s="97" t="n"/>
      <c r="BK42" s="96" t="n"/>
      <c r="BL42" s="161" t="n"/>
      <c r="BM42" s="127" t="n"/>
      <c r="BN42" s="127" t="n"/>
      <c r="BO42" s="127" t="n"/>
      <c r="BP42" s="127" t="n"/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n"/>
      <c r="BZ42" s="97" t="n"/>
      <c r="CA42" s="96" t="n"/>
      <c r="CB42" s="97" t="n"/>
      <c r="CC42" s="96" t="n"/>
      <c r="CD42" s="97" t="n"/>
      <c r="CE42" s="97" t="n"/>
      <c r="CF42" s="96" t="n"/>
      <c r="CG42" s="96" t="n"/>
      <c r="CH42" s="97" t="n"/>
      <c r="CI42" s="96" t="n"/>
      <c r="CJ42" s="96" t="n"/>
      <c r="CK42" s="96" t="n"/>
      <c r="CL42" s="96" t="n"/>
      <c r="CM42" s="97" t="n"/>
      <c r="CN42" s="96" t="n"/>
      <c r="CO42" s="96" t="n"/>
      <c r="CP42" s="97" t="n"/>
      <c r="CQ42" s="96" t="n"/>
      <c r="CR42" s="96" t="n"/>
      <c r="CS42" s="96" t="n"/>
      <c r="CT42" s="96" t="n"/>
      <c r="CU42" s="97" t="n"/>
      <c r="CV42" s="97" t="n"/>
      <c r="CW42" s="161" t="n"/>
      <c r="CX42" s="97" t="n"/>
      <c r="CY42" s="183" t="n"/>
    </row>
    <row r="43" ht="12" customHeight="1">
      <c r="A43" s="116" t="inlineStr">
        <is>
          <t xml:space="preserve">SOC </t>
        </is>
      </c>
      <c r="B43" s="96" t="n">
        <v>17</v>
      </c>
      <c r="C43" s="97" t="n"/>
      <c r="D43" s="97" t="n"/>
      <c r="E43" s="97" t="n"/>
      <c r="F43" s="97" t="n">
        <v>0</v>
      </c>
      <c r="G43" s="97" t="n">
        <v>0</v>
      </c>
      <c r="H43" s="97" t="n">
        <v>0</v>
      </c>
      <c r="I43" s="97" t="n">
        <v>0</v>
      </c>
      <c r="J43" s="97" t="n">
        <v>0</v>
      </c>
      <c r="K43" s="96" t="n"/>
      <c r="L43" s="96" t="n"/>
      <c r="M43" s="96" t="n"/>
      <c r="N43" s="96" t="n"/>
      <c r="O43" s="96" t="n"/>
      <c r="P43" s="96" t="n"/>
      <c r="Q43" s="96" t="n"/>
      <c r="R43" s="161" t="n"/>
      <c r="S43" s="96" t="n"/>
      <c r="T43" s="96" t="n"/>
      <c r="U43" s="96" t="n"/>
      <c r="V43" s="161" t="n"/>
      <c r="W43" s="96" t="n"/>
      <c r="X43" s="97" t="n"/>
      <c r="Y43" s="97" t="n"/>
      <c r="Z43" s="97" t="n"/>
      <c r="AA43" s="96" t="n"/>
      <c r="AB43" s="96" t="n"/>
      <c r="AC43" s="163" t="n"/>
      <c r="AD43" s="163" t="n"/>
      <c r="AE43" s="96" t="n"/>
      <c r="AF43" s="96" t="n"/>
      <c r="AG43" s="97" t="n"/>
      <c r="AH43" s="96" t="n"/>
      <c r="AI43" s="97" t="n"/>
      <c r="AJ43" s="97" t="n"/>
      <c r="AK43" s="97" t="n"/>
      <c r="AL43" s="97" t="n"/>
      <c r="AM43" s="96" t="n"/>
      <c r="AN43" s="96" t="n"/>
      <c r="AO43" s="96" t="n"/>
      <c r="AP43" s="96" t="n"/>
      <c r="AQ43" s="97" t="n"/>
      <c r="AR43" s="97" t="n"/>
      <c r="AS43" s="97" t="n"/>
      <c r="AT43" s="97" t="n"/>
      <c r="AU43" s="97" t="n"/>
      <c r="AV43" s="97" t="n"/>
      <c r="AW43" s="97" t="n"/>
      <c r="AX43" s="96" t="n"/>
      <c r="AY43" s="97" t="n"/>
      <c r="AZ43" s="96" t="n"/>
      <c r="BA43" s="97" t="n"/>
      <c r="BB43" s="96" t="n"/>
      <c r="BC43" s="161" t="n"/>
      <c r="BD43" s="161" t="n"/>
      <c r="BE43" s="96" t="n"/>
      <c r="BF43" s="96" t="n"/>
      <c r="BG43" s="96" t="n"/>
      <c r="BH43" s="96" t="n"/>
      <c r="BI43" s="97" t="n"/>
      <c r="BJ43" s="97" t="n"/>
      <c r="BK43" s="96" t="n"/>
      <c r="BL43" s="161" t="n"/>
      <c r="BM43" s="127" t="n"/>
      <c r="BN43" s="127" t="n"/>
      <c r="BO43" s="127" t="n"/>
      <c r="BP43" s="127" t="n"/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n"/>
      <c r="BZ43" s="97" t="n"/>
      <c r="CA43" s="96" t="n"/>
      <c r="CB43" s="97" t="n"/>
      <c r="CC43" s="96" t="n"/>
      <c r="CD43" s="97" t="n"/>
      <c r="CE43" s="97" t="n"/>
      <c r="CF43" s="96" t="n"/>
      <c r="CG43" s="96" t="n"/>
      <c r="CH43" s="97" t="n"/>
      <c r="CI43" s="96" t="n"/>
      <c r="CJ43" s="96" t="n"/>
      <c r="CK43" s="96" t="n"/>
      <c r="CL43" s="96" t="n"/>
      <c r="CM43" s="97" t="n"/>
      <c r="CN43" s="96" t="n"/>
      <c r="CO43" s="96" t="n"/>
      <c r="CP43" s="97" t="n"/>
      <c r="CQ43" s="96" t="n"/>
      <c r="CR43" s="96" t="n"/>
      <c r="CS43" s="96" t="n"/>
      <c r="CT43" s="96" t="n"/>
      <c r="CU43" s="97" t="n"/>
      <c r="CV43" s="97" t="n"/>
      <c r="CW43" s="161" t="n"/>
      <c r="CX43" s="97" t="n"/>
      <c r="CY43" s="183" t="n"/>
    </row>
    <row r="44" ht="12" customHeight="1">
      <c r="A44" s="116" t="n">
        <v>39</v>
      </c>
      <c r="B44" s="96" t="n">
        <v>94</v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6" t="n"/>
      <c r="L44" s="96" t="n"/>
      <c r="M44" s="96" t="n"/>
      <c r="N44" s="96" t="n"/>
      <c r="O44" s="96" t="n"/>
      <c r="P44" s="96" t="n"/>
      <c r="Q44" s="96" t="n"/>
      <c r="R44" s="161" t="n"/>
      <c r="S44" s="96" t="n"/>
      <c r="T44" s="96" t="n"/>
      <c r="U44" s="96" t="n"/>
      <c r="V44" s="161" t="n"/>
      <c r="W44" s="96" t="n"/>
      <c r="X44" s="97" t="n"/>
      <c r="Y44" s="97" t="n"/>
      <c r="Z44" s="97" t="n"/>
      <c r="AA44" s="96" t="n"/>
      <c r="AB44" s="96" t="n"/>
      <c r="AC44" s="163" t="n"/>
      <c r="AD44" s="163" t="n"/>
      <c r="AE44" s="96" t="n"/>
      <c r="AF44" s="96" t="n"/>
      <c r="AG44" s="97" t="n"/>
      <c r="AH44" s="96" t="n"/>
      <c r="AI44" s="97" t="n"/>
      <c r="AJ44" s="97" t="n"/>
      <c r="AK44" s="97" t="n"/>
      <c r="AL44" s="97" t="n"/>
      <c r="AM44" s="96" t="n"/>
      <c r="AN44" s="96" t="n"/>
      <c r="AO44" s="96" t="n"/>
      <c r="AP44" s="96" t="n"/>
      <c r="AQ44" s="97" t="n"/>
      <c r="AR44" s="97" t="n"/>
      <c r="AS44" s="97" t="n"/>
      <c r="AT44" s="97" t="n"/>
      <c r="AU44" s="97" t="n"/>
      <c r="AV44" s="97" t="n"/>
      <c r="AW44" s="97" t="n"/>
      <c r="AX44" s="96" t="n"/>
      <c r="AY44" s="97" t="n"/>
      <c r="AZ44" s="96" t="n"/>
      <c r="BA44" s="97" t="n"/>
      <c r="BB44" s="96" t="n"/>
      <c r="BC44" s="161" t="n"/>
      <c r="BD44" s="161" t="n"/>
      <c r="BE44" s="96" t="n"/>
      <c r="BF44" s="96" t="n"/>
      <c r="BG44" s="96" t="n"/>
      <c r="BH44" s="96" t="n"/>
      <c r="BI44" s="97" t="n"/>
      <c r="BJ44" s="97" t="n"/>
      <c r="BK44" s="96" t="n"/>
      <c r="BL44" s="161" t="n"/>
      <c r="BM44" s="127" t="n"/>
      <c r="BN44" s="127" t="n"/>
      <c r="BO44" s="127" t="n"/>
      <c r="BP44" s="127" t="n"/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n"/>
      <c r="BZ44" s="97" t="n"/>
      <c r="CA44" s="96" t="n"/>
      <c r="CB44" s="97" t="n"/>
      <c r="CC44" s="96" t="n"/>
      <c r="CD44" s="97" t="n"/>
      <c r="CE44" s="97" t="n"/>
      <c r="CF44" s="96" t="n"/>
      <c r="CG44" s="96" t="n"/>
      <c r="CH44" s="97" t="n"/>
      <c r="CI44" s="96" t="n"/>
      <c r="CJ44" s="96" t="n"/>
      <c r="CK44" s="96" t="n"/>
      <c r="CL44" s="96" t="n"/>
      <c r="CM44" s="97" t="n"/>
      <c r="CN44" s="96" t="n"/>
      <c r="CO44" s="96" t="n"/>
      <c r="CP44" s="97" t="n"/>
      <c r="CQ44" s="96" t="n"/>
      <c r="CR44" s="96" t="n"/>
      <c r="CS44" s="96" t="n"/>
      <c r="CT44" s="96" t="n"/>
      <c r="CU44" s="97" t="n"/>
      <c r="CV44" s="97" t="n"/>
      <c r="CW44" s="161" t="n"/>
      <c r="CX44" s="97" t="n"/>
      <c r="CY44" s="183" t="n"/>
    </row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89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BEAU2859749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2026-10-13</t>
        </is>
      </c>
      <c r="E2" s="173" t="inlineStr">
        <is>
          <t>0135</t>
        </is>
      </c>
      <c r="F2" s="96" t="inlineStr">
        <is>
          <t>HASLS22260902818</t>
        </is>
      </c>
      <c r="G2" s="96" t="inlineStr">
        <is>
          <t>WHA GC LOGISTICS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HASLS22260902818</t>
        </is>
      </c>
      <c r="N2" s="96" t="inlineStr">
        <is>
          <t xml:space="preserve">20'x6 </t>
        </is>
      </c>
      <c r="O2" s="111" t="inlineStr">
        <is>
          <t>2016</t>
        </is>
      </c>
      <c r="P2" s="111" t="n"/>
      <c r="Q2" s="111" t="n"/>
      <c r="R2" s="96" t="inlineStr">
        <is>
          <t>PGPO</t>
        </is>
      </c>
      <c r="S2" s="96" t="inlineStr">
        <is>
          <t>2612N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2026-10-17</t>
        </is>
      </c>
      <c r="W2" s="96" t="inlineStr">
        <is>
          <t>VNSGN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2026-10-13</t>
        </is>
      </c>
      <c r="AE2" s="174" t="inlineStr">
        <is>
          <t>0400</t>
        </is>
      </c>
      <c r="AF2" s="96" t="inlineStr">
        <is>
          <t>EDI2</t>
        </is>
      </c>
      <c r="AG2" s="97" t="n"/>
      <c r="AH2" s="97" t="n"/>
      <c r="AI2" s="97" t="inlineStr">
        <is>
          <t>VAVISE</t>
        </is>
      </c>
      <c r="AJ2" s="96" t="inlineStr">
        <is>
          <t>TO ORDER OF VIETINBANK,</t>
        </is>
      </c>
      <c r="AK2" s="130" t="n"/>
    </row>
    <row r="3" ht="12" customHeight="1">
      <c r="A3" s="108" t="inlineStr">
        <is>
          <t>CRXU7661973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2026-10-14</t>
        </is>
      </c>
      <c r="E3" s="173" t="inlineStr">
        <is>
          <t>0625</t>
        </is>
      </c>
      <c r="F3" s="96" t="inlineStr">
        <is>
          <t>HASLS22260901359</t>
        </is>
      </c>
      <c r="G3" s="96" t="inlineStr">
        <is>
          <t>LOTUS FREIGHT AND SERVICES CORP.,LTD.</t>
        </is>
      </c>
      <c r="H3" s="111" t="inlineStr">
        <is>
          <t>42PC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HASLS22260901359</t>
        </is>
      </c>
      <c r="N3" s="96" t="inlineStr">
        <is>
          <t xml:space="preserve">40FRx1 40Hx1 20FRx1 </t>
        </is>
      </c>
      <c r="O3" s="111" t="inlineStr">
        <is>
          <t>2005</t>
        </is>
      </c>
      <c r="P3" s="111" t="n"/>
      <c r="Q3" s="111" t="n"/>
      <c r="R3" s="96" t="inlineStr">
        <is>
          <t>SWIC</t>
        </is>
      </c>
      <c r="S3" s="96" t="inlineStr">
        <is>
          <t>2611N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2026-10-17</t>
        </is>
      </c>
      <c r="W3" s="96" t="inlineStr">
        <is>
          <t>VNSGN</t>
        </is>
      </c>
      <c r="X3" s="161" t="inlineStr">
        <is>
          <t>2026-10-18</t>
        </is>
      </c>
      <c r="Y3" s="97" t="n"/>
      <c r="Z3" s="97" t="n"/>
      <c r="AA3" s="97" t="n"/>
      <c r="AB3" s="97" t="n"/>
      <c r="AC3" s="97" t="n"/>
      <c r="AD3" s="161" t="inlineStr">
        <is>
          <t>2026-10-14</t>
        </is>
      </c>
      <c r="AE3" s="174" t="inlineStr">
        <is>
          <t>1001</t>
        </is>
      </c>
      <c r="AF3" s="96" t="inlineStr">
        <is>
          <t>EDI2</t>
        </is>
      </c>
      <c r="AG3" s="97" t="n"/>
      <c r="AH3" s="97" t="n"/>
      <c r="AI3" s="97" t="inlineStr">
        <is>
          <t>VAVVZ6</t>
        </is>
      </c>
      <c r="AJ3" s="96" t="inlineStr">
        <is>
          <t>TP GLOBAL LOGISTICS</t>
        </is>
      </c>
      <c r="AK3" s="130" t="n"/>
    </row>
    <row r="4" ht="12" customHeight="1">
      <c r="A4" s="108" t="inlineStr">
        <is>
          <t>DFSU3097259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2026-10-13</t>
        </is>
      </c>
      <c r="E4" s="173" t="inlineStr">
        <is>
          <t>1746</t>
        </is>
      </c>
      <c r="F4" s="96" t="inlineStr">
        <is>
          <t>HASLS22260902390</t>
        </is>
      </c>
      <c r="G4" s="96" t="inlineStr">
        <is>
          <t>IRPC PUBLIC COMPANY LIMITED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Sirichai Prayochananon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HASLS22260902390</t>
        </is>
      </c>
      <c r="N4" s="96" t="inlineStr">
        <is>
          <t xml:space="preserve">20'x2 </t>
        </is>
      </c>
      <c r="O4" s="111" t="inlineStr">
        <is>
          <t>2015</t>
        </is>
      </c>
      <c r="P4" s="111" t="n"/>
      <c r="Q4" s="111" t="n"/>
      <c r="R4" s="96" t="inlineStr">
        <is>
          <t>SWIC</t>
        </is>
      </c>
      <c r="S4" s="96" t="inlineStr">
        <is>
          <t>2611N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2026-10-17</t>
        </is>
      </c>
      <c r="W4" s="96" t="inlineStr">
        <is>
          <t>JPMOJ</t>
        </is>
      </c>
      <c r="X4" s="161" t="inlineStr">
        <is>
          <t>2026-10-25</t>
        </is>
      </c>
      <c r="Y4" s="97" t="n"/>
      <c r="Z4" s="97" t="n"/>
      <c r="AA4" s="97" t="n"/>
      <c r="AB4" s="97" t="n"/>
      <c r="AC4" s="97" t="n"/>
      <c r="AD4" s="161" t="inlineStr">
        <is>
          <t>2026-10-13</t>
        </is>
      </c>
      <c r="AE4" s="174" t="inlineStr">
        <is>
          <t>2255</t>
        </is>
      </c>
      <c r="AF4" s="96" t="inlineStr">
        <is>
          <t>TBKK42</t>
        </is>
      </c>
      <c r="AG4" s="97" t="n"/>
      <c r="AH4" s="97" t="n"/>
      <c r="AI4" s="97" t="n"/>
      <c r="AJ4" s="96" t="inlineStr">
        <is>
          <t>TO ORDER OF SHIPPER</t>
        </is>
      </c>
      <c r="AK4" s="130" t="n">
        <v>0</v>
      </c>
    </row>
    <row r="5" ht="12" customHeight="1">
      <c r="A5" s="108" t="inlineStr">
        <is>
          <t>FBIU0005438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2026-10-13</t>
        </is>
      </c>
      <c r="E5" s="173" t="inlineStr">
        <is>
          <t>0125</t>
        </is>
      </c>
      <c r="F5" s="96" t="inlineStr">
        <is>
          <t>HASLS22260902818</t>
        </is>
      </c>
      <c r="G5" s="96" t="inlineStr">
        <is>
          <t>WHA GC LOGISTICS COMPANY LIMITED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HASLS22260902818</t>
        </is>
      </c>
      <c r="N5" s="96" t="inlineStr">
        <is>
          <t xml:space="preserve">20'x6 </t>
        </is>
      </c>
      <c r="O5" s="111" t="inlineStr">
        <is>
          <t>2017</t>
        </is>
      </c>
      <c r="P5" s="111" t="n"/>
      <c r="Q5" s="111" t="n"/>
      <c r="R5" s="96" t="inlineStr">
        <is>
          <t>PGPO</t>
        </is>
      </c>
      <c r="S5" s="96" t="inlineStr">
        <is>
          <t>2612N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2026-10-17</t>
        </is>
      </c>
      <c r="W5" s="96" t="inlineStr">
        <is>
          <t>VNSGN</t>
        </is>
      </c>
      <c r="X5" s="161" t="inlineStr">
        <is>
          <t>2026-10-18</t>
        </is>
      </c>
      <c r="Y5" s="97" t="n"/>
      <c r="Z5" s="97" t="n"/>
      <c r="AA5" s="97" t="n"/>
      <c r="AB5" s="97" t="n"/>
      <c r="AC5" s="97" t="n"/>
      <c r="AD5" s="161" t="inlineStr">
        <is>
          <t>2026-10-13</t>
        </is>
      </c>
      <c r="AE5" s="174" t="inlineStr">
        <is>
          <t>0400</t>
        </is>
      </c>
      <c r="AF5" s="96" t="inlineStr">
        <is>
          <t>EDI2</t>
        </is>
      </c>
      <c r="AG5" s="97" t="n"/>
      <c r="AH5" s="97" t="n"/>
      <c r="AI5" s="97" t="inlineStr">
        <is>
          <t>VAVISE</t>
        </is>
      </c>
      <c r="AJ5" s="96" t="inlineStr">
        <is>
          <t>TO ORDER OF VIETINBANK,</t>
        </is>
      </c>
      <c r="AK5" s="130" t="n"/>
    </row>
    <row r="6" ht="12" customHeight="1">
      <c r="A6" s="108" t="inlineStr">
        <is>
          <t>FBIU5372570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2026-10-13</t>
        </is>
      </c>
      <c r="E6" s="173" t="inlineStr">
        <is>
          <t>2023</t>
        </is>
      </c>
      <c r="F6" s="96" t="inlineStr">
        <is>
          <t>HASLS22260902790</t>
        </is>
      </c>
      <c r="G6" s="96" t="inlineStr">
        <is>
          <t>GOLDEN SEA FROZEN FOODS CO.,LTD</t>
        </is>
      </c>
      <c r="H6" s="111" t="inlineStr">
        <is>
          <t>45RE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HASLS22260902790</t>
        </is>
      </c>
      <c r="N6" s="96" t="inlineStr">
        <is>
          <t xml:space="preserve">R40Hx1 </t>
        </is>
      </c>
      <c r="O6" s="111" t="inlineStr">
        <is>
          <t>2023</t>
        </is>
      </c>
      <c r="P6" s="111" t="inlineStr">
        <is>
          <t>CARRIER</t>
        </is>
      </c>
      <c r="Q6" s="111" t="inlineStr">
        <is>
          <t>69NT40-571-112</t>
        </is>
      </c>
      <c r="R6" s="96" t="inlineStr">
        <is>
          <t>SWIC</t>
        </is>
      </c>
      <c r="S6" s="96" t="inlineStr">
        <is>
          <t>2611N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2026-10-17</t>
        </is>
      </c>
      <c r="W6" s="96" t="inlineStr">
        <is>
          <t>VNSGN</t>
        </is>
      </c>
      <c r="X6" s="161" t="inlineStr">
        <is>
          <t>2026-10-18</t>
        </is>
      </c>
      <c r="Y6" s="97" t="n"/>
      <c r="Z6" s="97" t="n"/>
      <c r="AA6" s="97" t="n"/>
      <c r="AB6" s="97" t="n"/>
      <c r="AC6" s="97" t="n"/>
      <c r="AD6" s="161" t="inlineStr">
        <is>
          <t>2026-10-14</t>
        </is>
      </c>
      <c r="AE6" s="174" t="inlineStr">
        <is>
          <t>0000</t>
        </is>
      </c>
      <c r="AF6" s="96" t="inlineStr">
        <is>
          <t>EDI2</t>
        </is>
      </c>
      <c r="AG6" s="97" t="n"/>
      <c r="AH6" s="97" t="n"/>
      <c r="AI6" s="97" t="inlineStr">
        <is>
          <t>VAVX16</t>
        </is>
      </c>
      <c r="AJ6" s="96" t="inlineStr">
        <is>
          <t>HUY HOANG SEAFOOD BUSINESS</t>
        </is>
      </c>
      <c r="AK6" s="130" t="n"/>
    </row>
    <row r="7" ht="12" customHeight="1">
      <c r="A7" s="108" t="inlineStr">
        <is>
          <t>FBIU5372863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2026-10-14</t>
        </is>
      </c>
      <c r="E7" s="173" t="inlineStr">
        <is>
          <t>2111</t>
        </is>
      </c>
      <c r="F7" s="96" t="inlineStr">
        <is>
          <t>HASLS22260902805</t>
        </is>
      </c>
      <c r="G7" s="96" t="inlineStr">
        <is>
          <t>GOLDEN SEA FROZEN FOODS CO.,LTD</t>
        </is>
      </c>
      <c r="H7" s="111" t="inlineStr">
        <is>
          <t>45RE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HASLS22260902805</t>
        </is>
      </c>
      <c r="N7" s="96" t="inlineStr">
        <is>
          <t xml:space="preserve">R40Hx1 </t>
        </is>
      </c>
      <c r="O7" s="111" t="inlineStr">
        <is>
          <t>2023</t>
        </is>
      </c>
      <c r="P7" s="111" t="inlineStr">
        <is>
          <t>CARRIER</t>
        </is>
      </c>
      <c r="Q7" s="111" t="inlineStr">
        <is>
          <t>69NT40-571-112</t>
        </is>
      </c>
      <c r="R7" s="96" t="inlineStr">
        <is>
          <t>SWIC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2026-10-17</t>
        </is>
      </c>
      <c r="W7" s="96" t="inlineStr">
        <is>
          <t>VNSGN</t>
        </is>
      </c>
      <c r="X7" s="161" t="inlineStr">
        <is>
          <t>2026-10-18</t>
        </is>
      </c>
      <c r="Y7" s="97" t="n"/>
      <c r="Z7" s="97" t="n"/>
      <c r="AA7" s="97" t="n"/>
      <c r="AB7" s="97" t="n"/>
      <c r="AC7" s="97" t="n"/>
      <c r="AD7" s="161" t="inlineStr">
        <is>
          <t>2026-10-15</t>
        </is>
      </c>
      <c r="AE7" s="174" t="inlineStr">
        <is>
          <t>0000</t>
        </is>
      </c>
      <c r="AF7" s="96" t="inlineStr">
        <is>
          <t>EDI2</t>
        </is>
      </c>
      <c r="AG7" s="97" t="n"/>
      <c r="AH7" s="97" t="n"/>
      <c r="AI7" s="97" t="inlineStr">
        <is>
          <t>VAVX16</t>
        </is>
      </c>
      <c r="AJ7" s="96" t="inlineStr">
        <is>
          <t>HUY HOANG SEAFOOD BUSINESS</t>
        </is>
      </c>
      <c r="AK7" s="130" t="n"/>
    </row>
    <row r="8" ht="12" customHeight="1">
      <c r="A8" s="108" t="inlineStr">
        <is>
          <t>FSCU5867837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2026-10-14</t>
        </is>
      </c>
      <c r="E8" s="173" t="inlineStr">
        <is>
          <t>0121</t>
        </is>
      </c>
      <c r="F8" s="96" t="inlineStr">
        <is>
          <t>HASLS22261000262</t>
        </is>
      </c>
      <c r="G8" s="96" t="inlineStr">
        <is>
          <t>GOLDEN SEA FROZEN FOODS CO.,LTD</t>
        </is>
      </c>
      <c r="H8" s="111" t="inlineStr">
        <is>
          <t>45RE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HASLS22261000262</t>
        </is>
      </c>
      <c r="N8" s="96" t="inlineStr">
        <is>
          <t xml:space="preserve">R40Hx1 </t>
        </is>
      </c>
      <c r="O8" s="111" t="inlineStr">
        <is>
          <t>2020</t>
        </is>
      </c>
      <c r="P8" s="111" t="inlineStr">
        <is>
          <t>CARRIER</t>
        </is>
      </c>
      <c r="Q8" s="111" t="inlineStr">
        <is>
          <t>69NT40-561-500</t>
        </is>
      </c>
      <c r="R8" s="96" t="inlineStr">
        <is>
          <t>SWIC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2026-10-17</t>
        </is>
      </c>
      <c r="W8" s="96" t="inlineStr">
        <is>
          <t>VNSGN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2026-10-14</t>
        </is>
      </c>
      <c r="AE8" s="174" t="inlineStr">
        <is>
          <t>0400</t>
        </is>
      </c>
      <c r="AF8" s="96" t="inlineStr">
        <is>
          <t>EDI2</t>
        </is>
      </c>
      <c r="AG8" s="97" t="n"/>
      <c r="AH8" s="97" t="n"/>
      <c r="AI8" s="97" t="inlineStr">
        <is>
          <t>VAVSJ5</t>
        </is>
      </c>
      <c r="AJ8" s="96" t="inlineStr">
        <is>
          <t>LY MA TRADING SERVICE CO., LTD</t>
        </is>
      </c>
      <c r="AK8" s="130" t="n"/>
    </row>
    <row r="9" ht="12" customHeight="1">
      <c r="A9" s="108" t="inlineStr">
        <is>
          <t>FSCU5868345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2026-10-13</t>
        </is>
      </c>
      <c r="E9" s="173" t="inlineStr">
        <is>
          <t>0831</t>
        </is>
      </c>
      <c r="F9" s="96" t="inlineStr">
        <is>
          <t>HASLS22261000260</t>
        </is>
      </c>
      <c r="G9" s="96" t="inlineStr">
        <is>
          <t>GOLDEN SEA FROZEN FOODS CO.,LTD</t>
        </is>
      </c>
      <c r="H9" s="111" t="inlineStr">
        <is>
          <t>45RE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HASLS22261000260</t>
        </is>
      </c>
      <c r="N9" s="96" t="inlineStr">
        <is>
          <t xml:space="preserve">R40Hx1 </t>
        </is>
      </c>
      <c r="O9" s="111" t="inlineStr">
        <is>
          <t>2020</t>
        </is>
      </c>
      <c r="P9" s="111" t="inlineStr">
        <is>
          <t>CARRIER</t>
        </is>
      </c>
      <c r="Q9" s="111" t="inlineStr">
        <is>
          <t>69NT40-561-500</t>
        </is>
      </c>
      <c r="R9" s="96" t="inlineStr">
        <is>
          <t>SWIC</t>
        </is>
      </c>
      <c r="S9" s="96" t="inlineStr">
        <is>
          <t>2611N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2026-10-17</t>
        </is>
      </c>
      <c r="W9" s="96" t="inlineStr">
        <is>
          <t>VNSGN</t>
        </is>
      </c>
      <c r="X9" s="161" t="inlineStr">
        <is>
          <t>2026-10-18</t>
        </is>
      </c>
      <c r="Y9" s="97" t="n"/>
      <c r="Z9" s="97" t="n"/>
      <c r="AA9" s="97" t="n"/>
      <c r="AB9" s="97" t="n"/>
      <c r="AC9" s="97" t="n"/>
      <c r="AD9" s="161" t="inlineStr">
        <is>
          <t>2026-10-13</t>
        </is>
      </c>
      <c r="AE9" s="174" t="inlineStr">
        <is>
          <t>1200</t>
        </is>
      </c>
      <c r="AF9" s="96" t="inlineStr">
        <is>
          <t>EDI2</t>
        </is>
      </c>
      <c r="AG9" s="97" t="n"/>
      <c r="AH9" s="97" t="n"/>
      <c r="AI9" s="97" t="inlineStr">
        <is>
          <t>VAVWH2</t>
        </is>
      </c>
      <c r="AJ9" s="96" t="inlineStr">
        <is>
          <t>H&amp;N SEAFOOD IMPORT &amp; EXPORT</t>
        </is>
      </c>
      <c r="AK9" s="130" t="n"/>
    </row>
    <row r="10" ht="12" customHeight="1">
      <c r="A10" s="108" t="inlineStr">
        <is>
          <t>FSCU5891366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2026-10-13</t>
        </is>
      </c>
      <c r="E10" s="173" t="inlineStr">
        <is>
          <t>2255</t>
        </is>
      </c>
      <c r="F10" s="96" t="inlineStr">
        <is>
          <t>HASLS22260902808</t>
        </is>
      </c>
      <c r="G10" s="96" t="inlineStr">
        <is>
          <t>GOLDEN SEA FROZEN FOODS CO.,LTD</t>
        </is>
      </c>
      <c r="H10" s="111" t="inlineStr">
        <is>
          <t>45RE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HASLS22260902808</t>
        </is>
      </c>
      <c r="N10" s="96" t="inlineStr">
        <is>
          <t xml:space="preserve">R40Hx2 </t>
        </is>
      </c>
      <c r="O10" s="111" t="inlineStr">
        <is>
          <t>2020</t>
        </is>
      </c>
      <c r="P10" s="111" t="inlineStr">
        <is>
          <t>CARRIER</t>
        </is>
      </c>
      <c r="Q10" s="111" t="inlineStr">
        <is>
          <t>69NT40-561-500</t>
        </is>
      </c>
      <c r="R10" s="96" t="inlineStr">
        <is>
          <t>SWIC</t>
        </is>
      </c>
      <c r="S10" s="96" t="inlineStr">
        <is>
          <t>2611N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2026-10-17</t>
        </is>
      </c>
      <c r="W10" s="96" t="inlineStr">
        <is>
          <t>VNSGN</t>
        </is>
      </c>
      <c r="X10" s="161" t="inlineStr">
        <is>
          <t>2026-10-18</t>
        </is>
      </c>
      <c r="Y10" s="97" t="n"/>
      <c r="Z10" s="97" t="n"/>
      <c r="AA10" s="97" t="n"/>
      <c r="AB10" s="97" t="n"/>
      <c r="AC10" s="97" t="n"/>
      <c r="AD10" s="161" t="inlineStr">
        <is>
          <t>2026-10-14</t>
        </is>
      </c>
      <c r="AE10" s="174" t="inlineStr">
        <is>
          <t>0200</t>
        </is>
      </c>
      <c r="AF10" s="96" t="inlineStr">
        <is>
          <t>EDI2</t>
        </is>
      </c>
      <c r="AG10" s="97" t="n"/>
      <c r="AH10" s="97" t="n"/>
      <c r="AI10" s="97" t="inlineStr">
        <is>
          <t>VAVVP2</t>
        </is>
      </c>
      <c r="AJ10" s="96" t="inlineStr">
        <is>
          <t>MK TRADING COMPANY LIMITED</t>
        </is>
      </c>
      <c r="AK10" s="130" t="n"/>
    </row>
    <row r="11" ht="12" customHeight="1">
      <c r="A11" s="108" t="inlineStr">
        <is>
          <t>FSCU5892125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2026-10-14</t>
        </is>
      </c>
      <c r="E11" s="173" t="inlineStr">
        <is>
          <t>0113</t>
        </is>
      </c>
      <c r="F11" s="96" t="inlineStr">
        <is>
          <t>HASLS22261000530</t>
        </is>
      </c>
      <c r="G11" s="96" t="inlineStr">
        <is>
          <t>GOLDEN SEA FROZEN FOODS CO.,LTD</t>
        </is>
      </c>
      <c r="H11" s="111" t="inlineStr">
        <is>
          <t>45RE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HASLS22261000530</t>
        </is>
      </c>
      <c r="N11" s="96" t="inlineStr">
        <is>
          <t xml:space="preserve">R40Hx1 </t>
        </is>
      </c>
      <c r="O11" s="111" t="inlineStr">
        <is>
          <t>2020</t>
        </is>
      </c>
      <c r="P11" s="111" t="inlineStr">
        <is>
          <t>CARRIER</t>
        </is>
      </c>
      <c r="Q11" s="111" t="inlineStr">
        <is>
          <t>69NT40-561-500</t>
        </is>
      </c>
      <c r="R11" s="96" t="inlineStr">
        <is>
          <t>SWIC</t>
        </is>
      </c>
      <c r="S11" s="96" t="inlineStr">
        <is>
          <t>2611N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2026-10-17</t>
        </is>
      </c>
      <c r="W11" s="96" t="inlineStr">
        <is>
          <t>VNSGN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2026-10-14</t>
        </is>
      </c>
      <c r="AE11" s="174" t="inlineStr">
        <is>
          <t>0400</t>
        </is>
      </c>
      <c r="AF11" s="96" t="inlineStr">
        <is>
          <t>EDI2</t>
        </is>
      </c>
      <c r="AG11" s="97" t="n"/>
      <c r="AH11" s="97" t="n"/>
      <c r="AI11" s="97" t="inlineStr">
        <is>
          <t>VAVSJ5</t>
        </is>
      </c>
      <c r="AJ11" s="96" t="inlineStr">
        <is>
          <t>LY MA TRADING SERVICE CO., LTD</t>
        </is>
      </c>
      <c r="AK11" s="130" t="n"/>
    </row>
    <row r="12" ht="12" customHeight="1">
      <c r="A12" s="108" t="inlineStr">
        <is>
          <t>FSCU5892974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2105</t>
        </is>
      </c>
      <c r="F12" s="96" t="inlineStr">
        <is>
          <t>HASLS22260902808</t>
        </is>
      </c>
      <c r="G12" s="96" t="inlineStr">
        <is>
          <t>GOLDEN SEA FROZEN FOODS CO.,LTD</t>
        </is>
      </c>
      <c r="H12" s="111" t="inlineStr">
        <is>
          <t>45RE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HASLS22260902808</t>
        </is>
      </c>
      <c r="N12" s="96" t="inlineStr">
        <is>
          <t xml:space="preserve">R40Hx2 </t>
        </is>
      </c>
      <c r="O12" s="111" t="inlineStr">
        <is>
          <t>2020</t>
        </is>
      </c>
      <c r="P12" s="111" t="inlineStr">
        <is>
          <t>CARRIER</t>
        </is>
      </c>
      <c r="Q12" s="111" t="inlineStr">
        <is>
          <t>69NT40-561-500</t>
        </is>
      </c>
      <c r="R12" s="96" t="inlineStr">
        <is>
          <t>SWIC</t>
        </is>
      </c>
      <c r="S12" s="96" t="inlineStr">
        <is>
          <t>2611N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2026-10-17</t>
        </is>
      </c>
      <c r="W12" s="96" t="inlineStr">
        <is>
          <t>VNSGN</t>
        </is>
      </c>
      <c r="X12" s="161" t="inlineStr">
        <is>
          <t>2026-10-18</t>
        </is>
      </c>
      <c r="Y12" s="97" t="n"/>
      <c r="Z12" s="97" t="n"/>
      <c r="AA12" s="97" t="n"/>
      <c r="AB12" s="97" t="n"/>
      <c r="AC12" s="97" t="n"/>
      <c r="AD12" s="161" t="inlineStr">
        <is>
          <t>2026-10-14</t>
        </is>
      </c>
      <c r="AE12" s="174" t="inlineStr">
        <is>
          <t>0000</t>
        </is>
      </c>
      <c r="AF12" s="96" t="inlineStr">
        <is>
          <t>EDI2</t>
        </is>
      </c>
      <c r="AG12" s="97" t="n"/>
      <c r="AH12" s="97" t="n"/>
      <c r="AI12" s="97" t="inlineStr">
        <is>
          <t>VAVVP2</t>
        </is>
      </c>
      <c r="AJ12" s="96" t="inlineStr">
        <is>
          <t>MK TRADING COMPANY LIMITED</t>
        </is>
      </c>
      <c r="AK12" s="130" t="n"/>
    </row>
    <row r="13" ht="12" customHeight="1">
      <c r="A13" s="108" t="inlineStr">
        <is>
          <t>FSCU5896814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2026-10-13</t>
        </is>
      </c>
      <c r="E13" s="173" t="inlineStr">
        <is>
          <t>1103</t>
        </is>
      </c>
      <c r="F13" s="96" t="inlineStr">
        <is>
          <t>HASLS22260902810</t>
        </is>
      </c>
      <c r="G13" s="96" t="inlineStr">
        <is>
          <t>GOLDEN SEA FROZEN FOODS CO.,LTD</t>
        </is>
      </c>
      <c r="H13" s="111" t="inlineStr">
        <is>
          <t>45RE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HASLS22260902810</t>
        </is>
      </c>
      <c r="N13" s="96" t="inlineStr">
        <is>
          <t xml:space="preserve">R40Hx1 </t>
        </is>
      </c>
      <c r="O13" s="111" t="inlineStr">
        <is>
          <t>2020</t>
        </is>
      </c>
      <c r="P13" s="111" t="inlineStr">
        <is>
          <t>CARRIER</t>
        </is>
      </c>
      <c r="Q13" s="111" t="inlineStr">
        <is>
          <t>69NT40-561-500</t>
        </is>
      </c>
      <c r="R13" s="96" t="inlineStr">
        <is>
          <t>SWIC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2026-10-17</t>
        </is>
      </c>
      <c r="W13" s="96" t="inlineStr">
        <is>
          <t>VNSGN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2026-10-13</t>
        </is>
      </c>
      <c r="AE13" s="174" t="inlineStr">
        <is>
          <t>1400</t>
        </is>
      </c>
      <c r="AF13" s="96" t="inlineStr">
        <is>
          <t>EDI2</t>
        </is>
      </c>
      <c r="AG13" s="97" t="n"/>
      <c r="AH13" s="97" t="n"/>
      <c r="AI13" s="97" t="inlineStr">
        <is>
          <t>VAVX17</t>
        </is>
      </c>
      <c r="AJ13" s="96" t="inlineStr">
        <is>
          <t>KHOI MINH FORWARDING SERVICES</t>
        </is>
      </c>
      <c r="AK13" s="130" t="n"/>
    </row>
    <row r="14" ht="12" customHeight="1">
      <c r="A14" s="108" t="inlineStr">
        <is>
          <t>GCXU5995723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2026-10-13</t>
        </is>
      </c>
      <c r="E14" s="173" t="inlineStr">
        <is>
          <t>1835</t>
        </is>
      </c>
      <c r="F14" s="96" t="inlineStr">
        <is>
          <t>HASLS22260901519</t>
        </is>
      </c>
      <c r="G14" s="96" t="inlineStr">
        <is>
          <t>WHA GC LOGISTICS COMPANY LIMITED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HASLS22260901519</t>
        </is>
      </c>
      <c r="N14" s="96" t="inlineStr">
        <is>
          <t xml:space="preserve">40Hx4 </t>
        </is>
      </c>
      <c r="O14" s="111" t="inlineStr">
        <is>
          <t>2024</t>
        </is>
      </c>
      <c r="P14" s="111" t="n"/>
      <c r="Q14" s="111" t="n"/>
      <c r="R14" s="96" t="inlineStr">
        <is>
          <t>SWIC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2026-10-17</t>
        </is>
      </c>
      <c r="W14" s="96" t="inlineStr">
        <is>
          <t>JPKIJ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2026-10-13</t>
        </is>
      </c>
      <c r="AE14" s="174" t="inlineStr">
        <is>
          <t>2200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INABATA &amp; CO.,LTD</t>
        </is>
      </c>
      <c r="AK14" s="130" t="n"/>
    </row>
    <row r="15" ht="12" customHeight="1">
      <c r="A15" s="108" t="inlineStr">
        <is>
          <t>GCXU6301730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2026-10-13</t>
        </is>
      </c>
      <c r="E15" s="173" t="inlineStr">
        <is>
          <t>1021</t>
        </is>
      </c>
      <c r="F15" s="96" t="inlineStr">
        <is>
          <t>HASLS22260800970</t>
        </is>
      </c>
      <c r="G15" s="96" t="inlineStr">
        <is>
          <t>WHA GC LOGISTICS COMPANY LIMITED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HASLS22260800970</t>
        </is>
      </c>
      <c r="N15" s="96" t="inlineStr">
        <is>
          <t xml:space="preserve">40Hx9 </t>
        </is>
      </c>
      <c r="O15" s="111" t="inlineStr">
        <is>
          <t>2024</t>
        </is>
      </c>
      <c r="P15" s="111" t="n"/>
      <c r="Q15" s="111" t="n"/>
      <c r="R15" s="96" t="inlineStr">
        <is>
          <t>SWIC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2026-10-17</t>
        </is>
      </c>
      <c r="W15" s="96" t="inlineStr">
        <is>
          <t>VNSGN</t>
        </is>
      </c>
      <c r="X15" s="161" t="inlineStr">
        <is>
          <t>2026-10-18</t>
        </is>
      </c>
      <c r="Y15" s="97" t="n"/>
      <c r="Z15" s="97" t="n"/>
      <c r="AA15" s="97" t="n"/>
      <c r="AB15" s="97" t="n"/>
      <c r="AC15" s="97" t="n"/>
      <c r="AD15" s="161" t="inlineStr">
        <is>
          <t>2026-10-13</t>
        </is>
      </c>
      <c r="AE15" s="174" t="inlineStr">
        <is>
          <t>1400</t>
        </is>
      </c>
      <c r="AF15" s="96" t="inlineStr">
        <is>
          <t>EDI2</t>
        </is>
      </c>
      <c r="AG15" s="97" t="n"/>
      <c r="AH15" s="97" t="n"/>
      <c r="AI15" s="97" t="inlineStr">
        <is>
          <t>VAVN33</t>
        </is>
      </c>
      <c r="AJ15" s="96" t="inlineStr">
        <is>
          <t>TO ORDER OF TECHCOMBANK - CHO LON</t>
        </is>
      </c>
      <c r="AK15" s="130" t="n"/>
    </row>
    <row r="16" ht="12" customHeight="1">
      <c r="A16" s="108" t="inlineStr">
        <is>
          <t>HALU2106707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2026-10-13</t>
        </is>
      </c>
      <c r="E16" s="173" t="inlineStr">
        <is>
          <t>0301</t>
        </is>
      </c>
      <c r="F16" s="96" t="inlineStr">
        <is>
          <t>HASLS22260800966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HASLS22260800966</t>
        </is>
      </c>
      <c r="N16" s="96" t="inlineStr">
        <is>
          <t xml:space="preserve">20'x10 </t>
        </is>
      </c>
      <c r="O16" s="111" t="inlineStr">
        <is>
          <t>2021</t>
        </is>
      </c>
      <c r="P16" s="111" t="n"/>
      <c r="Q16" s="111" t="n"/>
      <c r="R16" s="96" t="inlineStr">
        <is>
          <t>PGPO</t>
        </is>
      </c>
      <c r="S16" s="96" t="inlineStr">
        <is>
          <t>2612N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2026-10-17</t>
        </is>
      </c>
      <c r="W16" s="96" t="inlineStr">
        <is>
          <t>VNSGN</t>
        </is>
      </c>
      <c r="X16" s="161" t="inlineStr">
        <is>
          <t>2026-10-18</t>
        </is>
      </c>
      <c r="Y16" s="97" t="n"/>
      <c r="Z16" s="97" t="n"/>
      <c r="AA16" s="97" t="n"/>
      <c r="AB16" s="97" t="n"/>
      <c r="AC16" s="97" t="n"/>
      <c r="AD16" s="161" t="inlineStr">
        <is>
          <t>2026-10-13</t>
        </is>
      </c>
      <c r="AE16" s="174" t="inlineStr">
        <is>
          <t>0600</t>
        </is>
      </c>
      <c r="AF16" s="96" t="inlineStr">
        <is>
          <t>EDI2</t>
        </is>
      </c>
      <c r="AG16" s="97" t="n"/>
      <c r="AH16" s="97" t="n"/>
      <c r="AI16" s="97" t="inlineStr">
        <is>
          <t>VAVISE</t>
        </is>
      </c>
      <c r="AJ16" s="96" t="inlineStr">
        <is>
          <t>TO ORDER OF VIETINBANK, BINH DUONG</t>
        </is>
      </c>
      <c r="AK16" s="130" t="n"/>
    </row>
    <row r="17" ht="12" customHeight="1">
      <c r="A17" s="108" t="inlineStr">
        <is>
          <t>HALU2311888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2026-10-13</t>
        </is>
      </c>
      <c r="E17" s="173" t="inlineStr">
        <is>
          <t>1630</t>
        </is>
      </c>
      <c r="F17" s="96" t="inlineStr">
        <is>
          <t>HASLS22260902063</t>
        </is>
      </c>
      <c r="G17" s="96" t="inlineStr">
        <is>
          <t>SCGJWD LOGISTICS PUBLIC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HASLS22260902063</t>
        </is>
      </c>
      <c r="N17" s="96" t="inlineStr">
        <is>
          <t xml:space="preserve">20'x5 </t>
        </is>
      </c>
      <c r="O17" s="111" t="inlineStr">
        <is>
          <t>2023</t>
        </is>
      </c>
      <c r="P17" s="111" t="n"/>
      <c r="Q17" s="111" t="n"/>
      <c r="R17" s="96" t="inlineStr">
        <is>
          <t>SWIC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2026-10-17</t>
        </is>
      </c>
      <c r="W17" s="96" t="inlineStr">
        <is>
          <t>JPMOJ</t>
        </is>
      </c>
      <c r="X17" s="161" t="inlineStr">
        <is>
          <t>2026-10-25</t>
        </is>
      </c>
      <c r="Y17" s="97" t="n"/>
      <c r="Z17" s="97" t="n"/>
      <c r="AA17" s="97" t="n"/>
      <c r="AB17" s="97" t="n"/>
      <c r="AC17" s="97" t="n"/>
      <c r="AD17" s="161" t="inlineStr">
        <is>
          <t>2026-10-13</t>
        </is>
      </c>
      <c r="AE17" s="174" t="inlineStr">
        <is>
          <t>2001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TOYOTSU CHEMIPLAS CORPORATION,</t>
        </is>
      </c>
      <c r="AK17" s="130" t="n"/>
    </row>
    <row r="18" ht="12" customHeight="1">
      <c r="A18" s="108" t="inlineStr">
        <is>
          <t>HALU2327267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0250</t>
        </is>
      </c>
      <c r="F18" s="96" t="inlineStr">
        <is>
          <t>HASLS22260800966</t>
        </is>
      </c>
      <c r="G18" s="96" t="inlineStr">
        <is>
          <t>WHA GC LOGISTICS COMPANY LIMITED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HASLS22260800966</t>
        </is>
      </c>
      <c r="N18" s="96" t="inlineStr">
        <is>
          <t xml:space="preserve">20'x10 </t>
        </is>
      </c>
      <c r="O18" s="111" t="inlineStr">
        <is>
          <t>2023</t>
        </is>
      </c>
      <c r="P18" s="111" t="n"/>
      <c r="Q18" s="111" t="n"/>
      <c r="R18" s="96" t="inlineStr">
        <is>
          <t>PGPO</t>
        </is>
      </c>
      <c r="S18" s="96" t="inlineStr">
        <is>
          <t>2612N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2026-10-17</t>
        </is>
      </c>
      <c r="W18" s="96" t="inlineStr">
        <is>
          <t>VNSGN</t>
        </is>
      </c>
      <c r="X18" s="161" t="inlineStr">
        <is>
          <t>2026-10-18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0600</t>
        </is>
      </c>
      <c r="AF18" s="96" t="inlineStr">
        <is>
          <t>EDI2</t>
        </is>
      </c>
      <c r="AG18" s="97" t="n"/>
      <c r="AH18" s="97" t="n"/>
      <c r="AI18" s="97" t="inlineStr">
        <is>
          <t>VAVISE</t>
        </is>
      </c>
      <c r="AJ18" s="96" t="inlineStr">
        <is>
          <t>TO ORDER OF VIETINBANK, BINH DUONG</t>
        </is>
      </c>
      <c r="AK18" s="130" t="n"/>
    </row>
    <row r="19" ht="12" customHeight="1">
      <c r="A19" s="108" t="inlineStr">
        <is>
          <t>HALU2342410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2026-10-13</t>
        </is>
      </c>
      <c r="E19" s="173" t="inlineStr">
        <is>
          <t>0233</t>
        </is>
      </c>
      <c r="F19" s="96" t="inlineStr">
        <is>
          <t>HASLS22260800966</t>
        </is>
      </c>
      <c r="G19" s="96" t="inlineStr">
        <is>
          <t>WHA GC LOGISTICS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HASLS22260800966</t>
        </is>
      </c>
      <c r="N19" s="96" t="inlineStr">
        <is>
          <t xml:space="preserve">20'x10 </t>
        </is>
      </c>
      <c r="O19" s="111" t="inlineStr">
        <is>
          <t>2023</t>
        </is>
      </c>
      <c r="P19" s="111" t="n"/>
      <c r="Q19" s="111" t="n"/>
      <c r="R19" s="96" t="inlineStr">
        <is>
          <t>PGPO</t>
        </is>
      </c>
      <c r="S19" s="96" t="inlineStr">
        <is>
          <t>2612N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2026-10-17</t>
        </is>
      </c>
      <c r="W19" s="96" t="inlineStr">
        <is>
          <t>VNSGN</t>
        </is>
      </c>
      <c r="X19" s="161" t="inlineStr">
        <is>
          <t>2026-10-18</t>
        </is>
      </c>
      <c r="Y19" s="97" t="n"/>
      <c r="Z19" s="97" t="n"/>
      <c r="AA19" s="97" t="n"/>
      <c r="AB19" s="97" t="n"/>
      <c r="AC19" s="97" t="n"/>
      <c r="AD19" s="161" t="inlineStr">
        <is>
          <t>2026-10-13</t>
        </is>
      </c>
      <c r="AE19" s="174" t="inlineStr">
        <is>
          <t>0600</t>
        </is>
      </c>
      <c r="AF19" s="96" t="inlineStr">
        <is>
          <t>EDI2</t>
        </is>
      </c>
      <c r="AG19" s="97" t="n"/>
      <c r="AH19" s="97" t="n"/>
      <c r="AI19" s="97" t="inlineStr">
        <is>
          <t>VAVISE</t>
        </is>
      </c>
      <c r="AJ19" s="96" t="inlineStr">
        <is>
          <t>TO ORDER OF VIETINBANK, BINH DUONG</t>
        </is>
      </c>
      <c r="AK19" s="130" t="n"/>
    </row>
    <row r="20" ht="12" customHeight="1">
      <c r="A20" s="108" t="inlineStr">
        <is>
          <t>HALU2348423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2026-10-13</t>
        </is>
      </c>
      <c r="E20" s="173" t="inlineStr">
        <is>
          <t>0122</t>
        </is>
      </c>
      <c r="F20" s="96" t="inlineStr">
        <is>
          <t>HASLS22260902818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HASLS22260902818</t>
        </is>
      </c>
      <c r="N20" s="96" t="inlineStr">
        <is>
          <t xml:space="preserve">20'x6 </t>
        </is>
      </c>
      <c r="O20" s="111" t="inlineStr">
        <is>
          <t>2023</t>
        </is>
      </c>
      <c r="P20" s="111" t="n"/>
      <c r="Q20" s="111" t="n"/>
      <c r="R20" s="96" t="inlineStr">
        <is>
          <t>PGPO</t>
        </is>
      </c>
      <c r="S20" s="96" t="inlineStr">
        <is>
          <t>2612N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2026-10-17</t>
        </is>
      </c>
      <c r="W20" s="96" t="inlineStr">
        <is>
          <t>VNSGN</t>
        </is>
      </c>
      <c r="X20" s="161" t="inlineStr">
        <is>
          <t>2026-10-18</t>
        </is>
      </c>
      <c r="Y20" s="97" t="n"/>
      <c r="Z20" s="97" t="n"/>
      <c r="AA20" s="97" t="n"/>
      <c r="AB20" s="97" t="n"/>
      <c r="AC20" s="97" t="n"/>
      <c r="AD20" s="161" t="inlineStr">
        <is>
          <t>2026-10-13</t>
        </is>
      </c>
      <c r="AE20" s="174" t="inlineStr">
        <is>
          <t>0400</t>
        </is>
      </c>
      <c r="AF20" s="96" t="inlineStr">
        <is>
          <t>EDI2</t>
        </is>
      </c>
      <c r="AG20" s="97" t="n"/>
      <c r="AH20" s="97" t="n"/>
      <c r="AI20" s="97" t="inlineStr">
        <is>
          <t>VAVISE</t>
        </is>
      </c>
      <c r="AJ20" s="96" t="inlineStr">
        <is>
          <t>TO ORDER OF VIETINBANK,</t>
        </is>
      </c>
      <c r="AK20" s="130" t="n"/>
    </row>
    <row r="21" ht="12" customHeight="1">
      <c r="A21" s="108" t="inlineStr">
        <is>
          <t>HALU2352336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2026-10-13</t>
        </is>
      </c>
      <c r="E21" s="173" t="inlineStr">
        <is>
          <t>0843</t>
        </is>
      </c>
      <c r="F21" s="96" t="inlineStr">
        <is>
          <t>HASLS22260901729</t>
        </is>
      </c>
      <c r="G21" s="96" t="inlineStr">
        <is>
          <t>CROSS-WORLD INTERNATIONAL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HASLS22260901729</t>
        </is>
      </c>
      <c r="N21" s="96" t="inlineStr">
        <is>
          <t xml:space="preserve">20'x1 </t>
        </is>
      </c>
      <c r="O21" s="111" t="inlineStr">
        <is>
          <t>2023</t>
        </is>
      </c>
      <c r="P21" s="111" t="n"/>
      <c r="Q21" s="111" t="n"/>
      <c r="R21" s="96" t="inlineStr">
        <is>
          <t>SWIC</t>
        </is>
      </c>
      <c r="S21" s="96" t="inlineStr">
        <is>
          <t>2611N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2026-10-17</t>
        </is>
      </c>
      <c r="W21" s="96" t="inlineStr">
        <is>
          <t>JPTMK</t>
        </is>
      </c>
      <c r="X21" s="161" t="inlineStr">
        <is>
          <t>2026-10-25</t>
        </is>
      </c>
      <c r="Y21" s="97" t="n"/>
      <c r="Z21" s="97" t="n"/>
      <c r="AA21" s="97" t="n"/>
      <c r="AB21" s="97" t="n"/>
      <c r="AC21" s="97" t="n"/>
      <c r="AD21" s="161" t="inlineStr">
        <is>
          <t>2026-10-13</t>
        </is>
      </c>
      <c r="AE21" s="174" t="inlineStr">
        <is>
          <t>1200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OZAX CORPORATION</t>
        </is>
      </c>
      <c r="AK21" s="130" t="n"/>
    </row>
    <row r="22" ht="12" customHeight="1">
      <c r="A22" s="108" t="inlineStr">
        <is>
          <t>HALU2427749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2026-10-13</t>
        </is>
      </c>
      <c r="E22" s="173" t="inlineStr">
        <is>
          <t>0804</t>
        </is>
      </c>
      <c r="F22" s="96" t="inlineStr">
        <is>
          <t>HASLS22260900880</t>
        </is>
      </c>
      <c r="G22" s="96" t="inlineStr">
        <is>
          <t>LX PANTOS (THAILAND) CO., LTD.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HASLS22260900880</t>
        </is>
      </c>
      <c r="N22" s="96" t="inlineStr">
        <is>
          <t xml:space="preserve">20'x2 </t>
        </is>
      </c>
      <c r="O22" s="111" t="inlineStr">
        <is>
          <t>2024</t>
        </is>
      </c>
      <c r="P22" s="111" t="n"/>
      <c r="Q22" s="111" t="n"/>
      <c r="R22" s="96" t="inlineStr">
        <is>
          <t>SWIC</t>
        </is>
      </c>
      <c r="S22" s="96" t="inlineStr">
        <is>
          <t>2611N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2026-10-17</t>
        </is>
      </c>
      <c r="W22" s="96" t="inlineStr">
        <is>
          <t>KRUSN</t>
        </is>
      </c>
      <c r="X22" s="161" t="inlineStr">
        <is>
          <t>2026-10-26</t>
        </is>
      </c>
      <c r="Y22" s="97" t="n"/>
      <c r="Z22" s="97" t="n"/>
      <c r="AA22" s="97" t="n"/>
      <c r="AB22" s="97" t="n"/>
      <c r="AC22" s="97" t="n"/>
      <c r="AD22" s="161" t="inlineStr">
        <is>
          <t>2026-10-13</t>
        </is>
      </c>
      <c r="AE22" s="174" t="inlineStr">
        <is>
          <t>1200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LX PANTOS CO., LTD.</t>
        </is>
      </c>
      <c r="AK22" s="130" t="n"/>
    </row>
    <row r="23" ht="12" customHeight="1">
      <c r="A23" s="108" t="inlineStr">
        <is>
          <t>HALU2505219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2026-10-13</t>
        </is>
      </c>
      <c r="E23" s="173" t="inlineStr">
        <is>
          <t>1009</t>
        </is>
      </c>
      <c r="F23" s="96" t="inlineStr">
        <is>
          <t>HASLS22260902030</t>
        </is>
      </c>
      <c r="G23" s="96" t="inlineStr">
        <is>
          <t>DOW CHEMICAL THAILAND LTD.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HASLS22260902030</t>
        </is>
      </c>
      <c r="N23" s="96" t="inlineStr">
        <is>
          <t xml:space="preserve">20'x1 </t>
        </is>
      </c>
      <c r="O23" s="111" t="inlineStr">
        <is>
          <t>2025</t>
        </is>
      </c>
      <c r="P23" s="111" t="n"/>
      <c r="Q23" s="111" t="n"/>
      <c r="R23" s="96" t="inlineStr">
        <is>
          <t>SWIC</t>
        </is>
      </c>
      <c r="S23" s="96" t="inlineStr">
        <is>
          <t>2611N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2026-10-17</t>
        </is>
      </c>
      <c r="W23" s="96" t="inlineStr">
        <is>
          <t>JPYKK</t>
        </is>
      </c>
      <c r="X23" s="161" t="inlineStr">
        <is>
          <t>2026-10-25</t>
        </is>
      </c>
      <c r="Y23" s="97" t="n"/>
      <c r="Z23" s="97" t="n"/>
      <c r="AA23" s="97" t="n"/>
      <c r="AB23" s="97" t="n"/>
      <c r="AC23" s="97" t="n"/>
      <c r="AD23" s="161" t="inlineStr">
        <is>
          <t>2026-10-13</t>
        </is>
      </c>
      <c r="AE23" s="174" t="inlineStr">
        <is>
          <t>1400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DOW CHEMICAL JAPAN LIMITED</t>
        </is>
      </c>
      <c r="AK23" s="130" t="n"/>
    </row>
    <row r="24" ht="12" customHeight="1">
      <c r="A24" s="108" t="inlineStr">
        <is>
          <t>HALU2517225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2026-10-13</t>
        </is>
      </c>
      <c r="E24" s="173" t="inlineStr">
        <is>
          <t>0033</t>
        </is>
      </c>
      <c r="F24" s="96" t="inlineStr">
        <is>
          <t>HASLS22260902028</t>
        </is>
      </c>
      <c r="G24" s="96" t="inlineStr">
        <is>
          <t>DOW CHEMICAL THAILAND LTD.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HASLS22260902028</t>
        </is>
      </c>
      <c r="N24" s="96" t="inlineStr">
        <is>
          <t xml:space="preserve">20'x1 </t>
        </is>
      </c>
      <c r="O24" s="111" t="inlineStr">
        <is>
          <t>2025</t>
        </is>
      </c>
      <c r="P24" s="111" t="n"/>
      <c r="Q24" s="111" t="n"/>
      <c r="R24" s="96" t="inlineStr">
        <is>
          <t>SWIC</t>
        </is>
      </c>
      <c r="S24" s="96" t="inlineStr">
        <is>
          <t>2611N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2026-10-17</t>
        </is>
      </c>
      <c r="W24" s="96" t="inlineStr">
        <is>
          <t>JPYKK</t>
        </is>
      </c>
      <c r="X24" s="161" t="inlineStr">
        <is>
          <t>2026-10-25</t>
        </is>
      </c>
      <c r="Y24" s="97" t="n"/>
      <c r="Z24" s="97" t="n"/>
      <c r="AA24" s="97" t="n"/>
      <c r="AB24" s="97" t="n"/>
      <c r="AC24" s="97" t="n"/>
      <c r="AD24" s="161" t="inlineStr">
        <is>
          <t>2026-10-13</t>
        </is>
      </c>
      <c r="AE24" s="174" t="inlineStr">
        <is>
          <t>0400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DOW CHEMICAL JAPAN LIMITED</t>
        </is>
      </c>
      <c r="AK24" s="130" t="n"/>
    </row>
    <row r="25" ht="12" customHeight="1">
      <c r="A25" s="108" t="inlineStr">
        <is>
          <t>HALU5686609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2026-10-12</t>
        </is>
      </c>
      <c r="E25" s="173" t="inlineStr">
        <is>
          <t>1202</t>
        </is>
      </c>
      <c r="F25" s="96" t="inlineStr">
        <is>
          <t>HASLS22260900462</t>
        </is>
      </c>
      <c r="G25" s="96" t="inlineStr">
        <is>
          <t>WHA GC LOGISTICS COMPANY LIMITED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HASLS22260900462</t>
        </is>
      </c>
      <c r="N25" s="96" t="inlineStr">
        <is>
          <t xml:space="preserve">40Hx8 </t>
        </is>
      </c>
      <c r="O25" s="111" t="inlineStr">
        <is>
          <t>2015</t>
        </is>
      </c>
      <c r="P25" s="111" t="n"/>
      <c r="Q25" s="111" t="n"/>
      <c r="R25" s="96" t="inlineStr">
        <is>
          <t>SWIC</t>
        </is>
      </c>
      <c r="S25" s="96" t="inlineStr">
        <is>
          <t>2611N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2026-10-17</t>
        </is>
      </c>
      <c r="W25" s="96" t="inlineStr">
        <is>
          <t>VNSGN</t>
        </is>
      </c>
      <c r="X25" s="161" t="inlineStr">
        <is>
          <t>2026-10-18</t>
        </is>
      </c>
      <c r="Y25" s="97" t="n"/>
      <c r="Z25" s="97" t="n"/>
      <c r="AA25" s="97" t="n"/>
      <c r="AB25" s="97" t="n"/>
      <c r="AC25" s="97" t="n"/>
      <c r="AD25" s="161" t="inlineStr">
        <is>
          <t>2026-10-12</t>
        </is>
      </c>
      <c r="AE25" s="174" t="inlineStr">
        <is>
          <t>1644</t>
        </is>
      </c>
      <c r="AF25" s="96" t="inlineStr">
        <is>
          <t>EDI2</t>
        </is>
      </c>
      <c r="AG25" s="97" t="n"/>
      <c r="AH25" s="97" t="n"/>
      <c r="AI25" s="97" t="inlineStr">
        <is>
          <t>VAVBYA</t>
        </is>
      </c>
      <c r="AJ25" s="96" t="inlineStr">
        <is>
          <t>TO ORDER OF ASIA COMMERCIAL BANK,</t>
        </is>
      </c>
      <c r="AK25" s="130" t="n"/>
    </row>
    <row r="26" ht="12" customHeight="1">
      <c r="A26" s="108" t="inlineStr">
        <is>
          <t>HALU8501144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2026-10-13</t>
        </is>
      </c>
      <c r="E26" s="173" t="inlineStr">
        <is>
          <t>0653</t>
        </is>
      </c>
      <c r="F26" s="96" t="inlineStr">
        <is>
          <t>HASLS22261000784</t>
        </is>
      </c>
      <c r="G26" s="96" t="inlineStr">
        <is>
          <t>YJC (THAILAND) CO., LTD.</t>
        </is>
      </c>
      <c r="H26" s="111" t="inlineStr">
        <is>
          <t>45RE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HASLS22261000784</t>
        </is>
      </c>
      <c r="N26" s="96" t="inlineStr">
        <is>
          <t xml:space="preserve">R40Hx1 </t>
        </is>
      </c>
      <c r="O26" s="111" t="inlineStr">
        <is>
          <t>2025</t>
        </is>
      </c>
      <c r="P26" s="111" t="inlineStr">
        <is>
          <t>CARRIER</t>
        </is>
      </c>
      <c r="Q26" s="111" t="inlineStr">
        <is>
          <t>69NT40-571-112</t>
        </is>
      </c>
      <c r="R26" s="96" t="inlineStr">
        <is>
          <t>SWIC</t>
        </is>
      </c>
      <c r="S26" s="96" t="inlineStr">
        <is>
          <t>2611N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2026-10-17</t>
        </is>
      </c>
      <c r="W26" s="96" t="inlineStr">
        <is>
          <t>RUVVO</t>
        </is>
      </c>
      <c r="X26" s="161" t="inlineStr">
        <is>
          <t>2026-10-25</t>
        </is>
      </c>
      <c r="Y26" s="97" t="n"/>
      <c r="Z26" s="97" t="n"/>
      <c r="AA26" s="97" t="n"/>
      <c r="AB26" s="97" t="n"/>
      <c r="AC26" s="97" t="n"/>
      <c r="AD26" s="161" t="inlineStr">
        <is>
          <t>2026-10-13</t>
        </is>
      </c>
      <c r="AE26" s="174" t="inlineStr">
        <is>
          <t>1001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LLC APRIORY LOGISTIC</t>
        </is>
      </c>
      <c r="AK26" s="130" t="n"/>
    </row>
    <row r="27" ht="12" customHeight="1">
      <c r="A27" s="108" t="inlineStr">
        <is>
          <t>HLHU6409733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2026-10-12</t>
        </is>
      </c>
      <c r="E27" s="173" t="inlineStr">
        <is>
          <t>1849</t>
        </is>
      </c>
      <c r="F27" s="96" t="inlineStr">
        <is>
          <t>HASLS22260900462</t>
        </is>
      </c>
      <c r="G27" s="96" t="inlineStr">
        <is>
          <t>WHA GC LOGISTICS COMPANY LIMITED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HASLS22260900462</t>
        </is>
      </c>
      <c r="N27" s="96" t="inlineStr">
        <is>
          <t xml:space="preserve">40Hx8 </t>
        </is>
      </c>
      <c r="O27" s="111" t="inlineStr">
        <is>
          <t>2024</t>
        </is>
      </c>
      <c r="P27" s="111" t="n"/>
      <c r="Q27" s="111" t="n"/>
      <c r="R27" s="96" t="inlineStr">
        <is>
          <t>SWIC</t>
        </is>
      </c>
      <c r="S27" s="96" t="inlineStr">
        <is>
          <t>2611N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2026-10-17</t>
        </is>
      </c>
      <c r="W27" s="96" t="inlineStr">
        <is>
          <t>VNSGN</t>
        </is>
      </c>
      <c r="X27" s="161" t="inlineStr">
        <is>
          <t>2026-10-18</t>
        </is>
      </c>
      <c r="Y27" s="97" t="n"/>
      <c r="Z27" s="97" t="n"/>
      <c r="AA27" s="97" t="n"/>
      <c r="AB27" s="97" t="n"/>
      <c r="AC27" s="97" t="n"/>
      <c r="AD27" s="161" t="inlineStr">
        <is>
          <t>2026-10-12</t>
        </is>
      </c>
      <c r="AE27" s="174" t="inlineStr">
        <is>
          <t>2200</t>
        </is>
      </c>
      <c r="AF27" s="96" t="inlineStr">
        <is>
          <t>EDI2</t>
        </is>
      </c>
      <c r="AG27" s="97" t="n"/>
      <c r="AH27" s="97" t="n"/>
      <c r="AI27" s="97" t="inlineStr">
        <is>
          <t>VAVBYA</t>
        </is>
      </c>
      <c r="AJ27" s="96" t="inlineStr">
        <is>
          <t>TO ORDER OF ASIA COMMERCIAL BANK,</t>
        </is>
      </c>
      <c r="AK27" s="130" t="n"/>
    </row>
    <row r="28" ht="12" customHeight="1">
      <c r="A28" s="108" t="inlineStr">
        <is>
          <t>HLHU8436050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2026-10-13</t>
        </is>
      </c>
      <c r="E28" s="173" t="inlineStr">
        <is>
          <t>1158</t>
        </is>
      </c>
      <c r="F28" s="96" t="inlineStr">
        <is>
          <t>HASLS22260800970</t>
        </is>
      </c>
      <c r="G28" s="96" t="inlineStr">
        <is>
          <t>WHA GC LOGISTICS COMPANY LIMITED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HASLS22260800970</t>
        </is>
      </c>
      <c r="N28" s="96" t="inlineStr">
        <is>
          <t xml:space="preserve">40Hx9 </t>
        </is>
      </c>
      <c r="O28" s="111" t="inlineStr">
        <is>
          <t>2024</t>
        </is>
      </c>
      <c r="P28" s="111" t="n"/>
      <c r="Q28" s="111" t="n"/>
      <c r="R28" s="96" t="inlineStr">
        <is>
          <t>SWIC</t>
        </is>
      </c>
      <c r="S28" s="96" t="inlineStr">
        <is>
          <t>2611N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2026-10-17</t>
        </is>
      </c>
      <c r="W28" s="96" t="inlineStr">
        <is>
          <t>VNSGN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2026-10-13</t>
        </is>
      </c>
      <c r="AE28" s="174" t="inlineStr">
        <is>
          <t>1400</t>
        </is>
      </c>
      <c r="AF28" s="96" t="inlineStr">
        <is>
          <t>EDI2</t>
        </is>
      </c>
      <c r="AG28" s="97" t="n"/>
      <c r="AH28" s="97" t="n"/>
      <c r="AI28" s="97" t="inlineStr">
        <is>
          <t>VAVN33</t>
        </is>
      </c>
      <c r="AJ28" s="96" t="inlineStr">
        <is>
          <t>TO ORDER OF TECHCOMBANK - CHO LON</t>
        </is>
      </c>
      <c r="AK28" s="130" t="n"/>
    </row>
    <row r="29" ht="12" customHeight="1">
      <c r="A29" s="108" t="inlineStr">
        <is>
          <t>HLHU8438026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2026-10-13</t>
        </is>
      </c>
      <c r="E29" s="173" t="inlineStr">
        <is>
          <t>1039</t>
        </is>
      </c>
      <c r="F29" s="96" t="inlineStr">
        <is>
          <t>HASLS22260800970</t>
        </is>
      </c>
      <c r="G29" s="96" t="inlineStr">
        <is>
          <t>WHA GC LOGISTICS COMPANY LIMITED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HASLS22260800970</t>
        </is>
      </c>
      <c r="N29" s="96" t="inlineStr">
        <is>
          <t xml:space="preserve">40Hx9 </t>
        </is>
      </c>
      <c r="O29" s="111" t="inlineStr">
        <is>
          <t>2024</t>
        </is>
      </c>
      <c r="P29" s="111" t="n"/>
      <c r="Q29" s="111" t="n"/>
      <c r="R29" s="96" t="inlineStr">
        <is>
          <t>SWIC</t>
        </is>
      </c>
      <c r="S29" s="96" t="inlineStr">
        <is>
          <t>2611N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2026-10-17</t>
        </is>
      </c>
      <c r="W29" s="96" t="inlineStr">
        <is>
          <t>VNSGN</t>
        </is>
      </c>
      <c r="X29" s="161" t="inlineStr">
        <is>
          <t>2026-10-18</t>
        </is>
      </c>
      <c r="Y29" s="97" t="n"/>
      <c r="Z29" s="97" t="n"/>
      <c r="AA29" s="97" t="n"/>
      <c r="AB29" s="97" t="n"/>
      <c r="AC29" s="97" t="n"/>
      <c r="AD29" s="161" t="inlineStr">
        <is>
          <t>2026-10-13</t>
        </is>
      </c>
      <c r="AE29" s="174" t="inlineStr">
        <is>
          <t>1400</t>
        </is>
      </c>
      <c r="AF29" s="96" t="inlineStr">
        <is>
          <t>EDI2</t>
        </is>
      </c>
      <c r="AG29" s="97" t="n"/>
      <c r="AH29" s="97" t="n"/>
      <c r="AI29" s="97" t="inlineStr">
        <is>
          <t>VAVN33</t>
        </is>
      </c>
      <c r="AJ29" s="96" t="inlineStr">
        <is>
          <t>TO ORDER OF TECHCOMBANK - CHO LON</t>
        </is>
      </c>
      <c r="AK29" s="130" t="n"/>
    </row>
    <row r="30" ht="12" customHeight="1">
      <c r="A30" s="108" t="inlineStr">
        <is>
          <t>HLHU8461751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1120</t>
        </is>
      </c>
      <c r="F30" s="96" t="inlineStr">
        <is>
          <t>HASLS22260800970</t>
        </is>
      </c>
      <c r="G30" s="96" t="inlineStr">
        <is>
          <t>WHA GC LOGISTICS COMPANY LIMITED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HASLS22260800970</t>
        </is>
      </c>
      <c r="N30" s="96" t="inlineStr">
        <is>
          <t xml:space="preserve">40Hx9 </t>
        </is>
      </c>
      <c r="O30" s="111" t="inlineStr">
        <is>
          <t>2024</t>
        </is>
      </c>
      <c r="P30" s="111" t="n"/>
      <c r="Q30" s="111" t="n"/>
      <c r="R30" s="96" t="inlineStr">
        <is>
          <t>SWIC</t>
        </is>
      </c>
      <c r="S30" s="96" t="inlineStr">
        <is>
          <t>2611N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2026-10-17</t>
        </is>
      </c>
      <c r="W30" s="96" t="inlineStr">
        <is>
          <t>VNSGN</t>
        </is>
      </c>
      <c r="X30" s="161" t="inlineStr">
        <is>
          <t>2026-10-18</t>
        </is>
      </c>
      <c r="Y30" s="97" t="n"/>
      <c r="Z30" s="97" t="n"/>
      <c r="AA30" s="97" t="n"/>
      <c r="AB30" s="97" t="n"/>
      <c r="AC30" s="97" t="n"/>
      <c r="AD30" s="161" t="inlineStr">
        <is>
          <t>2026-10-13</t>
        </is>
      </c>
      <c r="AE30" s="174" t="inlineStr">
        <is>
          <t>1400</t>
        </is>
      </c>
      <c r="AF30" s="96" t="inlineStr">
        <is>
          <t>EDI2</t>
        </is>
      </c>
      <c r="AG30" s="97" t="n"/>
      <c r="AH30" s="97" t="n"/>
      <c r="AI30" s="97" t="inlineStr">
        <is>
          <t>VAVN33</t>
        </is>
      </c>
      <c r="AJ30" s="96" t="inlineStr">
        <is>
          <t>TO ORDER OF TECHCOMBANK - CHO LON</t>
        </is>
      </c>
      <c r="AK30" s="130" t="n"/>
    </row>
    <row r="31" ht="12" customHeight="1">
      <c r="A31" s="108" t="inlineStr">
        <is>
          <t>HLHU8468118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2026-10-10</t>
        </is>
      </c>
      <c r="E31" s="173" t="inlineStr">
        <is>
          <t>1730</t>
        </is>
      </c>
      <c r="F31" s="96" t="inlineStr">
        <is>
          <t>HASLS22260902743</t>
        </is>
      </c>
      <c r="G31" s="96" t="inlineStr">
        <is>
          <t>CANVAS GLOBAL LOGISTICS (THAILAND)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HASLS22260902743</t>
        </is>
      </c>
      <c r="N31" s="96" t="inlineStr">
        <is>
          <t xml:space="preserve">40Hx2 </t>
        </is>
      </c>
      <c r="O31" s="111" t="inlineStr">
        <is>
          <t>2024</t>
        </is>
      </c>
      <c r="P31" s="111" t="n"/>
      <c r="Q31" s="111" t="n"/>
      <c r="R31" s="96" t="inlineStr">
        <is>
          <t>SWIC</t>
        </is>
      </c>
      <c r="S31" s="96" t="inlineStr">
        <is>
          <t>2611N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2026-10-17</t>
        </is>
      </c>
      <c r="W31" s="96" t="inlineStr">
        <is>
          <t>VNSGN</t>
        </is>
      </c>
      <c r="X31" s="161" t="inlineStr">
        <is>
          <t>2026-10-18</t>
        </is>
      </c>
      <c r="Y31" s="97" t="n"/>
      <c r="Z31" s="97" t="n"/>
      <c r="AA31" s="97" t="n"/>
      <c r="AB31" s="97" t="n"/>
      <c r="AC31" s="97" t="n"/>
      <c r="AD31" s="161" t="inlineStr">
        <is>
          <t>2026-10-10</t>
        </is>
      </c>
      <c r="AE31" s="174" t="inlineStr">
        <is>
          <t>2000</t>
        </is>
      </c>
      <c r="AF31" s="96" t="inlineStr">
        <is>
          <t>EDI2</t>
        </is>
      </c>
      <c r="AG31" s="97" t="n"/>
      <c r="AH31" s="97" t="n"/>
      <c r="AI31" s="97" t="inlineStr">
        <is>
          <t>VAVVLE</t>
        </is>
      </c>
      <c r="AJ31" s="96" t="inlineStr">
        <is>
          <t>THAMI CORPORATION</t>
        </is>
      </c>
      <c r="AK31" s="130" t="n"/>
    </row>
    <row r="32" ht="12" customHeight="1">
      <c r="A32" s="108" t="inlineStr">
        <is>
          <t>HLHU8572082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2026-10-12</t>
        </is>
      </c>
      <c r="E32" s="173" t="inlineStr">
        <is>
          <t>1403</t>
        </is>
      </c>
      <c r="F32" s="96" t="inlineStr">
        <is>
          <t>HASLS22260902744</t>
        </is>
      </c>
      <c r="G32" s="96" t="inlineStr">
        <is>
          <t>CANVAS GLOBAL LOGISTICS (THAILAND) CO., 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HASLS22260902744</t>
        </is>
      </c>
      <c r="N32" s="96" t="inlineStr">
        <is>
          <t xml:space="preserve">40Hx2 </t>
        </is>
      </c>
      <c r="O32" s="111" t="inlineStr">
        <is>
          <t>2025</t>
        </is>
      </c>
      <c r="P32" s="111" t="n"/>
      <c r="Q32" s="111" t="n"/>
      <c r="R32" s="96" t="inlineStr">
        <is>
          <t>SWIC</t>
        </is>
      </c>
      <c r="S32" s="96" t="inlineStr">
        <is>
          <t>2611N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2026-10-17</t>
        </is>
      </c>
      <c r="W32" s="96" t="inlineStr">
        <is>
          <t>VNSGN</t>
        </is>
      </c>
      <c r="X32" s="161" t="inlineStr">
        <is>
          <t>2026-10-18</t>
        </is>
      </c>
      <c r="Y32" s="97" t="n"/>
      <c r="Z32" s="97" t="n"/>
      <c r="AA32" s="97" t="n"/>
      <c r="AB32" s="97" t="n"/>
      <c r="AC32" s="97" t="n"/>
      <c r="AD32" s="161" t="inlineStr">
        <is>
          <t>2026-10-12</t>
        </is>
      </c>
      <c r="AE32" s="174" t="inlineStr">
        <is>
          <t>1821</t>
        </is>
      </c>
      <c r="AF32" s="96" t="inlineStr">
        <is>
          <t>EDI2</t>
        </is>
      </c>
      <c r="AG32" s="97" t="n"/>
      <c r="AH32" s="97" t="n"/>
      <c r="AI32" s="97" t="inlineStr">
        <is>
          <t>VAVVLE</t>
        </is>
      </c>
      <c r="AJ32" s="96" t="inlineStr">
        <is>
          <t>THAMI CORPORATION</t>
        </is>
      </c>
      <c r="AK32" s="130" t="n"/>
    </row>
    <row r="33" ht="12" customHeight="1">
      <c r="A33" s="108" t="inlineStr">
        <is>
          <t>HLHU8589980</t>
        </is>
      </c>
      <c r="B33" s="108" t="inlineStr">
        <is>
          <t>LCH04</t>
        </is>
      </c>
      <c r="C33" s="108" t="inlineStr">
        <is>
          <t>IFV</t>
        </is>
      </c>
      <c r="D33" s="172" t="inlineStr">
        <is>
          <t>2026-10-13</t>
        </is>
      </c>
      <c r="E33" s="173" t="inlineStr">
        <is>
          <t>1014</t>
        </is>
      </c>
      <c r="F33" s="96" t="inlineStr">
        <is>
          <t>HASLS22260800970</t>
        </is>
      </c>
      <c r="G33" s="96" t="inlineStr">
        <is>
          <t>WHA GC LOGISTICS COMPANY LIMITED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HASLS22260800970</t>
        </is>
      </c>
      <c r="N33" s="96" t="inlineStr">
        <is>
          <t xml:space="preserve">40Hx9 </t>
        </is>
      </c>
      <c r="O33" s="111" t="inlineStr">
        <is>
          <t>2025</t>
        </is>
      </c>
      <c r="P33" s="111" t="n"/>
      <c r="Q33" s="111" t="n"/>
      <c r="R33" s="96" t="inlineStr">
        <is>
          <t>SWIC</t>
        </is>
      </c>
      <c r="S33" s="96" t="inlineStr">
        <is>
          <t>2611N</t>
        </is>
      </c>
      <c r="T33" s="96" t="inlineStr">
        <is>
          <t>LCH04</t>
        </is>
      </c>
      <c r="U33" s="96" t="inlineStr">
        <is>
          <t>THLCH</t>
        </is>
      </c>
      <c r="V33" s="161" t="inlineStr">
        <is>
          <t>2026-10-17</t>
        </is>
      </c>
      <c r="W33" s="96" t="inlineStr">
        <is>
          <t>VNSGN</t>
        </is>
      </c>
      <c r="X33" s="161" t="inlineStr">
        <is>
          <t>2026-10-18</t>
        </is>
      </c>
      <c r="Y33" s="97" t="n"/>
      <c r="Z33" s="97" t="n"/>
      <c r="AA33" s="97" t="n"/>
      <c r="AB33" s="97" t="n"/>
      <c r="AC33" s="97" t="n"/>
      <c r="AD33" s="161" t="inlineStr">
        <is>
          <t>2026-10-13</t>
        </is>
      </c>
      <c r="AE33" s="174" t="inlineStr">
        <is>
          <t>1400</t>
        </is>
      </c>
      <c r="AF33" s="96" t="inlineStr">
        <is>
          <t>EDI2</t>
        </is>
      </c>
      <c r="AG33" s="97" t="n"/>
      <c r="AH33" s="97" t="n"/>
      <c r="AI33" s="97" t="inlineStr">
        <is>
          <t>VAVN33</t>
        </is>
      </c>
      <c r="AJ33" s="96" t="inlineStr">
        <is>
          <t>TO ORDER OF TECHCOMBANK - CHO LON</t>
        </is>
      </c>
      <c r="AK33" s="130" t="n"/>
    </row>
    <row r="34" ht="12" customHeight="1">
      <c r="A34" s="108" t="inlineStr">
        <is>
          <t>SKHU1540516</t>
        </is>
      </c>
      <c r="B34" s="108" t="inlineStr">
        <is>
          <t>LCH04</t>
        </is>
      </c>
      <c r="C34" s="108" t="inlineStr">
        <is>
          <t>IFV</t>
        </is>
      </c>
      <c r="D34" s="172" t="inlineStr">
        <is>
          <t>2026-10-16</t>
        </is>
      </c>
      <c r="E34" s="173" t="inlineStr">
        <is>
          <t>2322</t>
        </is>
      </c>
      <c r="F34" s="96" t="inlineStr">
        <is>
          <t>HASLS22260901359</t>
        </is>
      </c>
      <c r="G34" s="96" t="inlineStr">
        <is>
          <t>LOTUS FREIGHT AND SERVICES CORP.,LTD.</t>
        </is>
      </c>
      <c r="H34" s="111" t="inlineStr">
        <is>
          <t>22PC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HASLS22260901359</t>
        </is>
      </c>
      <c r="N34" s="96" t="inlineStr">
        <is>
          <t xml:space="preserve">40FRx1 40Hx1 20FRx1 </t>
        </is>
      </c>
      <c r="O34" s="111" t="inlineStr">
        <is>
          <t>2015</t>
        </is>
      </c>
      <c r="P34" s="111" t="n"/>
      <c r="Q34" s="111" t="n"/>
      <c r="R34" s="96" t="inlineStr">
        <is>
          <t>SWIC</t>
        </is>
      </c>
      <c r="S34" s="96" t="inlineStr">
        <is>
          <t>2611N</t>
        </is>
      </c>
      <c r="T34" s="96" t="inlineStr">
        <is>
          <t>LCH04</t>
        </is>
      </c>
      <c r="U34" s="96" t="inlineStr">
        <is>
          <t>THLCH</t>
        </is>
      </c>
      <c r="V34" s="161" t="inlineStr">
        <is>
          <t>2026-10-17</t>
        </is>
      </c>
      <c r="W34" s="96" t="inlineStr">
        <is>
          <t>VNSGN</t>
        </is>
      </c>
      <c r="X34" s="161" t="inlineStr">
        <is>
          <t>2026-10-18</t>
        </is>
      </c>
      <c r="Y34" s="97" t="n"/>
      <c r="Z34" s="97" t="n"/>
      <c r="AA34" s="97" t="n"/>
      <c r="AB34" s="97" t="n"/>
      <c r="AC34" s="97" t="n"/>
      <c r="AD34" s="161" t="inlineStr">
        <is>
          <t>2026-10-17</t>
        </is>
      </c>
      <c r="AE34" s="174" t="inlineStr">
        <is>
          <t>0200</t>
        </is>
      </c>
      <c r="AF34" s="96" t="inlineStr">
        <is>
          <t>EDI2</t>
        </is>
      </c>
      <c r="AG34" s="97" t="n"/>
      <c r="AH34" s="97" t="n"/>
      <c r="AI34" s="97" t="inlineStr">
        <is>
          <t>VAVVZ6</t>
        </is>
      </c>
      <c r="AJ34" s="96" t="inlineStr">
        <is>
          <t>TP GLOBAL LOGISTICS</t>
        </is>
      </c>
      <c r="AK34" s="130" t="n"/>
    </row>
    <row r="35" ht="12" customHeight="1">
      <c r="A35" s="108" t="inlineStr">
        <is>
          <t>SKHU6201520</t>
        </is>
      </c>
      <c r="B35" s="108" t="inlineStr">
        <is>
          <t>LCH04</t>
        </is>
      </c>
      <c r="C35" s="108" t="inlineStr">
        <is>
          <t>IFV</t>
        </is>
      </c>
      <c r="D35" s="172" t="inlineStr">
        <is>
          <t>2026-10-13</t>
        </is>
      </c>
      <c r="E35" s="173" t="inlineStr">
        <is>
          <t>1109</t>
        </is>
      </c>
      <c r="F35" s="96" t="inlineStr">
        <is>
          <t>HASLS22260800970</t>
        </is>
      </c>
      <c r="G35" s="96" t="inlineStr">
        <is>
          <t>WHA GC LOGISTICS COMPANY LIMITED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HASLS22260800970</t>
        </is>
      </c>
      <c r="N35" s="96" t="inlineStr">
        <is>
          <t xml:space="preserve">40Hx9 </t>
        </is>
      </c>
      <c r="O35" s="111" t="inlineStr">
        <is>
          <t>2022</t>
        </is>
      </c>
      <c r="P35" s="111" t="n"/>
      <c r="Q35" s="111" t="n"/>
      <c r="R35" s="96" t="inlineStr">
        <is>
          <t>SWIC</t>
        </is>
      </c>
      <c r="S35" s="96" t="inlineStr">
        <is>
          <t>2611N</t>
        </is>
      </c>
      <c r="T35" s="96" t="inlineStr">
        <is>
          <t>LCH04</t>
        </is>
      </c>
      <c r="U35" s="96" t="inlineStr">
        <is>
          <t>THLCH</t>
        </is>
      </c>
      <c r="V35" s="161" t="inlineStr">
        <is>
          <t>2026-10-17</t>
        </is>
      </c>
      <c r="W35" s="96" t="inlineStr">
        <is>
          <t>VNSGN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2026-10-13</t>
        </is>
      </c>
      <c r="AE35" s="174" t="inlineStr">
        <is>
          <t>1400</t>
        </is>
      </c>
      <c r="AF35" s="96" t="inlineStr">
        <is>
          <t>EDI2</t>
        </is>
      </c>
      <c r="AG35" s="97" t="n"/>
      <c r="AH35" s="97" t="n"/>
      <c r="AI35" s="97" t="inlineStr">
        <is>
          <t>VAVN33</t>
        </is>
      </c>
      <c r="AJ35" s="96" t="inlineStr">
        <is>
          <t>TO ORDER OF TECHCOMBANK - CHO LON</t>
        </is>
      </c>
      <c r="AK35" s="130" t="n"/>
    </row>
    <row r="36" ht="12" customHeight="1">
      <c r="A36" s="108" t="inlineStr">
        <is>
          <t>SKHU6304513</t>
        </is>
      </c>
      <c r="B36" s="108" t="inlineStr">
        <is>
          <t>LCH04</t>
        </is>
      </c>
      <c r="C36" s="108" t="inlineStr">
        <is>
          <t>IFV</t>
        </is>
      </c>
      <c r="D36" s="172" t="inlineStr">
        <is>
          <t>2026-10-13</t>
        </is>
      </c>
      <c r="E36" s="173" t="inlineStr">
        <is>
          <t>1137</t>
        </is>
      </c>
      <c r="F36" s="96" t="inlineStr">
        <is>
          <t>HASLS22260800970</t>
        </is>
      </c>
      <c r="G36" s="96" t="inlineStr">
        <is>
          <t>WHA GC LOGISTICS COMPANY LIMITED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HASLS22260800970</t>
        </is>
      </c>
      <c r="N36" s="96" t="inlineStr">
        <is>
          <t xml:space="preserve">40Hx9 </t>
        </is>
      </c>
      <c r="O36" s="111" t="inlineStr">
        <is>
          <t>2023</t>
        </is>
      </c>
      <c r="P36" s="111" t="n"/>
      <c r="Q36" s="111" t="n"/>
      <c r="R36" s="96" t="inlineStr">
        <is>
          <t>SWIC</t>
        </is>
      </c>
      <c r="S36" s="96" t="inlineStr">
        <is>
          <t>2611N</t>
        </is>
      </c>
      <c r="T36" s="96" t="inlineStr">
        <is>
          <t>LCH04</t>
        </is>
      </c>
      <c r="U36" s="96" t="inlineStr">
        <is>
          <t>THLCH</t>
        </is>
      </c>
      <c r="V36" s="161" t="inlineStr">
        <is>
          <t>2026-10-17</t>
        </is>
      </c>
      <c r="W36" s="96" t="inlineStr">
        <is>
          <t>VNSGN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2026-10-13</t>
        </is>
      </c>
      <c r="AE36" s="174" t="inlineStr">
        <is>
          <t>1400</t>
        </is>
      </c>
      <c r="AF36" s="96" t="inlineStr">
        <is>
          <t>EDI2</t>
        </is>
      </c>
      <c r="AG36" s="97" t="n"/>
      <c r="AH36" s="97" t="n"/>
      <c r="AI36" s="97" t="inlineStr">
        <is>
          <t>VAVN33</t>
        </is>
      </c>
      <c r="AJ36" s="96" t="inlineStr">
        <is>
          <t>TO ORDER OF TECHCOMBANK - CHO LON</t>
        </is>
      </c>
      <c r="AK36" s="130" t="n"/>
    </row>
    <row r="37" ht="12" customHeight="1">
      <c r="A37" s="108" t="inlineStr">
        <is>
          <t>SKHU6306537</t>
        </is>
      </c>
      <c r="B37" s="108" t="inlineStr">
        <is>
          <t>LCH04</t>
        </is>
      </c>
      <c r="C37" s="108" t="inlineStr">
        <is>
          <t>IFV</t>
        </is>
      </c>
      <c r="D37" s="172" t="inlineStr">
        <is>
          <t>2026-10-10</t>
        </is>
      </c>
      <c r="E37" s="173" t="inlineStr">
        <is>
          <t>1323</t>
        </is>
      </c>
      <c r="F37" s="96" t="inlineStr">
        <is>
          <t>HASLS22260902743</t>
        </is>
      </c>
      <c r="G37" s="96" t="inlineStr">
        <is>
          <t>CANVAS GLOBAL LOGISTICS (THAILAND) CO., LTD.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HASLS22260902743</t>
        </is>
      </c>
      <c r="N37" s="96" t="inlineStr">
        <is>
          <t xml:space="preserve">40Hx2 </t>
        </is>
      </c>
      <c r="O37" s="111" t="inlineStr">
        <is>
          <t>2023</t>
        </is>
      </c>
      <c r="P37" s="111" t="n"/>
      <c r="Q37" s="111" t="n"/>
      <c r="R37" s="96" t="inlineStr">
        <is>
          <t>SWIC</t>
        </is>
      </c>
      <c r="S37" s="96" t="inlineStr">
        <is>
          <t>2611N</t>
        </is>
      </c>
      <c r="T37" s="96" t="inlineStr">
        <is>
          <t>LCH04</t>
        </is>
      </c>
      <c r="U37" s="96" t="inlineStr">
        <is>
          <t>THLCH</t>
        </is>
      </c>
      <c r="V37" s="161" t="inlineStr">
        <is>
          <t>2026-10-17</t>
        </is>
      </c>
      <c r="W37" s="96" t="inlineStr">
        <is>
          <t>VNSGN</t>
        </is>
      </c>
      <c r="X37" s="161" t="inlineStr">
        <is>
          <t>2026-10-18</t>
        </is>
      </c>
      <c r="Y37" s="97" t="n"/>
      <c r="Z37" s="97" t="n"/>
      <c r="AA37" s="97" t="n"/>
      <c r="AB37" s="97" t="n"/>
      <c r="AC37" s="97" t="n"/>
      <c r="AD37" s="161" t="inlineStr">
        <is>
          <t>2026-10-10</t>
        </is>
      </c>
      <c r="AE37" s="174" t="inlineStr">
        <is>
          <t>1600</t>
        </is>
      </c>
      <c r="AF37" s="96" t="inlineStr">
        <is>
          <t>EDI2</t>
        </is>
      </c>
      <c r="AG37" s="97" t="n"/>
      <c r="AH37" s="97" t="n"/>
      <c r="AI37" s="97" t="inlineStr">
        <is>
          <t>VAVVLE</t>
        </is>
      </c>
      <c r="AJ37" s="96" t="inlineStr">
        <is>
          <t>THAMI CORPORATION</t>
        </is>
      </c>
      <c r="AK37" s="130" t="n"/>
    </row>
    <row r="38" ht="12" customHeight="1">
      <c r="A38" s="108" t="inlineStr">
        <is>
          <t>SKHU6308587</t>
        </is>
      </c>
      <c r="B38" s="108" t="inlineStr">
        <is>
          <t>LCH04</t>
        </is>
      </c>
      <c r="C38" s="108" t="inlineStr">
        <is>
          <t>IFV</t>
        </is>
      </c>
      <c r="D38" s="172" t="inlineStr">
        <is>
          <t>2026-10-13</t>
        </is>
      </c>
      <c r="E38" s="173" t="inlineStr">
        <is>
          <t>2005</t>
        </is>
      </c>
      <c r="F38" s="96" t="inlineStr">
        <is>
          <t>HASLS22260902245</t>
        </is>
      </c>
      <c r="G38" s="96" t="inlineStr">
        <is>
          <t>WHA GC LOGISTICS COMPANY LIMITED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HASLS22260902245</t>
        </is>
      </c>
      <c r="N38" s="96" t="inlineStr">
        <is>
          <t xml:space="preserve">40Hx1 </t>
        </is>
      </c>
      <c r="O38" s="111" t="inlineStr">
        <is>
          <t>2023</t>
        </is>
      </c>
      <c r="P38" s="111" t="n"/>
      <c r="Q38" s="111" t="n"/>
      <c r="R38" s="96" t="inlineStr">
        <is>
          <t>SWIC</t>
        </is>
      </c>
      <c r="S38" s="96" t="inlineStr">
        <is>
          <t>2611N</t>
        </is>
      </c>
      <c r="T38" s="96" t="inlineStr">
        <is>
          <t>LCH04</t>
        </is>
      </c>
      <c r="U38" s="96" t="inlineStr">
        <is>
          <t>THLCH</t>
        </is>
      </c>
      <c r="V38" s="161" t="inlineStr">
        <is>
          <t>2026-10-17</t>
        </is>
      </c>
      <c r="W38" s="96" t="inlineStr">
        <is>
          <t>JPKIJ</t>
        </is>
      </c>
      <c r="X38" s="161" t="inlineStr">
        <is>
          <t>2026-10-25</t>
        </is>
      </c>
      <c r="Y38" s="97" t="n"/>
      <c r="Z38" s="97" t="n"/>
      <c r="AA38" s="97" t="n"/>
      <c r="AB38" s="97" t="n"/>
      <c r="AC38" s="97" t="n"/>
      <c r="AD38" s="161" t="inlineStr">
        <is>
          <t>2026-10-14</t>
        </is>
      </c>
      <c r="AE38" s="174" t="inlineStr">
        <is>
          <t>0000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INABATA &amp; CO.,LTD</t>
        </is>
      </c>
      <c r="AK38" s="130" t="n"/>
    </row>
    <row r="39" ht="12" customHeight="1">
      <c r="A39" s="108" t="inlineStr">
        <is>
          <t>SKHU6346205</t>
        </is>
      </c>
      <c r="B39" s="108" t="inlineStr">
        <is>
          <t>LCH04</t>
        </is>
      </c>
      <c r="C39" s="108" t="inlineStr">
        <is>
          <t>IFV</t>
        </is>
      </c>
      <c r="D39" s="172" t="inlineStr">
        <is>
          <t>2026-10-11</t>
        </is>
      </c>
      <c r="E39" s="173" t="inlineStr">
        <is>
          <t>2336</t>
        </is>
      </c>
      <c r="F39" s="96" t="inlineStr">
        <is>
          <t>HASLS22260900462</t>
        </is>
      </c>
      <c r="G39" s="96" t="inlineStr">
        <is>
          <t>WHA GC LOGISTICS COMPANY LIMITED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HASLS22260900462</t>
        </is>
      </c>
      <c r="N39" s="96" t="inlineStr">
        <is>
          <t xml:space="preserve">40Hx8 </t>
        </is>
      </c>
      <c r="O39" s="111" t="inlineStr">
        <is>
          <t>2023</t>
        </is>
      </c>
      <c r="P39" s="111" t="n"/>
      <c r="Q39" s="111" t="n"/>
      <c r="R39" s="96" t="inlineStr">
        <is>
          <t>SWIC</t>
        </is>
      </c>
      <c r="S39" s="96" t="inlineStr">
        <is>
          <t>2611N</t>
        </is>
      </c>
      <c r="T39" s="96" t="inlineStr">
        <is>
          <t>LCH04</t>
        </is>
      </c>
      <c r="U39" s="96" t="inlineStr">
        <is>
          <t>THLCH</t>
        </is>
      </c>
      <c r="V39" s="161" t="inlineStr">
        <is>
          <t>2026-10-17</t>
        </is>
      </c>
      <c r="W39" s="96" t="inlineStr">
        <is>
          <t>VNSGN</t>
        </is>
      </c>
      <c r="X39" s="161" t="inlineStr">
        <is>
          <t>2026-10-18</t>
        </is>
      </c>
      <c r="Y39" s="97" t="n"/>
      <c r="Z39" s="97" t="n"/>
      <c r="AA39" s="97" t="n"/>
      <c r="AB39" s="97" t="n"/>
      <c r="AC39" s="97" t="n"/>
      <c r="AD39" s="161" t="inlineStr">
        <is>
          <t>2026-10-12</t>
        </is>
      </c>
      <c r="AE39" s="174" t="inlineStr">
        <is>
          <t>0201</t>
        </is>
      </c>
      <c r="AF39" s="96" t="inlineStr">
        <is>
          <t>EDI2</t>
        </is>
      </c>
      <c r="AG39" s="97" t="n"/>
      <c r="AH39" s="97" t="n"/>
      <c r="AI39" s="97" t="inlineStr">
        <is>
          <t>VAVBYA</t>
        </is>
      </c>
      <c r="AJ39" s="96" t="inlineStr">
        <is>
          <t>TO ORDER OF ASIA COMMERCIAL BANK,</t>
        </is>
      </c>
      <c r="AK39" s="130" t="n"/>
    </row>
    <row r="40" ht="12" customHeight="1">
      <c r="A40" s="108" t="inlineStr">
        <is>
          <t>SKHU6402021</t>
        </is>
      </c>
      <c r="B40" s="108" t="inlineStr">
        <is>
          <t>LCH04</t>
        </is>
      </c>
      <c r="C40" s="108" t="inlineStr">
        <is>
          <t>IFV</t>
        </is>
      </c>
      <c r="D40" s="172" t="inlineStr">
        <is>
          <t>2026-10-13</t>
        </is>
      </c>
      <c r="E40" s="173" t="inlineStr">
        <is>
          <t>0150</t>
        </is>
      </c>
      <c r="F40" s="96" t="inlineStr">
        <is>
          <t>HASLS22260902048</t>
        </is>
      </c>
      <c r="G40" s="96" t="inlineStr">
        <is>
          <t>WHA GC LOGISTICS COMPANY LIMITED</t>
        </is>
      </c>
      <c r="H40" s="111" t="inlineStr">
        <is>
          <t>45GP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HASLS22260902048</t>
        </is>
      </c>
      <c r="N40" s="96" t="inlineStr">
        <is>
          <t xml:space="preserve">40Hx1 </t>
        </is>
      </c>
      <c r="O40" s="111" t="inlineStr">
        <is>
          <t>2024</t>
        </is>
      </c>
      <c r="P40" s="111" t="n"/>
      <c r="Q40" s="111" t="n"/>
      <c r="R40" s="96" t="inlineStr">
        <is>
          <t>SWIC</t>
        </is>
      </c>
      <c r="S40" s="96" t="inlineStr">
        <is>
          <t>2611N</t>
        </is>
      </c>
      <c r="T40" s="96" t="inlineStr">
        <is>
          <t>LCH04</t>
        </is>
      </c>
      <c r="U40" s="96" t="inlineStr">
        <is>
          <t>THLCH</t>
        </is>
      </c>
      <c r="V40" s="161" t="inlineStr">
        <is>
          <t>2026-10-17</t>
        </is>
      </c>
      <c r="W40" s="96" t="inlineStr">
        <is>
          <t>VNSGN</t>
        </is>
      </c>
      <c r="X40" s="161" t="inlineStr">
        <is>
          <t>2026-10-18</t>
        </is>
      </c>
      <c r="Y40" s="97" t="n"/>
      <c r="Z40" s="97" t="n"/>
      <c r="AA40" s="97" t="n"/>
      <c r="AB40" s="97" t="n"/>
      <c r="AC40" s="97" t="n"/>
      <c r="AD40" s="161" t="inlineStr">
        <is>
          <t>2026-10-13</t>
        </is>
      </c>
      <c r="AE40" s="174" t="inlineStr">
        <is>
          <t>0400</t>
        </is>
      </c>
      <c r="AF40" s="96" t="inlineStr">
        <is>
          <t>EDI2</t>
        </is>
      </c>
      <c r="AG40" s="97" t="n"/>
      <c r="AH40" s="97" t="n"/>
      <c r="AI40" s="97" t="inlineStr">
        <is>
          <t>VAVDU3</t>
        </is>
      </c>
      <c r="AJ40" s="96" t="inlineStr">
        <is>
          <t>GC MARKETING SOLUTIONS VIETNAM</t>
        </is>
      </c>
      <c r="AK40" s="130" t="n"/>
    </row>
    <row r="41" ht="12" customHeight="1">
      <c r="A41" s="108" t="inlineStr">
        <is>
          <t>SKHU6508076</t>
        </is>
      </c>
      <c r="B41" s="108" t="inlineStr">
        <is>
          <t>LCH04</t>
        </is>
      </c>
      <c r="C41" s="108" t="inlineStr">
        <is>
          <t>IFV</t>
        </is>
      </c>
      <c r="D41" s="172" t="inlineStr">
        <is>
          <t>2026-10-13</t>
        </is>
      </c>
      <c r="E41" s="173" t="inlineStr">
        <is>
          <t>1839</t>
        </is>
      </c>
      <c r="F41" s="96" t="inlineStr">
        <is>
          <t>HASLS22260901519</t>
        </is>
      </c>
      <c r="G41" s="96" t="inlineStr">
        <is>
          <t>WHA GC LOGISTICS COMPANY LIMITED</t>
        </is>
      </c>
      <c r="H41" s="111" t="inlineStr">
        <is>
          <t>45GP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HASLS22260901519</t>
        </is>
      </c>
      <c r="N41" s="96" t="inlineStr">
        <is>
          <t xml:space="preserve">40Hx4 </t>
        </is>
      </c>
      <c r="O41" s="111" t="inlineStr">
        <is>
          <t>2025</t>
        </is>
      </c>
      <c r="P41" s="111" t="n"/>
      <c r="Q41" s="111" t="n"/>
      <c r="R41" s="96" t="inlineStr">
        <is>
          <t>SWIC</t>
        </is>
      </c>
      <c r="S41" s="96" t="inlineStr">
        <is>
          <t>2611N</t>
        </is>
      </c>
      <c r="T41" s="96" t="inlineStr">
        <is>
          <t>LCH04</t>
        </is>
      </c>
      <c r="U41" s="96" t="inlineStr">
        <is>
          <t>THLCH</t>
        </is>
      </c>
      <c r="V41" s="161" t="inlineStr">
        <is>
          <t>2026-10-17</t>
        </is>
      </c>
      <c r="W41" s="96" t="inlineStr">
        <is>
          <t>JPKIJ</t>
        </is>
      </c>
      <c r="X41" s="161" t="inlineStr">
        <is>
          <t>2026-10-25</t>
        </is>
      </c>
      <c r="Y41" s="97" t="n"/>
      <c r="Z41" s="97" t="n"/>
      <c r="AA41" s="97" t="n"/>
      <c r="AB41" s="97" t="n"/>
      <c r="AC41" s="97" t="n"/>
      <c r="AD41" s="161" t="inlineStr">
        <is>
          <t>2026-10-13</t>
        </is>
      </c>
      <c r="AE41" s="174" t="inlineStr">
        <is>
          <t>2200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INABATA &amp; CO.,LTD</t>
        </is>
      </c>
      <c r="AK41" s="130" t="n"/>
    </row>
    <row r="42" ht="12" customHeight="1">
      <c r="A42" s="108" t="inlineStr">
        <is>
          <t>SKHU6522747</t>
        </is>
      </c>
      <c r="B42" s="108" t="inlineStr">
        <is>
          <t>LCH04</t>
        </is>
      </c>
      <c r="C42" s="108" t="inlineStr">
        <is>
          <t>IFV</t>
        </is>
      </c>
      <c r="D42" s="172" t="inlineStr">
        <is>
          <t>2026-10-13</t>
        </is>
      </c>
      <c r="E42" s="173" t="inlineStr">
        <is>
          <t>1843</t>
        </is>
      </c>
      <c r="F42" s="96" t="inlineStr">
        <is>
          <t>HASLS22260901519</t>
        </is>
      </c>
      <c r="G42" s="96" t="inlineStr">
        <is>
          <t>WHA GC LOGISTICS COMPANY LIMITED</t>
        </is>
      </c>
      <c r="H42" s="111" t="inlineStr">
        <is>
          <t>45GP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HASLS22260901519</t>
        </is>
      </c>
      <c r="N42" s="96" t="inlineStr">
        <is>
          <t xml:space="preserve">40Hx4 </t>
        </is>
      </c>
      <c r="O42" s="111" t="inlineStr">
        <is>
          <t>2025</t>
        </is>
      </c>
      <c r="P42" s="111" t="n"/>
      <c r="Q42" s="111" t="n"/>
      <c r="R42" s="96" t="inlineStr">
        <is>
          <t>SWIC</t>
        </is>
      </c>
      <c r="S42" s="96" t="inlineStr">
        <is>
          <t>2611N</t>
        </is>
      </c>
      <c r="T42" s="96" t="inlineStr">
        <is>
          <t>LCH04</t>
        </is>
      </c>
      <c r="U42" s="96" t="inlineStr">
        <is>
          <t>THLCH</t>
        </is>
      </c>
      <c r="V42" s="161" t="inlineStr">
        <is>
          <t>2026-10-17</t>
        </is>
      </c>
      <c r="W42" s="96" t="inlineStr">
        <is>
          <t>JPKIJ</t>
        </is>
      </c>
      <c r="X42" s="161" t="inlineStr">
        <is>
          <t>2026-10-25</t>
        </is>
      </c>
      <c r="Y42" s="97" t="n"/>
      <c r="Z42" s="97" t="n"/>
      <c r="AA42" s="97" t="n"/>
      <c r="AB42" s="97" t="n"/>
      <c r="AC42" s="97" t="n"/>
      <c r="AD42" s="161" t="inlineStr">
        <is>
          <t>2026-10-13</t>
        </is>
      </c>
      <c r="AE42" s="174" t="inlineStr">
        <is>
          <t>2200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INABATA &amp; CO.,LTD</t>
        </is>
      </c>
      <c r="AK42" s="130" t="n"/>
    </row>
    <row r="43" ht="12" customHeight="1">
      <c r="A43" s="108" t="inlineStr">
        <is>
          <t>SKHU8712221</t>
        </is>
      </c>
      <c r="B43" s="108" t="inlineStr">
        <is>
          <t>LCH04</t>
        </is>
      </c>
      <c r="C43" s="108" t="inlineStr">
        <is>
          <t>IFV</t>
        </is>
      </c>
      <c r="D43" s="172" t="inlineStr">
        <is>
          <t>2026-10-12</t>
        </is>
      </c>
      <c r="E43" s="173" t="inlineStr">
        <is>
          <t>2051</t>
        </is>
      </c>
      <c r="F43" s="96" t="inlineStr">
        <is>
          <t>HASLS22260902670</t>
        </is>
      </c>
      <c r="G43" s="96" t="inlineStr">
        <is>
          <t>KORCHINA FREIGHT (THAILAND) CO., LTD.</t>
        </is>
      </c>
      <c r="H43" s="111" t="inlineStr">
        <is>
          <t>45GP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HASLS22260902670</t>
        </is>
      </c>
      <c r="N43" s="96" t="inlineStr">
        <is>
          <t xml:space="preserve">40Hx1 </t>
        </is>
      </c>
      <c r="O43" s="111" t="inlineStr">
        <is>
          <t>2007</t>
        </is>
      </c>
      <c r="P43" s="111" t="n"/>
      <c r="Q43" s="111" t="n"/>
      <c r="R43" s="96" t="inlineStr">
        <is>
          <t>SWBT</t>
        </is>
      </c>
      <c r="S43" s="96" t="inlineStr">
        <is>
          <t>2616N</t>
        </is>
      </c>
      <c r="T43" s="96" t="inlineStr">
        <is>
          <t>LCH04</t>
        </is>
      </c>
      <c r="U43" s="96" t="inlineStr">
        <is>
          <t>THLCH</t>
        </is>
      </c>
      <c r="V43" s="161" t="inlineStr">
        <is>
          <t>2026-10-17</t>
        </is>
      </c>
      <c r="W43" s="96" t="inlineStr">
        <is>
          <t>VNSGN</t>
        </is>
      </c>
      <c r="X43" s="161" t="inlineStr">
        <is>
          <t>2026-10-18</t>
        </is>
      </c>
      <c r="Y43" s="97" t="n"/>
      <c r="Z43" s="97" t="n"/>
      <c r="AA43" s="97" t="n"/>
      <c r="AB43" s="97" t="n"/>
      <c r="AC43" s="97" t="n"/>
      <c r="AD43" s="161" t="inlineStr">
        <is>
          <t>2026-10-13</t>
        </is>
      </c>
      <c r="AE43" s="174" t="inlineStr">
        <is>
          <t>0000</t>
        </is>
      </c>
      <c r="AF43" s="96" t="inlineStr">
        <is>
          <t>EDI2</t>
        </is>
      </c>
      <c r="AG43" s="97" t="n"/>
      <c r="AH43" s="97" t="n"/>
      <c r="AI43" s="97" t="inlineStr">
        <is>
          <t>VAVPST</t>
        </is>
      </c>
      <c r="AJ43" s="96" t="inlineStr">
        <is>
          <t>HS HYOSUNG GLOBAL LOGISTICS VINA</t>
        </is>
      </c>
      <c r="AK43" s="130" t="n"/>
    </row>
    <row r="44" ht="12" customHeight="1">
      <c r="A44" s="108" t="inlineStr">
        <is>
          <t>SKHU9322608</t>
        </is>
      </c>
      <c r="B44" s="108" t="inlineStr">
        <is>
          <t>LCH04</t>
        </is>
      </c>
      <c r="C44" s="108" t="inlineStr">
        <is>
          <t>IFV</t>
        </is>
      </c>
      <c r="D44" s="172" t="inlineStr">
        <is>
          <t>2026-10-12</t>
        </is>
      </c>
      <c r="E44" s="173" t="inlineStr">
        <is>
          <t>0614</t>
        </is>
      </c>
      <c r="F44" s="96" t="inlineStr">
        <is>
          <t>HASLS22260900462</t>
        </is>
      </c>
      <c r="G44" s="96" t="inlineStr">
        <is>
          <t>WHA GC LOGISTICS COMPANY LIMITED</t>
        </is>
      </c>
      <c r="H44" s="111" t="inlineStr">
        <is>
          <t>45GP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HASLS22260900462</t>
        </is>
      </c>
      <c r="N44" s="96" t="inlineStr">
        <is>
          <t xml:space="preserve">40Hx8 </t>
        </is>
      </c>
      <c r="O44" s="111" t="inlineStr">
        <is>
          <t>2013</t>
        </is>
      </c>
      <c r="P44" s="111" t="n"/>
      <c r="Q44" s="111" t="n"/>
      <c r="R44" s="96" t="inlineStr">
        <is>
          <t>SWIC</t>
        </is>
      </c>
      <c r="S44" s="96" t="inlineStr">
        <is>
          <t>2611N</t>
        </is>
      </c>
      <c r="T44" s="96" t="inlineStr">
        <is>
          <t>LCH04</t>
        </is>
      </c>
      <c r="U44" s="96" t="inlineStr">
        <is>
          <t>THLCH</t>
        </is>
      </c>
      <c r="V44" s="161" t="inlineStr">
        <is>
          <t>2026-10-17</t>
        </is>
      </c>
      <c r="W44" s="96" t="inlineStr">
        <is>
          <t>VNSGN</t>
        </is>
      </c>
      <c r="X44" s="161" t="inlineStr">
        <is>
          <t>2026-10-18</t>
        </is>
      </c>
      <c r="Y44" s="97" t="n"/>
      <c r="Z44" s="97" t="n"/>
      <c r="AA44" s="97" t="n"/>
      <c r="AB44" s="97" t="n"/>
      <c r="AC44" s="97" t="n"/>
      <c r="AD44" s="161" t="inlineStr">
        <is>
          <t>2026-10-12</t>
        </is>
      </c>
      <c r="AE44" s="174" t="inlineStr">
        <is>
          <t>1000</t>
        </is>
      </c>
      <c r="AF44" s="96" t="inlineStr">
        <is>
          <t>EDI2</t>
        </is>
      </c>
      <c r="AG44" s="97" t="n"/>
      <c r="AH44" s="97" t="n"/>
      <c r="AI44" s="97" t="inlineStr">
        <is>
          <t>VAVBYA</t>
        </is>
      </c>
      <c r="AJ44" s="96" t="inlineStr">
        <is>
          <t>TO ORDER OF ASIA COMMERCIAL BANK,</t>
        </is>
      </c>
      <c r="AK44" s="130" t="n"/>
    </row>
    <row r="45" ht="12" customHeight="1">
      <c r="A45" s="108" t="inlineStr">
        <is>
          <t>SKHU9547306</t>
        </is>
      </c>
      <c r="B45" s="108" t="inlineStr">
        <is>
          <t>LCH04</t>
        </is>
      </c>
      <c r="C45" s="108" t="inlineStr">
        <is>
          <t>IFV</t>
        </is>
      </c>
      <c r="D45" s="172" t="inlineStr">
        <is>
          <t>2026-10-12</t>
        </is>
      </c>
      <c r="E45" s="173" t="inlineStr">
        <is>
          <t>0058</t>
        </is>
      </c>
      <c r="F45" s="96" t="inlineStr">
        <is>
          <t>HASLS22260900462</t>
        </is>
      </c>
      <c r="G45" s="96" t="inlineStr">
        <is>
          <t>WHA GC LOGISTICS COMPANY LIMITED</t>
        </is>
      </c>
      <c r="H45" s="111" t="inlineStr">
        <is>
          <t>45GP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HASLS22260900462</t>
        </is>
      </c>
      <c r="N45" s="96" t="inlineStr">
        <is>
          <t xml:space="preserve">40Hx8 </t>
        </is>
      </c>
      <c r="O45" s="111" t="inlineStr">
        <is>
          <t>2015</t>
        </is>
      </c>
      <c r="P45" s="111" t="n"/>
      <c r="Q45" s="111" t="n"/>
      <c r="R45" s="96" t="inlineStr">
        <is>
          <t>SWIC</t>
        </is>
      </c>
      <c r="S45" s="96" t="inlineStr">
        <is>
          <t>2611N</t>
        </is>
      </c>
      <c r="T45" s="96" t="inlineStr">
        <is>
          <t>LCH04</t>
        </is>
      </c>
      <c r="U45" s="96" t="inlineStr">
        <is>
          <t>THLCH</t>
        </is>
      </c>
      <c r="V45" s="161" t="inlineStr">
        <is>
          <t>2026-10-17</t>
        </is>
      </c>
      <c r="W45" s="96" t="inlineStr">
        <is>
          <t>VNSGN</t>
        </is>
      </c>
      <c r="X45" s="161" t="inlineStr">
        <is>
          <t>2026-10-18</t>
        </is>
      </c>
      <c r="Y45" s="97" t="n"/>
      <c r="Z45" s="97" t="n"/>
      <c r="AA45" s="97" t="n"/>
      <c r="AB45" s="97" t="n"/>
      <c r="AC45" s="97" t="n"/>
      <c r="AD45" s="161" t="inlineStr">
        <is>
          <t>2026-10-12</t>
        </is>
      </c>
      <c r="AE45" s="174" t="inlineStr">
        <is>
          <t>0400</t>
        </is>
      </c>
      <c r="AF45" s="96" t="inlineStr">
        <is>
          <t>EDI2</t>
        </is>
      </c>
      <c r="AG45" s="97" t="n"/>
      <c r="AH45" s="97" t="n"/>
      <c r="AI45" s="97" t="inlineStr">
        <is>
          <t>VAVBYA</t>
        </is>
      </c>
      <c r="AJ45" s="96" t="inlineStr">
        <is>
          <t>TO ORDER OF ASIA COMMERCIAL BANK,</t>
        </is>
      </c>
      <c r="AK45" s="130" t="n"/>
    </row>
    <row r="46" ht="12" customHeight="1">
      <c r="A46" s="108" t="inlineStr">
        <is>
          <t>SKHU9555662</t>
        </is>
      </c>
      <c r="B46" s="108" t="inlineStr">
        <is>
          <t>LCH04</t>
        </is>
      </c>
      <c r="C46" s="108" t="inlineStr">
        <is>
          <t>IFV</t>
        </is>
      </c>
      <c r="D46" s="172" t="inlineStr">
        <is>
          <t>2026-10-11</t>
        </is>
      </c>
      <c r="E46" s="173" t="inlineStr">
        <is>
          <t>2115</t>
        </is>
      </c>
      <c r="F46" s="96" t="inlineStr">
        <is>
          <t>HASLS22260900462</t>
        </is>
      </c>
      <c r="G46" s="96" t="inlineStr">
        <is>
          <t>WHA GC LOGISTICS COMPANY LIMITED</t>
        </is>
      </c>
      <c r="H46" s="111" t="inlineStr">
        <is>
          <t>45GP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HASLS22260900462</t>
        </is>
      </c>
      <c r="N46" s="96" t="inlineStr">
        <is>
          <t xml:space="preserve">40Hx8 </t>
        </is>
      </c>
      <c r="O46" s="111" t="inlineStr">
        <is>
          <t>2015</t>
        </is>
      </c>
      <c r="P46" s="111" t="n"/>
      <c r="Q46" s="111" t="n"/>
      <c r="R46" s="96" t="inlineStr">
        <is>
          <t>SWIC</t>
        </is>
      </c>
      <c r="S46" s="96" t="inlineStr">
        <is>
          <t>2611N</t>
        </is>
      </c>
      <c r="T46" s="96" t="inlineStr">
        <is>
          <t>LCH04</t>
        </is>
      </c>
      <c r="U46" s="96" t="inlineStr">
        <is>
          <t>THLCH</t>
        </is>
      </c>
      <c r="V46" s="161" t="inlineStr">
        <is>
          <t>2026-10-17</t>
        </is>
      </c>
      <c r="W46" s="96" t="inlineStr">
        <is>
          <t>VNSGN</t>
        </is>
      </c>
      <c r="X46" s="161" t="inlineStr">
        <is>
          <t>2026-10-18</t>
        </is>
      </c>
      <c r="Y46" s="97" t="n"/>
      <c r="Z46" s="97" t="n"/>
      <c r="AA46" s="97" t="n"/>
      <c r="AB46" s="97" t="n"/>
      <c r="AC46" s="97" t="n"/>
      <c r="AD46" s="161" t="inlineStr">
        <is>
          <t>2026-10-12</t>
        </is>
      </c>
      <c r="AE46" s="174" t="inlineStr">
        <is>
          <t>0000</t>
        </is>
      </c>
      <c r="AF46" s="96" t="inlineStr">
        <is>
          <t>EDI2</t>
        </is>
      </c>
      <c r="AG46" s="97" t="n"/>
      <c r="AH46" s="97" t="n"/>
      <c r="AI46" s="97" t="inlineStr">
        <is>
          <t>VAVBYA</t>
        </is>
      </c>
      <c r="AJ46" s="96" t="inlineStr">
        <is>
          <t>TO ORDER OF ASIA COMMERCIAL BANK,</t>
        </is>
      </c>
      <c r="AK46" s="130" t="n"/>
    </row>
    <row r="47" ht="12" customHeight="1">
      <c r="A47" s="108" t="inlineStr">
        <is>
          <t>SKHU9612696</t>
        </is>
      </c>
      <c r="B47" s="108" t="inlineStr">
        <is>
          <t>LCH04</t>
        </is>
      </c>
      <c r="C47" s="108" t="inlineStr">
        <is>
          <t>IFV</t>
        </is>
      </c>
      <c r="D47" s="172" t="inlineStr">
        <is>
          <t>2026-10-10</t>
        </is>
      </c>
      <c r="E47" s="173" t="inlineStr">
        <is>
          <t>0024</t>
        </is>
      </c>
      <c r="F47" s="96" t="inlineStr">
        <is>
          <t>HASLS22260902647</t>
        </is>
      </c>
      <c r="G47" s="96" t="inlineStr">
        <is>
          <t>ALL CARGO SOLUTIONS CO., LTD.</t>
        </is>
      </c>
      <c r="H47" s="111" t="inlineStr">
        <is>
          <t>45GP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HASLS22260902647</t>
        </is>
      </c>
      <c r="N47" s="96" t="inlineStr">
        <is>
          <t xml:space="preserve">40Hx1 </t>
        </is>
      </c>
      <c r="O47" s="111" t="inlineStr">
        <is>
          <t>2016</t>
        </is>
      </c>
      <c r="P47" s="111" t="n"/>
      <c r="Q47" s="111" t="n"/>
      <c r="R47" s="96" t="inlineStr">
        <is>
          <t>SWIC</t>
        </is>
      </c>
      <c r="S47" s="96" t="inlineStr">
        <is>
          <t>2611N</t>
        </is>
      </c>
      <c r="T47" s="96" t="inlineStr">
        <is>
          <t>LCH04</t>
        </is>
      </c>
      <c r="U47" s="96" t="inlineStr">
        <is>
          <t>THLCH</t>
        </is>
      </c>
      <c r="V47" s="161" t="inlineStr">
        <is>
          <t>2026-10-17</t>
        </is>
      </c>
      <c r="W47" s="96" t="inlineStr">
        <is>
          <t>VNSGN</t>
        </is>
      </c>
      <c r="X47" s="161" t="inlineStr">
        <is>
          <t>2026-10-18</t>
        </is>
      </c>
      <c r="Y47" s="97" t="n"/>
      <c r="Z47" s="97" t="n"/>
      <c r="AA47" s="97" t="n"/>
      <c r="AB47" s="97" t="n"/>
      <c r="AC47" s="97" t="n"/>
      <c r="AD47" s="161" t="inlineStr">
        <is>
          <t>2026-10-10</t>
        </is>
      </c>
      <c r="AE47" s="174" t="inlineStr">
        <is>
          <t>0400</t>
        </is>
      </c>
      <c r="AF47" s="96" t="inlineStr">
        <is>
          <t>EDI2</t>
        </is>
      </c>
      <c r="AG47" s="97" t="n"/>
      <c r="AH47" s="97" t="n"/>
      <c r="AI47" s="97" t="inlineStr">
        <is>
          <t>VAVC35</t>
        </is>
      </c>
      <c r="AJ47" s="96" t="inlineStr">
        <is>
          <t>PANDA GLOBAL LOGISTICS CO., LTD.</t>
        </is>
      </c>
      <c r="AK47" s="130" t="n"/>
    </row>
    <row r="48" ht="12" customHeight="1">
      <c r="A48" s="108" t="inlineStr">
        <is>
          <t>SKHU9805062</t>
        </is>
      </c>
      <c r="B48" s="108" t="inlineStr">
        <is>
          <t>LCH04</t>
        </is>
      </c>
      <c r="C48" s="108" t="inlineStr">
        <is>
          <t>IFV</t>
        </is>
      </c>
      <c r="D48" s="172" t="inlineStr">
        <is>
          <t>2026-10-12</t>
        </is>
      </c>
      <c r="E48" s="173" t="inlineStr">
        <is>
          <t>1646</t>
        </is>
      </c>
      <c r="F48" s="96" t="inlineStr">
        <is>
          <t>HASLS22260901359</t>
        </is>
      </c>
      <c r="G48" s="96" t="inlineStr">
        <is>
          <t>LOTUS FREIGHT AND SERVICES CORP.,LTD.</t>
        </is>
      </c>
      <c r="H48" s="111" t="inlineStr">
        <is>
          <t>45GP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HASLS22260901359</t>
        </is>
      </c>
      <c r="N48" s="96" t="inlineStr">
        <is>
          <t xml:space="preserve">40FRx1 40Hx1 20FRx1 </t>
        </is>
      </c>
      <c r="O48" s="111" t="inlineStr">
        <is>
          <t>2018</t>
        </is>
      </c>
      <c r="P48" s="111" t="n"/>
      <c r="Q48" s="111" t="n"/>
      <c r="R48" s="96" t="inlineStr">
        <is>
          <t>SWIC</t>
        </is>
      </c>
      <c r="S48" s="96" t="inlineStr">
        <is>
          <t>2611N</t>
        </is>
      </c>
      <c r="T48" s="96" t="inlineStr">
        <is>
          <t>LCH04</t>
        </is>
      </c>
      <c r="U48" s="96" t="inlineStr">
        <is>
          <t>THLCH</t>
        </is>
      </c>
      <c r="V48" s="161" t="inlineStr">
        <is>
          <t>2026-10-17</t>
        </is>
      </c>
      <c r="W48" s="96" t="inlineStr">
        <is>
          <t>VNSGN</t>
        </is>
      </c>
      <c r="X48" s="161" t="inlineStr">
        <is>
          <t>2026-10-18</t>
        </is>
      </c>
      <c r="Y48" s="97" t="n"/>
      <c r="Z48" s="97" t="n"/>
      <c r="AA48" s="97" t="n"/>
      <c r="AB48" s="97" t="n"/>
      <c r="AC48" s="97" t="n"/>
      <c r="AD48" s="161" t="inlineStr">
        <is>
          <t>2026-10-12</t>
        </is>
      </c>
      <c r="AE48" s="174" t="inlineStr">
        <is>
          <t>2001</t>
        </is>
      </c>
      <c r="AF48" s="96" t="inlineStr">
        <is>
          <t>EDI2</t>
        </is>
      </c>
      <c r="AG48" s="97" t="n"/>
      <c r="AH48" s="97" t="n"/>
      <c r="AI48" s="97" t="inlineStr">
        <is>
          <t>VAVVZ6</t>
        </is>
      </c>
      <c r="AJ48" s="96" t="inlineStr">
        <is>
          <t>TP GLOBAL LOGISTICS</t>
        </is>
      </c>
      <c r="AK48" s="130" t="n"/>
    </row>
    <row r="49" ht="12" customHeight="1">
      <c r="A49" s="108" t="inlineStr">
        <is>
          <t>SKHU9827919</t>
        </is>
      </c>
      <c r="B49" s="108" t="inlineStr">
        <is>
          <t>LCH04</t>
        </is>
      </c>
      <c r="C49" s="108" t="inlineStr">
        <is>
          <t>IFV</t>
        </is>
      </c>
      <c r="D49" s="172" t="inlineStr">
        <is>
          <t>2026-10-13</t>
        </is>
      </c>
      <c r="E49" s="173" t="inlineStr">
        <is>
          <t>1213</t>
        </is>
      </c>
      <c r="F49" s="96" t="inlineStr">
        <is>
          <t>HASLS22260800970</t>
        </is>
      </c>
      <c r="G49" s="96" t="inlineStr">
        <is>
          <t>WHA GC LOGISTICS COMPANY LIMITED</t>
        </is>
      </c>
      <c r="H49" s="111" t="inlineStr">
        <is>
          <t>45GP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HASLS22260800970</t>
        </is>
      </c>
      <c r="N49" s="96" t="inlineStr">
        <is>
          <t xml:space="preserve">40Hx9 </t>
        </is>
      </c>
      <c r="O49" s="111" t="inlineStr">
        <is>
          <t>2018</t>
        </is>
      </c>
      <c r="P49" s="111" t="n"/>
      <c r="Q49" s="111" t="n"/>
      <c r="R49" s="96" t="inlineStr">
        <is>
          <t>SWIC</t>
        </is>
      </c>
      <c r="S49" s="96" t="inlineStr">
        <is>
          <t>2611N</t>
        </is>
      </c>
      <c r="T49" s="96" t="inlineStr">
        <is>
          <t>LCH04</t>
        </is>
      </c>
      <c r="U49" s="96" t="inlineStr">
        <is>
          <t>THLCH</t>
        </is>
      </c>
      <c r="V49" s="161" t="inlineStr">
        <is>
          <t>2026-10-17</t>
        </is>
      </c>
      <c r="W49" s="96" t="inlineStr">
        <is>
          <t>VNSGN</t>
        </is>
      </c>
      <c r="X49" s="161" t="inlineStr">
        <is>
          <t>2026-10-18</t>
        </is>
      </c>
      <c r="Y49" s="97" t="n"/>
      <c r="Z49" s="97" t="n"/>
      <c r="AA49" s="97" t="n"/>
      <c r="AB49" s="97" t="n"/>
      <c r="AC49" s="97" t="n"/>
      <c r="AD49" s="161" t="inlineStr">
        <is>
          <t>2026-10-13</t>
        </is>
      </c>
      <c r="AE49" s="174" t="inlineStr">
        <is>
          <t>1600</t>
        </is>
      </c>
      <c r="AF49" s="96" t="inlineStr">
        <is>
          <t>EDI2</t>
        </is>
      </c>
      <c r="AG49" s="97" t="n"/>
      <c r="AH49" s="97" t="n"/>
      <c r="AI49" s="97" t="inlineStr">
        <is>
          <t>VAVN33</t>
        </is>
      </c>
      <c r="AJ49" s="96" t="inlineStr">
        <is>
          <t>TO ORDER OF TECHCOMBANK - CHO LON</t>
        </is>
      </c>
      <c r="AK49" s="130" t="n"/>
    </row>
    <row r="50" ht="12" customHeight="1">
      <c r="A50" s="108" t="inlineStr">
        <is>
          <t>SKHU9919110</t>
        </is>
      </c>
      <c r="B50" s="108" t="inlineStr">
        <is>
          <t>LCH04</t>
        </is>
      </c>
      <c r="C50" s="108" t="inlineStr">
        <is>
          <t>IFV</t>
        </is>
      </c>
      <c r="D50" s="172" t="inlineStr">
        <is>
          <t>2026-10-12</t>
        </is>
      </c>
      <c r="E50" s="173" t="inlineStr">
        <is>
          <t>1212</t>
        </is>
      </c>
      <c r="F50" s="96" t="inlineStr">
        <is>
          <t>HASLS22260902744</t>
        </is>
      </c>
      <c r="G50" s="96" t="inlineStr">
        <is>
          <t>CANVAS GLOBAL LOGISTICS (THAILAND) CO., LTD.</t>
        </is>
      </c>
      <c r="H50" s="111" t="inlineStr">
        <is>
          <t>45GP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HASLS22260902744</t>
        </is>
      </c>
      <c r="N50" s="96" t="inlineStr">
        <is>
          <t xml:space="preserve">40Hx2 </t>
        </is>
      </c>
      <c r="O50" s="111" t="inlineStr">
        <is>
          <t>2019</t>
        </is>
      </c>
      <c r="P50" s="111" t="n"/>
      <c r="Q50" s="111" t="n"/>
      <c r="R50" s="96" t="inlineStr">
        <is>
          <t>SWIC</t>
        </is>
      </c>
      <c r="S50" s="96" t="inlineStr">
        <is>
          <t>2611N</t>
        </is>
      </c>
      <c r="T50" s="96" t="inlineStr">
        <is>
          <t>LCH04</t>
        </is>
      </c>
      <c r="U50" s="96" t="inlineStr">
        <is>
          <t>THLCH</t>
        </is>
      </c>
      <c r="V50" s="161" t="inlineStr">
        <is>
          <t>2026-10-17</t>
        </is>
      </c>
      <c r="W50" s="96" t="inlineStr">
        <is>
          <t>VNSGN</t>
        </is>
      </c>
      <c r="X50" s="161" t="inlineStr">
        <is>
          <t>2026-10-18</t>
        </is>
      </c>
      <c r="Y50" s="97" t="n"/>
      <c r="Z50" s="97" t="n"/>
      <c r="AA50" s="97" t="n"/>
      <c r="AB50" s="97" t="n"/>
      <c r="AC50" s="97" t="n"/>
      <c r="AD50" s="161" t="inlineStr">
        <is>
          <t>2026-10-12</t>
        </is>
      </c>
      <c r="AE50" s="174" t="inlineStr">
        <is>
          <t>1644</t>
        </is>
      </c>
      <c r="AF50" s="96" t="inlineStr">
        <is>
          <t>EDI2</t>
        </is>
      </c>
      <c r="AG50" s="97" t="n"/>
      <c r="AH50" s="97" t="n"/>
      <c r="AI50" s="97" t="inlineStr">
        <is>
          <t>VAVVLE</t>
        </is>
      </c>
      <c r="AJ50" s="96" t="inlineStr">
        <is>
          <t>THAMI CORPORATION</t>
        </is>
      </c>
      <c r="AK50" s="130" t="n"/>
    </row>
    <row r="51" ht="12" customHeight="1">
      <c r="A51" s="108" t="inlineStr">
        <is>
          <t>SKHU9924863</t>
        </is>
      </c>
      <c r="B51" s="108" t="inlineStr">
        <is>
          <t>LCH04</t>
        </is>
      </c>
      <c r="C51" s="108" t="inlineStr">
        <is>
          <t>IFV</t>
        </is>
      </c>
      <c r="D51" s="172" t="inlineStr">
        <is>
          <t>2026-10-12</t>
        </is>
      </c>
      <c r="E51" s="173" t="inlineStr">
        <is>
          <t>0939</t>
        </is>
      </c>
      <c r="F51" s="96" t="inlineStr">
        <is>
          <t>HASLS22260900462</t>
        </is>
      </c>
      <c r="G51" s="96" t="inlineStr">
        <is>
          <t>WHA GC LOGISTICS COMPANY LIMITED</t>
        </is>
      </c>
      <c r="H51" s="111" t="inlineStr">
        <is>
          <t>45GP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HASLS22260900462</t>
        </is>
      </c>
      <c r="N51" s="96" t="inlineStr">
        <is>
          <t xml:space="preserve">40Hx8 </t>
        </is>
      </c>
      <c r="O51" s="111" t="inlineStr">
        <is>
          <t>2019</t>
        </is>
      </c>
      <c r="P51" s="111" t="n"/>
      <c r="Q51" s="111" t="n"/>
      <c r="R51" s="96" t="inlineStr">
        <is>
          <t>SWIC</t>
        </is>
      </c>
      <c r="S51" s="96" t="inlineStr">
        <is>
          <t>2611N</t>
        </is>
      </c>
      <c r="T51" s="96" t="inlineStr">
        <is>
          <t>LCH04</t>
        </is>
      </c>
      <c r="U51" s="96" t="inlineStr">
        <is>
          <t>THLCH</t>
        </is>
      </c>
      <c r="V51" s="161" t="inlineStr">
        <is>
          <t>2026-10-17</t>
        </is>
      </c>
      <c r="W51" s="96" t="inlineStr">
        <is>
          <t>VNSGN</t>
        </is>
      </c>
      <c r="X51" s="161" t="inlineStr">
        <is>
          <t>2026-10-18</t>
        </is>
      </c>
      <c r="Y51" s="97" t="n"/>
      <c r="Z51" s="97" t="n"/>
      <c r="AA51" s="97" t="n"/>
      <c r="AB51" s="97" t="n"/>
      <c r="AC51" s="97" t="n"/>
      <c r="AD51" s="161" t="inlineStr">
        <is>
          <t>2026-10-12</t>
        </is>
      </c>
      <c r="AE51" s="174" t="inlineStr">
        <is>
          <t>1201</t>
        </is>
      </c>
      <c r="AF51" s="96" t="inlineStr">
        <is>
          <t>EDI2</t>
        </is>
      </c>
      <c r="AG51" s="97" t="n"/>
      <c r="AH51" s="97" t="n"/>
      <c r="AI51" s="97" t="inlineStr">
        <is>
          <t>VAVBYA</t>
        </is>
      </c>
      <c r="AJ51" s="96" t="inlineStr">
        <is>
          <t>TO ORDER OF ASIA COMMERCIAL BANK,</t>
        </is>
      </c>
      <c r="AK51" s="130" t="n"/>
    </row>
    <row r="52" ht="12" customHeight="1">
      <c r="A52" s="108" t="inlineStr">
        <is>
          <t>SKHU9931796</t>
        </is>
      </c>
      <c r="B52" s="108" t="inlineStr">
        <is>
          <t>LCH04</t>
        </is>
      </c>
      <c r="C52" s="108" t="inlineStr">
        <is>
          <t>IFV</t>
        </is>
      </c>
      <c r="D52" s="172" t="inlineStr">
        <is>
          <t>2026-10-13</t>
        </is>
      </c>
      <c r="E52" s="173" t="inlineStr">
        <is>
          <t>0341</t>
        </is>
      </c>
      <c r="F52" s="96" t="inlineStr">
        <is>
          <t>HASLS22260900462</t>
        </is>
      </c>
      <c r="G52" s="96" t="inlineStr">
        <is>
          <t>WHA GC LOGISTICS COMPANY LIMITED</t>
        </is>
      </c>
      <c r="H52" s="111" t="inlineStr">
        <is>
          <t>45GP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HASLS22260900462</t>
        </is>
      </c>
      <c r="N52" s="96" t="inlineStr">
        <is>
          <t xml:space="preserve">40Hx8 </t>
        </is>
      </c>
      <c r="O52" s="111" t="inlineStr">
        <is>
          <t>2019</t>
        </is>
      </c>
      <c r="P52" s="111" t="n"/>
      <c r="Q52" s="111" t="n"/>
      <c r="R52" s="96" t="inlineStr">
        <is>
          <t>SWIC</t>
        </is>
      </c>
      <c r="S52" s="96" t="inlineStr">
        <is>
          <t>2611N</t>
        </is>
      </c>
      <c r="T52" s="96" t="inlineStr">
        <is>
          <t>LCH04</t>
        </is>
      </c>
      <c r="U52" s="96" t="inlineStr">
        <is>
          <t>THLCH</t>
        </is>
      </c>
      <c r="V52" s="161" t="inlineStr">
        <is>
          <t>2026-10-17</t>
        </is>
      </c>
      <c r="W52" s="96" t="inlineStr">
        <is>
          <t>VNSGN</t>
        </is>
      </c>
      <c r="X52" s="161" t="inlineStr">
        <is>
          <t>2026-10-18</t>
        </is>
      </c>
      <c r="Y52" s="97" t="n"/>
      <c r="Z52" s="97" t="n"/>
      <c r="AA52" s="97" t="n"/>
      <c r="AB52" s="97" t="n"/>
      <c r="AC52" s="97" t="n"/>
      <c r="AD52" s="161" t="inlineStr">
        <is>
          <t>2026-10-13</t>
        </is>
      </c>
      <c r="AE52" s="174" t="inlineStr">
        <is>
          <t>0600</t>
        </is>
      </c>
      <c r="AF52" s="96" t="inlineStr">
        <is>
          <t>EDI2</t>
        </is>
      </c>
      <c r="AG52" s="97" t="n"/>
      <c r="AH52" s="97" t="n"/>
      <c r="AI52" s="97" t="inlineStr">
        <is>
          <t>VAVBYA</t>
        </is>
      </c>
      <c r="AJ52" s="96" t="inlineStr">
        <is>
          <t>TO ORDER OF ASIA COMMERCIAL BANK,</t>
        </is>
      </c>
      <c r="AK52" s="130" t="n"/>
    </row>
    <row r="53" ht="12" customHeight="1">
      <c r="A53" s="108" t="inlineStr">
        <is>
          <t>SKHU9931991</t>
        </is>
      </c>
      <c r="B53" s="108" t="inlineStr">
        <is>
          <t>LCH04</t>
        </is>
      </c>
      <c r="C53" s="108" t="inlineStr">
        <is>
          <t>IFV</t>
        </is>
      </c>
      <c r="D53" s="172" t="inlineStr">
        <is>
          <t>2026-10-13</t>
        </is>
      </c>
      <c r="E53" s="173" t="inlineStr">
        <is>
          <t>1916</t>
        </is>
      </c>
      <c r="F53" s="96" t="inlineStr">
        <is>
          <t>HASLS22260901519</t>
        </is>
      </c>
      <c r="G53" s="96" t="inlineStr">
        <is>
          <t>WHA GC LOGISTICS COMPANY LIMITED</t>
        </is>
      </c>
      <c r="H53" s="111" t="inlineStr">
        <is>
          <t>45GP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HASLS22260901519</t>
        </is>
      </c>
      <c r="N53" s="96" t="inlineStr">
        <is>
          <t xml:space="preserve">40Hx4 </t>
        </is>
      </c>
      <c r="O53" s="111" t="inlineStr">
        <is>
          <t>2019</t>
        </is>
      </c>
      <c r="P53" s="111" t="n"/>
      <c r="Q53" s="111" t="n"/>
      <c r="R53" s="96" t="inlineStr">
        <is>
          <t>SWIC</t>
        </is>
      </c>
      <c r="S53" s="96" t="inlineStr">
        <is>
          <t>2611N</t>
        </is>
      </c>
      <c r="T53" s="96" t="inlineStr">
        <is>
          <t>LCH04</t>
        </is>
      </c>
      <c r="U53" s="96" t="inlineStr">
        <is>
          <t>THLCH</t>
        </is>
      </c>
      <c r="V53" s="161" t="inlineStr">
        <is>
          <t>2026-10-17</t>
        </is>
      </c>
      <c r="W53" s="96" t="inlineStr">
        <is>
          <t>JPKIJ</t>
        </is>
      </c>
      <c r="X53" s="161" t="inlineStr">
        <is>
          <t>2026-10-25</t>
        </is>
      </c>
      <c r="Y53" s="97" t="n"/>
      <c r="Z53" s="97" t="n"/>
      <c r="AA53" s="97" t="n"/>
      <c r="AB53" s="97" t="n"/>
      <c r="AC53" s="97" t="n"/>
      <c r="AD53" s="161" t="inlineStr">
        <is>
          <t>2026-10-13</t>
        </is>
      </c>
      <c r="AE53" s="174" t="inlineStr">
        <is>
          <t>2200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INABATA &amp; CO.,LTD</t>
        </is>
      </c>
      <c r="AK53" s="130" t="n"/>
    </row>
    <row r="54" ht="12" customHeight="1">
      <c r="A54" s="108" t="inlineStr">
        <is>
          <t>SKHU9936437</t>
        </is>
      </c>
      <c r="B54" s="108" t="inlineStr">
        <is>
          <t>LCH04</t>
        </is>
      </c>
      <c r="C54" s="108" t="inlineStr">
        <is>
          <t>IFV</t>
        </is>
      </c>
      <c r="D54" s="172" t="inlineStr">
        <is>
          <t>2026-10-13</t>
        </is>
      </c>
      <c r="E54" s="173" t="inlineStr">
        <is>
          <t>1020</t>
        </is>
      </c>
      <c r="F54" s="96" t="inlineStr">
        <is>
          <t>HASLS22260800970</t>
        </is>
      </c>
      <c r="G54" s="96" t="inlineStr">
        <is>
          <t>WHA GC LOGISTICS COMPANY LIMITED</t>
        </is>
      </c>
      <c r="H54" s="111" t="inlineStr">
        <is>
          <t>45GP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HASLS22260800970</t>
        </is>
      </c>
      <c r="N54" s="96" t="inlineStr">
        <is>
          <t xml:space="preserve">40Hx9 </t>
        </is>
      </c>
      <c r="O54" s="111" t="inlineStr">
        <is>
          <t>2019</t>
        </is>
      </c>
      <c r="P54" s="111" t="n"/>
      <c r="Q54" s="111" t="n"/>
      <c r="R54" s="96" t="inlineStr">
        <is>
          <t>SWIC</t>
        </is>
      </c>
      <c r="S54" s="96" t="inlineStr">
        <is>
          <t>2611N</t>
        </is>
      </c>
      <c r="T54" s="96" t="inlineStr">
        <is>
          <t>LCH04</t>
        </is>
      </c>
      <c r="U54" s="96" t="inlineStr">
        <is>
          <t>THLCH</t>
        </is>
      </c>
      <c r="V54" s="161" t="inlineStr">
        <is>
          <t>2026-10-17</t>
        </is>
      </c>
      <c r="W54" s="96" t="inlineStr">
        <is>
          <t>VNSGN</t>
        </is>
      </c>
      <c r="X54" s="161" t="inlineStr">
        <is>
          <t>2026-10-18</t>
        </is>
      </c>
      <c r="Y54" s="97" t="n"/>
      <c r="Z54" s="97" t="n"/>
      <c r="AA54" s="97" t="n"/>
      <c r="AB54" s="97" t="n"/>
      <c r="AC54" s="97" t="n"/>
      <c r="AD54" s="161" t="inlineStr">
        <is>
          <t>2026-10-13</t>
        </is>
      </c>
      <c r="AE54" s="174" t="inlineStr">
        <is>
          <t>1400</t>
        </is>
      </c>
      <c r="AF54" s="96" t="inlineStr">
        <is>
          <t>EDI2</t>
        </is>
      </c>
      <c r="AG54" s="97" t="n"/>
      <c r="AH54" s="97" t="n"/>
      <c r="AI54" s="97" t="inlineStr">
        <is>
          <t>VAVN33</t>
        </is>
      </c>
      <c r="AJ54" s="96" t="inlineStr">
        <is>
          <t>TO ORDER OF TECHCOMBANK - CHO LON</t>
        </is>
      </c>
      <c r="AK54" s="130" t="n"/>
    </row>
    <row r="55" ht="12" customHeight="1">
      <c r="A55" s="108" t="inlineStr">
        <is>
          <t>SKLU0553775</t>
        </is>
      </c>
      <c r="B55" s="108" t="inlineStr">
        <is>
          <t>LCH04</t>
        </is>
      </c>
      <c r="C55" s="108" t="inlineStr">
        <is>
          <t>IFV</t>
        </is>
      </c>
      <c r="D55" s="172" t="inlineStr">
        <is>
          <t>2026-10-13</t>
        </is>
      </c>
      <c r="E55" s="173" t="inlineStr">
        <is>
          <t>0240</t>
        </is>
      </c>
      <c r="F55" s="96" t="inlineStr">
        <is>
          <t>HASLS22260800966</t>
        </is>
      </c>
      <c r="G55" s="96" t="inlineStr">
        <is>
          <t>WHA GC LOGISTICS COMPANY LIMITED</t>
        </is>
      </c>
      <c r="H55" s="111" t="inlineStr">
        <is>
          <t>22GP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HASLS22260800966</t>
        </is>
      </c>
      <c r="N55" s="96" t="inlineStr">
        <is>
          <t xml:space="preserve">20'x10 </t>
        </is>
      </c>
      <c r="O55" s="111" t="inlineStr">
        <is>
          <t>2025</t>
        </is>
      </c>
      <c r="P55" s="111" t="n"/>
      <c r="Q55" s="111" t="n"/>
      <c r="R55" s="96" t="inlineStr">
        <is>
          <t>PGPO</t>
        </is>
      </c>
      <c r="S55" s="96" t="inlineStr">
        <is>
          <t>2612N</t>
        </is>
      </c>
      <c r="T55" s="96" t="inlineStr">
        <is>
          <t>LCH04</t>
        </is>
      </c>
      <c r="U55" s="96" t="inlineStr">
        <is>
          <t>THLCH</t>
        </is>
      </c>
      <c r="V55" s="161" t="inlineStr">
        <is>
          <t>2026-10-17</t>
        </is>
      </c>
      <c r="W55" s="96" t="inlineStr">
        <is>
          <t>VNSGN</t>
        </is>
      </c>
      <c r="X55" s="161" t="inlineStr">
        <is>
          <t>2026-10-18</t>
        </is>
      </c>
      <c r="Y55" s="97" t="n"/>
      <c r="Z55" s="97" t="n"/>
      <c r="AA55" s="97" t="n"/>
      <c r="AB55" s="97" t="n"/>
      <c r="AC55" s="97" t="n"/>
      <c r="AD55" s="161" t="inlineStr">
        <is>
          <t>2026-10-13</t>
        </is>
      </c>
      <c r="AE55" s="174" t="inlineStr">
        <is>
          <t>0600</t>
        </is>
      </c>
      <c r="AF55" s="96" t="inlineStr">
        <is>
          <t>EDI2</t>
        </is>
      </c>
      <c r="AG55" s="97" t="n"/>
      <c r="AH55" s="97" t="n"/>
      <c r="AI55" s="97" t="inlineStr">
        <is>
          <t>VAVISE</t>
        </is>
      </c>
      <c r="AJ55" s="96" t="inlineStr">
        <is>
          <t>TO ORDER OF VIETINBANK, BINH DUONG</t>
        </is>
      </c>
      <c r="AK55" s="130" t="n"/>
    </row>
    <row r="56" ht="12" customHeight="1">
      <c r="A56" s="108" t="inlineStr">
        <is>
          <t>SKLU1102523</t>
        </is>
      </c>
      <c r="B56" s="108" t="inlineStr">
        <is>
          <t>LCH04</t>
        </is>
      </c>
      <c r="C56" s="108" t="inlineStr">
        <is>
          <t>IFV</t>
        </is>
      </c>
      <c r="D56" s="172" t="inlineStr">
        <is>
          <t>2026-10-13</t>
        </is>
      </c>
      <c r="E56" s="173" t="inlineStr">
        <is>
          <t>1649</t>
        </is>
      </c>
      <c r="F56" s="96" t="inlineStr">
        <is>
          <t>HASLS22260900838</t>
        </is>
      </c>
      <c r="G56" s="96" t="inlineStr">
        <is>
          <t>SCGJWD LOGISTICS PUBLIC COMPANY LIMITED</t>
        </is>
      </c>
      <c r="H56" s="111" t="inlineStr">
        <is>
          <t>22GP</t>
        </is>
      </c>
      <c r="I56" s="96" t="inlineStr">
        <is>
          <t>EMAIL</t>
        </is>
      </c>
      <c r="J56" s="96" t="inlineStr">
        <is>
          <t>Sirichai Prayochananon</t>
        </is>
      </c>
      <c r="K56" s="96" t="inlineStr">
        <is>
          <t>SD</t>
        </is>
      </c>
      <c r="L56" s="111" t="inlineStr">
        <is>
          <t>Full</t>
        </is>
      </c>
      <c r="M56" s="96" t="inlineStr">
        <is>
          <t>HASLS22260900838</t>
        </is>
      </c>
      <c r="N56" s="96" t="inlineStr">
        <is>
          <t xml:space="preserve">20'x2 </t>
        </is>
      </c>
      <c r="O56" s="111" t="inlineStr">
        <is>
          <t>2011</t>
        </is>
      </c>
      <c r="P56" s="111" t="n"/>
      <c r="Q56" s="111" t="n"/>
      <c r="R56" s="96" t="inlineStr">
        <is>
          <t>SWIC</t>
        </is>
      </c>
      <c r="S56" s="96" t="inlineStr">
        <is>
          <t>2611N</t>
        </is>
      </c>
      <c r="T56" s="96" t="inlineStr">
        <is>
          <t>LCH04</t>
        </is>
      </c>
      <c r="U56" s="96" t="inlineStr">
        <is>
          <t>THLCH</t>
        </is>
      </c>
      <c r="V56" s="161" t="inlineStr">
        <is>
          <t>2026-10-17</t>
        </is>
      </c>
      <c r="W56" s="96" t="inlineStr">
        <is>
          <t>JPKIJ</t>
        </is>
      </c>
      <c r="X56" s="161" t="inlineStr">
        <is>
          <t>2026-10-25</t>
        </is>
      </c>
      <c r="Y56" s="97" t="n"/>
      <c r="Z56" s="97" t="n"/>
      <c r="AA56" s="97" t="n"/>
      <c r="AB56" s="97" t="n"/>
      <c r="AC56" s="97" t="n"/>
      <c r="AD56" s="161" t="inlineStr">
        <is>
          <t>2026-10-13</t>
        </is>
      </c>
      <c r="AE56" s="174" t="inlineStr">
        <is>
          <t>2253</t>
        </is>
      </c>
      <c r="AF56" s="96" t="inlineStr">
        <is>
          <t>TBKK42</t>
        </is>
      </c>
      <c r="AG56" s="97" t="n"/>
      <c r="AH56" s="97" t="n"/>
      <c r="AI56" s="97" t="n"/>
      <c r="AJ56" s="96" t="inlineStr">
        <is>
          <t>MITSUBISHI CORPORATION PLASTICS LTD</t>
        </is>
      </c>
      <c r="AK56" s="130" t="n">
        <v>0</v>
      </c>
    </row>
    <row r="57" ht="12" customHeight="1">
      <c r="A57" s="108" t="inlineStr">
        <is>
          <t>SKLU1105667</t>
        </is>
      </c>
      <c r="B57" s="108" t="inlineStr">
        <is>
          <t>LCH04</t>
        </is>
      </c>
      <c r="C57" s="108" t="inlineStr">
        <is>
          <t>IFV</t>
        </is>
      </c>
      <c r="D57" s="172" t="inlineStr">
        <is>
          <t>2026-10-13</t>
        </is>
      </c>
      <c r="E57" s="173" t="inlineStr">
        <is>
          <t>0115</t>
        </is>
      </c>
      <c r="F57" s="96" t="inlineStr">
        <is>
          <t>HASLS22260902818</t>
        </is>
      </c>
      <c r="G57" s="96" t="inlineStr">
        <is>
          <t>WHA GC LOGISTICS COMPANY LIMITED</t>
        </is>
      </c>
      <c r="H57" s="111" t="inlineStr">
        <is>
          <t>22GP</t>
        </is>
      </c>
      <c r="I57" s="96" t="inlineStr">
        <is>
          <t>EMAIL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HASLS22260902818</t>
        </is>
      </c>
      <c r="N57" s="96" t="inlineStr">
        <is>
          <t xml:space="preserve">20'x6 </t>
        </is>
      </c>
      <c r="O57" s="111" t="inlineStr">
        <is>
          <t>2011</t>
        </is>
      </c>
      <c r="P57" s="111" t="n"/>
      <c r="Q57" s="111" t="n"/>
      <c r="R57" s="96" t="inlineStr">
        <is>
          <t>PGPO</t>
        </is>
      </c>
      <c r="S57" s="96" t="inlineStr">
        <is>
          <t>2612N</t>
        </is>
      </c>
      <c r="T57" s="96" t="inlineStr">
        <is>
          <t>LCH04</t>
        </is>
      </c>
      <c r="U57" s="96" t="inlineStr">
        <is>
          <t>THLCH</t>
        </is>
      </c>
      <c r="V57" s="161" t="inlineStr">
        <is>
          <t>2026-10-17</t>
        </is>
      </c>
      <c r="W57" s="96" t="inlineStr">
        <is>
          <t>VNSGN</t>
        </is>
      </c>
      <c r="X57" s="161" t="inlineStr">
        <is>
          <t>2026-10-18</t>
        </is>
      </c>
      <c r="Y57" s="97" t="n"/>
      <c r="Z57" s="97" t="n"/>
      <c r="AA57" s="97" t="n"/>
      <c r="AB57" s="97" t="n"/>
      <c r="AC57" s="97" t="n"/>
      <c r="AD57" s="161" t="inlineStr">
        <is>
          <t>2026-10-13</t>
        </is>
      </c>
      <c r="AE57" s="174" t="inlineStr">
        <is>
          <t>0400</t>
        </is>
      </c>
      <c r="AF57" s="96" t="inlineStr">
        <is>
          <t>EDI2</t>
        </is>
      </c>
      <c r="AG57" s="97" t="n"/>
      <c r="AH57" s="97" t="n"/>
      <c r="AI57" s="97" t="inlineStr">
        <is>
          <t>VAVISE</t>
        </is>
      </c>
      <c r="AJ57" s="96" t="inlineStr">
        <is>
          <t>TO ORDER OF VIETINBANK,</t>
        </is>
      </c>
      <c r="AK57" s="130" t="n"/>
    </row>
    <row r="58" ht="12" customHeight="1">
      <c r="A58" s="108" t="inlineStr">
        <is>
          <t>SKLU1115773</t>
        </is>
      </c>
      <c r="B58" s="108" t="inlineStr">
        <is>
          <t>LCH04</t>
        </is>
      </c>
      <c r="C58" s="108" t="inlineStr">
        <is>
          <t>IFV</t>
        </is>
      </c>
      <c r="D58" s="172" t="inlineStr">
        <is>
          <t>2026-10-13</t>
        </is>
      </c>
      <c r="E58" s="173" t="inlineStr">
        <is>
          <t>1736</t>
        </is>
      </c>
      <c r="F58" s="96" t="inlineStr">
        <is>
          <t>HASLS22260902390</t>
        </is>
      </c>
      <c r="G58" s="96" t="inlineStr">
        <is>
          <t>IRPC PUBLIC COMPANY LIMITED</t>
        </is>
      </c>
      <c r="H58" s="111" t="inlineStr">
        <is>
          <t>22GP</t>
        </is>
      </c>
      <c r="I58" s="96" t="inlineStr">
        <is>
          <t>EMAIL</t>
        </is>
      </c>
      <c r="J58" s="96" t="inlineStr">
        <is>
          <t>Sirichai Prayochananon</t>
        </is>
      </c>
      <c r="K58" s="96" t="inlineStr">
        <is>
          <t>SD</t>
        </is>
      </c>
      <c r="L58" s="111" t="inlineStr">
        <is>
          <t>Full</t>
        </is>
      </c>
      <c r="M58" s="96" t="inlineStr">
        <is>
          <t>HASLS22260902390</t>
        </is>
      </c>
      <c r="N58" s="96" t="inlineStr">
        <is>
          <t xml:space="preserve">20'x2 </t>
        </is>
      </c>
      <c r="O58" s="111" t="inlineStr">
        <is>
          <t>2011</t>
        </is>
      </c>
      <c r="P58" s="111" t="n"/>
      <c r="Q58" s="111" t="n"/>
      <c r="R58" s="96" t="inlineStr">
        <is>
          <t>SWIC</t>
        </is>
      </c>
      <c r="S58" s="96" t="inlineStr">
        <is>
          <t>2611N</t>
        </is>
      </c>
      <c r="T58" s="96" t="inlineStr">
        <is>
          <t>LCH04</t>
        </is>
      </c>
      <c r="U58" s="96" t="inlineStr">
        <is>
          <t>THLCH</t>
        </is>
      </c>
      <c r="V58" s="161" t="inlineStr">
        <is>
          <t>2026-10-17</t>
        </is>
      </c>
      <c r="W58" s="96" t="inlineStr">
        <is>
          <t>JPMOJ</t>
        </is>
      </c>
      <c r="X58" s="161" t="inlineStr">
        <is>
          <t>2026-10-25</t>
        </is>
      </c>
      <c r="Y58" s="97" t="n"/>
      <c r="Z58" s="97" t="n"/>
      <c r="AA58" s="97" t="n"/>
      <c r="AB58" s="97" t="n"/>
      <c r="AC58" s="97" t="n"/>
      <c r="AD58" s="161" t="inlineStr">
        <is>
          <t>2026-10-13</t>
        </is>
      </c>
      <c r="AE58" s="174" t="inlineStr">
        <is>
          <t>2255</t>
        </is>
      </c>
      <c r="AF58" s="96" t="inlineStr">
        <is>
          <t>TBKK42</t>
        </is>
      </c>
      <c r="AG58" s="97" t="n"/>
      <c r="AH58" s="97" t="n"/>
      <c r="AI58" s="97" t="n"/>
      <c r="AJ58" s="96" t="inlineStr">
        <is>
          <t>TO ORDER OF SHIPPER</t>
        </is>
      </c>
      <c r="AK58" s="130" t="n">
        <v>0</v>
      </c>
    </row>
    <row r="59" ht="12" customHeight="1">
      <c r="A59" s="108" t="inlineStr">
        <is>
          <t>SKLU1326610</t>
        </is>
      </c>
      <c r="B59" s="108" t="inlineStr">
        <is>
          <t>LCH04</t>
        </is>
      </c>
      <c r="C59" s="108" t="inlineStr">
        <is>
          <t>IFV</t>
        </is>
      </c>
      <c r="D59" s="172" t="inlineStr">
        <is>
          <t>2026-10-13</t>
        </is>
      </c>
      <c r="E59" s="173" t="inlineStr">
        <is>
          <t>0254</t>
        </is>
      </c>
      <c r="F59" s="96" t="inlineStr">
        <is>
          <t>HASLS22260800966</t>
        </is>
      </c>
      <c r="G59" s="96" t="inlineStr">
        <is>
          <t>WHA GC LOGISTICS COMPANY LIMITED</t>
        </is>
      </c>
      <c r="H59" s="111" t="inlineStr">
        <is>
          <t>22GP</t>
        </is>
      </c>
      <c r="I59" s="96" t="inlineStr">
        <is>
          <t>EMAIL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HASLS22260800966</t>
        </is>
      </c>
      <c r="N59" s="96" t="inlineStr">
        <is>
          <t xml:space="preserve">20'x10 </t>
        </is>
      </c>
      <c r="O59" s="111" t="inlineStr">
        <is>
          <t>2013</t>
        </is>
      </c>
      <c r="P59" s="111" t="n"/>
      <c r="Q59" s="111" t="n"/>
      <c r="R59" s="96" t="inlineStr">
        <is>
          <t>PGPO</t>
        </is>
      </c>
      <c r="S59" s="96" t="inlineStr">
        <is>
          <t>2612N</t>
        </is>
      </c>
      <c r="T59" s="96" t="inlineStr">
        <is>
          <t>LCH04</t>
        </is>
      </c>
      <c r="U59" s="96" t="inlineStr">
        <is>
          <t>THLCH</t>
        </is>
      </c>
      <c r="V59" s="161" t="inlineStr">
        <is>
          <t>2026-10-17</t>
        </is>
      </c>
      <c r="W59" s="96" t="inlineStr">
        <is>
          <t>VNSGN</t>
        </is>
      </c>
      <c r="X59" s="161" t="inlineStr">
        <is>
          <t>2026-10-18</t>
        </is>
      </c>
      <c r="Y59" s="97" t="n"/>
      <c r="Z59" s="97" t="n"/>
      <c r="AA59" s="97" t="n"/>
      <c r="AB59" s="97" t="n"/>
      <c r="AC59" s="97" t="n"/>
      <c r="AD59" s="161" t="inlineStr">
        <is>
          <t>2026-10-13</t>
        </is>
      </c>
      <c r="AE59" s="174" t="inlineStr">
        <is>
          <t>0600</t>
        </is>
      </c>
      <c r="AF59" s="96" t="inlineStr">
        <is>
          <t>EDI2</t>
        </is>
      </c>
      <c r="AG59" s="97" t="n"/>
      <c r="AH59" s="97" t="n"/>
      <c r="AI59" s="97" t="inlineStr">
        <is>
          <t>VAVISE</t>
        </is>
      </c>
      <c r="AJ59" s="96" t="inlineStr">
        <is>
          <t>TO ORDER OF VIETINBANK, BINH DUONG</t>
        </is>
      </c>
      <c r="AK59" s="130" t="n"/>
    </row>
    <row r="60" ht="12" customHeight="1">
      <c r="A60" s="108" t="inlineStr">
        <is>
          <t>SKLU1344893</t>
        </is>
      </c>
      <c r="B60" s="108" t="inlineStr">
        <is>
          <t>LCH04</t>
        </is>
      </c>
      <c r="C60" s="108" t="inlineStr">
        <is>
          <t>IFV</t>
        </is>
      </c>
      <c r="D60" s="172" t="inlineStr">
        <is>
          <t>2026-10-12</t>
        </is>
      </c>
      <c r="E60" s="173" t="inlineStr">
        <is>
          <t>2323</t>
        </is>
      </c>
      <c r="F60" s="96" t="inlineStr">
        <is>
          <t>HASLS22260902676</t>
        </is>
      </c>
      <c r="G60" s="96" t="inlineStr">
        <is>
          <t>HAST LOGISTICS CO., LTD.</t>
        </is>
      </c>
      <c r="H60" s="111" t="inlineStr">
        <is>
          <t>22GP</t>
        </is>
      </c>
      <c r="I60" s="96" t="inlineStr">
        <is>
          <t>EMAIL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HASLS22260902676</t>
        </is>
      </c>
      <c r="N60" s="96" t="inlineStr">
        <is>
          <t xml:space="preserve">20'x10 </t>
        </is>
      </c>
      <c r="O60" s="111" t="inlineStr">
        <is>
          <t>2013</t>
        </is>
      </c>
      <c r="P60" s="111" t="n"/>
      <c r="Q60" s="111" t="n"/>
      <c r="R60" s="96" t="inlineStr">
        <is>
          <t>SWIC</t>
        </is>
      </c>
      <c r="S60" s="96" t="inlineStr">
        <is>
          <t>2611N</t>
        </is>
      </c>
      <c r="T60" s="96" t="inlineStr">
        <is>
          <t>LCH04</t>
        </is>
      </c>
      <c r="U60" s="96" t="inlineStr">
        <is>
          <t>THLCH</t>
        </is>
      </c>
      <c r="V60" s="161" t="inlineStr">
        <is>
          <t>2026-10-17</t>
        </is>
      </c>
      <c r="W60" s="96" t="inlineStr">
        <is>
          <t>VNSGN</t>
        </is>
      </c>
      <c r="X60" s="161" t="inlineStr">
        <is>
          <t>2026-10-18</t>
        </is>
      </c>
      <c r="Y60" s="97" t="n"/>
      <c r="Z60" s="97" t="n"/>
      <c r="AA60" s="97" t="n"/>
      <c r="AB60" s="97" t="n"/>
      <c r="AC60" s="97" t="n"/>
      <c r="AD60" s="161" t="inlineStr">
        <is>
          <t>2026-10-13</t>
        </is>
      </c>
      <c r="AE60" s="174" t="inlineStr">
        <is>
          <t>0200</t>
        </is>
      </c>
      <c r="AF60" s="96" t="inlineStr">
        <is>
          <t>EDI2</t>
        </is>
      </c>
      <c r="AG60" s="97" t="n"/>
      <c r="AH60" s="97" t="n"/>
      <c r="AI60" s="97" t="inlineStr">
        <is>
          <t>VAVE68</t>
        </is>
      </c>
      <c r="AJ60" s="96" t="inlineStr">
        <is>
          <t>TO ORDER</t>
        </is>
      </c>
      <c r="AK60" s="130" t="n"/>
    </row>
    <row r="61" ht="12" customHeight="1">
      <c r="A61" s="108" t="inlineStr">
        <is>
          <t>SKLU1409124</t>
        </is>
      </c>
      <c r="B61" s="108" t="inlineStr">
        <is>
          <t>LCH04</t>
        </is>
      </c>
      <c r="C61" s="108" t="inlineStr">
        <is>
          <t>IFV</t>
        </is>
      </c>
      <c r="D61" s="172" t="inlineStr">
        <is>
          <t>2026-10-13</t>
        </is>
      </c>
      <c r="E61" s="173" t="inlineStr">
        <is>
          <t>0118</t>
        </is>
      </c>
      <c r="F61" s="96" t="inlineStr">
        <is>
          <t>HASLS22260902818</t>
        </is>
      </c>
      <c r="G61" s="96" t="inlineStr">
        <is>
          <t>WHA GC LOGISTICS COMPANY LIMITED</t>
        </is>
      </c>
      <c r="H61" s="111" t="inlineStr">
        <is>
          <t>22GP</t>
        </is>
      </c>
      <c r="I61" s="96" t="inlineStr">
        <is>
          <t>EMAIL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HASLS22260902818</t>
        </is>
      </c>
      <c r="N61" s="96" t="inlineStr">
        <is>
          <t xml:space="preserve">20'x6 </t>
        </is>
      </c>
      <c r="O61" s="111" t="inlineStr">
        <is>
          <t>2014</t>
        </is>
      </c>
      <c r="P61" s="111" t="n"/>
      <c r="Q61" s="111" t="n"/>
      <c r="R61" s="96" t="inlineStr">
        <is>
          <t>PGPO</t>
        </is>
      </c>
      <c r="S61" s="96" t="inlineStr">
        <is>
          <t>2612N</t>
        </is>
      </c>
      <c r="T61" s="96" t="inlineStr">
        <is>
          <t>LCH04</t>
        </is>
      </c>
      <c r="U61" s="96" t="inlineStr">
        <is>
          <t>THLCH</t>
        </is>
      </c>
      <c r="V61" s="161" t="inlineStr">
        <is>
          <t>2026-10-17</t>
        </is>
      </c>
      <c r="W61" s="96" t="inlineStr">
        <is>
          <t>VNSGN</t>
        </is>
      </c>
      <c r="X61" s="161" t="inlineStr">
        <is>
          <t>2026-10-18</t>
        </is>
      </c>
      <c r="Y61" s="97" t="n"/>
      <c r="Z61" s="97" t="n"/>
      <c r="AA61" s="97" t="n"/>
      <c r="AB61" s="97" t="n"/>
      <c r="AC61" s="97" t="n"/>
      <c r="AD61" s="161" t="inlineStr">
        <is>
          <t>2026-10-13</t>
        </is>
      </c>
      <c r="AE61" s="174" t="inlineStr">
        <is>
          <t>0400</t>
        </is>
      </c>
      <c r="AF61" s="96" t="inlineStr">
        <is>
          <t>EDI2</t>
        </is>
      </c>
      <c r="AG61" s="97" t="n"/>
      <c r="AH61" s="97" t="n"/>
      <c r="AI61" s="97" t="inlineStr">
        <is>
          <t>VAVISE</t>
        </is>
      </c>
      <c r="AJ61" s="96" t="inlineStr">
        <is>
          <t>TO ORDER OF VIETINBANK,</t>
        </is>
      </c>
      <c r="AK61" s="130" t="n"/>
    </row>
    <row r="62" ht="12" customHeight="1">
      <c r="A62" s="108" t="inlineStr">
        <is>
          <t>SKLU1514475</t>
        </is>
      </c>
      <c r="B62" s="108" t="inlineStr">
        <is>
          <t>LCH04</t>
        </is>
      </c>
      <c r="C62" s="108" t="inlineStr">
        <is>
          <t>IFV</t>
        </is>
      </c>
      <c r="D62" s="172" t="inlineStr">
        <is>
          <t>2026-10-12</t>
        </is>
      </c>
      <c r="E62" s="173" t="inlineStr">
        <is>
          <t>1727</t>
        </is>
      </c>
      <c r="F62" s="96" t="inlineStr">
        <is>
          <t>HASLS22260902676</t>
        </is>
      </c>
      <c r="G62" s="96" t="inlineStr">
        <is>
          <t>HAST LOGISTICS CO., LTD.</t>
        </is>
      </c>
      <c r="H62" s="111" t="inlineStr">
        <is>
          <t>22GP</t>
        </is>
      </c>
      <c r="I62" s="96" t="inlineStr">
        <is>
          <t>EMAIL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HASLS22260902676</t>
        </is>
      </c>
      <c r="N62" s="96" t="inlineStr">
        <is>
          <t xml:space="preserve">20'x10 </t>
        </is>
      </c>
      <c r="O62" s="111" t="inlineStr">
        <is>
          <t>2015</t>
        </is>
      </c>
      <c r="P62" s="111" t="n"/>
      <c r="Q62" s="111" t="n"/>
      <c r="R62" s="96" t="inlineStr">
        <is>
          <t>SWIC</t>
        </is>
      </c>
      <c r="S62" s="96" t="inlineStr">
        <is>
          <t>2611N</t>
        </is>
      </c>
      <c r="T62" s="96" t="inlineStr">
        <is>
          <t>LCH04</t>
        </is>
      </c>
      <c r="U62" s="96" t="inlineStr">
        <is>
          <t>THLCH</t>
        </is>
      </c>
      <c r="V62" s="161" t="inlineStr">
        <is>
          <t>2026-10-17</t>
        </is>
      </c>
      <c r="W62" s="96" t="inlineStr">
        <is>
          <t>VNSGN</t>
        </is>
      </c>
      <c r="X62" s="161" t="inlineStr">
        <is>
          <t>2026-10-18</t>
        </is>
      </c>
      <c r="Y62" s="97" t="n"/>
      <c r="Z62" s="97" t="n"/>
      <c r="AA62" s="97" t="n"/>
      <c r="AB62" s="97" t="n"/>
      <c r="AC62" s="97" t="n"/>
      <c r="AD62" s="161" t="inlineStr">
        <is>
          <t>2026-10-12</t>
        </is>
      </c>
      <c r="AE62" s="174" t="inlineStr">
        <is>
          <t>2001</t>
        </is>
      </c>
      <c r="AF62" s="96" t="inlineStr">
        <is>
          <t>EDI2</t>
        </is>
      </c>
      <c r="AG62" s="97" t="n"/>
      <c r="AH62" s="97" t="n"/>
      <c r="AI62" s="97" t="inlineStr">
        <is>
          <t>VAVE68</t>
        </is>
      </c>
      <c r="AJ62" s="96" t="inlineStr">
        <is>
          <t>TO ORDER</t>
        </is>
      </c>
      <c r="AK62" s="130" t="n"/>
    </row>
    <row r="63" ht="12" customHeight="1">
      <c r="A63" s="108" t="inlineStr">
        <is>
          <t>SKLU1524299</t>
        </is>
      </c>
      <c r="B63" s="108" t="inlineStr">
        <is>
          <t>LCH04</t>
        </is>
      </c>
      <c r="C63" s="108" t="inlineStr">
        <is>
          <t>IFV</t>
        </is>
      </c>
      <c r="D63" s="172" t="inlineStr">
        <is>
          <t>2026-10-13</t>
        </is>
      </c>
      <c r="E63" s="173" t="inlineStr">
        <is>
          <t>1955</t>
        </is>
      </c>
      <c r="F63" s="96" t="inlineStr">
        <is>
          <t>HASLS22260902063</t>
        </is>
      </c>
      <c r="G63" s="96" t="inlineStr">
        <is>
          <t>SCGJWD LOGISTICS PUBLIC COMPANY LIMITED</t>
        </is>
      </c>
      <c r="H63" s="111" t="inlineStr">
        <is>
          <t>22GP</t>
        </is>
      </c>
      <c r="I63" s="96" t="inlineStr">
        <is>
          <t>EMAIL</t>
        </is>
      </c>
      <c r="J63" s="96" t="inlineStr">
        <is>
          <t>Sirichai Prayochananon</t>
        </is>
      </c>
      <c r="K63" s="96" t="inlineStr">
        <is>
          <t>SD</t>
        </is>
      </c>
      <c r="L63" s="111" t="inlineStr">
        <is>
          <t>Full</t>
        </is>
      </c>
      <c r="M63" s="96" t="inlineStr">
        <is>
          <t>HASLS22260902063</t>
        </is>
      </c>
      <c r="N63" s="96" t="inlineStr">
        <is>
          <t xml:space="preserve">20'x5 </t>
        </is>
      </c>
      <c r="O63" s="111" t="inlineStr">
        <is>
          <t>2015</t>
        </is>
      </c>
      <c r="P63" s="111" t="n"/>
      <c r="Q63" s="111" t="n"/>
      <c r="R63" s="96" t="inlineStr">
        <is>
          <t>SWIC</t>
        </is>
      </c>
      <c r="S63" s="96" t="inlineStr">
        <is>
          <t>2611N</t>
        </is>
      </c>
      <c r="T63" s="96" t="inlineStr">
        <is>
          <t>LCH04</t>
        </is>
      </c>
      <c r="U63" s="96" t="inlineStr">
        <is>
          <t>THLCH</t>
        </is>
      </c>
      <c r="V63" s="161" t="inlineStr">
        <is>
          <t>2026-10-17</t>
        </is>
      </c>
      <c r="W63" s="96" t="inlineStr">
        <is>
          <t>JPNAH</t>
        </is>
      </c>
      <c r="X63" s="161" t="inlineStr">
        <is>
          <t>2026-10-25</t>
        </is>
      </c>
      <c r="Y63" s="97" t="n"/>
      <c r="Z63" s="97" t="n"/>
      <c r="AA63" s="97" t="n"/>
      <c r="AB63" s="97" t="n"/>
      <c r="AC63" s="97" t="n"/>
      <c r="AD63" s="161" t="inlineStr">
        <is>
          <t>2026-10-13</t>
        </is>
      </c>
      <c r="AE63" s="174" t="inlineStr">
        <is>
          <t>2253</t>
        </is>
      </c>
      <c r="AF63" s="96" t="inlineStr">
        <is>
          <t>TBKK42</t>
        </is>
      </c>
      <c r="AG63" s="97" t="n"/>
      <c r="AH63" s="97" t="n"/>
      <c r="AI63" s="97" t="n"/>
      <c r="AJ63" s="96" t="inlineStr">
        <is>
          <t>TOYOTSU CHEMIPLAS CORPORATION,</t>
        </is>
      </c>
      <c r="AK63" s="130" t="n">
        <v>0</v>
      </c>
    </row>
    <row r="64" ht="12" customHeight="1">
      <c r="A64" s="108" t="inlineStr">
        <is>
          <t>SKLU1534229</t>
        </is>
      </c>
      <c r="B64" s="108" t="inlineStr">
        <is>
          <t>LCH04</t>
        </is>
      </c>
      <c r="C64" s="108" t="inlineStr">
        <is>
          <t>IFV</t>
        </is>
      </c>
      <c r="D64" s="172" t="inlineStr">
        <is>
          <t>2026-10-13</t>
        </is>
      </c>
      <c r="E64" s="173" t="inlineStr">
        <is>
          <t>1619</t>
        </is>
      </c>
      <c r="F64" s="96" t="inlineStr">
        <is>
          <t>HASLS22260902304</t>
        </is>
      </c>
      <c r="G64" s="96" t="inlineStr">
        <is>
          <t>WHA GC LOGISTICS COMPANY LIMITED</t>
        </is>
      </c>
      <c r="H64" s="111" t="inlineStr">
        <is>
          <t>22GP</t>
        </is>
      </c>
      <c r="I64" s="96" t="inlineStr">
        <is>
          <t>EMAIL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HASLS22260902304</t>
        </is>
      </c>
      <c r="N64" s="96" t="inlineStr">
        <is>
          <t xml:space="preserve">20'x1 </t>
        </is>
      </c>
      <c r="O64" s="111" t="inlineStr">
        <is>
          <t>2015</t>
        </is>
      </c>
      <c r="P64" s="111" t="n"/>
      <c r="Q64" s="111" t="n"/>
      <c r="R64" s="96" t="inlineStr">
        <is>
          <t>SWIC</t>
        </is>
      </c>
      <c r="S64" s="96" t="inlineStr">
        <is>
          <t>2611N</t>
        </is>
      </c>
      <c r="T64" s="96" t="inlineStr">
        <is>
          <t>LCH04</t>
        </is>
      </c>
      <c r="U64" s="96" t="inlineStr">
        <is>
          <t>THLCH</t>
        </is>
      </c>
      <c r="V64" s="161" t="inlineStr">
        <is>
          <t>2026-10-17</t>
        </is>
      </c>
      <c r="W64" s="96" t="inlineStr">
        <is>
          <t>VNSGN</t>
        </is>
      </c>
      <c r="X64" s="161" t="inlineStr">
        <is>
          <t>2026-10-18</t>
        </is>
      </c>
      <c r="Y64" s="97" t="n"/>
      <c r="Z64" s="97" t="n"/>
      <c r="AA64" s="97" t="n"/>
      <c r="AB64" s="97" t="n"/>
      <c r="AC64" s="97" t="n"/>
      <c r="AD64" s="161" t="inlineStr">
        <is>
          <t>2026-10-13</t>
        </is>
      </c>
      <c r="AE64" s="174" t="inlineStr">
        <is>
          <t>2001</t>
        </is>
      </c>
      <c r="AF64" s="96" t="inlineStr">
        <is>
          <t>EDI2</t>
        </is>
      </c>
      <c r="AG64" s="97" t="n"/>
      <c r="AH64" s="97" t="n"/>
      <c r="AI64" s="97" t="inlineStr">
        <is>
          <t>VAVF0K</t>
        </is>
      </c>
      <c r="AJ64" s="96" t="inlineStr">
        <is>
          <t>HONG TUONG CO.,LTD</t>
        </is>
      </c>
      <c r="AK64" s="130" t="n"/>
    </row>
    <row r="65" ht="12" customHeight="1">
      <c r="A65" s="108" t="inlineStr">
        <is>
          <t>SKLU1550425</t>
        </is>
      </c>
      <c r="B65" s="108" t="inlineStr">
        <is>
          <t>LCH04</t>
        </is>
      </c>
      <c r="C65" s="108" t="inlineStr">
        <is>
          <t>IFV</t>
        </is>
      </c>
      <c r="D65" s="172" t="inlineStr">
        <is>
          <t>2026-10-12</t>
        </is>
      </c>
      <c r="E65" s="173" t="inlineStr">
        <is>
          <t>2358</t>
        </is>
      </c>
      <c r="F65" s="96" t="inlineStr">
        <is>
          <t>HASLS22260902676</t>
        </is>
      </c>
      <c r="G65" s="96" t="inlineStr">
        <is>
          <t>HAST LOGISTICS CO., LTD.</t>
        </is>
      </c>
      <c r="H65" s="111" t="inlineStr">
        <is>
          <t>22GP</t>
        </is>
      </c>
      <c r="I65" s="96" t="inlineStr">
        <is>
          <t>EMAIL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HASLS22260902676</t>
        </is>
      </c>
      <c r="N65" s="96" t="inlineStr">
        <is>
          <t xml:space="preserve">20'x10 </t>
        </is>
      </c>
      <c r="O65" s="111" t="inlineStr">
        <is>
          <t>2015</t>
        </is>
      </c>
      <c r="P65" s="111" t="n"/>
      <c r="Q65" s="111" t="n"/>
      <c r="R65" s="96" t="inlineStr">
        <is>
          <t>SWIC</t>
        </is>
      </c>
      <c r="S65" s="96" t="inlineStr">
        <is>
          <t>2611N</t>
        </is>
      </c>
      <c r="T65" s="96" t="inlineStr">
        <is>
          <t>LCH04</t>
        </is>
      </c>
      <c r="U65" s="96" t="inlineStr">
        <is>
          <t>THLCH</t>
        </is>
      </c>
      <c r="V65" s="161" t="inlineStr">
        <is>
          <t>2026-10-17</t>
        </is>
      </c>
      <c r="W65" s="96" t="inlineStr">
        <is>
          <t>VNSGN</t>
        </is>
      </c>
      <c r="X65" s="161" t="inlineStr">
        <is>
          <t>2026-10-18</t>
        </is>
      </c>
      <c r="Y65" s="97" t="n"/>
      <c r="Z65" s="97" t="n"/>
      <c r="AA65" s="97" t="n"/>
      <c r="AB65" s="97" t="n"/>
      <c r="AC65" s="97" t="n"/>
      <c r="AD65" s="161" t="inlineStr">
        <is>
          <t>2026-10-13</t>
        </is>
      </c>
      <c r="AE65" s="174" t="inlineStr">
        <is>
          <t>0200</t>
        </is>
      </c>
      <c r="AF65" s="96" t="inlineStr">
        <is>
          <t>EDI2</t>
        </is>
      </c>
      <c r="AG65" s="97" t="n"/>
      <c r="AH65" s="97" t="n"/>
      <c r="AI65" s="97" t="inlineStr">
        <is>
          <t>VAVE68</t>
        </is>
      </c>
      <c r="AJ65" s="96" t="inlineStr">
        <is>
          <t>TO ORDER</t>
        </is>
      </c>
      <c r="AK65" s="130" t="n"/>
    </row>
    <row r="66" ht="12" customHeight="1">
      <c r="A66" s="108" t="inlineStr">
        <is>
          <t>SKLU1556697</t>
        </is>
      </c>
      <c r="B66" s="108" t="inlineStr">
        <is>
          <t>LCH04</t>
        </is>
      </c>
      <c r="C66" s="108" t="inlineStr">
        <is>
          <t>IFV</t>
        </is>
      </c>
      <c r="D66" s="172" t="inlineStr">
        <is>
          <t>2026-10-12</t>
        </is>
      </c>
      <c r="E66" s="173" t="inlineStr">
        <is>
          <t>2223</t>
        </is>
      </c>
      <c r="F66" s="96" t="inlineStr">
        <is>
          <t>HASLS22260902676</t>
        </is>
      </c>
      <c r="G66" s="96" t="inlineStr">
        <is>
          <t>HAST LOGISTICS CO., LTD.</t>
        </is>
      </c>
      <c r="H66" s="111" t="inlineStr">
        <is>
          <t>22GP</t>
        </is>
      </c>
      <c r="I66" s="96" t="inlineStr">
        <is>
          <t>EMAIL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HASLS22260902676</t>
        </is>
      </c>
      <c r="N66" s="96" t="inlineStr">
        <is>
          <t xml:space="preserve">20'x10 </t>
        </is>
      </c>
      <c r="O66" s="111" t="inlineStr">
        <is>
          <t>2015</t>
        </is>
      </c>
      <c r="P66" s="111" t="n"/>
      <c r="Q66" s="111" t="n"/>
      <c r="R66" s="96" t="inlineStr">
        <is>
          <t>SWIC</t>
        </is>
      </c>
      <c r="S66" s="96" t="inlineStr">
        <is>
          <t>2611N</t>
        </is>
      </c>
      <c r="T66" s="96" t="inlineStr">
        <is>
          <t>LCH04</t>
        </is>
      </c>
      <c r="U66" s="96" t="inlineStr">
        <is>
          <t>THLCH</t>
        </is>
      </c>
      <c r="V66" s="161" t="inlineStr">
        <is>
          <t>2026-10-17</t>
        </is>
      </c>
      <c r="W66" s="96" t="inlineStr">
        <is>
          <t>VNSGN</t>
        </is>
      </c>
      <c r="X66" s="161" t="inlineStr">
        <is>
          <t>2026-10-18</t>
        </is>
      </c>
      <c r="Y66" s="97" t="n"/>
      <c r="Z66" s="97" t="n"/>
      <c r="AA66" s="97" t="n"/>
      <c r="AB66" s="97" t="n"/>
      <c r="AC66" s="97" t="n"/>
      <c r="AD66" s="161" t="inlineStr">
        <is>
          <t>2026-10-13</t>
        </is>
      </c>
      <c r="AE66" s="174" t="inlineStr">
        <is>
          <t>0200</t>
        </is>
      </c>
      <c r="AF66" s="96" t="inlineStr">
        <is>
          <t>EDI2</t>
        </is>
      </c>
      <c r="AG66" s="97" t="n"/>
      <c r="AH66" s="97" t="n"/>
      <c r="AI66" s="97" t="inlineStr">
        <is>
          <t>VAVE68</t>
        </is>
      </c>
      <c r="AJ66" s="96" t="inlineStr">
        <is>
          <t>TO ORDER</t>
        </is>
      </c>
      <c r="AK66" s="130" t="n"/>
    </row>
    <row r="67" ht="12" customHeight="1">
      <c r="A67" s="108" t="inlineStr">
        <is>
          <t>SKLU1594594</t>
        </is>
      </c>
      <c r="B67" s="108" t="inlineStr">
        <is>
          <t>LCH04</t>
        </is>
      </c>
      <c r="C67" s="108" t="inlineStr">
        <is>
          <t>IFV</t>
        </is>
      </c>
      <c r="D67" s="172" t="inlineStr">
        <is>
          <t>2026-10-13</t>
        </is>
      </c>
      <c r="E67" s="173" t="inlineStr">
        <is>
          <t>0229</t>
        </is>
      </c>
      <c r="F67" s="96" t="inlineStr">
        <is>
          <t>HASLS22260800966</t>
        </is>
      </c>
      <c r="G67" s="96" t="inlineStr">
        <is>
          <t>WHA GC LOGISTICS COMPANY LIMITED</t>
        </is>
      </c>
      <c r="H67" s="111" t="inlineStr">
        <is>
          <t>22GP</t>
        </is>
      </c>
      <c r="I67" s="96" t="inlineStr">
        <is>
          <t>EMAIL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HASLS22260800966</t>
        </is>
      </c>
      <c r="N67" s="96" t="inlineStr">
        <is>
          <t xml:space="preserve">20'x10 </t>
        </is>
      </c>
      <c r="O67" s="111" t="inlineStr">
        <is>
          <t>2015</t>
        </is>
      </c>
      <c r="P67" s="111" t="n"/>
      <c r="Q67" s="111" t="n"/>
      <c r="R67" s="96" t="inlineStr">
        <is>
          <t>PGPO</t>
        </is>
      </c>
      <c r="S67" s="96" t="inlineStr">
        <is>
          <t>2612N</t>
        </is>
      </c>
      <c r="T67" s="96" t="inlineStr">
        <is>
          <t>LCH04</t>
        </is>
      </c>
      <c r="U67" s="96" t="inlineStr">
        <is>
          <t>THLCH</t>
        </is>
      </c>
      <c r="V67" s="161" t="inlineStr">
        <is>
          <t>2026-10-17</t>
        </is>
      </c>
      <c r="W67" s="96" t="inlineStr">
        <is>
          <t>VNSGN</t>
        </is>
      </c>
      <c r="X67" s="161" t="inlineStr">
        <is>
          <t>2026-10-18</t>
        </is>
      </c>
      <c r="Y67" s="97" t="n"/>
      <c r="Z67" s="97" t="n"/>
      <c r="AA67" s="97" t="n"/>
      <c r="AB67" s="97" t="n"/>
      <c r="AC67" s="97" t="n"/>
      <c r="AD67" s="161" t="inlineStr">
        <is>
          <t>2026-10-13</t>
        </is>
      </c>
      <c r="AE67" s="174" t="inlineStr">
        <is>
          <t>0600</t>
        </is>
      </c>
      <c r="AF67" s="96" t="inlineStr">
        <is>
          <t>EDI2</t>
        </is>
      </c>
      <c r="AG67" s="97" t="n"/>
      <c r="AH67" s="97" t="n"/>
      <c r="AI67" s="97" t="inlineStr">
        <is>
          <t>VAVISE</t>
        </is>
      </c>
      <c r="AJ67" s="96" t="inlineStr">
        <is>
          <t>TO ORDER OF VIETINBANK, BINH DUONG</t>
        </is>
      </c>
      <c r="AK67" s="130" t="n"/>
    </row>
    <row r="68" ht="12" customHeight="1">
      <c r="A68" s="108" t="inlineStr">
        <is>
          <t>SKLU1597926</t>
        </is>
      </c>
      <c r="B68" s="108" t="inlineStr">
        <is>
          <t>LCH04</t>
        </is>
      </c>
      <c r="C68" s="108" t="inlineStr">
        <is>
          <t>IFV</t>
        </is>
      </c>
      <c r="D68" s="172" t="inlineStr">
        <is>
          <t>2026-10-13</t>
        </is>
      </c>
      <c r="E68" s="173" t="inlineStr">
        <is>
          <t>0141</t>
        </is>
      </c>
      <c r="F68" s="96" t="inlineStr">
        <is>
          <t>HASLS22260902818</t>
        </is>
      </c>
      <c r="G68" s="96" t="inlineStr">
        <is>
          <t>WHA GC LOGISTICS COMPANY LIMITED</t>
        </is>
      </c>
      <c r="H68" s="111" t="inlineStr">
        <is>
          <t>22GP</t>
        </is>
      </c>
      <c r="I68" s="96" t="inlineStr">
        <is>
          <t>EMAIL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HASLS22260902818</t>
        </is>
      </c>
      <c r="N68" s="96" t="inlineStr">
        <is>
          <t xml:space="preserve">20'x6 </t>
        </is>
      </c>
      <c r="O68" s="111" t="inlineStr">
        <is>
          <t>2015</t>
        </is>
      </c>
      <c r="P68" s="111" t="n"/>
      <c r="Q68" s="111" t="n"/>
      <c r="R68" s="96" t="inlineStr">
        <is>
          <t>PGPO</t>
        </is>
      </c>
      <c r="S68" s="96" t="inlineStr">
        <is>
          <t>2612N</t>
        </is>
      </c>
      <c r="T68" s="96" t="inlineStr">
        <is>
          <t>LCH04</t>
        </is>
      </c>
      <c r="U68" s="96" t="inlineStr">
        <is>
          <t>THLCH</t>
        </is>
      </c>
      <c r="V68" s="161" t="inlineStr">
        <is>
          <t>2026-10-17</t>
        </is>
      </c>
      <c r="W68" s="96" t="inlineStr">
        <is>
          <t>VNSGN</t>
        </is>
      </c>
      <c r="X68" s="161" t="inlineStr">
        <is>
          <t>2026-10-18</t>
        </is>
      </c>
      <c r="Y68" s="97" t="n"/>
      <c r="Z68" s="97" t="n"/>
      <c r="AA68" s="97" t="n"/>
      <c r="AB68" s="97" t="n"/>
      <c r="AC68" s="97" t="n"/>
      <c r="AD68" s="161" t="inlineStr">
        <is>
          <t>2026-10-13</t>
        </is>
      </c>
      <c r="AE68" s="174" t="inlineStr">
        <is>
          <t>0400</t>
        </is>
      </c>
      <c r="AF68" s="96" t="inlineStr">
        <is>
          <t>EDI2</t>
        </is>
      </c>
      <c r="AG68" s="97" t="n"/>
      <c r="AH68" s="97" t="n"/>
      <c r="AI68" s="97" t="inlineStr">
        <is>
          <t>VAVISE</t>
        </is>
      </c>
      <c r="AJ68" s="96" t="inlineStr">
        <is>
          <t>TO ORDER OF VIETINBANK,</t>
        </is>
      </c>
      <c r="AK68" s="130" t="n"/>
    </row>
    <row r="69" ht="12" customHeight="1">
      <c r="A69" s="108" t="inlineStr">
        <is>
          <t>SKLU1630650</t>
        </is>
      </c>
      <c r="B69" s="108" t="inlineStr">
        <is>
          <t>LCH04</t>
        </is>
      </c>
      <c r="C69" s="108" t="inlineStr">
        <is>
          <t>IFV</t>
        </is>
      </c>
      <c r="D69" s="172" t="inlineStr">
        <is>
          <t>2026-10-12</t>
        </is>
      </c>
      <c r="E69" s="173" t="inlineStr">
        <is>
          <t>1629</t>
        </is>
      </c>
      <c r="F69" s="96" t="inlineStr">
        <is>
          <t>HASLS22261000763</t>
        </is>
      </c>
      <c r="G69" s="96" t="inlineStr">
        <is>
          <t>UNITED MARINE LOGISTIC CO., LTD.</t>
        </is>
      </c>
      <c r="H69" s="111" t="inlineStr">
        <is>
          <t>22GP</t>
        </is>
      </c>
      <c r="I69" s="96" t="inlineStr">
        <is>
          <t>EMAIL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HASLS22261000763</t>
        </is>
      </c>
      <c r="N69" s="96" t="inlineStr">
        <is>
          <t xml:space="preserve">20'x1 </t>
        </is>
      </c>
      <c r="O69" s="111" t="inlineStr">
        <is>
          <t>2016</t>
        </is>
      </c>
      <c r="P69" s="111" t="n"/>
      <c r="Q69" s="111" t="n"/>
      <c r="R69" s="96" t="inlineStr">
        <is>
          <t>SWIC</t>
        </is>
      </c>
      <c r="S69" s="96" t="inlineStr">
        <is>
          <t>2611N</t>
        </is>
      </c>
      <c r="T69" s="96" t="inlineStr">
        <is>
          <t>LCH04</t>
        </is>
      </c>
      <c r="U69" s="96" t="inlineStr">
        <is>
          <t>THLCH</t>
        </is>
      </c>
      <c r="V69" s="161" t="inlineStr">
        <is>
          <t>2026-10-17</t>
        </is>
      </c>
      <c r="W69" s="96" t="inlineStr">
        <is>
          <t>VNSGN</t>
        </is>
      </c>
      <c r="X69" s="161" t="inlineStr">
        <is>
          <t>2026-10-18</t>
        </is>
      </c>
      <c r="Y69" s="97" t="n"/>
      <c r="Z69" s="97" t="n"/>
      <c r="AA69" s="97" t="n"/>
      <c r="AB69" s="97" t="n"/>
      <c r="AC69" s="97" t="n"/>
      <c r="AD69" s="161" t="inlineStr">
        <is>
          <t>2026-10-12</t>
        </is>
      </c>
      <c r="AE69" s="174" t="inlineStr">
        <is>
          <t>2001</t>
        </is>
      </c>
      <c r="AF69" s="96" t="inlineStr">
        <is>
          <t>EDI2</t>
        </is>
      </c>
      <c r="AG69" s="97" t="n"/>
      <c r="AH69" s="97" t="n"/>
      <c r="AI69" s="97" t="inlineStr">
        <is>
          <t>VAVBR0</t>
        </is>
      </c>
      <c r="AJ69" s="96" t="inlineStr">
        <is>
          <t>SAIGON COSMETICS CORPORATION</t>
        </is>
      </c>
      <c r="AK69" s="130" t="n"/>
    </row>
    <row r="70" ht="12" customHeight="1">
      <c r="A70" s="108" t="inlineStr">
        <is>
          <t>SKLU1802152</t>
        </is>
      </c>
      <c r="B70" s="108" t="inlineStr">
        <is>
          <t>LCH04</t>
        </is>
      </c>
      <c r="C70" s="108" t="inlineStr">
        <is>
          <t>IFV</t>
        </is>
      </c>
      <c r="D70" s="172" t="inlineStr">
        <is>
          <t>2026-10-13</t>
        </is>
      </c>
      <c r="E70" s="173" t="inlineStr">
        <is>
          <t>1627</t>
        </is>
      </c>
      <c r="F70" s="96" t="inlineStr">
        <is>
          <t>HASLS22260902063</t>
        </is>
      </c>
      <c r="G70" s="96" t="inlineStr">
        <is>
          <t>SCGJWD LOGISTICS PUBLIC COMPANY LIMITED</t>
        </is>
      </c>
      <c r="H70" s="111" t="inlineStr">
        <is>
          <t>22GP</t>
        </is>
      </c>
      <c r="I70" s="96" t="inlineStr">
        <is>
          <t>EMAIL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HASLS22260902063</t>
        </is>
      </c>
      <c r="N70" s="96" t="inlineStr">
        <is>
          <t xml:space="preserve">20'x5 </t>
        </is>
      </c>
      <c r="O70" s="111" t="inlineStr">
        <is>
          <t>2018</t>
        </is>
      </c>
      <c r="P70" s="111" t="n"/>
      <c r="Q70" s="111" t="n"/>
      <c r="R70" s="96" t="inlineStr">
        <is>
          <t>SWIC</t>
        </is>
      </c>
      <c r="S70" s="96" t="inlineStr">
        <is>
          <t>2611N</t>
        </is>
      </c>
      <c r="T70" s="96" t="inlineStr">
        <is>
          <t>LCH04</t>
        </is>
      </c>
      <c r="U70" s="96" t="inlineStr">
        <is>
          <t>THLCH</t>
        </is>
      </c>
      <c r="V70" s="161" t="inlineStr">
        <is>
          <t>2026-10-17</t>
        </is>
      </c>
      <c r="W70" s="96" t="inlineStr">
        <is>
          <t>JPMOJ</t>
        </is>
      </c>
      <c r="X70" s="161" t="inlineStr">
        <is>
          <t>2026-10-25</t>
        </is>
      </c>
      <c r="Y70" s="97" t="n"/>
      <c r="Z70" s="97" t="n"/>
      <c r="AA70" s="97" t="n"/>
      <c r="AB70" s="97" t="n"/>
      <c r="AC70" s="97" t="n"/>
      <c r="AD70" s="161" t="inlineStr">
        <is>
          <t>2026-10-13</t>
        </is>
      </c>
      <c r="AE70" s="174" t="inlineStr">
        <is>
          <t>2001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TOYOTSU CHEMIPLAS CORPORATION,</t>
        </is>
      </c>
      <c r="AK70" s="130" t="n"/>
    </row>
    <row r="71" ht="12" customHeight="1">
      <c r="A71" s="108" t="inlineStr">
        <is>
          <t>SKLU1803668</t>
        </is>
      </c>
      <c r="B71" s="108" t="inlineStr">
        <is>
          <t>LCH04</t>
        </is>
      </c>
      <c r="C71" s="108" t="inlineStr">
        <is>
          <t>IFV</t>
        </is>
      </c>
      <c r="D71" s="172" t="inlineStr">
        <is>
          <t>2026-10-11</t>
        </is>
      </c>
      <c r="E71" s="173" t="inlineStr">
        <is>
          <t>1836</t>
        </is>
      </c>
      <c r="F71" s="96" t="inlineStr">
        <is>
          <t>HASLS22260901329</t>
        </is>
      </c>
      <c r="G71" s="96" t="inlineStr">
        <is>
          <t>WHA GC LOGISTICS COMPANY LIMITED</t>
        </is>
      </c>
      <c r="H71" s="111" t="inlineStr">
        <is>
          <t>22GP</t>
        </is>
      </c>
      <c r="I71" s="96" t="inlineStr">
        <is>
          <t>EMAIL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HASLS22260901329</t>
        </is>
      </c>
      <c r="N71" s="96" t="inlineStr">
        <is>
          <t xml:space="preserve">20'x2 </t>
        </is>
      </c>
      <c r="O71" s="111" t="inlineStr">
        <is>
          <t>2018</t>
        </is>
      </c>
      <c r="P71" s="111" t="n"/>
      <c r="Q71" s="111" t="n"/>
      <c r="R71" s="96" t="inlineStr">
        <is>
          <t>SWBT</t>
        </is>
      </c>
      <c r="S71" s="96" t="inlineStr">
        <is>
          <t>2616N</t>
        </is>
      </c>
      <c r="T71" s="96" t="inlineStr">
        <is>
          <t>LCH04</t>
        </is>
      </c>
      <c r="U71" s="96" t="inlineStr">
        <is>
          <t>THLCH</t>
        </is>
      </c>
      <c r="V71" s="161" t="inlineStr">
        <is>
          <t>2026-10-17</t>
        </is>
      </c>
      <c r="W71" s="96" t="inlineStr">
        <is>
          <t>VNSGN</t>
        </is>
      </c>
      <c r="X71" s="161" t="inlineStr">
        <is>
          <t>2026-10-18</t>
        </is>
      </c>
      <c r="Y71" s="97" t="n"/>
      <c r="Z71" s="97" t="n"/>
      <c r="AA71" s="97" t="n"/>
      <c r="AB71" s="97" t="n"/>
      <c r="AC71" s="97" t="n"/>
      <c r="AD71" s="161" t="inlineStr">
        <is>
          <t>2026-10-11</t>
        </is>
      </c>
      <c r="AE71" s="174" t="inlineStr">
        <is>
          <t>2200</t>
        </is>
      </c>
      <c r="AF71" s="96" t="inlineStr">
        <is>
          <t>EDI2</t>
        </is>
      </c>
      <c r="AG71" s="97" t="n"/>
      <c r="AH71" s="97" t="n"/>
      <c r="AI71" s="97" t="inlineStr">
        <is>
          <t>VAVEDD</t>
        </is>
      </c>
      <c r="AJ71" s="96" t="inlineStr">
        <is>
          <t>L.S PACK COMPANY LIMITED</t>
        </is>
      </c>
      <c r="AK71" s="130" t="n"/>
    </row>
    <row r="72" ht="12" customHeight="1">
      <c r="A72" s="108" t="inlineStr">
        <is>
          <t>SKLU1806610</t>
        </is>
      </c>
      <c r="B72" s="108" t="inlineStr">
        <is>
          <t>LCH04</t>
        </is>
      </c>
      <c r="C72" s="108" t="inlineStr">
        <is>
          <t>IFV</t>
        </is>
      </c>
      <c r="D72" s="172" t="inlineStr">
        <is>
          <t>2026-10-13</t>
        </is>
      </c>
      <c r="E72" s="173" t="inlineStr">
        <is>
          <t>0027</t>
        </is>
      </c>
      <c r="F72" s="96" t="inlineStr">
        <is>
          <t>HASLS22260902676</t>
        </is>
      </c>
      <c r="G72" s="96" t="inlineStr">
        <is>
          <t>HAST LOGISTICS CO., LTD.</t>
        </is>
      </c>
      <c r="H72" s="111" t="inlineStr">
        <is>
          <t>22GP</t>
        </is>
      </c>
      <c r="I72" s="96" t="inlineStr">
        <is>
          <t>EMAIL</t>
        </is>
      </c>
      <c r="J72" s="96" t="inlineStr">
        <is>
          <t>EDI2</t>
        </is>
      </c>
      <c r="K72" s="96" t="n"/>
      <c r="L72" s="111" t="inlineStr">
        <is>
          <t>Full</t>
        </is>
      </c>
      <c r="M72" s="96" t="inlineStr">
        <is>
          <t>HASLS22260902676</t>
        </is>
      </c>
      <c r="N72" s="96" t="inlineStr">
        <is>
          <t xml:space="preserve">20'x10 </t>
        </is>
      </c>
      <c r="O72" s="111" t="inlineStr">
        <is>
          <t>2018</t>
        </is>
      </c>
      <c r="P72" s="111" t="n"/>
      <c r="Q72" s="111" t="n"/>
      <c r="R72" s="96" t="inlineStr">
        <is>
          <t>SWIC</t>
        </is>
      </c>
      <c r="S72" s="96" t="inlineStr">
        <is>
          <t>2611N</t>
        </is>
      </c>
      <c r="T72" s="96" t="inlineStr">
        <is>
          <t>LCH04</t>
        </is>
      </c>
      <c r="U72" s="96" t="inlineStr">
        <is>
          <t>THLCH</t>
        </is>
      </c>
      <c r="V72" s="161" t="inlineStr">
        <is>
          <t>2026-10-17</t>
        </is>
      </c>
      <c r="W72" s="96" t="inlineStr">
        <is>
          <t>VNSGN</t>
        </is>
      </c>
      <c r="X72" s="161" t="inlineStr">
        <is>
          <t>2026-10-18</t>
        </is>
      </c>
      <c r="Y72" s="97" t="n"/>
      <c r="Z72" s="97" t="n"/>
      <c r="AA72" s="97" t="n"/>
      <c r="AB72" s="97" t="n"/>
      <c r="AC72" s="97" t="n"/>
      <c r="AD72" s="161" t="inlineStr">
        <is>
          <t>2026-10-13</t>
        </is>
      </c>
      <c r="AE72" s="174" t="inlineStr">
        <is>
          <t>0400</t>
        </is>
      </c>
      <c r="AF72" s="96" t="inlineStr">
        <is>
          <t>EDI2</t>
        </is>
      </c>
      <c r="AG72" s="97" t="n"/>
      <c r="AH72" s="97" t="n"/>
      <c r="AI72" s="97" t="inlineStr">
        <is>
          <t>VAVE68</t>
        </is>
      </c>
      <c r="AJ72" s="96" t="inlineStr">
        <is>
          <t>TO ORDER</t>
        </is>
      </c>
      <c r="AK72" s="130" t="n"/>
    </row>
    <row r="73" ht="12" customHeight="1">
      <c r="A73" s="108" t="inlineStr">
        <is>
          <t>SKLU1821677</t>
        </is>
      </c>
      <c r="B73" s="108" t="inlineStr">
        <is>
          <t>LCH04</t>
        </is>
      </c>
      <c r="C73" s="108" t="inlineStr">
        <is>
          <t>IFV</t>
        </is>
      </c>
      <c r="D73" s="172" t="inlineStr">
        <is>
          <t>2026-10-13</t>
        </is>
      </c>
      <c r="E73" s="173" t="inlineStr">
        <is>
          <t>1733</t>
        </is>
      </c>
      <c r="F73" s="96" t="inlineStr">
        <is>
          <t>HASLS22260900838</t>
        </is>
      </c>
      <c r="G73" s="96" t="inlineStr">
        <is>
          <t>SCGJWD LOGISTICS PUBLIC COMPANY LIMITED</t>
        </is>
      </c>
      <c r="H73" s="111" t="inlineStr">
        <is>
          <t>22GP</t>
        </is>
      </c>
      <c r="I73" s="96" t="inlineStr">
        <is>
          <t>EMAIL</t>
        </is>
      </c>
      <c r="J73" s="96" t="inlineStr">
        <is>
          <t>Sirichai Prayochananon</t>
        </is>
      </c>
      <c r="K73" s="96" t="inlineStr">
        <is>
          <t>SD</t>
        </is>
      </c>
      <c r="L73" s="111" t="inlineStr">
        <is>
          <t>Full</t>
        </is>
      </c>
      <c r="M73" s="96" t="inlineStr">
        <is>
          <t>HASLS22260900838</t>
        </is>
      </c>
      <c r="N73" s="96" t="inlineStr">
        <is>
          <t xml:space="preserve">20'x2 </t>
        </is>
      </c>
      <c r="O73" s="111" t="inlineStr">
        <is>
          <t>2018</t>
        </is>
      </c>
      <c r="P73" s="111" t="n"/>
      <c r="Q73" s="111" t="n"/>
      <c r="R73" s="96" t="inlineStr">
        <is>
          <t>SWIC</t>
        </is>
      </c>
      <c r="S73" s="96" t="inlineStr">
        <is>
          <t>2611N</t>
        </is>
      </c>
      <c r="T73" s="96" t="inlineStr">
        <is>
          <t>LCH04</t>
        </is>
      </c>
      <c r="U73" s="96" t="inlineStr">
        <is>
          <t>THLCH</t>
        </is>
      </c>
      <c r="V73" s="161" t="inlineStr">
        <is>
          <t>2026-10-17</t>
        </is>
      </c>
      <c r="W73" s="96" t="inlineStr">
        <is>
          <t>JPKIJ</t>
        </is>
      </c>
      <c r="X73" s="161" t="inlineStr">
        <is>
          <t>2026-10-25</t>
        </is>
      </c>
      <c r="Y73" s="97" t="n"/>
      <c r="Z73" s="97" t="n"/>
      <c r="AA73" s="97" t="n"/>
      <c r="AB73" s="97" t="n"/>
      <c r="AC73" s="97" t="n"/>
      <c r="AD73" s="161" t="inlineStr">
        <is>
          <t>2026-10-13</t>
        </is>
      </c>
      <c r="AE73" s="174" t="inlineStr">
        <is>
          <t>2256</t>
        </is>
      </c>
      <c r="AF73" s="96" t="inlineStr">
        <is>
          <t>TBKK42</t>
        </is>
      </c>
      <c r="AG73" s="97" t="n"/>
      <c r="AH73" s="97" t="n"/>
      <c r="AI73" s="97" t="n"/>
      <c r="AJ73" s="96" t="inlineStr">
        <is>
          <t>MITSUBISHI CORPORATION PLASTICS LTD</t>
        </is>
      </c>
      <c r="AK73" s="130" t="n">
        <v>0</v>
      </c>
    </row>
    <row r="74" ht="12" customHeight="1">
      <c r="A74" s="108" t="inlineStr">
        <is>
          <t>SKLU1822246</t>
        </is>
      </c>
      <c r="B74" s="108" t="inlineStr">
        <is>
          <t>LCH04</t>
        </is>
      </c>
      <c r="C74" s="108" t="inlineStr">
        <is>
          <t>IFV</t>
        </is>
      </c>
      <c r="D74" s="172" t="inlineStr">
        <is>
          <t>2026-10-13</t>
        </is>
      </c>
      <c r="E74" s="173" t="inlineStr">
        <is>
          <t>0352</t>
        </is>
      </c>
      <c r="F74" s="96" t="inlineStr">
        <is>
          <t>HASLS22260800966</t>
        </is>
      </c>
      <c r="G74" s="96" t="inlineStr">
        <is>
          <t>WHA GC LOGISTICS COMPANY LIMITED</t>
        </is>
      </c>
      <c r="H74" s="111" t="inlineStr">
        <is>
          <t>22GP</t>
        </is>
      </c>
      <c r="I74" s="96" t="inlineStr">
        <is>
          <t>EMAIL</t>
        </is>
      </c>
      <c r="J74" s="96" t="inlineStr">
        <is>
          <t>EDI2</t>
        </is>
      </c>
      <c r="K74" s="96" t="n"/>
      <c r="L74" s="111" t="inlineStr">
        <is>
          <t>Full</t>
        </is>
      </c>
      <c r="M74" s="96" t="inlineStr">
        <is>
          <t>HASLS22260800966</t>
        </is>
      </c>
      <c r="N74" s="96" t="inlineStr">
        <is>
          <t xml:space="preserve">20'x10 </t>
        </is>
      </c>
      <c r="O74" s="111" t="inlineStr">
        <is>
          <t>2018</t>
        </is>
      </c>
      <c r="P74" s="111" t="n"/>
      <c r="Q74" s="111" t="n"/>
      <c r="R74" s="96" t="inlineStr">
        <is>
          <t>PGPO</t>
        </is>
      </c>
      <c r="S74" s="96" t="inlineStr">
        <is>
          <t>2612N</t>
        </is>
      </c>
      <c r="T74" s="96" t="inlineStr">
        <is>
          <t>LCH04</t>
        </is>
      </c>
      <c r="U74" s="96" t="inlineStr">
        <is>
          <t>THLCH</t>
        </is>
      </c>
      <c r="V74" s="161" t="inlineStr">
        <is>
          <t>2026-10-17</t>
        </is>
      </c>
      <c r="W74" s="96" t="inlineStr">
        <is>
          <t>VNSGN</t>
        </is>
      </c>
      <c r="X74" s="161" t="inlineStr">
        <is>
          <t>2026-10-18</t>
        </is>
      </c>
      <c r="Y74" s="97" t="n"/>
      <c r="Z74" s="97" t="n"/>
      <c r="AA74" s="97" t="n"/>
      <c r="AB74" s="97" t="n"/>
      <c r="AC74" s="97" t="n"/>
      <c r="AD74" s="161" t="inlineStr">
        <is>
          <t>2026-10-13</t>
        </is>
      </c>
      <c r="AE74" s="174" t="inlineStr">
        <is>
          <t>0600</t>
        </is>
      </c>
      <c r="AF74" s="96" t="inlineStr">
        <is>
          <t>EDI2</t>
        </is>
      </c>
      <c r="AG74" s="97" t="n"/>
      <c r="AH74" s="97" t="n"/>
      <c r="AI74" s="97" t="inlineStr">
        <is>
          <t>VAVISE</t>
        </is>
      </c>
      <c r="AJ74" s="96" t="inlineStr">
        <is>
          <t>TO ORDER OF VIETINBANK, BINH DUONG</t>
        </is>
      </c>
      <c r="AK74" s="130" t="n"/>
    </row>
    <row r="75" ht="12" customHeight="1">
      <c r="A75" s="108" t="inlineStr">
        <is>
          <t>SKLU1911111</t>
        </is>
      </c>
      <c r="B75" s="108" t="inlineStr">
        <is>
          <t>LCH04</t>
        </is>
      </c>
      <c r="C75" s="108" t="inlineStr">
        <is>
          <t>IFV</t>
        </is>
      </c>
      <c r="D75" s="172" t="inlineStr">
        <is>
          <t>2026-10-12</t>
        </is>
      </c>
      <c r="E75" s="173" t="inlineStr">
        <is>
          <t>1732</t>
        </is>
      </c>
      <c r="F75" s="96" t="inlineStr">
        <is>
          <t>HASLS22260902676</t>
        </is>
      </c>
      <c r="G75" s="96" t="inlineStr">
        <is>
          <t>HAST LOGISTICS CO., LTD.</t>
        </is>
      </c>
      <c r="H75" s="111" t="inlineStr">
        <is>
          <t>22GP</t>
        </is>
      </c>
      <c r="I75" s="96" t="inlineStr">
        <is>
          <t>EMAIL</t>
        </is>
      </c>
      <c r="J75" s="96" t="inlineStr">
        <is>
          <t>EDI2</t>
        </is>
      </c>
      <c r="K75" s="96" t="n"/>
      <c r="L75" s="111" t="inlineStr">
        <is>
          <t>Full</t>
        </is>
      </c>
      <c r="M75" s="96" t="inlineStr">
        <is>
          <t>HASLS22260902676</t>
        </is>
      </c>
      <c r="N75" s="96" t="inlineStr">
        <is>
          <t xml:space="preserve">20'x10 </t>
        </is>
      </c>
      <c r="O75" s="111" t="inlineStr">
        <is>
          <t>2019</t>
        </is>
      </c>
      <c r="P75" s="111" t="n"/>
      <c r="Q75" s="111" t="n"/>
      <c r="R75" s="96" t="inlineStr">
        <is>
          <t>SWIC</t>
        </is>
      </c>
      <c r="S75" s="96" t="inlineStr">
        <is>
          <t>2611N</t>
        </is>
      </c>
      <c r="T75" s="96" t="inlineStr">
        <is>
          <t>LCH04</t>
        </is>
      </c>
      <c r="U75" s="96" t="inlineStr">
        <is>
          <t>THLCH</t>
        </is>
      </c>
      <c r="V75" s="161" t="inlineStr">
        <is>
          <t>2026-10-17</t>
        </is>
      </c>
      <c r="W75" s="96" t="inlineStr">
        <is>
          <t>VNSGN</t>
        </is>
      </c>
      <c r="X75" s="161" t="inlineStr">
        <is>
          <t>2026-10-18</t>
        </is>
      </c>
      <c r="Y75" s="97" t="n"/>
      <c r="Z75" s="97" t="n"/>
      <c r="AA75" s="97" t="n"/>
      <c r="AB75" s="97" t="n"/>
      <c r="AC75" s="97" t="n"/>
      <c r="AD75" s="161" t="inlineStr">
        <is>
          <t>2026-10-12</t>
        </is>
      </c>
      <c r="AE75" s="174" t="inlineStr">
        <is>
          <t>2001</t>
        </is>
      </c>
      <c r="AF75" s="96" t="inlineStr">
        <is>
          <t>EDI2</t>
        </is>
      </c>
      <c r="AG75" s="97" t="n"/>
      <c r="AH75" s="97" t="n"/>
      <c r="AI75" s="97" t="inlineStr">
        <is>
          <t>VAVE68</t>
        </is>
      </c>
      <c r="AJ75" s="96" t="inlineStr">
        <is>
          <t>TO ORDER</t>
        </is>
      </c>
      <c r="AK75" s="130" t="n"/>
    </row>
    <row r="76" ht="12" customHeight="1">
      <c r="A76" s="108" t="inlineStr">
        <is>
          <t>SKLU1919684</t>
        </is>
      </c>
      <c r="B76" s="108" t="inlineStr">
        <is>
          <t>LCH04</t>
        </is>
      </c>
      <c r="C76" s="108" t="inlineStr">
        <is>
          <t>IFV</t>
        </is>
      </c>
      <c r="D76" s="172" t="inlineStr">
        <is>
          <t>2026-10-11</t>
        </is>
      </c>
      <c r="E76" s="173" t="inlineStr">
        <is>
          <t>1833</t>
        </is>
      </c>
      <c r="F76" s="96" t="inlineStr">
        <is>
          <t>HASLS22260901329</t>
        </is>
      </c>
      <c r="G76" s="96" t="inlineStr">
        <is>
          <t>WHA GC LOGISTICS COMPANY LIMITED</t>
        </is>
      </c>
      <c r="H76" s="111" t="inlineStr">
        <is>
          <t>22GP</t>
        </is>
      </c>
      <c r="I76" s="96" t="inlineStr">
        <is>
          <t>EMAIL</t>
        </is>
      </c>
      <c r="J76" s="96" t="inlineStr">
        <is>
          <t>EDI2</t>
        </is>
      </c>
      <c r="K76" s="96" t="n"/>
      <c r="L76" s="111" t="inlineStr">
        <is>
          <t>Full</t>
        </is>
      </c>
      <c r="M76" s="96" t="inlineStr">
        <is>
          <t>HASLS22260901329</t>
        </is>
      </c>
      <c r="N76" s="96" t="inlineStr">
        <is>
          <t xml:space="preserve">20'x2 </t>
        </is>
      </c>
      <c r="O76" s="111" t="inlineStr">
        <is>
          <t>2019</t>
        </is>
      </c>
      <c r="P76" s="111" t="n"/>
      <c r="Q76" s="111" t="n"/>
      <c r="R76" s="96" t="inlineStr">
        <is>
          <t>SWBT</t>
        </is>
      </c>
      <c r="S76" s="96" t="inlineStr">
        <is>
          <t>2616N</t>
        </is>
      </c>
      <c r="T76" s="96" t="inlineStr">
        <is>
          <t>LCH04</t>
        </is>
      </c>
      <c r="U76" s="96" t="inlineStr">
        <is>
          <t>THLCH</t>
        </is>
      </c>
      <c r="V76" s="161" t="inlineStr">
        <is>
          <t>2026-10-17</t>
        </is>
      </c>
      <c r="W76" s="96" t="inlineStr">
        <is>
          <t>VNSGN</t>
        </is>
      </c>
      <c r="X76" s="161" t="inlineStr">
        <is>
          <t>2026-10-18</t>
        </is>
      </c>
      <c r="Y76" s="97" t="n"/>
      <c r="Z76" s="97" t="n"/>
      <c r="AA76" s="97" t="n"/>
      <c r="AB76" s="97" t="n"/>
      <c r="AC76" s="97" t="n"/>
      <c r="AD76" s="161" t="inlineStr">
        <is>
          <t>2026-10-11</t>
        </is>
      </c>
      <c r="AE76" s="174" t="inlineStr">
        <is>
          <t>2200</t>
        </is>
      </c>
      <c r="AF76" s="96" t="inlineStr">
        <is>
          <t>EDI2</t>
        </is>
      </c>
      <c r="AG76" s="97" t="n"/>
      <c r="AH76" s="97" t="n"/>
      <c r="AI76" s="97" t="inlineStr">
        <is>
          <t>VAVEDD</t>
        </is>
      </c>
      <c r="AJ76" s="96" t="inlineStr">
        <is>
          <t>L.S PACK COMPANY LIMITED</t>
        </is>
      </c>
      <c r="AK76" s="130" t="n"/>
    </row>
    <row r="77" ht="12" customHeight="1">
      <c r="A77" s="108" t="inlineStr">
        <is>
          <t>SKLU1938581</t>
        </is>
      </c>
      <c r="B77" s="108" t="inlineStr">
        <is>
          <t>LCH04</t>
        </is>
      </c>
      <c r="C77" s="108" t="inlineStr">
        <is>
          <t>IFV</t>
        </is>
      </c>
      <c r="D77" s="172" t="inlineStr">
        <is>
          <t>2026-10-12</t>
        </is>
      </c>
      <c r="E77" s="173" t="inlineStr">
        <is>
          <t>1933</t>
        </is>
      </c>
      <c r="F77" s="96" t="inlineStr">
        <is>
          <t>HASLS22260902676</t>
        </is>
      </c>
      <c r="G77" s="96" t="inlineStr">
        <is>
          <t>HAST LOGISTICS CO., LTD.</t>
        </is>
      </c>
      <c r="H77" s="111" t="inlineStr">
        <is>
          <t>22GP</t>
        </is>
      </c>
      <c r="I77" s="96" t="inlineStr">
        <is>
          <t>EMAIL</t>
        </is>
      </c>
      <c r="J77" s="96" t="inlineStr">
        <is>
          <t>EDI2</t>
        </is>
      </c>
      <c r="K77" s="96" t="n"/>
      <c r="L77" s="111" t="inlineStr">
        <is>
          <t>Full</t>
        </is>
      </c>
      <c r="M77" s="96" t="inlineStr">
        <is>
          <t>HASLS22260902676</t>
        </is>
      </c>
      <c r="N77" s="96" t="inlineStr">
        <is>
          <t xml:space="preserve">20'x10 </t>
        </is>
      </c>
      <c r="O77" s="111" t="inlineStr">
        <is>
          <t>2019</t>
        </is>
      </c>
      <c r="P77" s="111" t="n"/>
      <c r="Q77" s="111" t="n"/>
      <c r="R77" s="96" t="inlineStr">
        <is>
          <t>SWIC</t>
        </is>
      </c>
      <c r="S77" s="96" t="inlineStr">
        <is>
          <t>2611N</t>
        </is>
      </c>
      <c r="T77" s="96" t="inlineStr">
        <is>
          <t>LCH04</t>
        </is>
      </c>
      <c r="U77" s="96" t="inlineStr">
        <is>
          <t>THLCH</t>
        </is>
      </c>
      <c r="V77" s="161" t="inlineStr">
        <is>
          <t>2026-10-17</t>
        </is>
      </c>
      <c r="W77" s="96" t="inlineStr">
        <is>
          <t>VNSGN</t>
        </is>
      </c>
      <c r="X77" s="161" t="inlineStr">
        <is>
          <t>2026-10-18</t>
        </is>
      </c>
      <c r="Y77" s="97" t="n"/>
      <c r="Z77" s="97" t="n"/>
      <c r="AA77" s="97" t="n"/>
      <c r="AB77" s="97" t="n"/>
      <c r="AC77" s="97" t="n"/>
      <c r="AD77" s="161" t="inlineStr">
        <is>
          <t>2026-10-12</t>
        </is>
      </c>
      <c r="AE77" s="174" t="inlineStr">
        <is>
          <t>2200</t>
        </is>
      </c>
      <c r="AF77" s="96" t="inlineStr">
        <is>
          <t>EDI2</t>
        </is>
      </c>
      <c r="AG77" s="97" t="n"/>
      <c r="AH77" s="97" t="n"/>
      <c r="AI77" s="97" t="inlineStr">
        <is>
          <t>VAVE68</t>
        </is>
      </c>
      <c r="AJ77" s="96" t="inlineStr">
        <is>
          <t>TO ORDER</t>
        </is>
      </c>
      <c r="AK77" s="130" t="n"/>
    </row>
    <row r="78" ht="12" customHeight="1">
      <c r="A78" s="108" t="inlineStr">
        <is>
          <t>SKLU1961154</t>
        </is>
      </c>
      <c r="B78" s="108" t="inlineStr">
        <is>
          <t>LCH04</t>
        </is>
      </c>
      <c r="C78" s="108" t="inlineStr">
        <is>
          <t>IFV</t>
        </is>
      </c>
      <c r="D78" s="172" t="inlineStr">
        <is>
          <t>2026-10-13</t>
        </is>
      </c>
      <c r="E78" s="173" t="inlineStr">
        <is>
          <t>0133</t>
        </is>
      </c>
      <c r="F78" s="96" t="inlineStr">
        <is>
          <t>HASLS22261000325</t>
        </is>
      </c>
      <c r="G78" s="96" t="inlineStr">
        <is>
          <t>EASTERN AIR LOGISTICS CO., LTD.</t>
        </is>
      </c>
      <c r="H78" s="111" t="inlineStr">
        <is>
          <t>22GP</t>
        </is>
      </c>
      <c r="I78" s="96" t="inlineStr">
        <is>
          <t>EMAIL</t>
        </is>
      </c>
      <c r="J78" s="96" t="inlineStr">
        <is>
          <t>EDI2</t>
        </is>
      </c>
      <c r="K78" s="96" t="n"/>
      <c r="L78" s="111" t="inlineStr">
        <is>
          <t>Full</t>
        </is>
      </c>
      <c r="M78" s="96" t="inlineStr">
        <is>
          <t>HASLS22261000325</t>
        </is>
      </c>
      <c r="N78" s="96" t="inlineStr">
        <is>
          <t xml:space="preserve">20'x1 </t>
        </is>
      </c>
      <c r="O78" s="111" t="inlineStr">
        <is>
          <t>2019</t>
        </is>
      </c>
      <c r="P78" s="111" t="n"/>
      <c r="Q78" s="111" t="n"/>
      <c r="R78" s="96" t="inlineStr">
        <is>
          <t>SWBT</t>
        </is>
      </c>
      <c r="S78" s="96" t="inlineStr">
        <is>
          <t>2616N</t>
        </is>
      </c>
      <c r="T78" s="96" t="inlineStr">
        <is>
          <t>LCH04</t>
        </is>
      </c>
      <c r="U78" s="96" t="inlineStr">
        <is>
          <t>THLCH</t>
        </is>
      </c>
      <c r="V78" s="161" t="inlineStr">
        <is>
          <t>2026-10-17</t>
        </is>
      </c>
      <c r="W78" s="96" t="inlineStr">
        <is>
          <t>VNSGN</t>
        </is>
      </c>
      <c r="X78" s="161" t="inlineStr">
        <is>
          <t>2026-10-18</t>
        </is>
      </c>
      <c r="Y78" s="97" t="n"/>
      <c r="Z78" s="97" t="n"/>
      <c r="AA78" s="97" t="n"/>
      <c r="AB78" s="97" t="n"/>
      <c r="AC78" s="97" t="n"/>
      <c r="AD78" s="161" t="inlineStr">
        <is>
          <t>2026-10-13</t>
        </is>
      </c>
      <c r="AE78" s="174" t="inlineStr">
        <is>
          <t>0400</t>
        </is>
      </c>
      <c r="AF78" s="96" t="inlineStr">
        <is>
          <t>EDI2</t>
        </is>
      </c>
      <c r="AG78" s="97" t="n"/>
      <c r="AH78" s="97" t="n"/>
      <c r="AI78" s="97" t="inlineStr">
        <is>
          <t>VAVD4R</t>
        </is>
      </c>
      <c r="AJ78" s="96" t="inlineStr">
        <is>
          <t>SMART NETWORK LOGISTICS CO., LTD</t>
        </is>
      </c>
      <c r="AK78" s="130" t="n"/>
    </row>
    <row r="79" ht="12" customHeight="1">
      <c r="A79" s="108" t="inlineStr">
        <is>
          <t>SKLU1979282</t>
        </is>
      </c>
      <c r="B79" s="108" t="inlineStr">
        <is>
          <t>LCH04</t>
        </is>
      </c>
      <c r="C79" s="108" t="inlineStr">
        <is>
          <t>IFV</t>
        </is>
      </c>
      <c r="D79" s="172" t="inlineStr">
        <is>
          <t>2026-10-13</t>
        </is>
      </c>
      <c r="E79" s="173" t="inlineStr">
        <is>
          <t>1634</t>
        </is>
      </c>
      <c r="F79" s="96" t="inlineStr">
        <is>
          <t>HASLS22260902063</t>
        </is>
      </c>
      <c r="G79" s="96" t="inlineStr">
        <is>
          <t>SCGJWD LOGISTICS PUBLIC COMPANY LIMITED</t>
        </is>
      </c>
      <c r="H79" s="111" t="inlineStr">
        <is>
          <t>22GP</t>
        </is>
      </c>
      <c r="I79" s="96" t="inlineStr">
        <is>
          <t>EMAIL</t>
        </is>
      </c>
      <c r="J79" s="96" t="inlineStr">
        <is>
          <t>Sirichai Prayochananon</t>
        </is>
      </c>
      <c r="K79" s="96" t="inlineStr">
        <is>
          <t>SD</t>
        </is>
      </c>
      <c r="L79" s="111" t="inlineStr">
        <is>
          <t>Full</t>
        </is>
      </c>
      <c r="M79" s="96" t="inlineStr">
        <is>
          <t>HASLS22260902063</t>
        </is>
      </c>
      <c r="N79" s="96" t="inlineStr">
        <is>
          <t xml:space="preserve">20'x5 </t>
        </is>
      </c>
      <c r="O79" s="111" t="inlineStr">
        <is>
          <t>2019</t>
        </is>
      </c>
      <c r="P79" s="111" t="n"/>
      <c r="Q79" s="111" t="n"/>
      <c r="R79" s="96" t="inlineStr">
        <is>
          <t>SWIC</t>
        </is>
      </c>
      <c r="S79" s="96" t="inlineStr">
        <is>
          <t>2611N</t>
        </is>
      </c>
      <c r="T79" s="96" t="inlineStr">
        <is>
          <t>LCH04</t>
        </is>
      </c>
      <c r="U79" s="96" t="inlineStr">
        <is>
          <t>THLCH</t>
        </is>
      </c>
      <c r="V79" s="161" t="inlineStr">
        <is>
          <t>2026-10-17</t>
        </is>
      </c>
      <c r="W79" s="96" t="inlineStr">
        <is>
          <t>JPNAH</t>
        </is>
      </c>
      <c r="X79" s="161" t="inlineStr">
        <is>
          <t>2026-10-25</t>
        </is>
      </c>
      <c r="Y79" s="97" t="n"/>
      <c r="Z79" s="97" t="n"/>
      <c r="AA79" s="97" t="n"/>
      <c r="AB79" s="97" t="n"/>
      <c r="AC79" s="97" t="n"/>
      <c r="AD79" s="161" t="inlineStr">
        <is>
          <t>2026-10-13</t>
        </is>
      </c>
      <c r="AE79" s="174" t="inlineStr">
        <is>
          <t>2253</t>
        </is>
      </c>
      <c r="AF79" s="96" t="inlineStr">
        <is>
          <t>TBKK42</t>
        </is>
      </c>
      <c r="AG79" s="97" t="n"/>
      <c r="AH79" s="97" t="n"/>
      <c r="AI79" s="97" t="n"/>
      <c r="AJ79" s="96" t="inlineStr">
        <is>
          <t>TOYOTSU CHEMIPLAS CORPORATION,</t>
        </is>
      </c>
      <c r="AK79" s="130" t="n">
        <v>0</v>
      </c>
    </row>
    <row r="80" ht="12" customHeight="1">
      <c r="A80" s="108" t="inlineStr">
        <is>
          <t>SKLU1993608</t>
        </is>
      </c>
      <c r="B80" s="108" t="inlineStr">
        <is>
          <t>LCH04</t>
        </is>
      </c>
      <c r="C80" s="108" t="inlineStr">
        <is>
          <t>IFV</t>
        </is>
      </c>
      <c r="D80" s="172" t="inlineStr">
        <is>
          <t>2026-10-12</t>
        </is>
      </c>
      <c r="E80" s="173" t="inlineStr">
        <is>
          <t>0357</t>
        </is>
      </c>
      <c r="F80" s="96" t="inlineStr">
        <is>
          <t>HASLS22260902232</t>
        </is>
      </c>
      <c r="G80" s="96" t="inlineStr">
        <is>
          <t>SCGJWD LOGISTICS PUBLIC COMPANY LIMITED</t>
        </is>
      </c>
      <c r="H80" s="111" t="inlineStr">
        <is>
          <t>22GP</t>
        </is>
      </c>
      <c r="I80" s="96" t="inlineStr">
        <is>
          <t>EMAIL</t>
        </is>
      </c>
      <c r="J80" s="96" t="inlineStr">
        <is>
          <t>EDI2</t>
        </is>
      </c>
      <c r="K80" s="96" t="n"/>
      <c r="L80" s="111" t="inlineStr">
        <is>
          <t>Full</t>
        </is>
      </c>
      <c r="M80" s="96" t="inlineStr">
        <is>
          <t>HASLS22260902232</t>
        </is>
      </c>
      <c r="N80" s="96" t="inlineStr">
        <is>
          <t xml:space="preserve">20'x2 </t>
        </is>
      </c>
      <c r="O80" s="111" t="inlineStr">
        <is>
          <t>2019</t>
        </is>
      </c>
      <c r="P80" s="111" t="n"/>
      <c r="Q80" s="111" t="n"/>
      <c r="R80" s="96" t="inlineStr">
        <is>
          <t>SWIC</t>
        </is>
      </c>
      <c r="S80" s="96" t="inlineStr">
        <is>
          <t>2611N</t>
        </is>
      </c>
      <c r="T80" s="96" t="inlineStr">
        <is>
          <t>LCH04</t>
        </is>
      </c>
      <c r="U80" s="96" t="inlineStr">
        <is>
          <t>THLCH</t>
        </is>
      </c>
      <c r="V80" s="161" t="inlineStr">
        <is>
          <t>2026-10-17</t>
        </is>
      </c>
      <c r="W80" s="96" t="inlineStr">
        <is>
          <t>JPNAH</t>
        </is>
      </c>
      <c r="X80" s="161" t="inlineStr">
        <is>
          <t>2026-10-25</t>
        </is>
      </c>
      <c r="Y80" s="97" t="n"/>
      <c r="Z80" s="97" t="n"/>
      <c r="AA80" s="97" t="n"/>
      <c r="AB80" s="97" t="n"/>
      <c r="AC80" s="97" t="n"/>
      <c r="AD80" s="161" t="inlineStr">
        <is>
          <t>2026-10-12</t>
        </is>
      </c>
      <c r="AE80" s="174" t="inlineStr">
        <is>
          <t>0602</t>
        </is>
      </c>
      <c r="AF80" s="96" t="inlineStr">
        <is>
          <t>EDI2</t>
        </is>
      </c>
      <c r="AG80" s="97" t="n"/>
      <c r="AH80" s="97" t="n"/>
      <c r="AI80" s="97" t="n"/>
      <c r="AJ80" s="96" t="inlineStr">
        <is>
          <t>MITSUI &amp; CO. PLASTICS LTD. TGSD</t>
        </is>
      </c>
      <c r="AK80" s="130" t="n"/>
    </row>
    <row r="81" ht="12" customHeight="1">
      <c r="A81" s="108" t="inlineStr">
        <is>
          <t>SKLU1999988</t>
        </is>
      </c>
      <c r="B81" s="108" t="inlineStr">
        <is>
          <t>LCH04</t>
        </is>
      </c>
      <c r="C81" s="108" t="inlineStr">
        <is>
          <t>IFV</t>
        </is>
      </c>
      <c r="D81" s="172" t="inlineStr">
        <is>
          <t>2026-10-13</t>
        </is>
      </c>
      <c r="E81" s="173" t="inlineStr">
        <is>
          <t>0043</t>
        </is>
      </c>
      <c r="F81" s="96" t="inlineStr">
        <is>
          <t>HASLS22260902676</t>
        </is>
      </c>
      <c r="G81" s="96" t="inlineStr">
        <is>
          <t>HAST LOGISTICS CO., LTD.</t>
        </is>
      </c>
      <c r="H81" s="111" t="inlineStr">
        <is>
          <t>22GP</t>
        </is>
      </c>
      <c r="I81" s="96" t="inlineStr">
        <is>
          <t>EMAIL</t>
        </is>
      </c>
      <c r="J81" s="96" t="inlineStr">
        <is>
          <t>EDI2</t>
        </is>
      </c>
      <c r="K81" s="96" t="n"/>
      <c r="L81" s="111" t="inlineStr">
        <is>
          <t>Full</t>
        </is>
      </c>
      <c r="M81" s="96" t="inlineStr">
        <is>
          <t>HASLS22260902676</t>
        </is>
      </c>
      <c r="N81" s="96" t="inlineStr">
        <is>
          <t xml:space="preserve">20'x10 </t>
        </is>
      </c>
      <c r="O81" s="111" t="inlineStr">
        <is>
          <t>2019</t>
        </is>
      </c>
      <c r="P81" s="111" t="n"/>
      <c r="Q81" s="111" t="n"/>
      <c r="R81" s="96" t="inlineStr">
        <is>
          <t>SWIC</t>
        </is>
      </c>
      <c r="S81" s="96" t="inlineStr">
        <is>
          <t>2611N</t>
        </is>
      </c>
      <c r="T81" s="96" t="inlineStr">
        <is>
          <t>LCH04</t>
        </is>
      </c>
      <c r="U81" s="96" t="inlineStr">
        <is>
          <t>THLCH</t>
        </is>
      </c>
      <c r="V81" s="161" t="inlineStr">
        <is>
          <t>2026-10-17</t>
        </is>
      </c>
      <c r="W81" s="96" t="inlineStr">
        <is>
          <t>VNSGN</t>
        </is>
      </c>
      <c r="X81" s="161" t="inlineStr">
        <is>
          <t>2026-10-18</t>
        </is>
      </c>
      <c r="Y81" s="97" t="n"/>
      <c r="Z81" s="97" t="n"/>
      <c r="AA81" s="97" t="n"/>
      <c r="AB81" s="97" t="n"/>
      <c r="AC81" s="97" t="n"/>
      <c r="AD81" s="161" t="inlineStr">
        <is>
          <t>2026-10-13</t>
        </is>
      </c>
      <c r="AE81" s="174" t="inlineStr">
        <is>
          <t>0400</t>
        </is>
      </c>
      <c r="AF81" s="96" t="inlineStr">
        <is>
          <t>EDI2</t>
        </is>
      </c>
      <c r="AG81" s="97" t="n"/>
      <c r="AH81" s="97" t="n"/>
      <c r="AI81" s="97" t="inlineStr">
        <is>
          <t>VAVE68</t>
        </is>
      </c>
      <c r="AJ81" s="96" t="inlineStr">
        <is>
          <t>TO ORDER</t>
        </is>
      </c>
      <c r="AK81" s="130" t="n"/>
    </row>
    <row r="82" ht="12" customHeight="1">
      <c r="A82" s="108" t="inlineStr">
        <is>
          <t>SKLU2011990</t>
        </is>
      </c>
      <c r="B82" s="108" t="inlineStr">
        <is>
          <t>LCH04</t>
        </is>
      </c>
      <c r="C82" s="108" t="inlineStr">
        <is>
          <t>IFV</t>
        </is>
      </c>
      <c r="D82" s="172" t="inlineStr">
        <is>
          <t>2026-10-13</t>
        </is>
      </c>
      <c r="E82" s="173" t="inlineStr">
        <is>
          <t>0733</t>
        </is>
      </c>
      <c r="F82" s="96" t="inlineStr">
        <is>
          <t>HASLS22260900880</t>
        </is>
      </c>
      <c r="G82" s="96" t="inlineStr">
        <is>
          <t>LX PANTOS (THAILAND) CO., LTD.</t>
        </is>
      </c>
      <c r="H82" s="111" t="inlineStr">
        <is>
          <t>22GP</t>
        </is>
      </c>
      <c r="I82" s="96" t="inlineStr">
        <is>
          <t>EMAIL</t>
        </is>
      </c>
      <c r="J82" s="96" t="inlineStr">
        <is>
          <t>EDI2</t>
        </is>
      </c>
      <c r="K82" s="96" t="n"/>
      <c r="L82" s="111" t="inlineStr">
        <is>
          <t>Full</t>
        </is>
      </c>
      <c r="M82" s="96" t="inlineStr">
        <is>
          <t>HASLS22260900880</t>
        </is>
      </c>
      <c r="N82" s="96" t="inlineStr">
        <is>
          <t xml:space="preserve">20'x2 </t>
        </is>
      </c>
      <c r="O82" s="111" t="inlineStr">
        <is>
          <t>2019</t>
        </is>
      </c>
      <c r="P82" s="111" t="n"/>
      <c r="Q82" s="111" t="n"/>
      <c r="R82" s="96" t="inlineStr">
        <is>
          <t>SWIC</t>
        </is>
      </c>
      <c r="S82" s="96" t="inlineStr">
        <is>
          <t>2611N</t>
        </is>
      </c>
      <c r="T82" s="96" t="inlineStr">
        <is>
          <t>LCH04</t>
        </is>
      </c>
      <c r="U82" s="96" t="inlineStr">
        <is>
          <t>THLCH</t>
        </is>
      </c>
      <c r="V82" s="161" t="inlineStr">
        <is>
          <t>2026-10-17</t>
        </is>
      </c>
      <c r="W82" s="96" t="inlineStr">
        <is>
          <t>KRUSN</t>
        </is>
      </c>
      <c r="X82" s="161" t="inlineStr">
        <is>
          <t>2026-10-26</t>
        </is>
      </c>
      <c r="Y82" s="97" t="n"/>
      <c r="Z82" s="97" t="n"/>
      <c r="AA82" s="97" t="n"/>
      <c r="AB82" s="97" t="n"/>
      <c r="AC82" s="97" t="n"/>
      <c r="AD82" s="161" t="inlineStr">
        <is>
          <t>2026-10-13</t>
        </is>
      </c>
      <c r="AE82" s="174" t="inlineStr">
        <is>
          <t>1001</t>
        </is>
      </c>
      <c r="AF82" s="96" t="inlineStr">
        <is>
          <t>EDI2</t>
        </is>
      </c>
      <c r="AG82" s="97" t="n"/>
      <c r="AH82" s="97" t="n"/>
      <c r="AI82" s="97" t="n"/>
      <c r="AJ82" s="96" t="inlineStr">
        <is>
          <t>LX PANTOS CO., LTD.</t>
        </is>
      </c>
      <c r="AK82" s="130" t="n"/>
    </row>
    <row r="83" ht="12" customHeight="1">
      <c r="A83" s="108" t="inlineStr">
        <is>
          <t>SKLU2019856</t>
        </is>
      </c>
      <c r="B83" s="108" t="inlineStr">
        <is>
          <t>LCH04</t>
        </is>
      </c>
      <c r="C83" s="108" t="inlineStr">
        <is>
          <t>IFV</t>
        </is>
      </c>
      <c r="D83" s="172" t="inlineStr">
        <is>
          <t>2026-10-12</t>
        </is>
      </c>
      <c r="E83" s="173" t="inlineStr">
        <is>
          <t>0355</t>
        </is>
      </c>
      <c r="F83" s="96" t="inlineStr">
        <is>
          <t>HASLS22260902232</t>
        </is>
      </c>
      <c r="G83" s="96" t="inlineStr">
        <is>
          <t>SCGJWD LOGISTICS PUBLIC COMPANY LIMITED</t>
        </is>
      </c>
      <c r="H83" s="111" t="inlineStr">
        <is>
          <t>22GP</t>
        </is>
      </c>
      <c r="I83" s="96" t="inlineStr">
        <is>
          <t>EMAIL</t>
        </is>
      </c>
      <c r="J83" s="96" t="inlineStr">
        <is>
          <t>EDI2</t>
        </is>
      </c>
      <c r="K83" s="96" t="n"/>
      <c r="L83" s="111" t="inlineStr">
        <is>
          <t>Full</t>
        </is>
      </c>
      <c r="M83" s="96" t="inlineStr">
        <is>
          <t>HASLS22260902232</t>
        </is>
      </c>
      <c r="N83" s="96" t="inlineStr">
        <is>
          <t xml:space="preserve">20'x2 </t>
        </is>
      </c>
      <c r="O83" s="111" t="inlineStr">
        <is>
          <t>2019</t>
        </is>
      </c>
      <c r="P83" s="111" t="n"/>
      <c r="Q83" s="111" t="n"/>
      <c r="R83" s="96" t="inlineStr">
        <is>
          <t>SWIC</t>
        </is>
      </c>
      <c r="S83" s="96" t="inlineStr">
        <is>
          <t>2611N</t>
        </is>
      </c>
      <c r="T83" s="96" t="inlineStr">
        <is>
          <t>LCH04</t>
        </is>
      </c>
      <c r="U83" s="96" t="inlineStr">
        <is>
          <t>THLCH</t>
        </is>
      </c>
      <c r="V83" s="161" t="inlineStr">
        <is>
          <t>2026-10-17</t>
        </is>
      </c>
      <c r="W83" s="96" t="inlineStr">
        <is>
          <t>JPNAH</t>
        </is>
      </c>
      <c r="X83" s="161" t="inlineStr">
        <is>
          <t>2026-10-25</t>
        </is>
      </c>
      <c r="Y83" s="97" t="n"/>
      <c r="Z83" s="97" t="n"/>
      <c r="AA83" s="97" t="n"/>
      <c r="AB83" s="97" t="n"/>
      <c r="AC83" s="97" t="n"/>
      <c r="AD83" s="161" t="inlineStr">
        <is>
          <t>2026-10-12</t>
        </is>
      </c>
      <c r="AE83" s="174" t="inlineStr">
        <is>
          <t>0602</t>
        </is>
      </c>
      <c r="AF83" s="96" t="inlineStr">
        <is>
          <t>EDI2</t>
        </is>
      </c>
      <c r="AG83" s="97" t="n"/>
      <c r="AH83" s="97" t="n"/>
      <c r="AI83" s="97" t="n"/>
      <c r="AJ83" s="96" t="inlineStr">
        <is>
          <t>MITSUI &amp; CO. PLASTICS LTD. TGSD</t>
        </is>
      </c>
      <c r="AK83" s="130" t="n"/>
    </row>
    <row r="84" ht="12" customHeight="1">
      <c r="A84" s="108" t="inlineStr">
        <is>
          <t>SKLU2113604</t>
        </is>
      </c>
      <c r="B84" s="108" t="inlineStr">
        <is>
          <t>LCH04</t>
        </is>
      </c>
      <c r="C84" s="108" t="inlineStr">
        <is>
          <t>IFV</t>
        </is>
      </c>
      <c r="D84" s="172" t="inlineStr">
        <is>
          <t>2026-10-13</t>
        </is>
      </c>
      <c r="E84" s="173" t="inlineStr">
        <is>
          <t>0022</t>
        </is>
      </c>
      <c r="F84" s="96" t="inlineStr">
        <is>
          <t>HASLS22260902676</t>
        </is>
      </c>
      <c r="G84" s="96" t="inlineStr">
        <is>
          <t>HAST LOGISTICS CO., LTD.</t>
        </is>
      </c>
      <c r="H84" s="111" t="inlineStr">
        <is>
          <t>22GP</t>
        </is>
      </c>
      <c r="I84" s="96" t="inlineStr">
        <is>
          <t>EMAIL</t>
        </is>
      </c>
      <c r="J84" s="96" t="inlineStr">
        <is>
          <t>EDI2</t>
        </is>
      </c>
      <c r="K84" s="96" t="n"/>
      <c r="L84" s="111" t="inlineStr">
        <is>
          <t>Full</t>
        </is>
      </c>
      <c r="M84" s="96" t="inlineStr">
        <is>
          <t>HASLS22260902676</t>
        </is>
      </c>
      <c r="N84" s="96" t="inlineStr">
        <is>
          <t xml:space="preserve">20'x10 </t>
        </is>
      </c>
      <c r="O84" s="111" t="inlineStr">
        <is>
          <t>2021</t>
        </is>
      </c>
      <c r="P84" s="111" t="n"/>
      <c r="Q84" s="111" t="n"/>
      <c r="R84" s="96" t="inlineStr">
        <is>
          <t>SWIC</t>
        </is>
      </c>
      <c r="S84" s="96" t="inlineStr">
        <is>
          <t>2611N</t>
        </is>
      </c>
      <c r="T84" s="96" t="inlineStr">
        <is>
          <t>LCH04</t>
        </is>
      </c>
      <c r="U84" s="96" t="inlineStr">
        <is>
          <t>THLCH</t>
        </is>
      </c>
      <c r="V84" s="161" t="inlineStr">
        <is>
          <t>2026-10-17</t>
        </is>
      </c>
      <c r="W84" s="96" t="inlineStr">
        <is>
          <t>VNSGN</t>
        </is>
      </c>
      <c r="X84" s="161" t="inlineStr">
        <is>
          <t>2026-10-18</t>
        </is>
      </c>
      <c r="Y84" s="97" t="n"/>
      <c r="Z84" s="97" t="n"/>
      <c r="AA84" s="97" t="n"/>
      <c r="AB84" s="97" t="n"/>
      <c r="AC84" s="97" t="n"/>
      <c r="AD84" s="161" t="inlineStr">
        <is>
          <t>2026-10-13</t>
        </is>
      </c>
      <c r="AE84" s="174" t="inlineStr">
        <is>
          <t>0400</t>
        </is>
      </c>
      <c r="AF84" s="96" t="inlineStr">
        <is>
          <t>EDI2</t>
        </is>
      </c>
      <c r="AG84" s="97" t="n"/>
      <c r="AH84" s="97" t="n"/>
      <c r="AI84" s="97" t="inlineStr">
        <is>
          <t>VAVE68</t>
        </is>
      </c>
      <c r="AJ84" s="96" t="inlineStr">
        <is>
          <t>TO ORDER</t>
        </is>
      </c>
      <c r="AK84" s="130" t="n"/>
    </row>
    <row r="85" ht="12" customHeight="1">
      <c r="A85" s="108" t="inlineStr">
        <is>
          <t>SKLU2302450</t>
        </is>
      </c>
      <c r="B85" s="108" t="inlineStr">
        <is>
          <t>LCH04</t>
        </is>
      </c>
      <c r="C85" s="108" t="inlineStr">
        <is>
          <t>IFV</t>
        </is>
      </c>
      <c r="D85" s="172" t="inlineStr">
        <is>
          <t>2026-10-12</t>
        </is>
      </c>
      <c r="E85" s="173" t="inlineStr">
        <is>
          <t>1945</t>
        </is>
      </c>
      <c r="F85" s="96" t="inlineStr">
        <is>
          <t>HASLS22260902676</t>
        </is>
      </c>
      <c r="G85" s="96" t="inlineStr">
        <is>
          <t>HAST LOGISTICS CO., LTD.</t>
        </is>
      </c>
      <c r="H85" s="111" t="inlineStr">
        <is>
          <t>22GP</t>
        </is>
      </c>
      <c r="I85" s="96" t="inlineStr">
        <is>
          <t>EMAIL</t>
        </is>
      </c>
      <c r="J85" s="96" t="inlineStr">
        <is>
          <t>EDI2</t>
        </is>
      </c>
      <c r="K85" s="96" t="n"/>
      <c r="L85" s="111" t="inlineStr">
        <is>
          <t>Full</t>
        </is>
      </c>
      <c r="M85" s="96" t="inlineStr">
        <is>
          <t>HASLS22260902676</t>
        </is>
      </c>
      <c r="N85" s="96" t="inlineStr">
        <is>
          <t xml:space="preserve">20'x10 </t>
        </is>
      </c>
      <c r="O85" s="111" t="inlineStr">
        <is>
          <t>2023</t>
        </is>
      </c>
      <c r="P85" s="111" t="n"/>
      <c r="Q85" s="111" t="n"/>
      <c r="R85" s="96" t="inlineStr">
        <is>
          <t>SWIC</t>
        </is>
      </c>
      <c r="S85" s="96" t="inlineStr">
        <is>
          <t>2611N</t>
        </is>
      </c>
      <c r="T85" s="96" t="inlineStr">
        <is>
          <t>LCH04</t>
        </is>
      </c>
      <c r="U85" s="96" t="inlineStr">
        <is>
          <t>THLCH</t>
        </is>
      </c>
      <c r="V85" s="161" t="inlineStr">
        <is>
          <t>2026-10-17</t>
        </is>
      </c>
      <c r="W85" s="96" t="inlineStr">
        <is>
          <t>VNSGN</t>
        </is>
      </c>
      <c r="X85" s="161" t="inlineStr">
        <is>
          <t>2026-10-18</t>
        </is>
      </c>
      <c r="Y85" s="97" t="n"/>
      <c r="Z85" s="97" t="n"/>
      <c r="AA85" s="97" t="n"/>
      <c r="AB85" s="97" t="n"/>
      <c r="AC85" s="97" t="n"/>
      <c r="AD85" s="161" t="inlineStr">
        <is>
          <t>2026-10-12</t>
        </is>
      </c>
      <c r="AE85" s="174" t="inlineStr">
        <is>
          <t>2200</t>
        </is>
      </c>
      <c r="AF85" s="96" t="inlineStr">
        <is>
          <t>EDI2</t>
        </is>
      </c>
      <c r="AG85" s="97" t="n"/>
      <c r="AH85" s="97" t="n"/>
      <c r="AI85" s="97" t="inlineStr">
        <is>
          <t>VAVE68</t>
        </is>
      </c>
      <c r="AJ85" s="96" t="inlineStr">
        <is>
          <t>TO ORDER</t>
        </is>
      </c>
      <c r="AK85" s="130" t="n"/>
    </row>
    <row r="86" ht="12" customHeight="1">
      <c r="A86" s="108" t="inlineStr">
        <is>
          <t>SKLU2308289</t>
        </is>
      </c>
      <c r="B86" s="108" t="inlineStr">
        <is>
          <t>LCH04</t>
        </is>
      </c>
      <c r="C86" s="108" t="inlineStr">
        <is>
          <t>IFV</t>
        </is>
      </c>
      <c r="D86" s="172" t="inlineStr">
        <is>
          <t>2026-10-13</t>
        </is>
      </c>
      <c r="E86" s="173" t="inlineStr">
        <is>
          <t>1750</t>
        </is>
      </c>
      <c r="F86" s="96" t="inlineStr">
        <is>
          <t>HASLS22260902063</t>
        </is>
      </c>
      <c r="G86" s="96" t="inlineStr">
        <is>
          <t>SCGJWD LOGISTICS PUBLIC COMPANY LIMITED</t>
        </is>
      </c>
      <c r="H86" s="111" t="inlineStr">
        <is>
          <t>22GP</t>
        </is>
      </c>
      <c r="I86" s="96" t="inlineStr">
        <is>
          <t>EMAIL</t>
        </is>
      </c>
      <c r="J86" s="96" t="inlineStr">
        <is>
          <t>EDI2</t>
        </is>
      </c>
      <c r="K86" s="96" t="n"/>
      <c r="L86" s="111" t="inlineStr">
        <is>
          <t>Full</t>
        </is>
      </c>
      <c r="M86" s="96" t="inlineStr">
        <is>
          <t>HASLS22260902063</t>
        </is>
      </c>
      <c r="N86" s="96" t="inlineStr">
        <is>
          <t xml:space="preserve">20'x5 </t>
        </is>
      </c>
      <c r="O86" s="111" t="inlineStr">
        <is>
          <t>2023</t>
        </is>
      </c>
      <c r="P86" s="111" t="n"/>
      <c r="Q86" s="111" t="n"/>
      <c r="R86" s="96" t="inlineStr">
        <is>
          <t>SWIC</t>
        </is>
      </c>
      <c r="S86" s="96" t="inlineStr">
        <is>
          <t>2611N</t>
        </is>
      </c>
      <c r="T86" s="96" t="inlineStr">
        <is>
          <t>LCH04</t>
        </is>
      </c>
      <c r="U86" s="96" t="inlineStr">
        <is>
          <t>THLCH</t>
        </is>
      </c>
      <c r="V86" s="161" t="inlineStr">
        <is>
          <t>2026-10-17</t>
        </is>
      </c>
      <c r="W86" s="96" t="inlineStr">
        <is>
          <t>JPMOJ</t>
        </is>
      </c>
      <c r="X86" s="161" t="inlineStr">
        <is>
          <t>2026-10-25</t>
        </is>
      </c>
      <c r="Y86" s="97" t="n"/>
      <c r="Z86" s="97" t="n"/>
      <c r="AA86" s="97" t="n"/>
      <c r="AB86" s="97" t="n"/>
      <c r="AC86" s="97" t="n"/>
      <c r="AD86" s="161" t="inlineStr">
        <is>
          <t>2026-10-13</t>
        </is>
      </c>
      <c r="AE86" s="174" t="inlineStr">
        <is>
          <t>2001</t>
        </is>
      </c>
      <c r="AF86" s="96" t="inlineStr">
        <is>
          <t>EDI2</t>
        </is>
      </c>
      <c r="AG86" s="97" t="n"/>
      <c r="AH86" s="97" t="n"/>
      <c r="AI86" s="97" t="n"/>
      <c r="AJ86" s="96" t="inlineStr">
        <is>
          <t>TOYOTSU CHEMIPLAS CORPORATION,</t>
        </is>
      </c>
      <c r="AK86" s="130" t="n"/>
    </row>
    <row r="87" ht="12" customHeight="1">
      <c r="A87" s="108" t="inlineStr">
        <is>
          <t>SKLU2337970</t>
        </is>
      </c>
      <c r="B87" s="108" t="inlineStr">
        <is>
          <t>LCH04</t>
        </is>
      </c>
      <c r="C87" s="108" t="inlineStr">
        <is>
          <t>IFV</t>
        </is>
      </c>
      <c r="D87" s="172" t="inlineStr">
        <is>
          <t>2026-10-13</t>
        </is>
      </c>
      <c r="E87" s="173" t="inlineStr">
        <is>
          <t>0901</t>
        </is>
      </c>
      <c r="F87" s="96" t="inlineStr">
        <is>
          <t>HASLS22261000153</t>
        </is>
      </c>
      <c r="G87" s="96" t="inlineStr">
        <is>
          <t>BEE LOGISTICS (THAILAND) CO., LTD.</t>
        </is>
      </c>
      <c r="H87" s="111" t="inlineStr">
        <is>
          <t>22GP</t>
        </is>
      </c>
      <c r="I87" s="96" t="inlineStr">
        <is>
          <t>EMAIL</t>
        </is>
      </c>
      <c r="J87" s="96" t="inlineStr">
        <is>
          <t>EDI2</t>
        </is>
      </c>
      <c r="K87" s="96" t="n"/>
      <c r="L87" s="111" t="inlineStr">
        <is>
          <t>Full</t>
        </is>
      </c>
      <c r="M87" s="96" t="inlineStr">
        <is>
          <t>HASLS22261000153</t>
        </is>
      </c>
      <c r="N87" s="96" t="inlineStr">
        <is>
          <t xml:space="preserve">20'x1 </t>
        </is>
      </c>
      <c r="O87" s="111" t="inlineStr">
        <is>
          <t>2023</t>
        </is>
      </c>
      <c r="P87" s="111" t="n"/>
      <c r="Q87" s="111" t="n"/>
      <c r="R87" s="96" t="inlineStr">
        <is>
          <t>SWBT</t>
        </is>
      </c>
      <c r="S87" s="96" t="inlineStr">
        <is>
          <t>2616N</t>
        </is>
      </c>
      <c r="T87" s="96" t="inlineStr">
        <is>
          <t>LCH04</t>
        </is>
      </c>
      <c r="U87" s="96" t="inlineStr">
        <is>
          <t>THLCH</t>
        </is>
      </c>
      <c r="V87" s="161" t="inlineStr">
        <is>
          <t>2026-10-17</t>
        </is>
      </c>
      <c r="W87" s="96" t="inlineStr">
        <is>
          <t>VNSGN</t>
        </is>
      </c>
      <c r="X87" s="161" t="inlineStr">
        <is>
          <t>2026-10-18</t>
        </is>
      </c>
      <c r="Y87" s="97" t="n"/>
      <c r="Z87" s="97" t="n"/>
      <c r="AA87" s="97" t="n"/>
      <c r="AB87" s="97" t="n"/>
      <c r="AC87" s="97" t="n"/>
      <c r="AD87" s="161" t="inlineStr">
        <is>
          <t>2026-10-13</t>
        </is>
      </c>
      <c r="AE87" s="174" t="inlineStr">
        <is>
          <t>1200</t>
        </is>
      </c>
      <c r="AF87" s="96" t="inlineStr">
        <is>
          <t>EDI2</t>
        </is>
      </c>
      <c r="AG87" s="97" t="n"/>
      <c r="AH87" s="97" t="n"/>
      <c r="AI87" s="97" t="inlineStr">
        <is>
          <t>VAVRWC</t>
        </is>
      </c>
      <c r="AJ87" s="96" t="inlineStr">
        <is>
          <t>BOND GLOBAL LOGISTICS JOINT STOCK</t>
        </is>
      </c>
      <c r="AK87" s="130" t="n"/>
    </row>
    <row r="88" ht="12" customHeight="1">
      <c r="A88" s="108" t="inlineStr">
        <is>
          <t>SKLU2360559</t>
        </is>
      </c>
      <c r="B88" s="108" t="inlineStr">
        <is>
          <t>LCH04</t>
        </is>
      </c>
      <c r="C88" s="108" t="inlineStr">
        <is>
          <t>IFV</t>
        </is>
      </c>
      <c r="D88" s="172" t="inlineStr">
        <is>
          <t>2026-10-13</t>
        </is>
      </c>
      <c r="E88" s="173" t="inlineStr">
        <is>
          <t>0356</t>
        </is>
      </c>
      <c r="F88" s="96" t="inlineStr">
        <is>
          <t>HASLS22260800966</t>
        </is>
      </c>
      <c r="G88" s="96" t="inlineStr">
        <is>
          <t>WHA GC LOGISTICS COMPANY LIMITED</t>
        </is>
      </c>
      <c r="H88" s="111" t="inlineStr">
        <is>
          <t>22GP</t>
        </is>
      </c>
      <c r="I88" s="96" t="inlineStr">
        <is>
          <t>EMAIL</t>
        </is>
      </c>
      <c r="J88" s="96" t="inlineStr">
        <is>
          <t>EDI2</t>
        </is>
      </c>
      <c r="K88" s="96" t="n"/>
      <c r="L88" s="111" t="inlineStr">
        <is>
          <t>Full</t>
        </is>
      </c>
      <c r="M88" s="96" t="inlineStr">
        <is>
          <t>HASLS22260800966</t>
        </is>
      </c>
      <c r="N88" s="96" t="inlineStr">
        <is>
          <t xml:space="preserve">20'x10 </t>
        </is>
      </c>
      <c r="O88" s="111" t="inlineStr">
        <is>
          <t>2023</t>
        </is>
      </c>
      <c r="P88" s="111" t="n"/>
      <c r="Q88" s="111" t="n"/>
      <c r="R88" s="96" t="inlineStr">
        <is>
          <t>PGPO</t>
        </is>
      </c>
      <c r="S88" s="96" t="inlineStr">
        <is>
          <t>2612N</t>
        </is>
      </c>
      <c r="T88" s="96" t="inlineStr">
        <is>
          <t>LCH04</t>
        </is>
      </c>
      <c r="U88" s="96" t="inlineStr">
        <is>
          <t>THLCH</t>
        </is>
      </c>
      <c r="V88" s="161" t="inlineStr">
        <is>
          <t>2026-10-17</t>
        </is>
      </c>
      <c r="W88" s="96" t="inlineStr">
        <is>
          <t>VNSGN</t>
        </is>
      </c>
      <c r="X88" s="161" t="inlineStr">
        <is>
          <t>2026-10-18</t>
        </is>
      </c>
      <c r="Y88" s="97" t="n"/>
      <c r="Z88" s="97" t="n"/>
      <c r="AA88" s="97" t="n"/>
      <c r="AB88" s="97" t="n"/>
      <c r="AC88" s="97" t="n"/>
      <c r="AD88" s="161" t="inlineStr">
        <is>
          <t>2026-10-13</t>
        </is>
      </c>
      <c r="AE88" s="174" t="inlineStr">
        <is>
          <t>0600</t>
        </is>
      </c>
      <c r="AF88" s="96" t="inlineStr">
        <is>
          <t>EDI2</t>
        </is>
      </c>
      <c r="AG88" s="97" t="n"/>
      <c r="AH88" s="97" t="n"/>
      <c r="AI88" s="97" t="inlineStr">
        <is>
          <t>VAVISE</t>
        </is>
      </c>
      <c r="AJ88" s="96" t="inlineStr">
        <is>
          <t>TO ORDER OF VIETINBANK, BINH DUONG</t>
        </is>
      </c>
      <c r="AK88" s="130" t="n"/>
    </row>
    <row r="89" ht="12" customHeight="1">
      <c r="A89" s="108" t="inlineStr">
        <is>
          <t>SKLU2402504</t>
        </is>
      </c>
      <c r="B89" s="108" t="inlineStr">
        <is>
          <t>LCH04</t>
        </is>
      </c>
      <c r="C89" s="108" t="inlineStr">
        <is>
          <t>IFV</t>
        </is>
      </c>
      <c r="D89" s="172" t="inlineStr">
        <is>
          <t>2026-10-13</t>
        </is>
      </c>
      <c r="E89" s="173" t="inlineStr">
        <is>
          <t>0237</t>
        </is>
      </c>
      <c r="F89" s="96" t="inlineStr">
        <is>
          <t>HASLS22260800966</t>
        </is>
      </c>
      <c r="G89" s="96" t="inlineStr">
        <is>
          <t>WHA GC LOGISTICS COMPANY LIMITED</t>
        </is>
      </c>
      <c r="H89" s="111" t="inlineStr">
        <is>
          <t>22GP</t>
        </is>
      </c>
      <c r="I89" s="96" t="inlineStr">
        <is>
          <t>EMAIL</t>
        </is>
      </c>
      <c r="J89" s="96" t="inlineStr">
        <is>
          <t>EDI2</t>
        </is>
      </c>
      <c r="K89" s="96" t="n"/>
      <c r="L89" s="111" t="inlineStr">
        <is>
          <t>Full</t>
        </is>
      </c>
      <c r="M89" s="96" t="inlineStr">
        <is>
          <t>HASLS22260800966</t>
        </is>
      </c>
      <c r="N89" s="96" t="inlineStr">
        <is>
          <t xml:space="preserve">20'x10 </t>
        </is>
      </c>
      <c r="O89" s="111" t="inlineStr">
        <is>
          <t>2024</t>
        </is>
      </c>
      <c r="P89" s="111" t="n"/>
      <c r="Q89" s="111" t="n"/>
      <c r="R89" s="96" t="inlineStr">
        <is>
          <t>PGPO</t>
        </is>
      </c>
      <c r="S89" s="96" t="inlineStr">
        <is>
          <t>2612N</t>
        </is>
      </c>
      <c r="T89" s="96" t="inlineStr">
        <is>
          <t>LCH04</t>
        </is>
      </c>
      <c r="U89" s="96" t="inlineStr">
        <is>
          <t>THLCH</t>
        </is>
      </c>
      <c r="V89" s="161" t="inlineStr">
        <is>
          <t>2026-10-17</t>
        </is>
      </c>
      <c r="W89" s="96" t="inlineStr">
        <is>
          <t>VNSGN</t>
        </is>
      </c>
      <c r="X89" s="161" t="inlineStr">
        <is>
          <t>2026-10-18</t>
        </is>
      </c>
      <c r="Y89" s="97" t="n"/>
      <c r="Z89" s="97" t="n"/>
      <c r="AA89" s="97" t="n"/>
      <c r="AB89" s="97" t="n"/>
      <c r="AC89" s="97" t="n"/>
      <c r="AD89" s="161" t="inlineStr">
        <is>
          <t>2026-10-13</t>
        </is>
      </c>
      <c r="AE89" s="174" t="inlineStr">
        <is>
          <t>0600</t>
        </is>
      </c>
      <c r="AF89" s="96" t="inlineStr">
        <is>
          <t>EDI2</t>
        </is>
      </c>
      <c r="AG89" s="97" t="n"/>
      <c r="AH89" s="97" t="n"/>
      <c r="AI89" s="97" t="inlineStr">
        <is>
          <t>VAVISE</t>
        </is>
      </c>
      <c r="AJ89" s="96" t="inlineStr">
        <is>
          <t>TO ORDER OF VIETINBANK, BINH DUONG</t>
        </is>
      </c>
      <c r="AK89" s="130" t="n"/>
    </row>
    <row r="90" ht="12" customHeight="1">
      <c r="A90" s="108" t="inlineStr">
        <is>
          <t>SKLU2424695</t>
        </is>
      </c>
      <c r="B90" s="108" t="inlineStr">
        <is>
          <t>LCH04</t>
        </is>
      </c>
      <c r="C90" s="108" t="inlineStr">
        <is>
          <t>IFV</t>
        </is>
      </c>
      <c r="D90" s="172" t="inlineStr">
        <is>
          <t>2026-10-13</t>
        </is>
      </c>
      <c r="E90" s="173" t="inlineStr">
        <is>
          <t>0958</t>
        </is>
      </c>
      <c r="F90" s="96" t="inlineStr">
        <is>
          <t>HASLS22260902029</t>
        </is>
      </c>
      <c r="G90" s="96" t="inlineStr">
        <is>
          <t>DOW CHEMICAL THAILAND LTD.</t>
        </is>
      </c>
      <c r="H90" s="111" t="inlineStr">
        <is>
          <t>22GP</t>
        </is>
      </c>
      <c r="I90" s="96" t="inlineStr">
        <is>
          <t>EMAIL</t>
        </is>
      </c>
      <c r="J90" s="96" t="inlineStr">
        <is>
          <t>EDI2</t>
        </is>
      </c>
      <c r="K90" s="96" t="n"/>
      <c r="L90" s="111" t="inlineStr">
        <is>
          <t>Full</t>
        </is>
      </c>
      <c r="M90" s="96" t="inlineStr">
        <is>
          <t>HASLS22260902029</t>
        </is>
      </c>
      <c r="N90" s="96" t="inlineStr">
        <is>
          <t xml:space="preserve">20'x1 </t>
        </is>
      </c>
      <c r="O90" s="111" t="inlineStr">
        <is>
          <t>2024</t>
        </is>
      </c>
      <c r="P90" s="111" t="n"/>
      <c r="Q90" s="111" t="n"/>
      <c r="R90" s="96" t="inlineStr">
        <is>
          <t>SWIC</t>
        </is>
      </c>
      <c r="S90" s="96" t="inlineStr">
        <is>
          <t>2611N</t>
        </is>
      </c>
      <c r="T90" s="96" t="inlineStr">
        <is>
          <t>LCH04</t>
        </is>
      </c>
      <c r="U90" s="96" t="inlineStr">
        <is>
          <t>THLCH</t>
        </is>
      </c>
      <c r="V90" s="161" t="inlineStr">
        <is>
          <t>2026-10-17</t>
        </is>
      </c>
      <c r="W90" s="96" t="inlineStr">
        <is>
          <t>JPYKK</t>
        </is>
      </c>
      <c r="X90" s="161" t="inlineStr">
        <is>
          <t>2026-10-25</t>
        </is>
      </c>
      <c r="Y90" s="97" t="n"/>
      <c r="Z90" s="97" t="n"/>
      <c r="AA90" s="97" t="n"/>
      <c r="AB90" s="97" t="n"/>
      <c r="AC90" s="97" t="n"/>
      <c r="AD90" s="161" t="inlineStr">
        <is>
          <t>2026-10-13</t>
        </is>
      </c>
      <c r="AE90" s="174" t="inlineStr">
        <is>
          <t>1200</t>
        </is>
      </c>
      <c r="AF90" s="96" t="inlineStr">
        <is>
          <t>EDI2</t>
        </is>
      </c>
      <c r="AG90" s="97" t="n"/>
      <c r="AH90" s="97" t="n"/>
      <c r="AI90" s="97" t="n"/>
      <c r="AJ90" s="96" t="inlineStr">
        <is>
          <t>DOW CHEMICAL JAPAN LIMITED</t>
        </is>
      </c>
      <c r="AK90" s="130" t="n"/>
    </row>
    <row r="91" ht="12" customHeight="1">
      <c r="A91" s="108" t="inlineStr">
        <is>
          <t>SKLU2435663</t>
        </is>
      </c>
      <c r="B91" s="108" t="inlineStr">
        <is>
          <t>LCH04</t>
        </is>
      </c>
      <c r="C91" s="108" t="inlineStr">
        <is>
          <t>IFV</t>
        </is>
      </c>
      <c r="D91" s="172" t="inlineStr">
        <is>
          <t>2026-10-14</t>
        </is>
      </c>
      <c r="E91" s="173" t="inlineStr">
        <is>
          <t>0220</t>
        </is>
      </c>
      <c r="F91" s="96" t="inlineStr">
        <is>
          <t>HASLS22261000114</t>
        </is>
      </c>
      <c r="G91" s="96" t="inlineStr">
        <is>
          <t>CANVAS GLOBAL LOGISTICS (THAILAND) CO., LTD.</t>
        </is>
      </c>
      <c r="H91" s="111" t="inlineStr">
        <is>
          <t>22GP</t>
        </is>
      </c>
      <c r="I91" s="96" t="inlineStr">
        <is>
          <t>EMAIL</t>
        </is>
      </c>
      <c r="J91" s="96" t="inlineStr">
        <is>
          <t>EDI2</t>
        </is>
      </c>
      <c r="K91" s="96" t="n"/>
      <c r="L91" s="111" t="inlineStr">
        <is>
          <t>Full</t>
        </is>
      </c>
      <c r="M91" s="96" t="inlineStr">
        <is>
          <t>HASLS22261000114</t>
        </is>
      </c>
      <c r="N91" s="96" t="inlineStr">
        <is>
          <t xml:space="preserve">20'x1 </t>
        </is>
      </c>
      <c r="O91" s="111" t="inlineStr">
        <is>
          <t>2024</t>
        </is>
      </c>
      <c r="P91" s="111" t="n"/>
      <c r="Q91" s="111" t="n"/>
      <c r="R91" s="96" t="inlineStr">
        <is>
          <t>SWIC</t>
        </is>
      </c>
      <c r="S91" s="96" t="inlineStr">
        <is>
          <t>2611N</t>
        </is>
      </c>
      <c r="T91" s="96" t="inlineStr">
        <is>
          <t>LCH04</t>
        </is>
      </c>
      <c r="U91" s="96" t="inlineStr">
        <is>
          <t>THLCH</t>
        </is>
      </c>
      <c r="V91" s="161" t="inlineStr">
        <is>
          <t>2026-10-17</t>
        </is>
      </c>
      <c r="W91" s="96" t="inlineStr">
        <is>
          <t>KRPUS</t>
        </is>
      </c>
      <c r="X91" s="161" t="inlineStr">
        <is>
          <t>2026-10-25</t>
        </is>
      </c>
      <c r="Y91" s="97" t="n"/>
      <c r="Z91" s="97" t="n"/>
      <c r="AA91" s="97" t="n"/>
      <c r="AB91" s="97" t="n"/>
      <c r="AC91" s="97" t="n"/>
      <c r="AD91" s="161" t="inlineStr">
        <is>
          <t>2026-10-14</t>
        </is>
      </c>
      <c r="AE91" s="174" t="inlineStr">
        <is>
          <t>0601</t>
        </is>
      </c>
      <c r="AF91" s="96" t="inlineStr">
        <is>
          <t>EDI2</t>
        </is>
      </c>
      <c r="AG91" s="97" t="n"/>
      <c r="AH91" s="97" t="n"/>
      <c r="AI91" s="97" t="n"/>
      <c r="AJ91" s="96" t="inlineStr">
        <is>
          <t>GNMED CO., LTD.</t>
        </is>
      </c>
      <c r="AK91" s="130" t="n"/>
    </row>
    <row r="92" ht="12" customHeight="1">
      <c r="A92" s="108" t="inlineStr">
        <is>
          <t>SKLU2484502</t>
        </is>
      </c>
      <c r="B92" s="108" t="inlineStr">
        <is>
          <t>LCH04</t>
        </is>
      </c>
      <c r="C92" s="108" t="inlineStr">
        <is>
          <t>IFV</t>
        </is>
      </c>
      <c r="D92" s="172" t="inlineStr">
        <is>
          <t>2026-10-13</t>
        </is>
      </c>
      <c r="E92" s="173" t="inlineStr">
        <is>
          <t>0259</t>
        </is>
      </c>
      <c r="F92" s="96" t="inlineStr">
        <is>
          <t>HASLS22260800966</t>
        </is>
      </c>
      <c r="G92" s="96" t="inlineStr">
        <is>
          <t>WHA GC LOGISTICS COMPANY LIMITED</t>
        </is>
      </c>
      <c r="H92" s="111" t="inlineStr">
        <is>
          <t>22GP</t>
        </is>
      </c>
      <c r="I92" s="96" t="inlineStr">
        <is>
          <t>EMAIL</t>
        </is>
      </c>
      <c r="J92" s="96" t="inlineStr">
        <is>
          <t>EDI2</t>
        </is>
      </c>
      <c r="K92" s="96" t="n"/>
      <c r="L92" s="111" t="inlineStr">
        <is>
          <t>Full</t>
        </is>
      </c>
      <c r="M92" s="96" t="inlineStr">
        <is>
          <t>HASLS22260800966</t>
        </is>
      </c>
      <c r="N92" s="96" t="inlineStr">
        <is>
          <t xml:space="preserve">20'x10 </t>
        </is>
      </c>
      <c r="O92" s="111" t="inlineStr">
        <is>
          <t>2024</t>
        </is>
      </c>
      <c r="P92" s="111" t="n"/>
      <c r="Q92" s="111" t="n"/>
      <c r="R92" s="96" t="inlineStr">
        <is>
          <t>PGPO</t>
        </is>
      </c>
      <c r="S92" s="96" t="inlineStr">
        <is>
          <t>2612N</t>
        </is>
      </c>
      <c r="T92" s="96" t="inlineStr">
        <is>
          <t>LCH04</t>
        </is>
      </c>
      <c r="U92" s="96" t="inlineStr">
        <is>
          <t>THLCH</t>
        </is>
      </c>
      <c r="V92" s="161" t="inlineStr">
        <is>
          <t>2026-10-17</t>
        </is>
      </c>
      <c r="W92" s="96" t="inlineStr">
        <is>
          <t>VNSGN</t>
        </is>
      </c>
      <c r="X92" s="161" t="inlineStr">
        <is>
          <t>2026-10-18</t>
        </is>
      </c>
      <c r="Y92" s="97" t="n"/>
      <c r="Z92" s="97" t="n"/>
      <c r="AA92" s="97" t="n"/>
      <c r="AB92" s="97" t="n"/>
      <c r="AC92" s="97" t="n"/>
      <c r="AD92" s="161" t="inlineStr">
        <is>
          <t>2026-10-13</t>
        </is>
      </c>
      <c r="AE92" s="174" t="inlineStr">
        <is>
          <t>0600</t>
        </is>
      </c>
      <c r="AF92" s="96" t="inlineStr">
        <is>
          <t>EDI2</t>
        </is>
      </c>
      <c r="AG92" s="97" t="n"/>
      <c r="AH92" s="97" t="n"/>
      <c r="AI92" s="97" t="inlineStr">
        <is>
          <t>VAVISE</t>
        </is>
      </c>
      <c r="AJ92" s="96" t="inlineStr">
        <is>
          <t>TO ORDER OF VIETINBANK, BINH DUONG</t>
        </is>
      </c>
      <c r="AK92" s="130" t="n"/>
    </row>
    <row r="93" ht="12" customHeight="1">
      <c r="A93" s="108" t="inlineStr">
        <is>
          <t>SKLU2487060</t>
        </is>
      </c>
      <c r="B93" s="108" t="inlineStr">
        <is>
          <t>LCH04</t>
        </is>
      </c>
      <c r="C93" s="108" t="inlineStr">
        <is>
          <t>IFV</t>
        </is>
      </c>
      <c r="D93" s="172" t="inlineStr">
        <is>
          <t>2026-10-13</t>
        </is>
      </c>
      <c r="E93" s="173" t="inlineStr">
        <is>
          <t>0940</t>
        </is>
      </c>
      <c r="F93" s="96" t="inlineStr">
        <is>
          <t>HASLS22260902027</t>
        </is>
      </c>
      <c r="G93" s="96" t="inlineStr">
        <is>
          <t>DOW CHEMICAL THAILAND LTD.</t>
        </is>
      </c>
      <c r="H93" s="111" t="inlineStr">
        <is>
          <t>22GP</t>
        </is>
      </c>
      <c r="I93" s="96" t="inlineStr">
        <is>
          <t>EMAIL</t>
        </is>
      </c>
      <c r="J93" s="96" t="inlineStr">
        <is>
          <t>EDI2</t>
        </is>
      </c>
      <c r="K93" s="96" t="n"/>
      <c r="L93" s="111" t="inlineStr">
        <is>
          <t>Full</t>
        </is>
      </c>
      <c r="M93" s="96" t="inlineStr">
        <is>
          <t>HASLS22260902027</t>
        </is>
      </c>
      <c r="N93" s="96" t="inlineStr">
        <is>
          <t xml:space="preserve">20'x1 </t>
        </is>
      </c>
      <c r="O93" s="111" t="inlineStr">
        <is>
          <t>2024</t>
        </is>
      </c>
      <c r="P93" s="111" t="n"/>
      <c r="Q93" s="111" t="n"/>
      <c r="R93" s="96" t="inlineStr">
        <is>
          <t>SWIC</t>
        </is>
      </c>
      <c r="S93" s="96" t="inlineStr">
        <is>
          <t>2611N</t>
        </is>
      </c>
      <c r="T93" s="96" t="inlineStr">
        <is>
          <t>LCH04</t>
        </is>
      </c>
      <c r="U93" s="96" t="inlineStr">
        <is>
          <t>THLCH</t>
        </is>
      </c>
      <c r="V93" s="161" t="inlineStr">
        <is>
          <t>2026-10-17</t>
        </is>
      </c>
      <c r="W93" s="96" t="inlineStr">
        <is>
          <t>JPYKK</t>
        </is>
      </c>
      <c r="X93" s="161" t="inlineStr">
        <is>
          <t>2026-10-25</t>
        </is>
      </c>
      <c r="Y93" s="97" t="n"/>
      <c r="Z93" s="97" t="n"/>
      <c r="AA93" s="97" t="n"/>
      <c r="AB93" s="97" t="n"/>
      <c r="AC93" s="97" t="n"/>
      <c r="AD93" s="161" t="inlineStr">
        <is>
          <t>2026-10-13</t>
        </is>
      </c>
      <c r="AE93" s="174" t="inlineStr">
        <is>
          <t>1200</t>
        </is>
      </c>
      <c r="AF93" s="96" t="inlineStr">
        <is>
          <t>EDI2</t>
        </is>
      </c>
      <c r="AG93" s="97" t="n"/>
      <c r="AH93" s="97" t="n"/>
      <c r="AI93" s="97" t="n"/>
      <c r="AJ93" s="96" t="inlineStr">
        <is>
          <t>DOW CHEMICAL JAPAN LIMITED</t>
        </is>
      </c>
      <c r="AK93" s="130" t="n"/>
    </row>
    <row r="94" ht="12" customHeight="1">
      <c r="A94" s="108" t="inlineStr">
        <is>
          <t>SKRU9909283</t>
        </is>
      </c>
      <c r="B94" s="108" t="inlineStr">
        <is>
          <t>LCH04</t>
        </is>
      </c>
      <c r="C94" s="108" t="inlineStr">
        <is>
          <t>IFV</t>
        </is>
      </c>
      <c r="D94" s="172" t="inlineStr">
        <is>
          <t>2026-10-13</t>
        </is>
      </c>
      <c r="E94" s="173" t="inlineStr">
        <is>
          <t>0312</t>
        </is>
      </c>
      <c r="F94" s="96" t="inlineStr">
        <is>
          <t>HASLS22260902806</t>
        </is>
      </c>
      <c r="G94" s="96" t="inlineStr">
        <is>
          <t>GOLDEN SEA FROZEN FOODS CO.,LTD</t>
        </is>
      </c>
      <c r="H94" s="111" t="inlineStr">
        <is>
          <t>45RE</t>
        </is>
      </c>
      <c r="I94" s="96" t="inlineStr">
        <is>
          <t>EMAIL</t>
        </is>
      </c>
      <c r="J94" s="96" t="inlineStr">
        <is>
          <t>EDI2</t>
        </is>
      </c>
      <c r="K94" s="96" t="n"/>
      <c r="L94" s="111" t="inlineStr">
        <is>
          <t>Full</t>
        </is>
      </c>
      <c r="M94" s="96" t="inlineStr">
        <is>
          <t>HASLS22260902806</t>
        </is>
      </c>
      <c r="N94" s="96" t="inlineStr">
        <is>
          <t xml:space="preserve">R40Hx1 </t>
        </is>
      </c>
      <c r="O94" s="111" t="inlineStr">
        <is>
          <t>2019</t>
        </is>
      </c>
      <c r="P94" s="111" t="inlineStr">
        <is>
          <t>CARRIER</t>
        </is>
      </c>
      <c r="Q94" s="111" t="inlineStr">
        <is>
          <t>PRIME LINE</t>
        </is>
      </c>
      <c r="R94" s="96" t="inlineStr">
        <is>
          <t>SWIC</t>
        </is>
      </c>
      <c r="S94" s="96" t="inlineStr">
        <is>
          <t>2611N</t>
        </is>
      </c>
      <c r="T94" s="96" t="inlineStr">
        <is>
          <t>LCH04</t>
        </is>
      </c>
      <c r="U94" s="96" t="inlineStr">
        <is>
          <t>THLCH</t>
        </is>
      </c>
      <c r="V94" s="161" t="inlineStr">
        <is>
          <t>2026-10-17</t>
        </is>
      </c>
      <c r="W94" s="96" t="inlineStr">
        <is>
          <t>VNSGN</t>
        </is>
      </c>
      <c r="X94" s="161" t="inlineStr">
        <is>
          <t>2026-10-18</t>
        </is>
      </c>
      <c r="Y94" s="97" t="n"/>
      <c r="Z94" s="97" t="n"/>
      <c r="AA94" s="97" t="n"/>
      <c r="AB94" s="97" t="n"/>
      <c r="AC94" s="97" t="n"/>
      <c r="AD94" s="161" t="inlineStr">
        <is>
          <t>2026-10-13</t>
        </is>
      </c>
      <c r="AE94" s="174" t="inlineStr">
        <is>
          <t>0600</t>
        </is>
      </c>
      <c r="AF94" s="96" t="inlineStr">
        <is>
          <t>EDI2</t>
        </is>
      </c>
      <c r="AG94" s="97" t="n"/>
      <c r="AH94" s="97" t="n"/>
      <c r="AI94" s="97" t="inlineStr">
        <is>
          <t>VAVWTG</t>
        </is>
      </c>
      <c r="AJ94" s="96" t="inlineStr">
        <is>
          <t>THANH THAO SEAFOOD IMPORT EXPORT</t>
        </is>
      </c>
      <c r="AK94" s="130" t="n"/>
    </row>
    <row r="95" ht="12" customHeight="1">
      <c r="A95" s="108" t="inlineStr">
        <is>
          <t>TCKU2122328</t>
        </is>
      </c>
      <c r="B95" s="108" t="inlineStr">
        <is>
          <t>LCH04</t>
        </is>
      </c>
      <c r="C95" s="108" t="inlineStr">
        <is>
          <t>IFV</t>
        </is>
      </c>
      <c r="D95" s="172" t="inlineStr">
        <is>
          <t>2026-10-12</t>
        </is>
      </c>
      <c r="E95" s="173" t="inlineStr">
        <is>
          <t>1744</t>
        </is>
      </c>
      <c r="F95" s="96" t="inlineStr">
        <is>
          <t>HASLS22260902070</t>
        </is>
      </c>
      <c r="G95" s="96" t="inlineStr">
        <is>
          <t>H &amp; FRIENDS GTL (THAILAND) CO., LTD.</t>
        </is>
      </c>
      <c r="H95" s="111" t="inlineStr">
        <is>
          <t>22GP</t>
        </is>
      </c>
      <c r="I95" s="96" t="inlineStr">
        <is>
          <t>EMAIL</t>
        </is>
      </c>
      <c r="J95" s="96" t="inlineStr">
        <is>
          <t>EDI2</t>
        </is>
      </c>
      <c r="K95" s="96" t="n"/>
      <c r="L95" s="111" t="inlineStr">
        <is>
          <t>Full</t>
        </is>
      </c>
      <c r="M95" s="96" t="inlineStr">
        <is>
          <t>HASLS22260902070</t>
        </is>
      </c>
      <c r="N95" s="96" t="inlineStr">
        <is>
          <t xml:space="preserve">20'x1 </t>
        </is>
      </c>
      <c r="O95" s="111" t="inlineStr">
        <is>
          <t>2011</t>
        </is>
      </c>
      <c r="P95" s="111" t="n"/>
      <c r="Q95" s="111" t="n"/>
      <c r="R95" s="96" t="inlineStr">
        <is>
          <t>SWIC</t>
        </is>
      </c>
      <c r="S95" s="96" t="inlineStr">
        <is>
          <t>2611N</t>
        </is>
      </c>
      <c r="T95" s="96" t="inlineStr">
        <is>
          <t>LCH04</t>
        </is>
      </c>
      <c r="U95" s="96" t="inlineStr">
        <is>
          <t>THLCH</t>
        </is>
      </c>
      <c r="V95" s="161" t="inlineStr">
        <is>
          <t>2026-10-17</t>
        </is>
      </c>
      <c r="W95" s="96" t="inlineStr">
        <is>
          <t>KRUSN</t>
        </is>
      </c>
      <c r="X95" s="161" t="inlineStr">
        <is>
          <t>2026-10-26</t>
        </is>
      </c>
      <c r="Y95" s="97" t="n"/>
      <c r="Z95" s="97" t="n"/>
      <c r="AA95" s="97" t="n"/>
      <c r="AB95" s="97" t="n"/>
      <c r="AC95" s="97" t="n"/>
      <c r="AD95" s="161" t="inlineStr">
        <is>
          <t>2026-10-12</t>
        </is>
      </c>
      <c r="AE95" s="174" t="inlineStr">
        <is>
          <t>2001</t>
        </is>
      </c>
      <c r="AF95" s="96" t="inlineStr">
        <is>
          <t>EDI2</t>
        </is>
      </c>
      <c r="AG95" s="97" t="n"/>
      <c r="AH95" s="97" t="n"/>
      <c r="AI95" s="97" t="n"/>
      <c r="AJ95" s="96" t="inlineStr">
        <is>
          <t>IMA SHIPPING CO., LTD.</t>
        </is>
      </c>
      <c r="AK95" s="130" t="n"/>
    </row>
    <row r="96" ht="12" customHeight="1">
      <c r="A96" s="108" t="inlineStr">
        <is>
          <t>BEAU2859749</t>
        </is>
      </c>
      <c r="B96" s="108" t="n"/>
      <c r="C96" s="108" t="n"/>
      <c r="D96" s="172" t="n"/>
      <c r="E96" s="173" t="n"/>
      <c r="F96" s="96" t="n"/>
      <c r="G96" s="96" t="n"/>
      <c r="H96" s="111" t="n"/>
      <c r="I96" s="96" t="n"/>
      <c r="J96" s="96" t="n"/>
      <c r="K96" s="96" t="n"/>
      <c r="L96" s="111" t="n"/>
      <c r="M96" s="96" t="n"/>
      <c r="N96" s="96" t="n"/>
      <c r="O96" s="111" t="n"/>
      <c r="P96" s="111" t="n"/>
      <c r="Q96" s="111" t="n"/>
      <c r="R96" s="96" t="n"/>
      <c r="S96" s="96" t="n"/>
      <c r="T96" s="96" t="n"/>
      <c r="U96" s="96" t="n"/>
      <c r="V96" s="161" t="n"/>
      <c r="W96" s="96" t="n"/>
      <c r="X96" s="161" t="n"/>
      <c r="Y96" s="97" t="n"/>
      <c r="Z96" s="97" t="n"/>
      <c r="AA96" s="97" t="n"/>
      <c r="AB96" s="97" t="n"/>
      <c r="AC96" s="97" t="n"/>
      <c r="AD96" s="161" t="n"/>
      <c r="AE96" s="174" t="n"/>
      <c r="AF96" s="96" t="n"/>
      <c r="AG96" s="97" t="n"/>
      <c r="AH96" s="97" t="n"/>
      <c r="AI96" s="97" t="n"/>
      <c r="AJ96" s="96" t="n"/>
      <c r="AK96" s="130" t="n"/>
    </row>
    <row r="97" ht="12" customHeight="1">
      <c r="A97" s="108" t="inlineStr">
        <is>
          <t>CRXU7661973</t>
        </is>
      </c>
      <c r="B97" s="108" t="n"/>
      <c r="C97" s="108" t="n"/>
      <c r="D97" s="172" t="n"/>
      <c r="E97" s="173" t="n"/>
      <c r="F97" s="96" t="n"/>
      <c r="G97" s="96" t="n"/>
      <c r="H97" s="111" t="n"/>
      <c r="I97" s="96" t="n"/>
      <c r="J97" s="96" t="n"/>
      <c r="K97" s="96" t="n"/>
      <c r="L97" s="111" t="n"/>
      <c r="M97" s="96" t="n"/>
      <c r="N97" s="96" t="n"/>
      <c r="O97" s="111" t="n"/>
      <c r="P97" s="111" t="n"/>
      <c r="Q97" s="111" t="n"/>
      <c r="R97" s="96" t="n"/>
      <c r="S97" s="96" t="n"/>
      <c r="T97" s="96" t="n"/>
      <c r="U97" s="96" t="n"/>
      <c r="V97" s="161" t="n"/>
      <c r="W97" s="96" t="n"/>
      <c r="X97" s="161" t="n"/>
      <c r="Y97" s="97" t="n"/>
      <c r="Z97" s="97" t="n"/>
      <c r="AA97" s="97" t="n"/>
      <c r="AB97" s="97" t="n"/>
      <c r="AC97" s="97" t="n"/>
      <c r="AD97" s="161" t="n"/>
      <c r="AE97" s="174" t="n"/>
      <c r="AF97" s="96" t="n"/>
      <c r="AG97" s="97" t="n"/>
      <c r="AH97" s="97" t="n"/>
      <c r="AI97" s="97" t="n"/>
      <c r="AJ97" s="96" t="n"/>
      <c r="AK97" s="130" t="n"/>
    </row>
    <row r="98" ht="12" customHeight="1">
      <c r="A98" s="108" t="inlineStr">
        <is>
          <t>DFSU3097259</t>
        </is>
      </c>
      <c r="B98" s="108" t="n"/>
      <c r="C98" s="108" t="n"/>
      <c r="D98" s="172" t="n"/>
      <c r="E98" s="173" t="n"/>
      <c r="F98" s="96" t="n"/>
      <c r="G98" s="96" t="n"/>
      <c r="H98" s="111" t="n"/>
      <c r="I98" s="96" t="n"/>
      <c r="J98" s="96" t="n"/>
      <c r="K98" s="96" t="n"/>
      <c r="L98" s="111" t="n"/>
      <c r="M98" s="96" t="n"/>
      <c r="N98" s="96" t="n"/>
      <c r="O98" s="111" t="n"/>
      <c r="P98" s="111" t="n"/>
      <c r="Q98" s="111" t="n"/>
      <c r="R98" s="96" t="n"/>
      <c r="S98" s="96" t="n"/>
      <c r="T98" s="96" t="n"/>
      <c r="U98" s="96" t="n"/>
      <c r="V98" s="161" t="n"/>
      <c r="W98" s="96" t="n"/>
      <c r="X98" s="161" t="n"/>
      <c r="Y98" s="97" t="n"/>
      <c r="Z98" s="97" t="n"/>
      <c r="AA98" s="97" t="n"/>
      <c r="AB98" s="97" t="n"/>
      <c r="AC98" s="97" t="n"/>
      <c r="AD98" s="161" t="n"/>
      <c r="AE98" s="174" t="n"/>
      <c r="AF98" s="96" t="n"/>
      <c r="AG98" s="97" t="n"/>
      <c r="AH98" s="97" t="n"/>
      <c r="AI98" s="97" t="n"/>
      <c r="AJ98" s="96" t="n"/>
      <c r="AK98" s="130" t="n"/>
    </row>
    <row r="99" ht="12" customHeight="1">
      <c r="A99" s="108" t="inlineStr">
        <is>
          <t>FBIU0005438</t>
        </is>
      </c>
      <c r="B99" s="108" t="n"/>
      <c r="C99" s="108" t="n"/>
      <c r="D99" s="172" t="n"/>
      <c r="E99" s="173" t="n"/>
      <c r="F99" s="96" t="n"/>
      <c r="G99" s="96" t="n"/>
      <c r="H99" s="111" t="n"/>
      <c r="I99" s="96" t="n"/>
      <c r="J99" s="96" t="n"/>
      <c r="K99" s="96" t="n"/>
      <c r="L99" s="111" t="n"/>
      <c r="M99" s="96" t="n"/>
      <c r="N99" s="96" t="n"/>
      <c r="O99" s="111" t="n"/>
      <c r="P99" s="111" t="n"/>
      <c r="Q99" s="111" t="n"/>
      <c r="R99" s="96" t="n"/>
      <c r="S99" s="96" t="n"/>
      <c r="T99" s="96" t="n"/>
      <c r="U99" s="96" t="n"/>
      <c r="V99" s="161" t="n"/>
      <c r="W99" s="96" t="n"/>
      <c r="X99" s="161" t="n"/>
      <c r="Y99" s="97" t="n"/>
      <c r="Z99" s="97" t="n"/>
      <c r="AA99" s="97" t="n"/>
      <c r="AB99" s="97" t="n"/>
      <c r="AC99" s="97" t="n"/>
      <c r="AD99" s="161" t="n"/>
      <c r="AE99" s="174" t="n"/>
      <c r="AF99" s="96" t="n"/>
      <c r="AG99" s="97" t="n"/>
      <c r="AH99" s="97" t="n"/>
      <c r="AI99" s="97" t="n"/>
      <c r="AJ99" s="96" t="n"/>
      <c r="AK99" s="130" t="n"/>
    </row>
    <row r="100" ht="12" customHeight="1">
      <c r="A100" s="108" t="inlineStr">
        <is>
          <t>FBIU5372570</t>
        </is>
      </c>
      <c r="B100" s="108" t="n"/>
      <c r="C100" s="108" t="n"/>
      <c r="D100" s="172" t="n"/>
      <c r="E100" s="173" t="n"/>
      <c r="F100" s="96" t="n"/>
      <c r="G100" s="96" t="n"/>
      <c r="H100" s="111" t="n"/>
      <c r="I100" s="96" t="n"/>
      <c r="J100" s="96" t="n"/>
      <c r="K100" s="96" t="n"/>
      <c r="L100" s="111" t="n"/>
      <c r="M100" s="96" t="n"/>
      <c r="N100" s="96" t="n"/>
      <c r="O100" s="111" t="n"/>
      <c r="P100" s="111" t="n"/>
      <c r="Q100" s="111" t="n"/>
      <c r="R100" s="96" t="n"/>
      <c r="S100" s="96" t="n"/>
      <c r="T100" s="96" t="n"/>
      <c r="U100" s="96" t="n"/>
      <c r="V100" s="161" t="n"/>
      <c r="W100" s="96" t="n"/>
      <c r="X100" s="161" t="n"/>
      <c r="Y100" s="97" t="n"/>
      <c r="Z100" s="97" t="n"/>
      <c r="AA100" s="97" t="n"/>
      <c r="AB100" s="97" t="n"/>
      <c r="AC100" s="97" t="n"/>
      <c r="AD100" s="161" t="n"/>
      <c r="AE100" s="174" t="n"/>
      <c r="AF100" s="96" t="n"/>
      <c r="AG100" s="97" t="n"/>
      <c r="AH100" s="97" t="n"/>
      <c r="AI100" s="97" t="n"/>
      <c r="AJ100" s="96" t="n"/>
      <c r="AK100" s="130" t="n"/>
    </row>
    <row r="101" ht="12" customHeight="1">
      <c r="A101" s="108" t="inlineStr">
        <is>
          <t>FBIU5372863</t>
        </is>
      </c>
      <c r="B101" s="108" t="n"/>
      <c r="C101" s="108" t="n"/>
      <c r="D101" s="172" t="n"/>
      <c r="E101" s="173" t="n"/>
      <c r="F101" s="96" t="n"/>
      <c r="G101" s="96" t="n"/>
      <c r="H101" s="111" t="n"/>
      <c r="I101" s="96" t="n"/>
      <c r="J101" s="96" t="n"/>
      <c r="K101" s="96" t="n"/>
      <c r="L101" s="111" t="n"/>
      <c r="M101" s="96" t="n"/>
      <c r="N101" s="96" t="n"/>
      <c r="O101" s="111" t="n"/>
      <c r="P101" s="111" t="n"/>
      <c r="Q101" s="111" t="n"/>
      <c r="R101" s="96" t="n"/>
      <c r="S101" s="96" t="n"/>
      <c r="T101" s="96" t="n"/>
      <c r="U101" s="96" t="n"/>
      <c r="V101" s="161" t="n"/>
      <c r="W101" s="96" t="n"/>
      <c r="X101" s="161" t="n"/>
      <c r="Y101" s="97" t="n"/>
      <c r="Z101" s="97" t="n"/>
      <c r="AA101" s="97" t="n"/>
      <c r="AB101" s="97" t="n"/>
      <c r="AC101" s="97" t="n"/>
      <c r="AD101" s="161" t="n"/>
      <c r="AE101" s="174" t="n"/>
      <c r="AF101" s="96" t="n"/>
      <c r="AG101" s="97" t="n"/>
      <c r="AH101" s="97" t="n"/>
      <c r="AI101" s="97" t="n"/>
      <c r="AJ101" s="96" t="n"/>
      <c r="AK101" s="130" t="n"/>
    </row>
    <row r="102" ht="12" customHeight="1">
      <c r="A102" s="108" t="inlineStr">
        <is>
          <t>FSCU5867837</t>
        </is>
      </c>
      <c r="B102" s="108" t="n"/>
      <c r="C102" s="108" t="n"/>
      <c r="D102" s="172" t="n"/>
      <c r="E102" s="173" t="n"/>
      <c r="F102" s="96" t="n"/>
      <c r="G102" s="96" t="n"/>
      <c r="H102" s="111" t="n"/>
      <c r="I102" s="96" t="n"/>
      <c r="J102" s="96" t="n"/>
      <c r="K102" s="96" t="n"/>
      <c r="L102" s="111" t="n"/>
      <c r="M102" s="96" t="n"/>
      <c r="N102" s="96" t="n"/>
      <c r="O102" s="111" t="n"/>
      <c r="P102" s="111" t="n"/>
      <c r="Q102" s="111" t="n"/>
      <c r="R102" s="96" t="n"/>
      <c r="S102" s="96" t="n"/>
      <c r="T102" s="96" t="n"/>
      <c r="U102" s="96" t="n"/>
      <c r="V102" s="161" t="n"/>
      <c r="W102" s="96" t="n"/>
      <c r="X102" s="161" t="n"/>
      <c r="Y102" s="97" t="n"/>
      <c r="Z102" s="97" t="n"/>
      <c r="AA102" s="97" t="n"/>
      <c r="AB102" s="97" t="n"/>
      <c r="AC102" s="97" t="n"/>
      <c r="AD102" s="161" t="n"/>
      <c r="AE102" s="174" t="n"/>
      <c r="AF102" s="96" t="n"/>
      <c r="AG102" s="97" t="n"/>
      <c r="AH102" s="97" t="n"/>
      <c r="AI102" s="97" t="n"/>
      <c r="AJ102" s="96" t="n"/>
      <c r="AK102" s="130" t="n"/>
    </row>
    <row r="103" ht="12" customHeight="1">
      <c r="A103" s="108" t="inlineStr">
        <is>
          <t>FSCU5868345</t>
        </is>
      </c>
      <c r="B103" s="108" t="n"/>
      <c r="C103" s="108" t="n"/>
      <c r="D103" s="172" t="n"/>
      <c r="E103" s="173" t="n"/>
      <c r="F103" s="96" t="n"/>
      <c r="G103" s="96" t="n"/>
      <c r="H103" s="111" t="n"/>
      <c r="I103" s="96" t="n"/>
      <c r="J103" s="96" t="n"/>
      <c r="K103" s="96" t="n"/>
      <c r="L103" s="111" t="n"/>
      <c r="M103" s="96" t="n"/>
      <c r="N103" s="96" t="n"/>
      <c r="O103" s="111" t="n"/>
      <c r="P103" s="111" t="n"/>
      <c r="Q103" s="111" t="n"/>
      <c r="R103" s="96" t="n"/>
      <c r="S103" s="96" t="n"/>
      <c r="T103" s="96" t="n"/>
      <c r="U103" s="96" t="n"/>
      <c r="V103" s="161" t="n"/>
      <c r="W103" s="96" t="n"/>
      <c r="X103" s="161" t="n"/>
      <c r="Y103" s="97" t="n"/>
      <c r="Z103" s="97" t="n"/>
      <c r="AA103" s="97" t="n"/>
      <c r="AB103" s="97" t="n"/>
      <c r="AC103" s="97" t="n"/>
      <c r="AD103" s="161" t="n"/>
      <c r="AE103" s="174" t="n"/>
      <c r="AF103" s="96" t="n"/>
      <c r="AG103" s="97" t="n"/>
      <c r="AH103" s="97" t="n"/>
      <c r="AI103" s="97" t="n"/>
      <c r="AJ103" s="96" t="n"/>
      <c r="AK103" s="130" t="n"/>
    </row>
    <row r="104" ht="12" customHeight="1">
      <c r="A104" s="108" t="inlineStr">
        <is>
          <t>FSCU5891366</t>
        </is>
      </c>
      <c r="B104" s="108" t="n"/>
      <c r="C104" s="108" t="n"/>
      <c r="D104" s="172" t="n"/>
      <c r="E104" s="173" t="n"/>
      <c r="F104" s="96" t="n"/>
      <c r="G104" s="96" t="n"/>
      <c r="H104" s="111" t="n"/>
      <c r="I104" s="96" t="n"/>
      <c r="J104" s="96" t="n"/>
      <c r="K104" s="96" t="n"/>
      <c r="L104" s="111" t="n"/>
      <c r="M104" s="96" t="n"/>
      <c r="N104" s="96" t="n"/>
      <c r="O104" s="111" t="n"/>
      <c r="P104" s="111" t="n"/>
      <c r="Q104" s="111" t="n"/>
      <c r="R104" s="96" t="n"/>
      <c r="S104" s="96" t="n"/>
      <c r="T104" s="96" t="n"/>
      <c r="U104" s="96" t="n"/>
      <c r="V104" s="161" t="n"/>
      <c r="W104" s="96" t="n"/>
      <c r="X104" s="161" t="n"/>
      <c r="Y104" s="97" t="n"/>
      <c r="Z104" s="97" t="n"/>
      <c r="AA104" s="97" t="n"/>
      <c r="AB104" s="97" t="n"/>
      <c r="AC104" s="97" t="n"/>
      <c r="AD104" s="161" t="n"/>
      <c r="AE104" s="174" t="n"/>
      <c r="AF104" s="96" t="n"/>
      <c r="AG104" s="97" t="n"/>
      <c r="AH104" s="97" t="n"/>
      <c r="AI104" s="97" t="n"/>
      <c r="AJ104" s="96" t="n"/>
      <c r="AK104" s="130" t="n"/>
    </row>
    <row r="105" ht="12" customHeight="1">
      <c r="A105" s="108" t="inlineStr">
        <is>
          <t>FSCU5892125</t>
        </is>
      </c>
      <c r="B105" s="108" t="n"/>
      <c r="C105" s="108" t="n"/>
      <c r="D105" s="172" t="n"/>
      <c r="E105" s="173" t="n"/>
      <c r="F105" s="96" t="n"/>
      <c r="G105" s="96" t="n"/>
      <c r="H105" s="111" t="n"/>
      <c r="I105" s="96" t="n"/>
      <c r="J105" s="96" t="n"/>
      <c r="K105" s="96" t="n"/>
      <c r="L105" s="111" t="n"/>
      <c r="M105" s="96" t="n"/>
      <c r="N105" s="96" t="n"/>
      <c r="O105" s="111" t="n"/>
      <c r="P105" s="111" t="n"/>
      <c r="Q105" s="111" t="n"/>
      <c r="R105" s="96" t="n"/>
      <c r="S105" s="96" t="n"/>
      <c r="T105" s="96" t="n"/>
      <c r="U105" s="96" t="n"/>
      <c r="V105" s="161" t="n"/>
      <c r="W105" s="96" t="n"/>
      <c r="X105" s="161" t="n"/>
      <c r="Y105" s="97" t="n"/>
      <c r="Z105" s="97" t="n"/>
      <c r="AA105" s="97" t="n"/>
      <c r="AB105" s="97" t="n"/>
      <c r="AC105" s="97" t="n"/>
      <c r="AD105" s="161" t="n"/>
      <c r="AE105" s="174" t="n"/>
      <c r="AF105" s="96" t="n"/>
      <c r="AG105" s="97" t="n"/>
      <c r="AH105" s="97" t="n"/>
      <c r="AI105" s="97" t="n"/>
      <c r="AJ105" s="96" t="n"/>
      <c r="AK105" s="130" t="n"/>
    </row>
    <row r="106" ht="12" customHeight="1">
      <c r="A106" s="108" t="inlineStr">
        <is>
          <t>FSCU5892974</t>
        </is>
      </c>
      <c r="B106" s="108" t="n"/>
      <c r="C106" s="108" t="n"/>
      <c r="D106" s="172" t="n"/>
      <c r="E106" s="173" t="n"/>
      <c r="F106" s="96" t="n"/>
      <c r="G106" s="96" t="n"/>
      <c r="H106" s="111" t="n"/>
      <c r="I106" s="96" t="n"/>
      <c r="J106" s="96" t="n"/>
      <c r="K106" s="96" t="n"/>
      <c r="L106" s="111" t="n"/>
      <c r="M106" s="96" t="n"/>
      <c r="N106" s="96" t="n"/>
      <c r="O106" s="111" t="n"/>
      <c r="P106" s="111" t="n"/>
      <c r="Q106" s="111" t="n"/>
      <c r="R106" s="96" t="n"/>
      <c r="S106" s="96" t="n"/>
      <c r="T106" s="96" t="n"/>
      <c r="U106" s="96" t="n"/>
      <c r="V106" s="161" t="n"/>
      <c r="W106" s="96" t="n"/>
      <c r="X106" s="161" t="n"/>
      <c r="Y106" s="97" t="n"/>
      <c r="Z106" s="97" t="n"/>
      <c r="AA106" s="97" t="n"/>
      <c r="AB106" s="97" t="n"/>
      <c r="AC106" s="97" t="n"/>
      <c r="AD106" s="161" t="n"/>
      <c r="AE106" s="174" t="n"/>
      <c r="AF106" s="96" t="n"/>
      <c r="AG106" s="97" t="n"/>
      <c r="AH106" s="97" t="n"/>
      <c r="AI106" s="97" t="n"/>
      <c r="AJ106" s="96" t="n"/>
      <c r="AK106" s="130" t="n"/>
    </row>
    <row r="107" ht="12" customHeight="1">
      <c r="A107" s="108" t="inlineStr">
        <is>
          <t>FSCU5896814</t>
        </is>
      </c>
      <c r="B107" s="108" t="n"/>
      <c r="C107" s="108" t="n"/>
      <c r="D107" s="172" t="n"/>
      <c r="E107" s="173" t="n"/>
      <c r="F107" s="96" t="n"/>
      <c r="G107" s="96" t="n"/>
      <c r="H107" s="111" t="n"/>
      <c r="I107" s="96" t="n"/>
      <c r="J107" s="96" t="n"/>
      <c r="K107" s="96" t="n"/>
      <c r="L107" s="111" t="n"/>
      <c r="M107" s="96" t="n"/>
      <c r="N107" s="96" t="n"/>
      <c r="O107" s="111" t="n"/>
      <c r="P107" s="111" t="n"/>
      <c r="Q107" s="111" t="n"/>
      <c r="R107" s="96" t="n"/>
      <c r="S107" s="96" t="n"/>
      <c r="T107" s="96" t="n"/>
      <c r="U107" s="96" t="n"/>
      <c r="V107" s="161" t="n"/>
      <c r="W107" s="96" t="n"/>
      <c r="X107" s="161" t="n"/>
      <c r="Y107" s="97" t="n"/>
      <c r="Z107" s="97" t="n"/>
      <c r="AA107" s="97" t="n"/>
      <c r="AB107" s="97" t="n"/>
      <c r="AC107" s="97" t="n"/>
      <c r="AD107" s="161" t="n"/>
      <c r="AE107" s="174" t="n"/>
      <c r="AF107" s="96" t="n"/>
      <c r="AG107" s="97" t="n"/>
      <c r="AH107" s="97" t="n"/>
      <c r="AI107" s="97" t="n"/>
      <c r="AJ107" s="96" t="n"/>
      <c r="AK107" s="130" t="n"/>
    </row>
    <row r="108" ht="12" customHeight="1">
      <c r="A108" s="108" t="inlineStr">
        <is>
          <t>GCXU5995723</t>
        </is>
      </c>
      <c r="B108" s="108" t="n"/>
      <c r="C108" s="108" t="n"/>
      <c r="D108" s="172" t="n"/>
      <c r="E108" s="173" t="n"/>
      <c r="F108" s="96" t="n"/>
      <c r="G108" s="96" t="n"/>
      <c r="H108" s="111" t="n"/>
      <c r="I108" s="96" t="n"/>
      <c r="J108" s="96" t="n"/>
      <c r="K108" s="96" t="n"/>
      <c r="L108" s="111" t="n"/>
      <c r="M108" s="96" t="n"/>
      <c r="N108" s="96" t="n"/>
      <c r="O108" s="111" t="n"/>
      <c r="P108" s="111" t="n"/>
      <c r="Q108" s="111" t="n"/>
      <c r="R108" s="96" t="n"/>
      <c r="S108" s="96" t="n"/>
      <c r="T108" s="96" t="n"/>
      <c r="U108" s="96" t="n"/>
      <c r="V108" s="161" t="n"/>
      <c r="W108" s="96" t="n"/>
      <c r="X108" s="161" t="n"/>
      <c r="Y108" s="97" t="n"/>
      <c r="Z108" s="97" t="n"/>
      <c r="AA108" s="97" t="n"/>
      <c r="AB108" s="97" t="n"/>
      <c r="AC108" s="97" t="n"/>
      <c r="AD108" s="161" t="n"/>
      <c r="AE108" s="174" t="n"/>
      <c r="AF108" s="96" t="n"/>
      <c r="AG108" s="97" t="n"/>
      <c r="AH108" s="97" t="n"/>
      <c r="AI108" s="97" t="n"/>
      <c r="AJ108" s="96" t="n"/>
      <c r="AK108" s="130" t="n"/>
    </row>
    <row r="109" ht="12" customHeight="1">
      <c r="A109" s="108" t="inlineStr">
        <is>
          <t>GCXU6301730</t>
        </is>
      </c>
      <c r="B109" s="108" t="n"/>
      <c r="C109" s="108" t="n"/>
      <c r="D109" s="172" t="n"/>
      <c r="E109" s="173" t="n"/>
      <c r="F109" s="96" t="n"/>
      <c r="G109" s="96" t="n"/>
      <c r="H109" s="111" t="n"/>
      <c r="I109" s="96" t="n"/>
      <c r="J109" s="96" t="n"/>
      <c r="K109" s="96" t="n"/>
      <c r="L109" s="111" t="n"/>
      <c r="M109" s="96" t="n"/>
      <c r="N109" s="96" t="n"/>
      <c r="O109" s="111" t="n"/>
      <c r="P109" s="111" t="n"/>
      <c r="Q109" s="111" t="n"/>
      <c r="R109" s="96" t="n"/>
      <c r="S109" s="96" t="n"/>
      <c r="T109" s="96" t="n"/>
      <c r="U109" s="96" t="n"/>
      <c r="V109" s="161" t="n"/>
      <c r="W109" s="96" t="n"/>
      <c r="X109" s="161" t="n"/>
      <c r="Y109" s="97" t="n"/>
      <c r="Z109" s="97" t="n"/>
      <c r="AA109" s="97" t="n"/>
      <c r="AB109" s="97" t="n"/>
      <c r="AC109" s="97" t="n"/>
      <c r="AD109" s="161" t="n"/>
      <c r="AE109" s="174" t="n"/>
      <c r="AF109" s="96" t="n"/>
      <c r="AG109" s="97" t="n"/>
      <c r="AH109" s="97" t="n"/>
      <c r="AI109" s="97" t="n"/>
      <c r="AJ109" s="96" t="n"/>
      <c r="AK109" s="130" t="n"/>
    </row>
    <row r="110" ht="12" customHeight="1">
      <c r="A110" s="108" t="inlineStr">
        <is>
          <t>HALU2106707</t>
        </is>
      </c>
      <c r="B110" s="108" t="n"/>
      <c r="C110" s="108" t="n"/>
      <c r="D110" s="172" t="n"/>
      <c r="E110" s="173" t="n"/>
      <c r="F110" s="96" t="n"/>
      <c r="G110" s="96" t="n"/>
      <c r="H110" s="111" t="n"/>
      <c r="I110" s="96" t="n"/>
      <c r="J110" s="96" t="n"/>
      <c r="K110" s="96" t="n"/>
      <c r="L110" s="111" t="n"/>
      <c r="M110" s="96" t="n"/>
      <c r="N110" s="96" t="n"/>
      <c r="O110" s="111" t="n"/>
      <c r="P110" s="111" t="n"/>
      <c r="Q110" s="111" t="n"/>
      <c r="R110" s="96" t="n"/>
      <c r="S110" s="96" t="n"/>
      <c r="T110" s="96" t="n"/>
      <c r="U110" s="96" t="n"/>
      <c r="V110" s="161" t="n"/>
      <c r="W110" s="96" t="n"/>
      <c r="X110" s="161" t="n"/>
      <c r="Y110" s="97" t="n"/>
      <c r="Z110" s="97" t="n"/>
      <c r="AA110" s="97" t="n"/>
      <c r="AB110" s="97" t="n"/>
      <c r="AC110" s="97" t="n"/>
      <c r="AD110" s="161" t="n"/>
      <c r="AE110" s="174" t="n"/>
      <c r="AF110" s="96" t="n"/>
      <c r="AG110" s="97" t="n"/>
      <c r="AH110" s="97" t="n"/>
      <c r="AI110" s="97" t="n"/>
      <c r="AJ110" s="96" t="n"/>
      <c r="AK110" s="130" t="n"/>
    </row>
    <row r="111" ht="12" customHeight="1">
      <c r="A111" s="108" t="inlineStr">
        <is>
          <t>HALU2311888</t>
        </is>
      </c>
      <c r="B111" s="108" t="n"/>
      <c r="C111" s="108" t="n"/>
      <c r="D111" s="172" t="n"/>
      <c r="E111" s="173" t="n"/>
      <c r="F111" s="96" t="n"/>
      <c r="G111" s="96" t="n"/>
      <c r="H111" s="111" t="n"/>
      <c r="I111" s="96" t="n"/>
      <c r="J111" s="96" t="n"/>
      <c r="K111" s="96" t="n"/>
      <c r="L111" s="111" t="n"/>
      <c r="M111" s="96" t="n"/>
      <c r="N111" s="96" t="n"/>
      <c r="O111" s="111" t="n"/>
      <c r="P111" s="111" t="n"/>
      <c r="Q111" s="111" t="n"/>
      <c r="R111" s="96" t="n"/>
      <c r="S111" s="96" t="n"/>
      <c r="T111" s="96" t="n"/>
      <c r="U111" s="96" t="n"/>
      <c r="V111" s="161" t="n"/>
      <c r="W111" s="96" t="n"/>
      <c r="X111" s="161" t="n"/>
      <c r="Y111" s="97" t="n"/>
      <c r="Z111" s="97" t="n"/>
      <c r="AA111" s="97" t="n"/>
      <c r="AB111" s="97" t="n"/>
      <c r="AC111" s="97" t="n"/>
      <c r="AD111" s="161" t="n"/>
      <c r="AE111" s="174" t="n"/>
      <c r="AF111" s="96" t="n"/>
      <c r="AG111" s="97" t="n"/>
      <c r="AH111" s="97" t="n"/>
      <c r="AI111" s="97" t="n"/>
      <c r="AJ111" s="96" t="n"/>
      <c r="AK111" s="130" t="n"/>
    </row>
    <row r="112" ht="12" customHeight="1">
      <c r="A112" s="108" t="inlineStr">
        <is>
          <t>HALU2327267</t>
        </is>
      </c>
      <c r="B112" s="108" t="n"/>
      <c r="C112" s="108" t="n"/>
      <c r="D112" s="172" t="n"/>
      <c r="E112" s="173" t="n"/>
      <c r="F112" s="96" t="n"/>
      <c r="G112" s="96" t="n"/>
      <c r="H112" s="111" t="n"/>
      <c r="I112" s="96" t="n"/>
      <c r="J112" s="96" t="n"/>
      <c r="K112" s="96" t="n"/>
      <c r="L112" s="111" t="n"/>
      <c r="M112" s="96" t="n"/>
      <c r="N112" s="96" t="n"/>
      <c r="O112" s="111" t="n"/>
      <c r="P112" s="111" t="n"/>
      <c r="Q112" s="111" t="n"/>
      <c r="R112" s="96" t="n"/>
      <c r="S112" s="96" t="n"/>
      <c r="T112" s="96" t="n"/>
      <c r="U112" s="96" t="n"/>
      <c r="V112" s="161" t="n"/>
      <c r="W112" s="96" t="n"/>
      <c r="X112" s="161" t="n"/>
      <c r="Y112" s="97" t="n"/>
      <c r="Z112" s="97" t="n"/>
      <c r="AA112" s="97" t="n"/>
      <c r="AB112" s="97" t="n"/>
      <c r="AC112" s="97" t="n"/>
      <c r="AD112" s="161" t="n"/>
      <c r="AE112" s="174" t="n"/>
      <c r="AF112" s="96" t="n"/>
      <c r="AG112" s="97" t="n"/>
      <c r="AH112" s="97" t="n"/>
      <c r="AI112" s="97" t="n"/>
      <c r="AJ112" s="96" t="n"/>
      <c r="AK112" s="130" t="n"/>
    </row>
    <row r="113" ht="12" customHeight="1">
      <c r="A113" s="108" t="inlineStr">
        <is>
          <t>HALU2342410</t>
        </is>
      </c>
      <c r="B113" s="108" t="n"/>
      <c r="C113" s="108" t="n"/>
      <c r="D113" s="172" t="n"/>
      <c r="E113" s="173" t="n"/>
      <c r="F113" s="96" t="n"/>
      <c r="G113" s="96" t="n"/>
      <c r="H113" s="111" t="n"/>
      <c r="I113" s="96" t="n"/>
      <c r="J113" s="96" t="n"/>
      <c r="K113" s="96" t="n"/>
      <c r="L113" s="111" t="n"/>
      <c r="M113" s="96" t="n"/>
      <c r="N113" s="96" t="n"/>
      <c r="O113" s="111" t="n"/>
      <c r="P113" s="111" t="n"/>
      <c r="Q113" s="111" t="n"/>
      <c r="R113" s="96" t="n"/>
      <c r="S113" s="96" t="n"/>
      <c r="T113" s="96" t="n"/>
      <c r="U113" s="96" t="n"/>
      <c r="V113" s="161" t="n"/>
      <c r="W113" s="96" t="n"/>
      <c r="X113" s="161" t="n"/>
      <c r="Y113" s="97" t="n"/>
      <c r="Z113" s="97" t="n"/>
      <c r="AA113" s="97" t="n"/>
      <c r="AB113" s="97" t="n"/>
      <c r="AC113" s="97" t="n"/>
      <c r="AD113" s="161" t="n"/>
      <c r="AE113" s="174" t="n"/>
      <c r="AF113" s="96" t="n"/>
      <c r="AG113" s="97" t="n"/>
      <c r="AH113" s="97" t="n"/>
      <c r="AI113" s="97" t="n"/>
      <c r="AJ113" s="96" t="n"/>
      <c r="AK113" s="130" t="n"/>
    </row>
    <row r="114" ht="12" customHeight="1">
      <c r="A114" s="108" t="inlineStr">
        <is>
          <t>HALU2348423</t>
        </is>
      </c>
      <c r="B114" s="108" t="n"/>
      <c r="C114" s="108" t="n"/>
      <c r="D114" s="172" t="n"/>
      <c r="E114" s="173" t="n"/>
      <c r="F114" s="96" t="n"/>
      <c r="G114" s="96" t="n"/>
      <c r="H114" s="111" t="n"/>
      <c r="I114" s="96" t="n"/>
      <c r="J114" s="96" t="n"/>
      <c r="K114" s="96" t="n"/>
      <c r="L114" s="111" t="n"/>
      <c r="M114" s="96" t="n"/>
      <c r="N114" s="96" t="n"/>
      <c r="O114" s="111" t="n"/>
      <c r="P114" s="111" t="n"/>
      <c r="Q114" s="111" t="n"/>
      <c r="R114" s="96" t="n"/>
      <c r="S114" s="96" t="n"/>
      <c r="T114" s="96" t="n"/>
      <c r="U114" s="96" t="n"/>
      <c r="V114" s="161" t="n"/>
      <c r="W114" s="96" t="n"/>
      <c r="X114" s="161" t="n"/>
      <c r="Y114" s="97" t="n"/>
      <c r="Z114" s="97" t="n"/>
      <c r="AA114" s="97" t="n"/>
      <c r="AB114" s="97" t="n"/>
      <c r="AC114" s="97" t="n"/>
      <c r="AD114" s="161" t="n"/>
      <c r="AE114" s="174" t="n"/>
      <c r="AF114" s="96" t="n"/>
      <c r="AG114" s="97" t="n"/>
      <c r="AH114" s="97" t="n"/>
      <c r="AI114" s="97" t="n"/>
      <c r="AJ114" s="96" t="n"/>
      <c r="AK114" s="130" t="n"/>
    </row>
    <row r="115" ht="12" customHeight="1">
      <c r="A115" s="108" t="inlineStr">
        <is>
          <t>HALU2352336</t>
        </is>
      </c>
      <c r="B115" s="108" t="n"/>
      <c r="C115" s="108" t="n"/>
      <c r="D115" s="172" t="n"/>
      <c r="E115" s="173" t="n"/>
      <c r="F115" s="96" t="n"/>
      <c r="G115" s="96" t="n"/>
      <c r="H115" s="111" t="n"/>
      <c r="I115" s="96" t="n"/>
      <c r="J115" s="96" t="n"/>
      <c r="K115" s="96" t="n"/>
      <c r="L115" s="111" t="n"/>
      <c r="M115" s="96" t="n"/>
      <c r="N115" s="96" t="n"/>
      <c r="O115" s="111" t="n"/>
      <c r="P115" s="111" t="n"/>
      <c r="Q115" s="111" t="n"/>
      <c r="R115" s="96" t="n"/>
      <c r="S115" s="96" t="n"/>
      <c r="T115" s="96" t="n"/>
      <c r="U115" s="96" t="n"/>
      <c r="V115" s="161" t="n"/>
      <c r="W115" s="96" t="n"/>
      <c r="X115" s="161" t="n"/>
      <c r="Y115" s="97" t="n"/>
      <c r="Z115" s="97" t="n"/>
      <c r="AA115" s="97" t="n"/>
      <c r="AB115" s="97" t="n"/>
      <c r="AC115" s="97" t="n"/>
      <c r="AD115" s="161" t="n"/>
      <c r="AE115" s="174" t="n"/>
      <c r="AF115" s="96" t="n"/>
      <c r="AG115" s="97" t="n"/>
      <c r="AH115" s="97" t="n"/>
      <c r="AI115" s="97" t="n"/>
      <c r="AJ115" s="96" t="n"/>
      <c r="AK115" s="130" t="n"/>
    </row>
    <row r="116" ht="12" customHeight="1">
      <c r="A116" s="108" t="inlineStr">
        <is>
          <t>HALU2427749</t>
        </is>
      </c>
      <c r="B116" s="108" t="n"/>
      <c r="C116" s="108" t="n"/>
      <c r="D116" s="172" t="n"/>
      <c r="E116" s="173" t="n"/>
      <c r="F116" s="96" t="n"/>
      <c r="G116" s="96" t="n"/>
      <c r="H116" s="111" t="n"/>
      <c r="I116" s="96" t="n"/>
      <c r="J116" s="96" t="n"/>
      <c r="K116" s="96" t="n"/>
      <c r="L116" s="111" t="n"/>
      <c r="M116" s="96" t="n"/>
      <c r="N116" s="96" t="n"/>
      <c r="O116" s="111" t="n"/>
      <c r="P116" s="111" t="n"/>
      <c r="Q116" s="111" t="n"/>
      <c r="R116" s="96" t="n"/>
      <c r="S116" s="96" t="n"/>
      <c r="T116" s="96" t="n"/>
      <c r="U116" s="96" t="n"/>
      <c r="V116" s="161" t="n"/>
      <c r="W116" s="96" t="n"/>
      <c r="X116" s="161" t="n"/>
      <c r="Y116" s="97" t="n"/>
      <c r="Z116" s="97" t="n"/>
      <c r="AA116" s="97" t="n"/>
      <c r="AB116" s="97" t="n"/>
      <c r="AC116" s="97" t="n"/>
      <c r="AD116" s="161" t="n"/>
      <c r="AE116" s="174" t="n"/>
      <c r="AF116" s="96" t="n"/>
      <c r="AG116" s="97" t="n"/>
      <c r="AH116" s="97" t="n"/>
      <c r="AI116" s="97" t="n"/>
      <c r="AJ116" s="96" t="n"/>
      <c r="AK116" s="130" t="n"/>
    </row>
    <row r="117" ht="12" customHeight="1">
      <c r="A117" s="108" t="inlineStr">
        <is>
          <t>HALU2505219</t>
        </is>
      </c>
      <c r="B117" s="108" t="n"/>
      <c r="C117" s="108" t="n"/>
      <c r="D117" s="172" t="n"/>
      <c r="E117" s="173" t="n"/>
      <c r="F117" s="96" t="n"/>
      <c r="G117" s="96" t="n"/>
      <c r="H117" s="111" t="n"/>
      <c r="I117" s="96" t="n"/>
      <c r="J117" s="96" t="n"/>
      <c r="K117" s="96" t="n"/>
      <c r="L117" s="111" t="n"/>
      <c r="M117" s="96" t="n"/>
      <c r="N117" s="96" t="n"/>
      <c r="O117" s="111" t="n"/>
      <c r="P117" s="111" t="n"/>
      <c r="Q117" s="111" t="n"/>
      <c r="R117" s="96" t="n"/>
      <c r="S117" s="96" t="n"/>
      <c r="T117" s="96" t="n"/>
      <c r="U117" s="96" t="n"/>
      <c r="V117" s="161" t="n"/>
      <c r="W117" s="96" t="n"/>
      <c r="X117" s="161" t="n"/>
      <c r="Y117" s="97" t="n"/>
      <c r="Z117" s="97" t="n"/>
      <c r="AA117" s="97" t="n"/>
      <c r="AB117" s="97" t="n"/>
      <c r="AC117" s="97" t="n"/>
      <c r="AD117" s="161" t="n"/>
      <c r="AE117" s="174" t="n"/>
      <c r="AF117" s="96" t="n"/>
      <c r="AG117" s="97" t="n"/>
      <c r="AH117" s="97" t="n"/>
      <c r="AI117" s="97" t="n"/>
      <c r="AJ117" s="96" t="n"/>
      <c r="AK117" s="130" t="n"/>
    </row>
    <row r="118" ht="12" customHeight="1">
      <c r="A118" s="108" t="inlineStr">
        <is>
          <t>HALU2517225</t>
        </is>
      </c>
      <c r="B118" s="108" t="n"/>
      <c r="C118" s="108" t="n"/>
      <c r="D118" s="172" t="n"/>
      <c r="E118" s="173" t="n"/>
      <c r="F118" s="96" t="n"/>
      <c r="G118" s="96" t="n"/>
      <c r="H118" s="111" t="n"/>
      <c r="I118" s="96" t="n"/>
      <c r="J118" s="96" t="n"/>
      <c r="K118" s="96" t="n"/>
      <c r="L118" s="111" t="n"/>
      <c r="M118" s="96" t="n"/>
      <c r="N118" s="96" t="n"/>
      <c r="O118" s="111" t="n"/>
      <c r="P118" s="111" t="n"/>
      <c r="Q118" s="111" t="n"/>
      <c r="R118" s="96" t="n"/>
      <c r="S118" s="96" t="n"/>
      <c r="T118" s="96" t="n"/>
      <c r="U118" s="96" t="n"/>
      <c r="V118" s="161" t="n"/>
      <c r="W118" s="96" t="n"/>
      <c r="X118" s="161" t="n"/>
      <c r="Y118" s="97" t="n"/>
      <c r="Z118" s="97" t="n"/>
      <c r="AA118" s="97" t="n"/>
      <c r="AB118" s="97" t="n"/>
      <c r="AC118" s="97" t="n"/>
      <c r="AD118" s="161" t="n"/>
      <c r="AE118" s="174" t="n"/>
      <c r="AF118" s="96" t="n"/>
      <c r="AG118" s="97" t="n"/>
      <c r="AH118" s="97" t="n"/>
      <c r="AI118" s="97" t="n"/>
      <c r="AJ118" s="96" t="n"/>
      <c r="AK118" s="130" t="n"/>
    </row>
    <row r="119" ht="12" customHeight="1">
      <c r="A119" s="108" t="inlineStr">
        <is>
          <t>HALU5686609</t>
        </is>
      </c>
      <c r="B119" s="108" t="n"/>
      <c r="C119" s="108" t="n"/>
      <c r="D119" s="172" t="n"/>
      <c r="E119" s="173" t="n"/>
      <c r="F119" s="96" t="n"/>
      <c r="G119" s="96" t="n"/>
      <c r="H119" s="111" t="n"/>
      <c r="I119" s="96" t="n"/>
      <c r="J119" s="96" t="n"/>
      <c r="K119" s="96" t="n"/>
      <c r="L119" s="111" t="n"/>
      <c r="M119" s="96" t="n"/>
      <c r="N119" s="96" t="n"/>
      <c r="O119" s="111" t="n"/>
      <c r="P119" s="111" t="n"/>
      <c r="Q119" s="111" t="n"/>
      <c r="R119" s="96" t="n"/>
      <c r="S119" s="96" t="n"/>
      <c r="T119" s="96" t="n"/>
      <c r="U119" s="96" t="n"/>
      <c r="V119" s="161" t="n"/>
      <c r="W119" s="96" t="n"/>
      <c r="X119" s="161" t="n"/>
      <c r="Y119" s="97" t="n"/>
      <c r="Z119" s="97" t="n"/>
      <c r="AA119" s="97" t="n"/>
      <c r="AB119" s="97" t="n"/>
      <c r="AC119" s="97" t="n"/>
      <c r="AD119" s="161" t="n"/>
      <c r="AE119" s="174" t="n"/>
      <c r="AF119" s="96" t="n"/>
      <c r="AG119" s="97" t="n"/>
      <c r="AH119" s="97" t="n"/>
      <c r="AI119" s="97" t="n"/>
      <c r="AJ119" s="96" t="n"/>
      <c r="AK119" s="130" t="n"/>
    </row>
    <row r="120" ht="12" customHeight="1">
      <c r="A120" s="108" t="inlineStr">
        <is>
          <t>HALU8501144</t>
        </is>
      </c>
      <c r="B120" s="108" t="n"/>
      <c r="C120" s="108" t="n"/>
      <c r="D120" s="172" t="n"/>
      <c r="E120" s="173" t="n"/>
      <c r="F120" s="96" t="n"/>
      <c r="G120" s="96" t="n"/>
      <c r="H120" s="111" t="n"/>
      <c r="I120" s="96" t="n"/>
      <c r="J120" s="96" t="n"/>
      <c r="K120" s="96" t="n"/>
      <c r="L120" s="111" t="n"/>
      <c r="M120" s="96" t="n"/>
      <c r="N120" s="96" t="n"/>
      <c r="O120" s="111" t="n"/>
      <c r="P120" s="111" t="n"/>
      <c r="Q120" s="111" t="n"/>
      <c r="R120" s="96" t="n"/>
      <c r="S120" s="96" t="n"/>
      <c r="T120" s="96" t="n"/>
      <c r="U120" s="96" t="n"/>
      <c r="V120" s="161" t="n"/>
      <c r="W120" s="96" t="n"/>
      <c r="X120" s="161" t="n"/>
      <c r="Y120" s="97" t="n"/>
      <c r="Z120" s="97" t="n"/>
      <c r="AA120" s="97" t="n"/>
      <c r="AB120" s="97" t="n"/>
      <c r="AC120" s="97" t="n"/>
      <c r="AD120" s="161" t="n"/>
      <c r="AE120" s="174" t="n"/>
      <c r="AF120" s="96" t="n"/>
      <c r="AG120" s="97" t="n"/>
      <c r="AH120" s="97" t="n"/>
      <c r="AI120" s="97" t="n"/>
      <c r="AJ120" s="96" t="n"/>
      <c r="AK120" s="130" t="n"/>
    </row>
    <row r="121" ht="12" customHeight="1">
      <c r="A121" s="108" t="inlineStr">
        <is>
          <t>HLHU6409733</t>
        </is>
      </c>
      <c r="B121" s="108" t="n"/>
      <c r="C121" s="108" t="n"/>
      <c r="D121" s="172" t="n"/>
      <c r="E121" s="173" t="n"/>
      <c r="F121" s="96" t="n"/>
      <c r="G121" s="96" t="n"/>
      <c r="H121" s="111" t="n"/>
      <c r="I121" s="96" t="n"/>
      <c r="J121" s="96" t="n"/>
      <c r="K121" s="96" t="n"/>
      <c r="L121" s="111" t="n"/>
      <c r="M121" s="96" t="n"/>
      <c r="N121" s="96" t="n"/>
      <c r="O121" s="111" t="n"/>
      <c r="P121" s="111" t="n"/>
      <c r="Q121" s="111" t="n"/>
      <c r="R121" s="96" t="n"/>
      <c r="S121" s="96" t="n"/>
      <c r="T121" s="96" t="n"/>
      <c r="U121" s="96" t="n"/>
      <c r="V121" s="161" t="n"/>
      <c r="W121" s="96" t="n"/>
      <c r="X121" s="161" t="n"/>
      <c r="Y121" s="97" t="n"/>
      <c r="Z121" s="97" t="n"/>
      <c r="AA121" s="97" t="n"/>
      <c r="AB121" s="97" t="n"/>
      <c r="AC121" s="97" t="n"/>
      <c r="AD121" s="161" t="n"/>
      <c r="AE121" s="174" t="n"/>
      <c r="AF121" s="96" t="n"/>
      <c r="AG121" s="97" t="n"/>
      <c r="AH121" s="97" t="n"/>
      <c r="AI121" s="97" t="n"/>
      <c r="AJ121" s="96" t="n"/>
      <c r="AK121" s="130" t="n"/>
    </row>
    <row r="122" ht="12" customHeight="1">
      <c r="A122" s="108" t="inlineStr">
        <is>
          <t>HLHU8436050</t>
        </is>
      </c>
      <c r="B122" s="108" t="n"/>
      <c r="C122" s="108" t="n"/>
      <c r="D122" s="172" t="n"/>
      <c r="E122" s="173" t="n"/>
      <c r="F122" s="96" t="n"/>
      <c r="G122" s="96" t="n"/>
      <c r="H122" s="111" t="n"/>
      <c r="I122" s="96" t="n"/>
      <c r="J122" s="96" t="n"/>
      <c r="K122" s="96" t="n"/>
      <c r="L122" s="111" t="n"/>
      <c r="M122" s="96" t="n"/>
      <c r="N122" s="96" t="n"/>
      <c r="O122" s="111" t="n"/>
      <c r="P122" s="111" t="n"/>
      <c r="Q122" s="111" t="n"/>
      <c r="R122" s="96" t="n"/>
      <c r="S122" s="96" t="n"/>
      <c r="T122" s="96" t="n"/>
      <c r="U122" s="96" t="n"/>
      <c r="V122" s="161" t="n"/>
      <c r="W122" s="96" t="n"/>
      <c r="X122" s="161" t="n"/>
      <c r="Y122" s="97" t="n"/>
      <c r="Z122" s="97" t="n"/>
      <c r="AA122" s="97" t="n"/>
      <c r="AB122" s="97" t="n"/>
      <c r="AC122" s="97" t="n"/>
      <c r="AD122" s="161" t="n"/>
      <c r="AE122" s="174" t="n"/>
      <c r="AF122" s="96" t="n"/>
      <c r="AG122" s="97" t="n"/>
      <c r="AH122" s="97" t="n"/>
      <c r="AI122" s="97" t="n"/>
      <c r="AJ122" s="96" t="n"/>
      <c r="AK122" s="130" t="n"/>
    </row>
    <row r="123" ht="12" customHeight="1">
      <c r="A123" s="108" t="inlineStr">
        <is>
          <t>HLHU8438026</t>
        </is>
      </c>
      <c r="B123" s="108" t="n"/>
      <c r="C123" s="108" t="n"/>
      <c r="D123" s="172" t="n"/>
      <c r="E123" s="173" t="n"/>
      <c r="F123" s="96" t="n"/>
      <c r="G123" s="96" t="n"/>
      <c r="H123" s="111" t="n"/>
      <c r="I123" s="96" t="n"/>
      <c r="J123" s="96" t="n"/>
      <c r="K123" s="96" t="n"/>
      <c r="L123" s="111" t="n"/>
      <c r="M123" s="96" t="n"/>
      <c r="N123" s="96" t="n"/>
      <c r="O123" s="111" t="n"/>
      <c r="P123" s="111" t="n"/>
      <c r="Q123" s="111" t="n"/>
      <c r="R123" s="96" t="n"/>
      <c r="S123" s="96" t="n"/>
      <c r="T123" s="96" t="n"/>
      <c r="U123" s="96" t="n"/>
      <c r="V123" s="161" t="n"/>
      <c r="W123" s="96" t="n"/>
      <c r="X123" s="161" t="n"/>
      <c r="Y123" s="97" t="n"/>
      <c r="Z123" s="97" t="n"/>
      <c r="AA123" s="97" t="n"/>
      <c r="AB123" s="97" t="n"/>
      <c r="AC123" s="97" t="n"/>
      <c r="AD123" s="161" t="n"/>
      <c r="AE123" s="174" t="n"/>
      <c r="AF123" s="96" t="n"/>
      <c r="AG123" s="97" t="n"/>
      <c r="AH123" s="97" t="n"/>
      <c r="AI123" s="97" t="n"/>
      <c r="AJ123" s="96" t="n"/>
      <c r="AK123" s="130" t="n"/>
    </row>
    <row r="124" ht="12" customHeight="1">
      <c r="A124" s="108" t="inlineStr">
        <is>
          <t>HLHU8461751</t>
        </is>
      </c>
      <c r="B124" s="108" t="n"/>
      <c r="C124" s="108" t="n"/>
      <c r="D124" s="172" t="n"/>
      <c r="E124" s="173" t="n"/>
      <c r="F124" s="96" t="n"/>
      <c r="G124" s="96" t="n"/>
      <c r="H124" s="111" t="n"/>
      <c r="I124" s="96" t="n"/>
      <c r="J124" s="96" t="n"/>
      <c r="K124" s="96" t="n"/>
      <c r="L124" s="111" t="n"/>
      <c r="M124" s="96" t="n"/>
      <c r="N124" s="96" t="n"/>
      <c r="O124" s="111" t="n"/>
      <c r="P124" s="111" t="n"/>
      <c r="Q124" s="111" t="n"/>
      <c r="R124" s="96" t="n"/>
      <c r="S124" s="96" t="n"/>
      <c r="T124" s="96" t="n"/>
      <c r="U124" s="96" t="n"/>
      <c r="V124" s="161" t="n"/>
      <c r="W124" s="96" t="n"/>
      <c r="X124" s="161" t="n"/>
      <c r="Y124" s="97" t="n"/>
      <c r="Z124" s="97" t="n"/>
      <c r="AA124" s="97" t="n"/>
      <c r="AB124" s="97" t="n"/>
      <c r="AC124" s="97" t="n"/>
      <c r="AD124" s="161" t="n"/>
      <c r="AE124" s="174" t="n"/>
      <c r="AF124" s="96" t="n"/>
      <c r="AG124" s="97" t="n"/>
      <c r="AH124" s="97" t="n"/>
      <c r="AI124" s="97" t="n"/>
      <c r="AJ124" s="96" t="n"/>
      <c r="AK124" s="130" t="n"/>
    </row>
    <row r="125" ht="12" customHeight="1">
      <c r="A125" s="108" t="inlineStr">
        <is>
          <t>HLHU8468118</t>
        </is>
      </c>
      <c r="B125" s="108" t="n"/>
      <c r="C125" s="108" t="n"/>
      <c r="D125" s="172" t="n"/>
      <c r="E125" s="173" t="n"/>
      <c r="F125" s="96" t="n"/>
      <c r="G125" s="96" t="n"/>
      <c r="H125" s="111" t="n"/>
      <c r="I125" s="96" t="n"/>
      <c r="J125" s="96" t="n"/>
      <c r="K125" s="96" t="n"/>
      <c r="L125" s="111" t="n"/>
      <c r="M125" s="96" t="n"/>
      <c r="N125" s="96" t="n"/>
      <c r="O125" s="111" t="n"/>
      <c r="P125" s="111" t="n"/>
      <c r="Q125" s="111" t="n"/>
      <c r="R125" s="96" t="n"/>
      <c r="S125" s="96" t="n"/>
      <c r="T125" s="96" t="n"/>
      <c r="U125" s="96" t="n"/>
      <c r="V125" s="161" t="n"/>
      <c r="W125" s="96" t="n"/>
      <c r="X125" s="161" t="n"/>
      <c r="Y125" s="97" t="n"/>
      <c r="Z125" s="97" t="n"/>
      <c r="AA125" s="97" t="n"/>
      <c r="AB125" s="97" t="n"/>
      <c r="AC125" s="97" t="n"/>
      <c r="AD125" s="161" t="n"/>
      <c r="AE125" s="174" t="n"/>
      <c r="AF125" s="96" t="n"/>
      <c r="AG125" s="97" t="n"/>
      <c r="AH125" s="97" t="n"/>
      <c r="AI125" s="97" t="n"/>
      <c r="AJ125" s="96" t="n"/>
      <c r="AK125" s="130" t="n"/>
    </row>
    <row r="126" ht="12" customHeight="1">
      <c r="A126" s="108" t="inlineStr">
        <is>
          <t>HLHU8572082</t>
        </is>
      </c>
      <c r="B126" s="108" t="n"/>
      <c r="C126" s="108" t="n"/>
      <c r="D126" s="172" t="n"/>
      <c r="E126" s="173" t="n"/>
      <c r="F126" s="96" t="n"/>
      <c r="G126" s="96" t="n"/>
      <c r="H126" s="111" t="n"/>
      <c r="I126" s="96" t="n"/>
      <c r="J126" s="96" t="n"/>
      <c r="K126" s="96" t="n"/>
      <c r="L126" s="111" t="n"/>
      <c r="M126" s="96" t="n"/>
      <c r="N126" s="96" t="n"/>
      <c r="O126" s="111" t="n"/>
      <c r="P126" s="111" t="n"/>
      <c r="Q126" s="111" t="n"/>
      <c r="R126" s="96" t="n"/>
      <c r="S126" s="96" t="n"/>
      <c r="T126" s="96" t="n"/>
      <c r="U126" s="96" t="n"/>
      <c r="V126" s="161" t="n"/>
      <c r="W126" s="96" t="n"/>
      <c r="X126" s="161" t="n"/>
      <c r="Y126" s="97" t="n"/>
      <c r="Z126" s="97" t="n"/>
      <c r="AA126" s="97" t="n"/>
      <c r="AB126" s="97" t="n"/>
      <c r="AC126" s="97" t="n"/>
      <c r="AD126" s="161" t="n"/>
      <c r="AE126" s="174" t="n"/>
      <c r="AF126" s="96" t="n"/>
      <c r="AG126" s="97" t="n"/>
      <c r="AH126" s="97" t="n"/>
      <c r="AI126" s="97" t="n"/>
      <c r="AJ126" s="96" t="n"/>
      <c r="AK126" s="130" t="n"/>
    </row>
    <row r="127" ht="12" customHeight="1">
      <c r="A127" s="108" t="inlineStr">
        <is>
          <t>HLHU8589980</t>
        </is>
      </c>
      <c r="B127" s="108" t="n"/>
      <c r="C127" s="108" t="n"/>
      <c r="D127" s="172" t="n"/>
      <c r="E127" s="173" t="n"/>
      <c r="F127" s="96" t="n"/>
      <c r="G127" s="96" t="n"/>
      <c r="H127" s="111" t="n"/>
      <c r="I127" s="96" t="n"/>
      <c r="J127" s="96" t="n"/>
      <c r="K127" s="96" t="n"/>
      <c r="L127" s="111" t="n"/>
      <c r="M127" s="96" t="n"/>
      <c r="N127" s="96" t="n"/>
      <c r="O127" s="111" t="n"/>
      <c r="P127" s="111" t="n"/>
      <c r="Q127" s="111" t="n"/>
      <c r="R127" s="96" t="n"/>
      <c r="S127" s="96" t="n"/>
      <c r="T127" s="96" t="n"/>
      <c r="U127" s="96" t="n"/>
      <c r="V127" s="161" t="n"/>
      <c r="W127" s="96" t="n"/>
      <c r="X127" s="161" t="n"/>
      <c r="Y127" s="97" t="n"/>
      <c r="Z127" s="97" t="n"/>
      <c r="AA127" s="97" t="n"/>
      <c r="AB127" s="97" t="n"/>
      <c r="AC127" s="97" t="n"/>
      <c r="AD127" s="161" t="n"/>
      <c r="AE127" s="174" t="n"/>
      <c r="AF127" s="96" t="n"/>
      <c r="AG127" s="97" t="n"/>
      <c r="AH127" s="97" t="n"/>
      <c r="AI127" s="97" t="n"/>
      <c r="AJ127" s="96" t="n"/>
      <c r="AK127" s="130" t="n"/>
    </row>
    <row r="128" ht="12" customHeight="1">
      <c r="A128" s="108" t="inlineStr">
        <is>
          <t>SKHU1540516</t>
        </is>
      </c>
      <c r="B128" s="108" t="n"/>
      <c r="C128" s="108" t="n"/>
      <c r="D128" s="172" t="n"/>
      <c r="E128" s="173" t="n"/>
      <c r="F128" s="96" t="n"/>
      <c r="G128" s="96" t="n"/>
      <c r="H128" s="111" t="n"/>
      <c r="I128" s="96" t="n"/>
      <c r="J128" s="96" t="n"/>
      <c r="K128" s="96" t="n"/>
      <c r="L128" s="111" t="n"/>
      <c r="M128" s="96" t="n"/>
      <c r="N128" s="96" t="n"/>
      <c r="O128" s="111" t="n"/>
      <c r="P128" s="111" t="n"/>
      <c r="Q128" s="111" t="n"/>
      <c r="R128" s="96" t="n"/>
      <c r="S128" s="96" t="n"/>
      <c r="T128" s="96" t="n"/>
      <c r="U128" s="96" t="n"/>
      <c r="V128" s="161" t="n"/>
      <c r="W128" s="96" t="n"/>
      <c r="X128" s="161" t="n"/>
      <c r="Y128" s="97" t="n"/>
      <c r="Z128" s="97" t="n"/>
      <c r="AA128" s="97" t="n"/>
      <c r="AB128" s="97" t="n"/>
      <c r="AC128" s="97" t="n"/>
      <c r="AD128" s="161" t="n"/>
      <c r="AE128" s="174" t="n"/>
      <c r="AF128" s="96" t="n"/>
      <c r="AG128" s="97" t="n"/>
      <c r="AH128" s="97" t="n"/>
      <c r="AI128" s="97" t="n"/>
      <c r="AJ128" s="96" t="n"/>
      <c r="AK128" s="130" t="n"/>
    </row>
    <row r="129" ht="12" customHeight="1">
      <c r="A129" s="108" t="inlineStr">
        <is>
          <t>SKHU6201520</t>
        </is>
      </c>
      <c r="B129" s="108" t="n"/>
      <c r="C129" s="108" t="n"/>
      <c r="D129" s="172" t="n"/>
      <c r="E129" s="173" t="n"/>
      <c r="F129" s="96" t="n"/>
      <c r="G129" s="96" t="n"/>
      <c r="H129" s="111" t="n"/>
      <c r="I129" s="96" t="n"/>
      <c r="J129" s="96" t="n"/>
      <c r="K129" s="96" t="n"/>
      <c r="L129" s="111" t="n"/>
      <c r="M129" s="96" t="n"/>
      <c r="N129" s="96" t="n"/>
      <c r="O129" s="111" t="n"/>
      <c r="P129" s="111" t="n"/>
      <c r="Q129" s="111" t="n"/>
      <c r="R129" s="96" t="n"/>
      <c r="S129" s="96" t="n"/>
      <c r="T129" s="96" t="n"/>
      <c r="U129" s="96" t="n"/>
      <c r="V129" s="161" t="n"/>
      <c r="W129" s="96" t="n"/>
      <c r="X129" s="161" t="n"/>
      <c r="Y129" s="97" t="n"/>
      <c r="Z129" s="97" t="n"/>
      <c r="AA129" s="97" t="n"/>
      <c r="AB129" s="97" t="n"/>
      <c r="AC129" s="97" t="n"/>
      <c r="AD129" s="161" t="n"/>
      <c r="AE129" s="174" t="n"/>
      <c r="AF129" s="96" t="n"/>
      <c r="AG129" s="97" t="n"/>
      <c r="AH129" s="97" t="n"/>
      <c r="AI129" s="97" t="n"/>
      <c r="AJ129" s="96" t="n"/>
      <c r="AK129" s="130" t="n"/>
    </row>
    <row r="130" ht="12" customHeight="1">
      <c r="A130" s="108" t="inlineStr">
        <is>
          <t>SKHU6304513</t>
        </is>
      </c>
      <c r="B130" s="108" t="n"/>
      <c r="C130" s="108" t="n"/>
      <c r="D130" s="172" t="n"/>
      <c r="E130" s="173" t="n"/>
      <c r="F130" s="96" t="n"/>
      <c r="G130" s="96" t="n"/>
      <c r="H130" s="111" t="n"/>
      <c r="I130" s="96" t="n"/>
      <c r="J130" s="96" t="n"/>
      <c r="K130" s="96" t="n"/>
      <c r="L130" s="111" t="n"/>
      <c r="M130" s="96" t="n"/>
      <c r="N130" s="96" t="n"/>
      <c r="O130" s="111" t="n"/>
      <c r="P130" s="111" t="n"/>
      <c r="Q130" s="111" t="n"/>
      <c r="R130" s="96" t="n"/>
      <c r="S130" s="96" t="n"/>
      <c r="T130" s="96" t="n"/>
      <c r="U130" s="96" t="n"/>
      <c r="V130" s="161" t="n"/>
      <c r="W130" s="96" t="n"/>
      <c r="X130" s="161" t="n"/>
      <c r="Y130" s="97" t="n"/>
      <c r="Z130" s="97" t="n"/>
      <c r="AA130" s="97" t="n"/>
      <c r="AB130" s="97" t="n"/>
      <c r="AC130" s="97" t="n"/>
      <c r="AD130" s="161" t="n"/>
      <c r="AE130" s="174" t="n"/>
      <c r="AF130" s="96" t="n"/>
      <c r="AG130" s="97" t="n"/>
      <c r="AH130" s="97" t="n"/>
      <c r="AI130" s="97" t="n"/>
      <c r="AJ130" s="96" t="n"/>
      <c r="AK130" s="130" t="n"/>
    </row>
    <row r="131" ht="12" customHeight="1">
      <c r="A131" s="108" t="inlineStr">
        <is>
          <t>SKHU6306537</t>
        </is>
      </c>
      <c r="B131" s="108" t="n"/>
      <c r="C131" s="108" t="n"/>
      <c r="D131" s="172" t="n"/>
      <c r="E131" s="173" t="n"/>
      <c r="F131" s="96" t="n"/>
      <c r="G131" s="96" t="n"/>
      <c r="H131" s="111" t="n"/>
      <c r="I131" s="96" t="n"/>
      <c r="J131" s="96" t="n"/>
      <c r="K131" s="96" t="n"/>
      <c r="L131" s="111" t="n"/>
      <c r="M131" s="96" t="n"/>
      <c r="N131" s="96" t="n"/>
      <c r="O131" s="111" t="n"/>
      <c r="P131" s="111" t="n"/>
      <c r="Q131" s="111" t="n"/>
      <c r="R131" s="96" t="n"/>
      <c r="S131" s="96" t="n"/>
      <c r="T131" s="96" t="n"/>
      <c r="U131" s="96" t="n"/>
      <c r="V131" s="161" t="n"/>
      <c r="W131" s="96" t="n"/>
      <c r="X131" s="161" t="n"/>
      <c r="Y131" s="97" t="n"/>
      <c r="Z131" s="97" t="n"/>
      <c r="AA131" s="97" t="n"/>
      <c r="AB131" s="97" t="n"/>
      <c r="AC131" s="97" t="n"/>
      <c r="AD131" s="161" t="n"/>
      <c r="AE131" s="174" t="n"/>
      <c r="AF131" s="96" t="n"/>
      <c r="AG131" s="97" t="n"/>
      <c r="AH131" s="97" t="n"/>
      <c r="AI131" s="97" t="n"/>
      <c r="AJ131" s="96" t="n"/>
      <c r="AK131" s="130" t="n"/>
    </row>
    <row r="132" ht="12" customHeight="1">
      <c r="A132" s="108" t="inlineStr">
        <is>
          <t>SKHU6308587</t>
        </is>
      </c>
      <c r="B132" s="108" t="n"/>
      <c r="C132" s="108" t="n"/>
      <c r="D132" s="172" t="n"/>
      <c r="E132" s="173" t="n"/>
      <c r="F132" s="96" t="n"/>
      <c r="G132" s="96" t="n"/>
      <c r="H132" s="111" t="n"/>
      <c r="I132" s="96" t="n"/>
      <c r="J132" s="96" t="n"/>
      <c r="K132" s="96" t="n"/>
      <c r="L132" s="111" t="n"/>
      <c r="M132" s="96" t="n"/>
      <c r="N132" s="96" t="n"/>
      <c r="O132" s="111" t="n"/>
      <c r="P132" s="111" t="n"/>
      <c r="Q132" s="111" t="n"/>
      <c r="R132" s="96" t="n"/>
      <c r="S132" s="96" t="n"/>
      <c r="T132" s="96" t="n"/>
      <c r="U132" s="96" t="n"/>
      <c r="V132" s="161" t="n"/>
      <c r="W132" s="96" t="n"/>
      <c r="X132" s="161" t="n"/>
      <c r="Y132" s="97" t="n"/>
      <c r="Z132" s="97" t="n"/>
      <c r="AA132" s="97" t="n"/>
      <c r="AB132" s="97" t="n"/>
      <c r="AC132" s="97" t="n"/>
      <c r="AD132" s="161" t="n"/>
      <c r="AE132" s="174" t="n"/>
      <c r="AF132" s="96" t="n"/>
      <c r="AG132" s="97" t="n"/>
      <c r="AH132" s="97" t="n"/>
      <c r="AI132" s="97" t="n"/>
      <c r="AJ132" s="96" t="n"/>
      <c r="AK132" s="130" t="n"/>
    </row>
    <row r="133" ht="12" customHeight="1">
      <c r="A133" s="108" t="inlineStr">
        <is>
          <t>SKHU6346205</t>
        </is>
      </c>
      <c r="B133" s="108" t="n"/>
      <c r="C133" s="108" t="n"/>
      <c r="D133" s="172" t="n"/>
      <c r="E133" s="173" t="n"/>
      <c r="F133" s="96" t="n"/>
      <c r="G133" s="96" t="n"/>
      <c r="H133" s="111" t="n"/>
      <c r="I133" s="96" t="n"/>
      <c r="J133" s="96" t="n"/>
      <c r="K133" s="96" t="n"/>
      <c r="L133" s="111" t="n"/>
      <c r="M133" s="96" t="n"/>
      <c r="N133" s="96" t="n"/>
      <c r="O133" s="111" t="n"/>
      <c r="P133" s="111" t="n"/>
      <c r="Q133" s="111" t="n"/>
      <c r="R133" s="96" t="n"/>
      <c r="S133" s="96" t="n"/>
      <c r="T133" s="96" t="n"/>
      <c r="U133" s="96" t="n"/>
      <c r="V133" s="161" t="n"/>
      <c r="W133" s="96" t="n"/>
      <c r="X133" s="161" t="n"/>
      <c r="Y133" s="97" t="n"/>
      <c r="Z133" s="97" t="n"/>
      <c r="AA133" s="97" t="n"/>
      <c r="AB133" s="97" t="n"/>
      <c r="AC133" s="97" t="n"/>
      <c r="AD133" s="161" t="n"/>
      <c r="AE133" s="174" t="n"/>
      <c r="AF133" s="96" t="n"/>
      <c r="AG133" s="97" t="n"/>
      <c r="AH133" s="97" t="n"/>
      <c r="AI133" s="97" t="n"/>
      <c r="AJ133" s="96" t="n"/>
      <c r="AK133" s="130" t="n"/>
    </row>
    <row r="134" ht="12" customHeight="1">
      <c r="A134" s="108" t="inlineStr">
        <is>
          <t>SKHU6402021</t>
        </is>
      </c>
      <c r="B134" s="108" t="n"/>
      <c r="C134" s="108" t="n"/>
      <c r="D134" s="172" t="n"/>
      <c r="E134" s="173" t="n"/>
      <c r="F134" s="96" t="n"/>
      <c r="G134" s="96" t="n"/>
      <c r="H134" s="111" t="n"/>
      <c r="I134" s="96" t="n"/>
      <c r="J134" s="96" t="n"/>
      <c r="K134" s="96" t="n"/>
      <c r="L134" s="111" t="n"/>
      <c r="M134" s="96" t="n"/>
      <c r="N134" s="96" t="n"/>
      <c r="O134" s="111" t="n"/>
      <c r="P134" s="111" t="n"/>
      <c r="Q134" s="111" t="n"/>
      <c r="R134" s="96" t="n"/>
      <c r="S134" s="96" t="n"/>
      <c r="T134" s="96" t="n"/>
      <c r="U134" s="96" t="n"/>
      <c r="V134" s="161" t="n"/>
      <c r="W134" s="96" t="n"/>
      <c r="X134" s="161" t="n"/>
      <c r="Y134" s="97" t="n"/>
      <c r="Z134" s="97" t="n"/>
      <c r="AA134" s="97" t="n"/>
      <c r="AB134" s="97" t="n"/>
      <c r="AC134" s="97" t="n"/>
      <c r="AD134" s="161" t="n"/>
      <c r="AE134" s="174" t="n"/>
      <c r="AF134" s="96" t="n"/>
      <c r="AG134" s="97" t="n"/>
      <c r="AH134" s="97" t="n"/>
      <c r="AI134" s="97" t="n"/>
      <c r="AJ134" s="96" t="n"/>
      <c r="AK134" s="130" t="n"/>
    </row>
    <row r="135" ht="12" customHeight="1">
      <c r="A135" s="108" t="inlineStr">
        <is>
          <t>SKHU6508076</t>
        </is>
      </c>
      <c r="B135" s="108" t="n"/>
      <c r="C135" s="108" t="n"/>
      <c r="D135" s="172" t="n"/>
      <c r="E135" s="173" t="n"/>
      <c r="F135" s="96" t="n"/>
      <c r="G135" s="96" t="n"/>
      <c r="H135" s="111" t="n"/>
      <c r="I135" s="96" t="n"/>
      <c r="J135" s="96" t="n"/>
      <c r="K135" s="96" t="n"/>
      <c r="L135" s="111" t="n"/>
      <c r="M135" s="96" t="n"/>
      <c r="N135" s="96" t="n"/>
      <c r="O135" s="111" t="n"/>
      <c r="P135" s="111" t="n"/>
      <c r="Q135" s="111" t="n"/>
      <c r="R135" s="96" t="n"/>
      <c r="S135" s="96" t="n"/>
      <c r="T135" s="96" t="n"/>
      <c r="U135" s="96" t="n"/>
      <c r="V135" s="161" t="n"/>
      <c r="W135" s="96" t="n"/>
      <c r="X135" s="161" t="n"/>
      <c r="Y135" s="97" t="n"/>
      <c r="Z135" s="97" t="n"/>
      <c r="AA135" s="97" t="n"/>
      <c r="AB135" s="97" t="n"/>
      <c r="AC135" s="97" t="n"/>
      <c r="AD135" s="161" t="n"/>
      <c r="AE135" s="174" t="n"/>
      <c r="AF135" s="96" t="n"/>
      <c r="AG135" s="97" t="n"/>
      <c r="AH135" s="97" t="n"/>
      <c r="AI135" s="97" t="n"/>
      <c r="AJ135" s="96" t="n"/>
      <c r="AK135" s="130" t="n"/>
    </row>
    <row r="136" ht="12" customHeight="1">
      <c r="A136" s="108" t="inlineStr">
        <is>
          <t>SKHU6522747</t>
        </is>
      </c>
      <c r="B136" s="108" t="n"/>
      <c r="C136" s="108" t="n"/>
      <c r="D136" s="172" t="n"/>
      <c r="E136" s="173" t="n"/>
      <c r="F136" s="96" t="n"/>
      <c r="G136" s="96" t="n"/>
      <c r="H136" s="111" t="n"/>
      <c r="I136" s="96" t="n"/>
      <c r="J136" s="96" t="n"/>
      <c r="K136" s="96" t="n"/>
      <c r="L136" s="111" t="n"/>
      <c r="M136" s="96" t="n"/>
      <c r="N136" s="96" t="n"/>
      <c r="O136" s="111" t="n"/>
      <c r="P136" s="111" t="n"/>
      <c r="Q136" s="111" t="n"/>
      <c r="R136" s="96" t="n"/>
      <c r="S136" s="96" t="n"/>
      <c r="T136" s="96" t="n"/>
      <c r="U136" s="96" t="n"/>
      <c r="V136" s="161" t="n"/>
      <c r="W136" s="96" t="n"/>
      <c r="X136" s="161" t="n"/>
      <c r="Y136" s="97" t="n"/>
      <c r="Z136" s="97" t="n"/>
      <c r="AA136" s="97" t="n"/>
      <c r="AB136" s="97" t="n"/>
      <c r="AC136" s="97" t="n"/>
      <c r="AD136" s="161" t="n"/>
      <c r="AE136" s="174" t="n"/>
      <c r="AF136" s="96" t="n"/>
      <c r="AG136" s="97" t="n"/>
      <c r="AH136" s="97" t="n"/>
      <c r="AI136" s="97" t="n"/>
      <c r="AJ136" s="96" t="n"/>
      <c r="AK136" s="130" t="n"/>
    </row>
    <row r="137" ht="12" customHeight="1">
      <c r="A137" s="108" t="inlineStr">
        <is>
          <t>SKHU8712221</t>
        </is>
      </c>
      <c r="B137" s="108" t="n"/>
      <c r="C137" s="108" t="n"/>
      <c r="D137" s="172" t="n"/>
      <c r="E137" s="173" t="n"/>
      <c r="F137" s="96" t="n"/>
      <c r="G137" s="96" t="n"/>
      <c r="H137" s="111" t="n"/>
      <c r="I137" s="96" t="n"/>
      <c r="J137" s="96" t="n"/>
      <c r="K137" s="96" t="n"/>
      <c r="L137" s="111" t="n"/>
      <c r="M137" s="96" t="n"/>
      <c r="N137" s="96" t="n"/>
      <c r="O137" s="111" t="n"/>
      <c r="P137" s="111" t="n"/>
      <c r="Q137" s="111" t="n"/>
      <c r="R137" s="96" t="n"/>
      <c r="S137" s="96" t="n"/>
      <c r="T137" s="96" t="n"/>
      <c r="U137" s="96" t="n"/>
      <c r="V137" s="161" t="n"/>
      <c r="W137" s="96" t="n"/>
      <c r="X137" s="161" t="n"/>
      <c r="Y137" s="97" t="n"/>
      <c r="Z137" s="97" t="n"/>
      <c r="AA137" s="97" t="n"/>
      <c r="AB137" s="97" t="n"/>
      <c r="AC137" s="97" t="n"/>
      <c r="AD137" s="161" t="n"/>
      <c r="AE137" s="174" t="n"/>
      <c r="AF137" s="96" t="n"/>
      <c r="AG137" s="97" t="n"/>
      <c r="AH137" s="97" t="n"/>
      <c r="AI137" s="97" t="n"/>
      <c r="AJ137" s="96" t="n"/>
      <c r="AK137" s="130" t="n"/>
    </row>
    <row r="138" ht="12" customHeight="1">
      <c r="A138" s="108" t="inlineStr">
        <is>
          <t>SKHU9322608</t>
        </is>
      </c>
      <c r="B138" s="108" t="n"/>
      <c r="C138" s="108" t="n"/>
      <c r="D138" s="172" t="n"/>
      <c r="E138" s="173" t="n"/>
      <c r="F138" s="96" t="n"/>
      <c r="G138" s="96" t="n"/>
      <c r="H138" s="111" t="n"/>
      <c r="I138" s="96" t="n"/>
      <c r="J138" s="96" t="n"/>
      <c r="K138" s="96" t="n"/>
      <c r="L138" s="111" t="n"/>
      <c r="M138" s="96" t="n"/>
      <c r="N138" s="96" t="n"/>
      <c r="O138" s="111" t="n"/>
      <c r="P138" s="111" t="n"/>
      <c r="Q138" s="111" t="n"/>
      <c r="R138" s="96" t="n"/>
      <c r="S138" s="96" t="n"/>
      <c r="T138" s="96" t="n"/>
      <c r="U138" s="96" t="n"/>
      <c r="V138" s="161" t="n"/>
      <c r="W138" s="96" t="n"/>
      <c r="X138" s="161" t="n"/>
      <c r="Y138" s="97" t="n"/>
      <c r="Z138" s="97" t="n"/>
      <c r="AA138" s="97" t="n"/>
      <c r="AB138" s="97" t="n"/>
      <c r="AC138" s="97" t="n"/>
      <c r="AD138" s="161" t="n"/>
      <c r="AE138" s="174" t="n"/>
      <c r="AF138" s="96" t="n"/>
      <c r="AG138" s="97" t="n"/>
      <c r="AH138" s="97" t="n"/>
      <c r="AI138" s="97" t="n"/>
      <c r="AJ138" s="96" t="n"/>
      <c r="AK138" s="130" t="n"/>
    </row>
    <row r="139" ht="12" customHeight="1">
      <c r="A139" s="108" t="inlineStr">
        <is>
          <t>SKHU9547306</t>
        </is>
      </c>
      <c r="B139" s="108" t="n"/>
      <c r="C139" s="108" t="n"/>
      <c r="D139" s="172" t="n"/>
      <c r="E139" s="173" t="n"/>
      <c r="F139" s="96" t="n"/>
      <c r="G139" s="96" t="n"/>
      <c r="H139" s="111" t="n"/>
      <c r="I139" s="96" t="n"/>
      <c r="J139" s="96" t="n"/>
      <c r="K139" s="96" t="n"/>
      <c r="L139" s="111" t="n"/>
      <c r="M139" s="96" t="n"/>
      <c r="N139" s="96" t="n"/>
      <c r="O139" s="111" t="n"/>
      <c r="P139" s="111" t="n"/>
      <c r="Q139" s="111" t="n"/>
      <c r="R139" s="96" t="n"/>
      <c r="S139" s="96" t="n"/>
      <c r="T139" s="96" t="n"/>
      <c r="U139" s="96" t="n"/>
      <c r="V139" s="161" t="n"/>
      <c r="W139" s="96" t="n"/>
      <c r="X139" s="161" t="n"/>
      <c r="Y139" s="97" t="n"/>
      <c r="Z139" s="97" t="n"/>
      <c r="AA139" s="97" t="n"/>
      <c r="AB139" s="97" t="n"/>
      <c r="AC139" s="97" t="n"/>
      <c r="AD139" s="161" t="n"/>
      <c r="AE139" s="174" t="n"/>
      <c r="AF139" s="96" t="n"/>
      <c r="AG139" s="97" t="n"/>
      <c r="AH139" s="97" t="n"/>
      <c r="AI139" s="97" t="n"/>
      <c r="AJ139" s="96" t="n"/>
      <c r="AK139" s="130" t="n"/>
    </row>
    <row r="140" ht="12" customHeight="1">
      <c r="A140" s="108" t="inlineStr">
        <is>
          <t>SKHU9555662</t>
        </is>
      </c>
      <c r="B140" s="108" t="n"/>
      <c r="C140" s="108" t="n"/>
      <c r="D140" s="172" t="n"/>
      <c r="E140" s="173" t="n"/>
      <c r="F140" s="96" t="n"/>
      <c r="G140" s="96" t="n"/>
      <c r="H140" s="111" t="n"/>
      <c r="I140" s="96" t="n"/>
      <c r="J140" s="96" t="n"/>
      <c r="K140" s="96" t="n"/>
      <c r="L140" s="111" t="n"/>
      <c r="M140" s="96" t="n"/>
      <c r="N140" s="96" t="n"/>
      <c r="O140" s="111" t="n"/>
      <c r="P140" s="111" t="n"/>
      <c r="Q140" s="111" t="n"/>
      <c r="R140" s="96" t="n"/>
      <c r="S140" s="96" t="n"/>
      <c r="T140" s="96" t="n"/>
      <c r="U140" s="96" t="n"/>
      <c r="V140" s="161" t="n"/>
      <c r="W140" s="96" t="n"/>
      <c r="X140" s="161" t="n"/>
      <c r="Y140" s="97" t="n"/>
      <c r="Z140" s="97" t="n"/>
      <c r="AA140" s="97" t="n"/>
      <c r="AB140" s="97" t="n"/>
      <c r="AC140" s="97" t="n"/>
      <c r="AD140" s="161" t="n"/>
      <c r="AE140" s="174" t="n"/>
      <c r="AF140" s="96" t="n"/>
      <c r="AG140" s="97" t="n"/>
      <c r="AH140" s="97" t="n"/>
      <c r="AI140" s="97" t="n"/>
      <c r="AJ140" s="96" t="n"/>
      <c r="AK140" s="130" t="n"/>
    </row>
    <row r="141" ht="12" customHeight="1">
      <c r="A141" s="108" t="inlineStr">
        <is>
          <t>SKHU9612696</t>
        </is>
      </c>
      <c r="B141" s="108" t="n"/>
      <c r="C141" s="108" t="n"/>
      <c r="D141" s="172" t="n"/>
      <c r="E141" s="173" t="n"/>
      <c r="F141" s="96" t="n"/>
      <c r="G141" s="96" t="n"/>
      <c r="H141" s="111" t="n"/>
      <c r="I141" s="96" t="n"/>
      <c r="J141" s="96" t="n"/>
      <c r="K141" s="96" t="n"/>
      <c r="L141" s="111" t="n"/>
      <c r="M141" s="96" t="n"/>
      <c r="N141" s="96" t="n"/>
      <c r="O141" s="111" t="n"/>
      <c r="P141" s="111" t="n"/>
      <c r="Q141" s="111" t="n"/>
      <c r="R141" s="96" t="n"/>
      <c r="S141" s="96" t="n"/>
      <c r="T141" s="96" t="n"/>
      <c r="U141" s="96" t="n"/>
      <c r="V141" s="161" t="n"/>
      <c r="W141" s="96" t="n"/>
      <c r="X141" s="161" t="n"/>
      <c r="Y141" s="97" t="n"/>
      <c r="Z141" s="97" t="n"/>
      <c r="AA141" s="97" t="n"/>
      <c r="AB141" s="97" t="n"/>
      <c r="AC141" s="97" t="n"/>
      <c r="AD141" s="161" t="n"/>
      <c r="AE141" s="174" t="n"/>
      <c r="AF141" s="96" t="n"/>
      <c r="AG141" s="97" t="n"/>
      <c r="AH141" s="97" t="n"/>
      <c r="AI141" s="97" t="n"/>
      <c r="AJ141" s="96" t="n"/>
      <c r="AK141" s="130" t="n"/>
    </row>
    <row r="142" ht="12" customHeight="1">
      <c r="A142" s="108" t="inlineStr">
        <is>
          <t>SKHU9805062</t>
        </is>
      </c>
      <c r="B142" s="108" t="n"/>
      <c r="C142" s="108" t="n"/>
      <c r="D142" s="172" t="n"/>
      <c r="E142" s="173" t="n"/>
      <c r="F142" s="96" t="n"/>
      <c r="G142" s="96" t="n"/>
      <c r="H142" s="111" t="n"/>
      <c r="I142" s="96" t="n"/>
      <c r="J142" s="96" t="n"/>
      <c r="K142" s="96" t="n"/>
      <c r="L142" s="111" t="n"/>
      <c r="M142" s="96" t="n"/>
      <c r="N142" s="96" t="n"/>
      <c r="O142" s="111" t="n"/>
      <c r="P142" s="111" t="n"/>
      <c r="Q142" s="111" t="n"/>
      <c r="R142" s="96" t="n"/>
      <c r="S142" s="96" t="n"/>
      <c r="T142" s="96" t="n"/>
      <c r="U142" s="96" t="n"/>
      <c r="V142" s="161" t="n"/>
      <c r="W142" s="96" t="n"/>
      <c r="X142" s="161" t="n"/>
      <c r="Y142" s="97" t="n"/>
      <c r="Z142" s="97" t="n"/>
      <c r="AA142" s="97" t="n"/>
      <c r="AB142" s="97" t="n"/>
      <c r="AC142" s="97" t="n"/>
      <c r="AD142" s="161" t="n"/>
      <c r="AE142" s="174" t="n"/>
      <c r="AF142" s="96" t="n"/>
      <c r="AG142" s="97" t="n"/>
      <c r="AH142" s="97" t="n"/>
      <c r="AI142" s="97" t="n"/>
      <c r="AJ142" s="96" t="n"/>
      <c r="AK142" s="130" t="n"/>
    </row>
    <row r="143" ht="12" customHeight="1">
      <c r="A143" s="108" t="inlineStr">
        <is>
          <t>SKHU9827919</t>
        </is>
      </c>
      <c r="B143" s="108" t="n"/>
      <c r="C143" s="108" t="n"/>
      <c r="D143" s="172" t="n"/>
      <c r="E143" s="173" t="n"/>
      <c r="F143" s="96" t="n"/>
      <c r="G143" s="96" t="n"/>
      <c r="H143" s="111" t="n"/>
      <c r="I143" s="96" t="n"/>
      <c r="J143" s="96" t="n"/>
      <c r="K143" s="96" t="n"/>
      <c r="L143" s="111" t="n"/>
      <c r="M143" s="96" t="n"/>
      <c r="N143" s="96" t="n"/>
      <c r="O143" s="111" t="n"/>
      <c r="P143" s="111" t="n"/>
      <c r="Q143" s="111" t="n"/>
      <c r="R143" s="96" t="n"/>
      <c r="S143" s="96" t="n"/>
      <c r="T143" s="96" t="n"/>
      <c r="U143" s="96" t="n"/>
      <c r="V143" s="161" t="n"/>
      <c r="W143" s="96" t="n"/>
      <c r="X143" s="161" t="n"/>
      <c r="Y143" s="97" t="n"/>
      <c r="Z143" s="97" t="n"/>
      <c r="AA143" s="97" t="n"/>
      <c r="AB143" s="97" t="n"/>
      <c r="AC143" s="97" t="n"/>
      <c r="AD143" s="161" t="n"/>
      <c r="AE143" s="174" t="n"/>
      <c r="AF143" s="96" t="n"/>
      <c r="AG143" s="97" t="n"/>
      <c r="AH143" s="97" t="n"/>
      <c r="AI143" s="97" t="n"/>
      <c r="AJ143" s="96" t="n"/>
      <c r="AK143" s="130" t="n"/>
    </row>
    <row r="144" ht="12" customHeight="1">
      <c r="A144" s="108" t="inlineStr">
        <is>
          <t>SKHU9919110</t>
        </is>
      </c>
      <c r="B144" s="108" t="n"/>
      <c r="C144" s="108" t="n"/>
      <c r="D144" s="172" t="n"/>
      <c r="E144" s="173" t="n"/>
      <c r="F144" s="96" t="n"/>
      <c r="G144" s="96" t="n"/>
      <c r="H144" s="111" t="n"/>
      <c r="I144" s="96" t="n"/>
      <c r="J144" s="96" t="n"/>
      <c r="K144" s="96" t="n"/>
      <c r="L144" s="111" t="n"/>
      <c r="M144" s="96" t="n"/>
      <c r="N144" s="96" t="n"/>
      <c r="O144" s="111" t="n"/>
      <c r="P144" s="111" t="n"/>
      <c r="Q144" s="111" t="n"/>
      <c r="R144" s="96" t="n"/>
      <c r="S144" s="96" t="n"/>
      <c r="T144" s="96" t="n"/>
      <c r="U144" s="96" t="n"/>
      <c r="V144" s="161" t="n"/>
      <c r="W144" s="96" t="n"/>
      <c r="X144" s="161" t="n"/>
      <c r="Y144" s="97" t="n"/>
      <c r="Z144" s="97" t="n"/>
      <c r="AA144" s="97" t="n"/>
      <c r="AB144" s="97" t="n"/>
      <c r="AC144" s="97" t="n"/>
      <c r="AD144" s="161" t="n"/>
      <c r="AE144" s="174" t="n"/>
      <c r="AF144" s="96" t="n"/>
      <c r="AG144" s="97" t="n"/>
      <c r="AH144" s="97" t="n"/>
      <c r="AI144" s="97" t="n"/>
      <c r="AJ144" s="96" t="n"/>
      <c r="AK144" s="130" t="n"/>
    </row>
    <row r="145" ht="12" customHeight="1">
      <c r="A145" s="108" t="inlineStr">
        <is>
          <t>SKHU9924863</t>
        </is>
      </c>
      <c r="B145" s="108" t="n"/>
      <c r="C145" s="108" t="n"/>
      <c r="D145" s="172" t="n"/>
      <c r="E145" s="173" t="n"/>
      <c r="F145" s="96" t="n"/>
      <c r="G145" s="96" t="n"/>
      <c r="H145" s="111" t="n"/>
      <c r="I145" s="96" t="n"/>
      <c r="J145" s="96" t="n"/>
      <c r="K145" s="96" t="n"/>
      <c r="L145" s="111" t="n"/>
      <c r="M145" s="96" t="n"/>
      <c r="N145" s="96" t="n"/>
      <c r="O145" s="111" t="n"/>
      <c r="P145" s="111" t="n"/>
      <c r="Q145" s="111" t="n"/>
      <c r="R145" s="96" t="n"/>
      <c r="S145" s="96" t="n"/>
      <c r="T145" s="96" t="n"/>
      <c r="U145" s="96" t="n"/>
      <c r="V145" s="161" t="n"/>
      <c r="W145" s="96" t="n"/>
      <c r="X145" s="161" t="n"/>
      <c r="Y145" s="97" t="n"/>
      <c r="Z145" s="97" t="n"/>
      <c r="AA145" s="97" t="n"/>
      <c r="AB145" s="97" t="n"/>
      <c r="AC145" s="97" t="n"/>
      <c r="AD145" s="161" t="n"/>
      <c r="AE145" s="174" t="n"/>
      <c r="AF145" s="96" t="n"/>
      <c r="AG145" s="97" t="n"/>
      <c r="AH145" s="97" t="n"/>
      <c r="AI145" s="97" t="n"/>
      <c r="AJ145" s="96" t="n"/>
      <c r="AK145" s="130" t="n"/>
    </row>
    <row r="146" ht="12" customHeight="1">
      <c r="A146" s="108" t="inlineStr">
        <is>
          <t>SKHU9931796</t>
        </is>
      </c>
      <c r="B146" s="108" t="n"/>
      <c r="C146" s="108" t="n"/>
      <c r="D146" s="172" t="n"/>
      <c r="E146" s="173" t="n"/>
      <c r="F146" s="96" t="n"/>
      <c r="G146" s="96" t="n"/>
      <c r="H146" s="111" t="n"/>
      <c r="I146" s="96" t="n"/>
      <c r="J146" s="96" t="n"/>
      <c r="K146" s="96" t="n"/>
      <c r="L146" s="111" t="n"/>
      <c r="M146" s="96" t="n"/>
      <c r="N146" s="96" t="n"/>
      <c r="O146" s="111" t="n"/>
      <c r="P146" s="111" t="n"/>
      <c r="Q146" s="111" t="n"/>
      <c r="R146" s="96" t="n"/>
      <c r="S146" s="96" t="n"/>
      <c r="T146" s="96" t="n"/>
      <c r="U146" s="96" t="n"/>
      <c r="V146" s="161" t="n"/>
      <c r="W146" s="96" t="n"/>
      <c r="X146" s="161" t="n"/>
      <c r="Y146" s="97" t="n"/>
      <c r="Z146" s="97" t="n"/>
      <c r="AA146" s="97" t="n"/>
      <c r="AB146" s="97" t="n"/>
      <c r="AC146" s="97" t="n"/>
      <c r="AD146" s="161" t="n"/>
      <c r="AE146" s="174" t="n"/>
      <c r="AF146" s="96" t="n"/>
      <c r="AG146" s="97" t="n"/>
      <c r="AH146" s="97" t="n"/>
      <c r="AI146" s="97" t="n"/>
      <c r="AJ146" s="96" t="n"/>
      <c r="AK146" s="130" t="n"/>
    </row>
    <row r="147" ht="12" customHeight="1">
      <c r="A147" s="108" t="inlineStr">
        <is>
          <t>SKHU9931991</t>
        </is>
      </c>
      <c r="B147" s="108" t="n"/>
      <c r="C147" s="108" t="n"/>
      <c r="D147" s="172" t="n"/>
      <c r="E147" s="173" t="n"/>
      <c r="F147" s="96" t="n"/>
      <c r="G147" s="96" t="n"/>
      <c r="H147" s="111" t="n"/>
      <c r="I147" s="96" t="n"/>
      <c r="J147" s="96" t="n"/>
      <c r="K147" s="96" t="n"/>
      <c r="L147" s="111" t="n"/>
      <c r="M147" s="96" t="n"/>
      <c r="N147" s="96" t="n"/>
      <c r="O147" s="111" t="n"/>
      <c r="P147" s="111" t="n"/>
      <c r="Q147" s="111" t="n"/>
      <c r="R147" s="96" t="n"/>
      <c r="S147" s="96" t="n"/>
      <c r="T147" s="96" t="n"/>
      <c r="U147" s="96" t="n"/>
      <c r="V147" s="161" t="n"/>
      <c r="W147" s="96" t="n"/>
      <c r="X147" s="161" t="n"/>
      <c r="Y147" s="97" t="n"/>
      <c r="Z147" s="97" t="n"/>
      <c r="AA147" s="97" t="n"/>
      <c r="AB147" s="97" t="n"/>
      <c r="AC147" s="97" t="n"/>
      <c r="AD147" s="161" t="n"/>
      <c r="AE147" s="174" t="n"/>
      <c r="AF147" s="96" t="n"/>
      <c r="AG147" s="97" t="n"/>
      <c r="AH147" s="97" t="n"/>
      <c r="AI147" s="97" t="n"/>
      <c r="AJ147" s="96" t="n"/>
      <c r="AK147" s="130" t="n"/>
    </row>
    <row r="148" ht="12" customHeight="1">
      <c r="A148" s="108" t="inlineStr">
        <is>
          <t>SKHU9936437</t>
        </is>
      </c>
      <c r="B148" s="108" t="n"/>
      <c r="C148" s="108" t="n"/>
      <c r="D148" s="172" t="n"/>
      <c r="E148" s="173" t="n"/>
      <c r="F148" s="96" t="n"/>
      <c r="G148" s="96" t="n"/>
      <c r="H148" s="111" t="n"/>
      <c r="I148" s="96" t="n"/>
      <c r="J148" s="96" t="n"/>
      <c r="K148" s="96" t="n"/>
      <c r="L148" s="111" t="n"/>
      <c r="M148" s="96" t="n"/>
      <c r="N148" s="96" t="n"/>
      <c r="O148" s="111" t="n"/>
      <c r="P148" s="111" t="n"/>
      <c r="Q148" s="111" t="n"/>
      <c r="R148" s="96" t="n"/>
      <c r="S148" s="96" t="n"/>
      <c r="T148" s="96" t="n"/>
      <c r="U148" s="96" t="n"/>
      <c r="V148" s="161" t="n"/>
      <c r="W148" s="96" t="n"/>
      <c r="X148" s="161" t="n"/>
      <c r="Y148" s="97" t="n"/>
      <c r="Z148" s="97" t="n"/>
      <c r="AA148" s="97" t="n"/>
      <c r="AB148" s="97" t="n"/>
      <c r="AC148" s="97" t="n"/>
      <c r="AD148" s="161" t="n"/>
      <c r="AE148" s="174" t="n"/>
      <c r="AF148" s="96" t="n"/>
      <c r="AG148" s="97" t="n"/>
      <c r="AH148" s="97" t="n"/>
      <c r="AI148" s="97" t="n"/>
      <c r="AJ148" s="96" t="n"/>
      <c r="AK148" s="130" t="n"/>
    </row>
    <row r="149" ht="12" customHeight="1">
      <c r="A149" s="108" t="inlineStr">
        <is>
          <t>SKLU0553775</t>
        </is>
      </c>
      <c r="B149" s="108" t="n"/>
      <c r="C149" s="108" t="n"/>
      <c r="D149" s="172" t="n"/>
      <c r="E149" s="173" t="n"/>
      <c r="F149" s="96" t="n"/>
      <c r="G149" s="96" t="n"/>
      <c r="H149" s="111" t="n"/>
      <c r="I149" s="96" t="n"/>
      <c r="J149" s="96" t="n"/>
      <c r="K149" s="96" t="n"/>
      <c r="L149" s="111" t="n"/>
      <c r="M149" s="96" t="n"/>
      <c r="N149" s="96" t="n"/>
      <c r="O149" s="111" t="n"/>
      <c r="P149" s="111" t="n"/>
      <c r="Q149" s="111" t="n"/>
      <c r="R149" s="96" t="n"/>
      <c r="S149" s="96" t="n"/>
      <c r="T149" s="96" t="n"/>
      <c r="U149" s="96" t="n"/>
      <c r="V149" s="161" t="n"/>
      <c r="W149" s="96" t="n"/>
      <c r="X149" s="161" t="n"/>
      <c r="Y149" s="97" t="n"/>
      <c r="Z149" s="97" t="n"/>
      <c r="AA149" s="97" t="n"/>
      <c r="AB149" s="97" t="n"/>
      <c r="AC149" s="97" t="n"/>
      <c r="AD149" s="161" t="n"/>
      <c r="AE149" s="174" t="n"/>
      <c r="AF149" s="96" t="n"/>
      <c r="AG149" s="97" t="n"/>
      <c r="AH149" s="97" t="n"/>
      <c r="AI149" s="97" t="n"/>
      <c r="AJ149" s="96" t="n"/>
      <c r="AK149" s="130" t="n"/>
    </row>
    <row r="150" ht="12" customHeight="1">
      <c r="A150" s="108" t="inlineStr">
        <is>
          <t>SKLU1102523</t>
        </is>
      </c>
      <c r="B150" s="108" t="n"/>
      <c r="C150" s="108" t="n"/>
      <c r="D150" s="172" t="n"/>
      <c r="E150" s="173" t="n"/>
      <c r="F150" s="96" t="n"/>
      <c r="G150" s="96" t="n"/>
      <c r="H150" s="111" t="n"/>
      <c r="I150" s="96" t="n"/>
      <c r="J150" s="96" t="n"/>
      <c r="K150" s="96" t="n"/>
      <c r="L150" s="111" t="n"/>
      <c r="M150" s="96" t="n"/>
      <c r="N150" s="96" t="n"/>
      <c r="O150" s="111" t="n"/>
      <c r="P150" s="111" t="n"/>
      <c r="Q150" s="111" t="n"/>
      <c r="R150" s="96" t="n"/>
      <c r="S150" s="96" t="n"/>
      <c r="T150" s="96" t="n"/>
      <c r="U150" s="96" t="n"/>
      <c r="V150" s="161" t="n"/>
      <c r="W150" s="96" t="n"/>
      <c r="X150" s="161" t="n"/>
      <c r="Y150" s="97" t="n"/>
      <c r="Z150" s="97" t="n"/>
      <c r="AA150" s="97" t="n"/>
      <c r="AB150" s="97" t="n"/>
      <c r="AC150" s="97" t="n"/>
      <c r="AD150" s="161" t="n"/>
      <c r="AE150" s="174" t="n"/>
      <c r="AF150" s="96" t="n"/>
      <c r="AG150" s="97" t="n"/>
      <c r="AH150" s="97" t="n"/>
      <c r="AI150" s="97" t="n"/>
      <c r="AJ150" s="96" t="n"/>
      <c r="AK150" s="130" t="n"/>
    </row>
    <row r="151" ht="12" customHeight="1">
      <c r="A151" s="108" t="inlineStr">
        <is>
          <t>SKLU1105667</t>
        </is>
      </c>
      <c r="B151" s="108" t="n"/>
      <c r="C151" s="108" t="n"/>
      <c r="D151" s="172" t="n"/>
      <c r="E151" s="173" t="n"/>
      <c r="F151" s="96" t="n"/>
      <c r="G151" s="96" t="n"/>
      <c r="H151" s="111" t="n"/>
      <c r="I151" s="96" t="n"/>
      <c r="J151" s="96" t="n"/>
      <c r="K151" s="96" t="n"/>
      <c r="L151" s="111" t="n"/>
      <c r="M151" s="96" t="n"/>
      <c r="N151" s="96" t="n"/>
      <c r="O151" s="111" t="n"/>
      <c r="P151" s="111" t="n"/>
      <c r="Q151" s="111" t="n"/>
      <c r="R151" s="96" t="n"/>
      <c r="S151" s="96" t="n"/>
      <c r="T151" s="96" t="n"/>
      <c r="U151" s="96" t="n"/>
      <c r="V151" s="161" t="n"/>
      <c r="W151" s="96" t="n"/>
      <c r="X151" s="161" t="n"/>
      <c r="Y151" s="97" t="n"/>
      <c r="Z151" s="97" t="n"/>
      <c r="AA151" s="97" t="n"/>
      <c r="AB151" s="97" t="n"/>
      <c r="AC151" s="97" t="n"/>
      <c r="AD151" s="161" t="n"/>
      <c r="AE151" s="174" t="n"/>
      <c r="AF151" s="96" t="n"/>
      <c r="AG151" s="97" t="n"/>
      <c r="AH151" s="97" t="n"/>
      <c r="AI151" s="97" t="n"/>
      <c r="AJ151" s="96" t="n"/>
      <c r="AK151" s="130" t="n"/>
    </row>
    <row r="152" ht="12" customHeight="1">
      <c r="A152" s="108" t="inlineStr">
        <is>
          <t>SKLU1115773</t>
        </is>
      </c>
      <c r="B152" s="108" t="n"/>
      <c r="C152" s="108" t="n"/>
      <c r="D152" s="172" t="n"/>
      <c r="E152" s="173" t="n"/>
      <c r="F152" s="96" t="n"/>
      <c r="G152" s="96" t="n"/>
      <c r="H152" s="111" t="n"/>
      <c r="I152" s="96" t="n"/>
      <c r="J152" s="96" t="n"/>
      <c r="K152" s="96" t="n"/>
      <c r="L152" s="111" t="n"/>
      <c r="M152" s="96" t="n"/>
      <c r="N152" s="96" t="n"/>
      <c r="O152" s="111" t="n"/>
      <c r="P152" s="111" t="n"/>
      <c r="Q152" s="111" t="n"/>
      <c r="R152" s="96" t="n"/>
      <c r="S152" s="96" t="n"/>
      <c r="T152" s="96" t="n"/>
      <c r="U152" s="96" t="n"/>
      <c r="V152" s="161" t="n"/>
      <c r="W152" s="96" t="n"/>
      <c r="X152" s="161" t="n"/>
      <c r="Y152" s="97" t="n"/>
      <c r="Z152" s="97" t="n"/>
      <c r="AA152" s="97" t="n"/>
      <c r="AB152" s="97" t="n"/>
      <c r="AC152" s="97" t="n"/>
      <c r="AD152" s="161" t="n"/>
      <c r="AE152" s="174" t="n"/>
      <c r="AF152" s="96" t="n"/>
      <c r="AG152" s="97" t="n"/>
      <c r="AH152" s="97" t="n"/>
      <c r="AI152" s="97" t="n"/>
      <c r="AJ152" s="96" t="n"/>
      <c r="AK152" s="130" t="n"/>
    </row>
    <row r="153" ht="12" customHeight="1">
      <c r="A153" s="108" t="inlineStr">
        <is>
          <t>SKLU1326610</t>
        </is>
      </c>
      <c r="B153" s="108" t="n"/>
      <c r="C153" s="108" t="n"/>
      <c r="D153" s="172" t="n"/>
      <c r="E153" s="173" t="n"/>
      <c r="F153" s="96" t="n"/>
      <c r="G153" s="96" t="n"/>
      <c r="H153" s="111" t="n"/>
      <c r="I153" s="96" t="n"/>
      <c r="J153" s="96" t="n"/>
      <c r="K153" s="96" t="n"/>
      <c r="L153" s="111" t="n"/>
      <c r="M153" s="96" t="n"/>
      <c r="N153" s="96" t="n"/>
      <c r="O153" s="111" t="n"/>
      <c r="P153" s="111" t="n"/>
      <c r="Q153" s="111" t="n"/>
      <c r="R153" s="96" t="n"/>
      <c r="S153" s="96" t="n"/>
      <c r="T153" s="96" t="n"/>
      <c r="U153" s="96" t="n"/>
      <c r="V153" s="161" t="n"/>
      <c r="W153" s="96" t="n"/>
      <c r="X153" s="161" t="n"/>
      <c r="Y153" s="97" t="n"/>
      <c r="Z153" s="97" t="n"/>
      <c r="AA153" s="97" t="n"/>
      <c r="AB153" s="97" t="n"/>
      <c r="AC153" s="97" t="n"/>
      <c r="AD153" s="161" t="n"/>
      <c r="AE153" s="174" t="n"/>
      <c r="AF153" s="96" t="n"/>
      <c r="AG153" s="97" t="n"/>
      <c r="AH153" s="97" t="n"/>
      <c r="AI153" s="97" t="n"/>
      <c r="AJ153" s="96" t="n"/>
      <c r="AK153" s="130" t="n"/>
    </row>
    <row r="154" ht="12" customHeight="1">
      <c r="A154" s="108" t="inlineStr">
        <is>
          <t>SKLU1344893</t>
        </is>
      </c>
      <c r="B154" s="108" t="n"/>
      <c r="C154" s="108" t="n"/>
      <c r="D154" s="172" t="n"/>
      <c r="E154" s="173" t="n"/>
      <c r="F154" s="96" t="n"/>
      <c r="G154" s="96" t="n"/>
      <c r="H154" s="111" t="n"/>
      <c r="I154" s="96" t="n"/>
      <c r="J154" s="96" t="n"/>
      <c r="K154" s="96" t="n"/>
      <c r="L154" s="111" t="n"/>
      <c r="M154" s="96" t="n"/>
      <c r="N154" s="96" t="n"/>
      <c r="O154" s="111" t="n"/>
      <c r="P154" s="111" t="n"/>
      <c r="Q154" s="111" t="n"/>
      <c r="R154" s="96" t="n"/>
      <c r="S154" s="96" t="n"/>
      <c r="T154" s="96" t="n"/>
      <c r="U154" s="96" t="n"/>
      <c r="V154" s="161" t="n"/>
      <c r="W154" s="96" t="n"/>
      <c r="X154" s="161" t="n"/>
      <c r="Y154" s="97" t="n"/>
      <c r="Z154" s="97" t="n"/>
      <c r="AA154" s="97" t="n"/>
      <c r="AB154" s="97" t="n"/>
      <c r="AC154" s="97" t="n"/>
      <c r="AD154" s="161" t="n"/>
      <c r="AE154" s="174" t="n"/>
      <c r="AF154" s="96" t="n"/>
      <c r="AG154" s="97" t="n"/>
      <c r="AH154" s="97" t="n"/>
      <c r="AI154" s="97" t="n"/>
      <c r="AJ154" s="96" t="n"/>
      <c r="AK154" s="130" t="n"/>
    </row>
    <row r="155" ht="12" customHeight="1">
      <c r="A155" s="108" t="inlineStr">
        <is>
          <t>SKLU1409124</t>
        </is>
      </c>
      <c r="B155" s="108" t="n"/>
      <c r="C155" s="108" t="n"/>
      <c r="D155" s="172" t="n"/>
      <c r="E155" s="173" t="n"/>
      <c r="F155" s="96" t="n"/>
      <c r="G155" s="96" t="n"/>
      <c r="H155" s="111" t="n"/>
      <c r="I155" s="96" t="n"/>
      <c r="J155" s="96" t="n"/>
      <c r="K155" s="96" t="n"/>
      <c r="L155" s="111" t="n"/>
      <c r="M155" s="96" t="n"/>
      <c r="N155" s="96" t="n"/>
      <c r="O155" s="111" t="n"/>
      <c r="P155" s="111" t="n"/>
      <c r="Q155" s="111" t="n"/>
      <c r="R155" s="96" t="n"/>
      <c r="S155" s="96" t="n"/>
      <c r="T155" s="96" t="n"/>
      <c r="U155" s="96" t="n"/>
      <c r="V155" s="161" t="n"/>
      <c r="W155" s="96" t="n"/>
      <c r="X155" s="161" t="n"/>
      <c r="Y155" s="97" t="n"/>
      <c r="Z155" s="97" t="n"/>
      <c r="AA155" s="97" t="n"/>
      <c r="AB155" s="97" t="n"/>
      <c r="AC155" s="97" t="n"/>
      <c r="AD155" s="161" t="n"/>
      <c r="AE155" s="174" t="n"/>
      <c r="AF155" s="96" t="n"/>
      <c r="AG155" s="97" t="n"/>
      <c r="AH155" s="97" t="n"/>
      <c r="AI155" s="97" t="n"/>
      <c r="AJ155" s="96" t="n"/>
      <c r="AK155" s="130" t="n"/>
    </row>
    <row r="156" ht="12" customHeight="1">
      <c r="A156" s="108" t="inlineStr">
        <is>
          <t>SKLU1514475</t>
        </is>
      </c>
      <c r="B156" s="108" t="n"/>
      <c r="C156" s="108" t="n"/>
      <c r="D156" s="172" t="n"/>
      <c r="E156" s="173" t="n"/>
      <c r="F156" s="96" t="n"/>
      <c r="G156" s="96" t="n"/>
      <c r="H156" s="111" t="n"/>
      <c r="I156" s="96" t="n"/>
      <c r="J156" s="96" t="n"/>
      <c r="K156" s="96" t="n"/>
      <c r="L156" s="111" t="n"/>
      <c r="M156" s="96" t="n"/>
      <c r="N156" s="96" t="n"/>
      <c r="O156" s="111" t="n"/>
      <c r="P156" s="111" t="n"/>
      <c r="Q156" s="111" t="n"/>
      <c r="R156" s="96" t="n"/>
      <c r="S156" s="96" t="n"/>
      <c r="T156" s="96" t="n"/>
      <c r="U156" s="96" t="n"/>
      <c r="V156" s="161" t="n"/>
      <c r="W156" s="96" t="n"/>
      <c r="X156" s="161" t="n"/>
      <c r="Y156" s="97" t="n"/>
      <c r="Z156" s="97" t="n"/>
      <c r="AA156" s="97" t="n"/>
      <c r="AB156" s="97" t="n"/>
      <c r="AC156" s="97" t="n"/>
      <c r="AD156" s="161" t="n"/>
      <c r="AE156" s="174" t="n"/>
      <c r="AF156" s="96" t="n"/>
      <c r="AG156" s="97" t="n"/>
      <c r="AH156" s="97" t="n"/>
      <c r="AI156" s="97" t="n"/>
      <c r="AJ156" s="96" t="n"/>
      <c r="AK156" s="130" t="n"/>
    </row>
    <row r="157" ht="12" customHeight="1">
      <c r="A157" s="108" t="inlineStr">
        <is>
          <t>SKLU1524299</t>
        </is>
      </c>
      <c r="B157" s="108" t="n"/>
      <c r="C157" s="108" t="n"/>
      <c r="D157" s="172" t="n"/>
      <c r="E157" s="173" t="n"/>
      <c r="F157" s="96" t="n"/>
      <c r="G157" s="96" t="n"/>
      <c r="H157" s="111" t="n"/>
      <c r="I157" s="96" t="n"/>
      <c r="J157" s="96" t="n"/>
      <c r="K157" s="96" t="n"/>
      <c r="L157" s="111" t="n"/>
      <c r="M157" s="96" t="n"/>
      <c r="N157" s="96" t="n"/>
      <c r="O157" s="111" t="n"/>
      <c r="P157" s="111" t="n"/>
      <c r="Q157" s="111" t="n"/>
      <c r="R157" s="96" t="n"/>
      <c r="S157" s="96" t="n"/>
      <c r="T157" s="96" t="n"/>
      <c r="U157" s="96" t="n"/>
      <c r="V157" s="161" t="n"/>
      <c r="W157" s="96" t="n"/>
      <c r="X157" s="161" t="n"/>
      <c r="Y157" s="97" t="n"/>
      <c r="Z157" s="97" t="n"/>
      <c r="AA157" s="97" t="n"/>
      <c r="AB157" s="97" t="n"/>
      <c r="AC157" s="97" t="n"/>
      <c r="AD157" s="161" t="n"/>
      <c r="AE157" s="174" t="n"/>
      <c r="AF157" s="96" t="n"/>
      <c r="AG157" s="97" t="n"/>
      <c r="AH157" s="97" t="n"/>
      <c r="AI157" s="97" t="n"/>
      <c r="AJ157" s="96" t="n"/>
      <c r="AK157" s="130" t="n"/>
    </row>
    <row r="158" ht="12" customHeight="1">
      <c r="A158" s="108" t="inlineStr">
        <is>
          <t>SKLU1534229</t>
        </is>
      </c>
      <c r="B158" s="108" t="n"/>
      <c r="C158" s="108" t="n"/>
      <c r="D158" s="172" t="n"/>
      <c r="E158" s="173" t="n"/>
      <c r="F158" s="96" t="n"/>
      <c r="G158" s="96" t="n"/>
      <c r="H158" s="111" t="n"/>
      <c r="I158" s="96" t="n"/>
      <c r="J158" s="96" t="n"/>
      <c r="K158" s="96" t="n"/>
      <c r="L158" s="111" t="n"/>
      <c r="M158" s="96" t="n"/>
      <c r="N158" s="96" t="n"/>
      <c r="O158" s="111" t="n"/>
      <c r="P158" s="111" t="n"/>
      <c r="Q158" s="111" t="n"/>
      <c r="R158" s="96" t="n"/>
      <c r="S158" s="96" t="n"/>
      <c r="T158" s="96" t="n"/>
      <c r="U158" s="96" t="n"/>
      <c r="V158" s="161" t="n"/>
      <c r="W158" s="96" t="n"/>
      <c r="X158" s="161" t="n"/>
      <c r="Y158" s="97" t="n"/>
      <c r="Z158" s="97" t="n"/>
      <c r="AA158" s="97" t="n"/>
      <c r="AB158" s="97" t="n"/>
      <c r="AC158" s="97" t="n"/>
      <c r="AD158" s="161" t="n"/>
      <c r="AE158" s="174" t="n"/>
      <c r="AF158" s="96" t="n"/>
      <c r="AG158" s="97" t="n"/>
      <c r="AH158" s="97" t="n"/>
      <c r="AI158" s="97" t="n"/>
      <c r="AJ158" s="96" t="n"/>
      <c r="AK158" s="130" t="n"/>
    </row>
    <row r="159" ht="12" customHeight="1">
      <c r="A159" s="108" t="inlineStr">
        <is>
          <t>SKLU1550425</t>
        </is>
      </c>
      <c r="B159" s="108" t="n"/>
      <c r="C159" s="108" t="n"/>
      <c r="D159" s="172" t="n"/>
      <c r="E159" s="173" t="n"/>
      <c r="F159" s="96" t="n"/>
      <c r="G159" s="96" t="n"/>
      <c r="H159" s="111" t="n"/>
      <c r="I159" s="96" t="n"/>
      <c r="J159" s="96" t="n"/>
      <c r="K159" s="96" t="n"/>
      <c r="L159" s="111" t="n"/>
      <c r="M159" s="96" t="n"/>
      <c r="N159" s="96" t="n"/>
      <c r="O159" s="111" t="n"/>
      <c r="P159" s="111" t="n"/>
      <c r="Q159" s="111" t="n"/>
      <c r="R159" s="96" t="n"/>
      <c r="S159" s="96" t="n"/>
      <c r="T159" s="96" t="n"/>
      <c r="U159" s="96" t="n"/>
      <c r="V159" s="161" t="n"/>
      <c r="W159" s="96" t="n"/>
      <c r="X159" s="161" t="n"/>
      <c r="Y159" s="97" t="n"/>
      <c r="Z159" s="97" t="n"/>
      <c r="AA159" s="97" t="n"/>
      <c r="AB159" s="97" t="n"/>
      <c r="AC159" s="97" t="n"/>
      <c r="AD159" s="161" t="n"/>
      <c r="AE159" s="174" t="n"/>
      <c r="AF159" s="96" t="n"/>
      <c r="AG159" s="97" t="n"/>
      <c r="AH159" s="97" t="n"/>
      <c r="AI159" s="97" t="n"/>
      <c r="AJ159" s="96" t="n"/>
      <c r="AK159" s="130" t="n"/>
    </row>
    <row r="160" ht="12" customHeight="1">
      <c r="A160" s="108" t="inlineStr">
        <is>
          <t>SKLU1556697</t>
        </is>
      </c>
      <c r="B160" s="108" t="n"/>
      <c r="C160" s="108" t="n"/>
      <c r="D160" s="172" t="n"/>
      <c r="E160" s="173" t="n"/>
      <c r="F160" s="96" t="n"/>
      <c r="G160" s="96" t="n"/>
      <c r="H160" s="111" t="n"/>
      <c r="I160" s="96" t="n"/>
      <c r="J160" s="96" t="n"/>
      <c r="K160" s="96" t="n"/>
      <c r="L160" s="111" t="n"/>
      <c r="M160" s="96" t="n"/>
      <c r="N160" s="96" t="n"/>
      <c r="O160" s="111" t="n"/>
      <c r="P160" s="111" t="n"/>
      <c r="Q160" s="111" t="n"/>
      <c r="R160" s="96" t="n"/>
      <c r="S160" s="96" t="n"/>
      <c r="T160" s="96" t="n"/>
      <c r="U160" s="96" t="n"/>
      <c r="V160" s="161" t="n"/>
      <c r="W160" s="96" t="n"/>
      <c r="X160" s="161" t="n"/>
      <c r="Y160" s="97" t="n"/>
      <c r="Z160" s="97" t="n"/>
      <c r="AA160" s="97" t="n"/>
      <c r="AB160" s="97" t="n"/>
      <c r="AC160" s="97" t="n"/>
      <c r="AD160" s="161" t="n"/>
      <c r="AE160" s="174" t="n"/>
      <c r="AF160" s="96" t="n"/>
      <c r="AG160" s="97" t="n"/>
      <c r="AH160" s="97" t="n"/>
      <c r="AI160" s="97" t="n"/>
      <c r="AJ160" s="96" t="n"/>
      <c r="AK160" s="130" t="n"/>
    </row>
    <row r="161" ht="12" customHeight="1">
      <c r="A161" s="108" t="inlineStr">
        <is>
          <t>SKLU1594594</t>
        </is>
      </c>
      <c r="B161" s="108" t="n"/>
      <c r="C161" s="108" t="n"/>
      <c r="D161" s="172" t="n"/>
      <c r="E161" s="173" t="n"/>
      <c r="F161" s="96" t="n"/>
      <c r="G161" s="96" t="n"/>
      <c r="H161" s="111" t="n"/>
      <c r="I161" s="96" t="n"/>
      <c r="J161" s="96" t="n"/>
      <c r="K161" s="96" t="n"/>
      <c r="L161" s="111" t="n"/>
      <c r="M161" s="96" t="n"/>
      <c r="N161" s="96" t="n"/>
      <c r="O161" s="111" t="n"/>
      <c r="P161" s="111" t="n"/>
      <c r="Q161" s="111" t="n"/>
      <c r="R161" s="96" t="n"/>
      <c r="S161" s="96" t="n"/>
      <c r="T161" s="96" t="n"/>
      <c r="U161" s="96" t="n"/>
      <c r="V161" s="161" t="n"/>
      <c r="W161" s="96" t="n"/>
      <c r="X161" s="161" t="n"/>
      <c r="Y161" s="97" t="n"/>
      <c r="Z161" s="97" t="n"/>
      <c r="AA161" s="97" t="n"/>
      <c r="AB161" s="97" t="n"/>
      <c r="AC161" s="97" t="n"/>
      <c r="AD161" s="161" t="n"/>
      <c r="AE161" s="174" t="n"/>
      <c r="AF161" s="96" t="n"/>
      <c r="AG161" s="97" t="n"/>
      <c r="AH161" s="97" t="n"/>
      <c r="AI161" s="97" t="n"/>
      <c r="AJ161" s="96" t="n"/>
      <c r="AK161" s="130" t="n"/>
    </row>
    <row r="162" ht="12" customHeight="1">
      <c r="A162" s="108" t="inlineStr">
        <is>
          <t>SKLU1597926</t>
        </is>
      </c>
      <c r="B162" s="108" t="n"/>
      <c r="C162" s="108" t="n"/>
      <c r="D162" s="172" t="n"/>
      <c r="E162" s="173" t="n"/>
      <c r="F162" s="96" t="n"/>
      <c r="G162" s="96" t="n"/>
      <c r="H162" s="111" t="n"/>
      <c r="I162" s="96" t="n"/>
      <c r="J162" s="96" t="n"/>
      <c r="K162" s="96" t="n"/>
      <c r="L162" s="111" t="n"/>
      <c r="M162" s="96" t="n"/>
      <c r="N162" s="96" t="n"/>
      <c r="O162" s="111" t="n"/>
      <c r="P162" s="111" t="n"/>
      <c r="Q162" s="111" t="n"/>
      <c r="R162" s="96" t="n"/>
      <c r="S162" s="96" t="n"/>
      <c r="T162" s="96" t="n"/>
      <c r="U162" s="96" t="n"/>
      <c r="V162" s="161" t="n"/>
      <c r="W162" s="96" t="n"/>
      <c r="X162" s="161" t="n"/>
      <c r="Y162" s="97" t="n"/>
      <c r="Z162" s="97" t="n"/>
      <c r="AA162" s="97" t="n"/>
      <c r="AB162" s="97" t="n"/>
      <c r="AC162" s="97" t="n"/>
      <c r="AD162" s="161" t="n"/>
      <c r="AE162" s="174" t="n"/>
      <c r="AF162" s="96" t="n"/>
      <c r="AG162" s="97" t="n"/>
      <c r="AH162" s="97" t="n"/>
      <c r="AI162" s="97" t="n"/>
      <c r="AJ162" s="96" t="n"/>
      <c r="AK162" s="130" t="n"/>
    </row>
    <row r="163" ht="12" customHeight="1">
      <c r="A163" s="108" t="inlineStr">
        <is>
          <t>SKLU1630650</t>
        </is>
      </c>
      <c r="B163" s="108" t="n"/>
      <c r="C163" s="108" t="n"/>
      <c r="D163" s="172" t="n"/>
      <c r="E163" s="173" t="n"/>
      <c r="F163" s="96" t="n"/>
      <c r="G163" s="96" t="n"/>
      <c r="H163" s="111" t="n"/>
      <c r="I163" s="96" t="n"/>
      <c r="J163" s="96" t="n"/>
      <c r="K163" s="96" t="n"/>
      <c r="L163" s="111" t="n"/>
      <c r="M163" s="96" t="n"/>
      <c r="N163" s="96" t="n"/>
      <c r="O163" s="111" t="n"/>
      <c r="P163" s="111" t="n"/>
      <c r="Q163" s="111" t="n"/>
      <c r="R163" s="96" t="n"/>
      <c r="S163" s="96" t="n"/>
      <c r="T163" s="96" t="n"/>
      <c r="U163" s="96" t="n"/>
      <c r="V163" s="161" t="n"/>
      <c r="W163" s="96" t="n"/>
      <c r="X163" s="161" t="n"/>
      <c r="Y163" s="97" t="n"/>
      <c r="Z163" s="97" t="n"/>
      <c r="AA163" s="97" t="n"/>
      <c r="AB163" s="97" t="n"/>
      <c r="AC163" s="97" t="n"/>
      <c r="AD163" s="161" t="n"/>
      <c r="AE163" s="174" t="n"/>
      <c r="AF163" s="96" t="n"/>
      <c r="AG163" s="97" t="n"/>
      <c r="AH163" s="97" t="n"/>
      <c r="AI163" s="97" t="n"/>
      <c r="AJ163" s="96" t="n"/>
      <c r="AK163" s="130" t="n"/>
    </row>
    <row r="164" ht="12" customHeight="1">
      <c r="A164" s="108" t="inlineStr">
        <is>
          <t>SKLU1802152</t>
        </is>
      </c>
      <c r="B164" s="108" t="n"/>
      <c r="C164" s="108" t="n"/>
      <c r="D164" s="172" t="n"/>
      <c r="E164" s="173" t="n"/>
      <c r="F164" s="96" t="n"/>
      <c r="G164" s="96" t="n"/>
      <c r="H164" s="111" t="n"/>
      <c r="I164" s="96" t="n"/>
      <c r="J164" s="96" t="n"/>
      <c r="K164" s="96" t="n"/>
      <c r="L164" s="111" t="n"/>
      <c r="M164" s="96" t="n"/>
      <c r="N164" s="96" t="n"/>
      <c r="O164" s="111" t="n"/>
      <c r="P164" s="111" t="n"/>
      <c r="Q164" s="111" t="n"/>
      <c r="R164" s="96" t="n"/>
      <c r="S164" s="96" t="n"/>
      <c r="T164" s="96" t="n"/>
      <c r="U164" s="96" t="n"/>
      <c r="V164" s="161" t="n"/>
      <c r="W164" s="96" t="n"/>
      <c r="X164" s="161" t="n"/>
      <c r="Y164" s="97" t="n"/>
      <c r="Z164" s="97" t="n"/>
      <c r="AA164" s="97" t="n"/>
      <c r="AB164" s="97" t="n"/>
      <c r="AC164" s="97" t="n"/>
      <c r="AD164" s="161" t="n"/>
      <c r="AE164" s="174" t="n"/>
      <c r="AF164" s="96" t="n"/>
      <c r="AG164" s="97" t="n"/>
      <c r="AH164" s="97" t="n"/>
      <c r="AI164" s="97" t="n"/>
      <c r="AJ164" s="96" t="n"/>
      <c r="AK164" s="130" t="n"/>
    </row>
    <row r="165" ht="12" customHeight="1">
      <c r="A165" s="108" t="inlineStr">
        <is>
          <t>SKLU1803668</t>
        </is>
      </c>
      <c r="B165" s="108" t="n"/>
      <c r="C165" s="108" t="n"/>
      <c r="D165" s="172" t="n"/>
      <c r="E165" s="173" t="n"/>
      <c r="F165" s="96" t="n"/>
      <c r="G165" s="96" t="n"/>
      <c r="H165" s="111" t="n"/>
      <c r="I165" s="96" t="n"/>
      <c r="J165" s="96" t="n"/>
      <c r="K165" s="96" t="n"/>
      <c r="L165" s="111" t="n"/>
      <c r="M165" s="96" t="n"/>
      <c r="N165" s="96" t="n"/>
      <c r="O165" s="111" t="n"/>
      <c r="P165" s="111" t="n"/>
      <c r="Q165" s="111" t="n"/>
      <c r="R165" s="96" t="n"/>
      <c r="S165" s="96" t="n"/>
      <c r="T165" s="96" t="n"/>
      <c r="U165" s="96" t="n"/>
      <c r="V165" s="161" t="n"/>
      <c r="W165" s="96" t="n"/>
      <c r="X165" s="161" t="n"/>
      <c r="Y165" s="97" t="n"/>
      <c r="Z165" s="97" t="n"/>
      <c r="AA165" s="97" t="n"/>
      <c r="AB165" s="97" t="n"/>
      <c r="AC165" s="97" t="n"/>
      <c r="AD165" s="161" t="n"/>
      <c r="AE165" s="174" t="n"/>
      <c r="AF165" s="96" t="n"/>
      <c r="AG165" s="97" t="n"/>
      <c r="AH165" s="97" t="n"/>
      <c r="AI165" s="97" t="n"/>
      <c r="AJ165" s="96" t="n"/>
      <c r="AK165" s="130" t="n"/>
    </row>
    <row r="166" ht="12" customHeight="1">
      <c r="A166" s="108" t="inlineStr">
        <is>
          <t>SKLU1806610</t>
        </is>
      </c>
      <c r="B166" s="108" t="n"/>
      <c r="C166" s="108" t="n"/>
      <c r="D166" s="172" t="n"/>
      <c r="E166" s="173" t="n"/>
      <c r="F166" s="96" t="n"/>
      <c r="G166" s="96" t="n"/>
      <c r="H166" s="111" t="n"/>
      <c r="I166" s="96" t="n"/>
      <c r="J166" s="96" t="n"/>
      <c r="K166" s="96" t="n"/>
      <c r="L166" s="111" t="n"/>
      <c r="M166" s="96" t="n"/>
      <c r="N166" s="96" t="n"/>
      <c r="O166" s="111" t="n"/>
      <c r="P166" s="111" t="n"/>
      <c r="Q166" s="111" t="n"/>
      <c r="R166" s="96" t="n"/>
      <c r="S166" s="96" t="n"/>
      <c r="T166" s="96" t="n"/>
      <c r="U166" s="96" t="n"/>
      <c r="V166" s="161" t="n"/>
      <c r="W166" s="96" t="n"/>
      <c r="X166" s="161" t="n"/>
      <c r="Y166" s="97" t="n"/>
      <c r="Z166" s="97" t="n"/>
      <c r="AA166" s="97" t="n"/>
      <c r="AB166" s="97" t="n"/>
      <c r="AC166" s="97" t="n"/>
      <c r="AD166" s="161" t="n"/>
      <c r="AE166" s="174" t="n"/>
      <c r="AF166" s="96" t="n"/>
      <c r="AG166" s="97" t="n"/>
      <c r="AH166" s="97" t="n"/>
      <c r="AI166" s="97" t="n"/>
      <c r="AJ166" s="96" t="n"/>
      <c r="AK166" s="130" t="n"/>
    </row>
    <row r="167" ht="12" customHeight="1">
      <c r="A167" s="108" t="inlineStr">
        <is>
          <t>SKLU1821677</t>
        </is>
      </c>
      <c r="B167" s="108" t="n"/>
      <c r="C167" s="108" t="n"/>
      <c r="D167" s="172" t="n"/>
      <c r="E167" s="173" t="n"/>
      <c r="F167" s="96" t="n"/>
      <c r="G167" s="96" t="n"/>
      <c r="H167" s="111" t="n"/>
      <c r="I167" s="96" t="n"/>
      <c r="J167" s="96" t="n"/>
      <c r="K167" s="96" t="n"/>
      <c r="L167" s="111" t="n"/>
      <c r="M167" s="96" t="n"/>
      <c r="N167" s="96" t="n"/>
      <c r="O167" s="111" t="n"/>
      <c r="P167" s="111" t="n"/>
      <c r="Q167" s="111" t="n"/>
      <c r="R167" s="96" t="n"/>
      <c r="S167" s="96" t="n"/>
      <c r="T167" s="96" t="n"/>
      <c r="U167" s="96" t="n"/>
      <c r="V167" s="161" t="n"/>
      <c r="W167" s="96" t="n"/>
      <c r="X167" s="161" t="n"/>
      <c r="Y167" s="97" t="n"/>
      <c r="Z167" s="97" t="n"/>
      <c r="AA167" s="97" t="n"/>
      <c r="AB167" s="97" t="n"/>
      <c r="AC167" s="97" t="n"/>
      <c r="AD167" s="161" t="n"/>
      <c r="AE167" s="174" t="n"/>
      <c r="AF167" s="96" t="n"/>
      <c r="AG167" s="97" t="n"/>
      <c r="AH167" s="97" t="n"/>
      <c r="AI167" s="97" t="n"/>
      <c r="AJ167" s="96" t="n"/>
      <c r="AK167" s="130" t="n"/>
    </row>
    <row r="168" ht="12" customHeight="1">
      <c r="A168" s="108" t="inlineStr">
        <is>
          <t>SKLU1822246</t>
        </is>
      </c>
      <c r="B168" s="108" t="n"/>
      <c r="C168" s="108" t="n"/>
      <c r="D168" s="172" t="n"/>
      <c r="E168" s="173" t="n"/>
      <c r="F168" s="96" t="n"/>
      <c r="G168" s="96" t="n"/>
      <c r="H168" s="111" t="n"/>
      <c r="I168" s="96" t="n"/>
      <c r="J168" s="96" t="n"/>
      <c r="K168" s="96" t="n"/>
      <c r="L168" s="111" t="n"/>
      <c r="M168" s="96" t="n"/>
      <c r="N168" s="96" t="n"/>
      <c r="O168" s="111" t="n"/>
      <c r="P168" s="111" t="n"/>
      <c r="Q168" s="111" t="n"/>
      <c r="R168" s="96" t="n"/>
      <c r="S168" s="96" t="n"/>
      <c r="T168" s="96" t="n"/>
      <c r="U168" s="96" t="n"/>
      <c r="V168" s="161" t="n"/>
      <c r="W168" s="96" t="n"/>
      <c r="X168" s="161" t="n"/>
      <c r="Y168" s="97" t="n"/>
      <c r="Z168" s="97" t="n"/>
      <c r="AA168" s="97" t="n"/>
      <c r="AB168" s="97" t="n"/>
      <c r="AC168" s="97" t="n"/>
      <c r="AD168" s="161" t="n"/>
      <c r="AE168" s="174" t="n"/>
      <c r="AF168" s="96" t="n"/>
      <c r="AG168" s="97" t="n"/>
      <c r="AH168" s="97" t="n"/>
      <c r="AI168" s="97" t="n"/>
      <c r="AJ168" s="96" t="n"/>
      <c r="AK168" s="130" t="n"/>
    </row>
    <row r="169" ht="12" customHeight="1">
      <c r="A169" s="108" t="inlineStr">
        <is>
          <t>SKLU1911111</t>
        </is>
      </c>
      <c r="B169" s="108" t="n"/>
      <c r="C169" s="108" t="n"/>
      <c r="D169" s="172" t="n"/>
      <c r="E169" s="173" t="n"/>
      <c r="F169" s="96" t="n"/>
      <c r="G169" s="96" t="n"/>
      <c r="H169" s="111" t="n"/>
      <c r="I169" s="96" t="n"/>
      <c r="J169" s="96" t="n"/>
      <c r="K169" s="96" t="n"/>
      <c r="L169" s="111" t="n"/>
      <c r="M169" s="96" t="n"/>
      <c r="N169" s="96" t="n"/>
      <c r="O169" s="111" t="n"/>
      <c r="P169" s="111" t="n"/>
      <c r="Q169" s="111" t="n"/>
      <c r="R169" s="96" t="n"/>
      <c r="S169" s="96" t="n"/>
      <c r="T169" s="96" t="n"/>
      <c r="U169" s="96" t="n"/>
      <c r="V169" s="161" t="n"/>
      <c r="W169" s="96" t="n"/>
      <c r="X169" s="161" t="n"/>
      <c r="Y169" s="97" t="n"/>
      <c r="Z169" s="97" t="n"/>
      <c r="AA169" s="97" t="n"/>
      <c r="AB169" s="97" t="n"/>
      <c r="AC169" s="97" t="n"/>
      <c r="AD169" s="161" t="n"/>
      <c r="AE169" s="174" t="n"/>
      <c r="AF169" s="96" t="n"/>
      <c r="AG169" s="97" t="n"/>
      <c r="AH169" s="97" t="n"/>
      <c r="AI169" s="97" t="n"/>
      <c r="AJ169" s="96" t="n"/>
      <c r="AK169" s="130" t="n"/>
    </row>
    <row r="170" ht="12" customHeight="1">
      <c r="A170" s="108" t="inlineStr">
        <is>
          <t>SKLU1919684</t>
        </is>
      </c>
      <c r="B170" s="108" t="n"/>
      <c r="C170" s="108" t="n"/>
      <c r="D170" s="172" t="n"/>
      <c r="E170" s="173" t="n"/>
      <c r="F170" s="96" t="n"/>
      <c r="G170" s="96" t="n"/>
      <c r="H170" s="111" t="n"/>
      <c r="I170" s="96" t="n"/>
      <c r="J170" s="96" t="n"/>
      <c r="K170" s="96" t="n"/>
      <c r="L170" s="111" t="n"/>
      <c r="M170" s="96" t="n"/>
      <c r="N170" s="96" t="n"/>
      <c r="O170" s="111" t="n"/>
      <c r="P170" s="111" t="n"/>
      <c r="Q170" s="111" t="n"/>
      <c r="R170" s="96" t="n"/>
      <c r="S170" s="96" t="n"/>
      <c r="T170" s="96" t="n"/>
      <c r="U170" s="96" t="n"/>
      <c r="V170" s="161" t="n"/>
      <c r="W170" s="96" t="n"/>
      <c r="X170" s="161" t="n"/>
      <c r="Y170" s="97" t="n"/>
      <c r="Z170" s="97" t="n"/>
      <c r="AA170" s="97" t="n"/>
      <c r="AB170" s="97" t="n"/>
      <c r="AC170" s="97" t="n"/>
      <c r="AD170" s="161" t="n"/>
      <c r="AE170" s="174" t="n"/>
      <c r="AF170" s="96" t="n"/>
      <c r="AG170" s="97" t="n"/>
      <c r="AH170" s="97" t="n"/>
      <c r="AI170" s="97" t="n"/>
      <c r="AJ170" s="96" t="n"/>
      <c r="AK170" s="130" t="n"/>
    </row>
    <row r="171" ht="12" customHeight="1">
      <c r="A171" s="108" t="inlineStr">
        <is>
          <t>SKLU1938581</t>
        </is>
      </c>
      <c r="B171" s="108" t="n"/>
      <c r="C171" s="108" t="n"/>
      <c r="D171" s="172" t="n"/>
      <c r="E171" s="173" t="n"/>
      <c r="F171" s="96" t="n"/>
      <c r="G171" s="96" t="n"/>
      <c r="H171" s="111" t="n"/>
      <c r="I171" s="96" t="n"/>
      <c r="J171" s="96" t="n"/>
      <c r="K171" s="96" t="n"/>
      <c r="L171" s="111" t="n"/>
      <c r="M171" s="96" t="n"/>
      <c r="N171" s="96" t="n"/>
      <c r="O171" s="111" t="n"/>
      <c r="P171" s="111" t="n"/>
      <c r="Q171" s="111" t="n"/>
      <c r="R171" s="96" t="n"/>
      <c r="S171" s="96" t="n"/>
      <c r="T171" s="96" t="n"/>
      <c r="U171" s="96" t="n"/>
      <c r="V171" s="161" t="n"/>
      <c r="W171" s="96" t="n"/>
      <c r="X171" s="161" t="n"/>
      <c r="Y171" s="97" t="n"/>
      <c r="Z171" s="97" t="n"/>
      <c r="AA171" s="97" t="n"/>
      <c r="AB171" s="97" t="n"/>
      <c r="AC171" s="97" t="n"/>
      <c r="AD171" s="161" t="n"/>
      <c r="AE171" s="174" t="n"/>
      <c r="AF171" s="96" t="n"/>
      <c r="AG171" s="97" t="n"/>
      <c r="AH171" s="97" t="n"/>
      <c r="AI171" s="97" t="n"/>
      <c r="AJ171" s="96" t="n"/>
      <c r="AK171" s="130" t="n"/>
    </row>
    <row r="172" ht="12" customHeight="1">
      <c r="A172" s="108" t="inlineStr">
        <is>
          <t>SKLU1961154</t>
        </is>
      </c>
      <c r="B172" s="108" t="n"/>
      <c r="C172" s="108" t="n"/>
      <c r="D172" s="172" t="n"/>
      <c r="E172" s="173" t="n"/>
      <c r="F172" s="96" t="n"/>
      <c r="G172" s="96" t="n"/>
      <c r="H172" s="111" t="n"/>
      <c r="I172" s="96" t="n"/>
      <c r="J172" s="96" t="n"/>
      <c r="K172" s="96" t="n"/>
      <c r="L172" s="111" t="n"/>
      <c r="M172" s="96" t="n"/>
      <c r="N172" s="96" t="n"/>
      <c r="O172" s="111" t="n"/>
      <c r="P172" s="111" t="n"/>
      <c r="Q172" s="111" t="n"/>
      <c r="R172" s="96" t="n"/>
      <c r="S172" s="96" t="n"/>
      <c r="T172" s="96" t="n"/>
      <c r="U172" s="96" t="n"/>
      <c r="V172" s="161" t="n"/>
      <c r="W172" s="96" t="n"/>
      <c r="X172" s="161" t="n"/>
      <c r="Y172" s="97" t="n"/>
      <c r="Z172" s="97" t="n"/>
      <c r="AA172" s="97" t="n"/>
      <c r="AB172" s="97" t="n"/>
      <c r="AC172" s="97" t="n"/>
      <c r="AD172" s="161" t="n"/>
      <c r="AE172" s="174" t="n"/>
      <c r="AF172" s="96" t="n"/>
      <c r="AG172" s="97" t="n"/>
      <c r="AH172" s="97" t="n"/>
      <c r="AI172" s="97" t="n"/>
      <c r="AJ172" s="96" t="n"/>
      <c r="AK172" s="130" t="n"/>
    </row>
    <row r="173" ht="12" customHeight="1">
      <c r="A173" s="108" t="inlineStr">
        <is>
          <t>SKLU1979282</t>
        </is>
      </c>
      <c r="B173" s="108" t="n"/>
      <c r="C173" s="108" t="n"/>
      <c r="D173" s="172" t="n"/>
      <c r="E173" s="173" t="n"/>
      <c r="F173" s="96" t="n"/>
      <c r="G173" s="96" t="n"/>
      <c r="H173" s="111" t="n"/>
      <c r="I173" s="96" t="n"/>
      <c r="J173" s="96" t="n"/>
      <c r="K173" s="96" t="n"/>
      <c r="L173" s="111" t="n"/>
      <c r="M173" s="96" t="n"/>
      <c r="N173" s="96" t="n"/>
      <c r="O173" s="111" t="n"/>
      <c r="P173" s="111" t="n"/>
      <c r="Q173" s="111" t="n"/>
      <c r="R173" s="96" t="n"/>
      <c r="S173" s="96" t="n"/>
      <c r="T173" s="96" t="n"/>
      <c r="U173" s="96" t="n"/>
      <c r="V173" s="161" t="n"/>
      <c r="W173" s="96" t="n"/>
      <c r="X173" s="161" t="n"/>
      <c r="Y173" s="97" t="n"/>
      <c r="Z173" s="97" t="n"/>
      <c r="AA173" s="97" t="n"/>
      <c r="AB173" s="97" t="n"/>
      <c r="AC173" s="97" t="n"/>
      <c r="AD173" s="161" t="n"/>
      <c r="AE173" s="174" t="n"/>
      <c r="AF173" s="96" t="n"/>
      <c r="AG173" s="97" t="n"/>
      <c r="AH173" s="97" t="n"/>
      <c r="AI173" s="97" t="n"/>
      <c r="AJ173" s="96" t="n"/>
      <c r="AK173" s="130" t="n"/>
    </row>
    <row r="174" ht="12" customHeight="1">
      <c r="A174" s="108" t="inlineStr">
        <is>
          <t>SKLU1993608</t>
        </is>
      </c>
      <c r="B174" s="108" t="n"/>
      <c r="C174" s="108" t="n"/>
      <c r="D174" s="172" t="n"/>
      <c r="E174" s="173" t="n"/>
      <c r="F174" s="96" t="n"/>
      <c r="G174" s="96" t="n"/>
      <c r="H174" s="111" t="n"/>
      <c r="I174" s="96" t="n"/>
      <c r="J174" s="96" t="n"/>
      <c r="K174" s="96" t="n"/>
      <c r="L174" s="111" t="n"/>
      <c r="M174" s="96" t="n"/>
      <c r="N174" s="96" t="n"/>
      <c r="O174" s="111" t="n"/>
      <c r="P174" s="111" t="n"/>
      <c r="Q174" s="111" t="n"/>
      <c r="R174" s="96" t="n"/>
      <c r="S174" s="96" t="n"/>
      <c r="T174" s="96" t="n"/>
      <c r="U174" s="96" t="n"/>
      <c r="V174" s="161" t="n"/>
      <c r="W174" s="96" t="n"/>
      <c r="X174" s="161" t="n"/>
      <c r="Y174" s="97" t="n"/>
      <c r="Z174" s="97" t="n"/>
      <c r="AA174" s="97" t="n"/>
      <c r="AB174" s="97" t="n"/>
      <c r="AC174" s="97" t="n"/>
      <c r="AD174" s="161" t="n"/>
      <c r="AE174" s="174" t="n"/>
      <c r="AF174" s="96" t="n"/>
      <c r="AG174" s="97" t="n"/>
      <c r="AH174" s="97" t="n"/>
      <c r="AI174" s="97" t="n"/>
      <c r="AJ174" s="96" t="n"/>
      <c r="AK174" s="130" t="n"/>
    </row>
    <row r="175" ht="12" customHeight="1">
      <c r="A175" s="108" t="inlineStr">
        <is>
          <t>SKLU1999988</t>
        </is>
      </c>
      <c r="B175" s="108" t="n"/>
      <c r="C175" s="108" t="n"/>
      <c r="D175" s="172" t="n"/>
      <c r="E175" s="173" t="n"/>
      <c r="F175" s="96" t="n"/>
      <c r="G175" s="96" t="n"/>
      <c r="H175" s="111" t="n"/>
      <c r="I175" s="96" t="n"/>
      <c r="J175" s="96" t="n"/>
      <c r="K175" s="96" t="n"/>
      <c r="L175" s="111" t="n"/>
      <c r="M175" s="96" t="n"/>
      <c r="N175" s="96" t="n"/>
      <c r="O175" s="111" t="n"/>
      <c r="P175" s="111" t="n"/>
      <c r="Q175" s="111" t="n"/>
      <c r="R175" s="96" t="n"/>
      <c r="S175" s="96" t="n"/>
      <c r="T175" s="96" t="n"/>
      <c r="U175" s="96" t="n"/>
      <c r="V175" s="161" t="n"/>
      <c r="W175" s="96" t="n"/>
      <c r="X175" s="161" t="n"/>
      <c r="Y175" s="97" t="n"/>
      <c r="Z175" s="97" t="n"/>
      <c r="AA175" s="97" t="n"/>
      <c r="AB175" s="97" t="n"/>
      <c r="AC175" s="97" t="n"/>
      <c r="AD175" s="161" t="n"/>
      <c r="AE175" s="174" t="n"/>
      <c r="AF175" s="96" t="n"/>
      <c r="AG175" s="97" t="n"/>
      <c r="AH175" s="97" t="n"/>
      <c r="AI175" s="97" t="n"/>
      <c r="AJ175" s="96" t="n"/>
      <c r="AK175" s="130" t="n"/>
    </row>
    <row r="176" ht="12" customHeight="1">
      <c r="A176" s="108" t="inlineStr">
        <is>
          <t>SKLU2011990</t>
        </is>
      </c>
      <c r="B176" s="108" t="n"/>
      <c r="C176" s="108" t="n"/>
      <c r="D176" s="172" t="n"/>
      <c r="E176" s="173" t="n"/>
      <c r="F176" s="96" t="n"/>
      <c r="G176" s="96" t="n"/>
      <c r="H176" s="111" t="n"/>
      <c r="I176" s="96" t="n"/>
      <c r="J176" s="96" t="n"/>
      <c r="K176" s="96" t="n"/>
      <c r="L176" s="111" t="n"/>
      <c r="M176" s="96" t="n"/>
      <c r="N176" s="96" t="n"/>
      <c r="O176" s="111" t="n"/>
      <c r="P176" s="111" t="n"/>
      <c r="Q176" s="111" t="n"/>
      <c r="R176" s="96" t="n"/>
      <c r="S176" s="96" t="n"/>
      <c r="T176" s="96" t="n"/>
      <c r="U176" s="96" t="n"/>
      <c r="V176" s="161" t="n"/>
      <c r="W176" s="96" t="n"/>
      <c r="X176" s="161" t="n"/>
      <c r="Y176" s="97" t="n"/>
      <c r="Z176" s="97" t="n"/>
      <c r="AA176" s="97" t="n"/>
      <c r="AB176" s="97" t="n"/>
      <c r="AC176" s="97" t="n"/>
      <c r="AD176" s="161" t="n"/>
      <c r="AE176" s="174" t="n"/>
      <c r="AF176" s="96" t="n"/>
      <c r="AG176" s="97" t="n"/>
      <c r="AH176" s="97" t="n"/>
      <c r="AI176" s="97" t="n"/>
      <c r="AJ176" s="96" t="n"/>
      <c r="AK176" s="130" t="n"/>
    </row>
    <row r="177" ht="12" customHeight="1">
      <c r="A177" s="108" t="inlineStr">
        <is>
          <t>SKLU2019856</t>
        </is>
      </c>
      <c r="B177" s="108" t="n"/>
      <c r="C177" s="108" t="n"/>
      <c r="D177" s="172" t="n"/>
      <c r="E177" s="173" t="n"/>
      <c r="F177" s="96" t="n"/>
      <c r="G177" s="96" t="n"/>
      <c r="H177" s="111" t="n"/>
      <c r="I177" s="96" t="n"/>
      <c r="J177" s="96" t="n"/>
      <c r="K177" s="96" t="n"/>
      <c r="L177" s="111" t="n"/>
      <c r="M177" s="96" t="n"/>
      <c r="N177" s="96" t="n"/>
      <c r="O177" s="111" t="n"/>
      <c r="P177" s="111" t="n"/>
      <c r="Q177" s="111" t="n"/>
      <c r="R177" s="96" t="n"/>
      <c r="S177" s="96" t="n"/>
      <c r="T177" s="96" t="n"/>
      <c r="U177" s="96" t="n"/>
      <c r="V177" s="161" t="n"/>
      <c r="W177" s="96" t="n"/>
      <c r="X177" s="161" t="n"/>
      <c r="Y177" s="97" t="n"/>
      <c r="Z177" s="97" t="n"/>
      <c r="AA177" s="97" t="n"/>
      <c r="AB177" s="97" t="n"/>
      <c r="AC177" s="97" t="n"/>
      <c r="AD177" s="161" t="n"/>
      <c r="AE177" s="174" t="n"/>
      <c r="AF177" s="96" t="n"/>
      <c r="AG177" s="97" t="n"/>
      <c r="AH177" s="97" t="n"/>
      <c r="AI177" s="97" t="n"/>
      <c r="AJ177" s="96" t="n"/>
      <c r="AK177" s="130" t="n"/>
    </row>
    <row r="178" ht="12" customHeight="1">
      <c r="A178" s="108" t="inlineStr">
        <is>
          <t>SKLU2113604</t>
        </is>
      </c>
      <c r="B178" s="108" t="n"/>
      <c r="C178" s="108" t="n"/>
      <c r="D178" s="172" t="n"/>
      <c r="E178" s="173" t="n"/>
      <c r="F178" s="96" t="n"/>
      <c r="G178" s="96" t="n"/>
      <c r="H178" s="111" t="n"/>
      <c r="I178" s="96" t="n"/>
      <c r="J178" s="96" t="n"/>
      <c r="K178" s="96" t="n"/>
      <c r="L178" s="111" t="n"/>
      <c r="M178" s="96" t="n"/>
      <c r="N178" s="96" t="n"/>
      <c r="O178" s="111" t="n"/>
      <c r="P178" s="111" t="n"/>
      <c r="Q178" s="111" t="n"/>
      <c r="R178" s="96" t="n"/>
      <c r="S178" s="96" t="n"/>
      <c r="T178" s="96" t="n"/>
      <c r="U178" s="96" t="n"/>
      <c r="V178" s="161" t="n"/>
      <c r="W178" s="96" t="n"/>
      <c r="X178" s="161" t="n"/>
      <c r="Y178" s="97" t="n"/>
      <c r="Z178" s="97" t="n"/>
      <c r="AA178" s="97" t="n"/>
      <c r="AB178" s="97" t="n"/>
      <c r="AC178" s="97" t="n"/>
      <c r="AD178" s="161" t="n"/>
      <c r="AE178" s="174" t="n"/>
      <c r="AF178" s="96" t="n"/>
      <c r="AG178" s="97" t="n"/>
      <c r="AH178" s="97" t="n"/>
      <c r="AI178" s="97" t="n"/>
      <c r="AJ178" s="96" t="n"/>
      <c r="AK178" s="130" t="n"/>
    </row>
    <row r="179" ht="12" customHeight="1">
      <c r="A179" s="108" t="inlineStr">
        <is>
          <t>SKLU2302450</t>
        </is>
      </c>
      <c r="B179" s="108" t="n"/>
      <c r="C179" s="108" t="n"/>
      <c r="D179" s="172" t="n"/>
      <c r="E179" s="173" t="n"/>
      <c r="F179" s="96" t="n"/>
      <c r="G179" s="96" t="n"/>
      <c r="H179" s="111" t="n"/>
      <c r="I179" s="96" t="n"/>
      <c r="J179" s="96" t="n"/>
      <c r="K179" s="96" t="n"/>
      <c r="L179" s="111" t="n"/>
      <c r="M179" s="96" t="n"/>
      <c r="N179" s="96" t="n"/>
      <c r="O179" s="111" t="n"/>
      <c r="P179" s="111" t="n"/>
      <c r="Q179" s="111" t="n"/>
      <c r="R179" s="96" t="n"/>
      <c r="S179" s="96" t="n"/>
      <c r="T179" s="96" t="n"/>
      <c r="U179" s="96" t="n"/>
      <c r="V179" s="161" t="n"/>
      <c r="W179" s="96" t="n"/>
      <c r="X179" s="161" t="n"/>
      <c r="Y179" s="97" t="n"/>
      <c r="Z179" s="97" t="n"/>
      <c r="AA179" s="97" t="n"/>
      <c r="AB179" s="97" t="n"/>
      <c r="AC179" s="97" t="n"/>
      <c r="AD179" s="161" t="n"/>
      <c r="AE179" s="174" t="n"/>
      <c r="AF179" s="96" t="n"/>
      <c r="AG179" s="97" t="n"/>
      <c r="AH179" s="97" t="n"/>
      <c r="AI179" s="97" t="n"/>
      <c r="AJ179" s="96" t="n"/>
      <c r="AK179" s="130" t="n"/>
    </row>
    <row r="180" ht="12" customHeight="1">
      <c r="A180" s="108" t="inlineStr">
        <is>
          <t>SKLU2308289</t>
        </is>
      </c>
      <c r="B180" s="108" t="n"/>
      <c r="C180" s="108" t="n"/>
      <c r="D180" s="172" t="n"/>
      <c r="E180" s="173" t="n"/>
      <c r="F180" s="96" t="n"/>
      <c r="G180" s="96" t="n"/>
      <c r="H180" s="111" t="n"/>
      <c r="I180" s="96" t="n"/>
      <c r="J180" s="96" t="n"/>
      <c r="K180" s="96" t="n"/>
      <c r="L180" s="111" t="n"/>
      <c r="M180" s="96" t="n"/>
      <c r="N180" s="96" t="n"/>
      <c r="O180" s="111" t="n"/>
      <c r="P180" s="111" t="n"/>
      <c r="Q180" s="111" t="n"/>
      <c r="R180" s="96" t="n"/>
      <c r="S180" s="96" t="n"/>
      <c r="T180" s="96" t="n"/>
      <c r="U180" s="96" t="n"/>
      <c r="V180" s="161" t="n"/>
      <c r="W180" s="96" t="n"/>
      <c r="X180" s="161" t="n"/>
      <c r="Y180" s="97" t="n"/>
      <c r="Z180" s="97" t="n"/>
      <c r="AA180" s="97" t="n"/>
      <c r="AB180" s="97" t="n"/>
      <c r="AC180" s="97" t="n"/>
      <c r="AD180" s="161" t="n"/>
      <c r="AE180" s="174" t="n"/>
      <c r="AF180" s="96" t="n"/>
      <c r="AG180" s="97" t="n"/>
      <c r="AH180" s="97" t="n"/>
      <c r="AI180" s="97" t="n"/>
      <c r="AJ180" s="96" t="n"/>
      <c r="AK180" s="130" t="n"/>
    </row>
    <row r="181" ht="12" customHeight="1">
      <c r="A181" s="108" t="inlineStr">
        <is>
          <t>SKLU2337970</t>
        </is>
      </c>
      <c r="B181" s="108" t="n"/>
      <c r="C181" s="108" t="n"/>
      <c r="D181" s="172" t="n"/>
      <c r="E181" s="173" t="n"/>
      <c r="F181" s="96" t="n"/>
      <c r="G181" s="96" t="n"/>
      <c r="H181" s="111" t="n"/>
      <c r="I181" s="96" t="n"/>
      <c r="J181" s="96" t="n"/>
      <c r="K181" s="96" t="n"/>
      <c r="L181" s="111" t="n"/>
      <c r="M181" s="96" t="n"/>
      <c r="N181" s="96" t="n"/>
      <c r="O181" s="111" t="n"/>
      <c r="P181" s="111" t="n"/>
      <c r="Q181" s="111" t="n"/>
      <c r="R181" s="96" t="n"/>
      <c r="S181" s="96" t="n"/>
      <c r="T181" s="96" t="n"/>
      <c r="U181" s="96" t="n"/>
      <c r="V181" s="161" t="n"/>
      <c r="W181" s="96" t="n"/>
      <c r="X181" s="161" t="n"/>
      <c r="Y181" s="97" t="n"/>
      <c r="Z181" s="97" t="n"/>
      <c r="AA181" s="97" t="n"/>
      <c r="AB181" s="97" t="n"/>
      <c r="AC181" s="97" t="n"/>
      <c r="AD181" s="161" t="n"/>
      <c r="AE181" s="174" t="n"/>
      <c r="AF181" s="96" t="n"/>
      <c r="AG181" s="97" t="n"/>
      <c r="AH181" s="97" t="n"/>
      <c r="AI181" s="97" t="n"/>
      <c r="AJ181" s="96" t="n"/>
      <c r="AK181" s="130" t="n"/>
    </row>
    <row r="182" ht="12" customHeight="1">
      <c r="A182" s="108" t="inlineStr">
        <is>
          <t>SKLU2360559</t>
        </is>
      </c>
      <c r="B182" s="108" t="n"/>
      <c r="C182" s="108" t="n"/>
      <c r="D182" s="172" t="n"/>
      <c r="E182" s="173" t="n"/>
      <c r="F182" s="96" t="n"/>
      <c r="G182" s="96" t="n"/>
      <c r="H182" s="111" t="n"/>
      <c r="I182" s="96" t="n"/>
      <c r="J182" s="96" t="n"/>
      <c r="K182" s="96" t="n"/>
      <c r="L182" s="111" t="n"/>
      <c r="M182" s="96" t="n"/>
      <c r="N182" s="96" t="n"/>
      <c r="O182" s="111" t="n"/>
      <c r="P182" s="111" t="n"/>
      <c r="Q182" s="111" t="n"/>
      <c r="R182" s="96" t="n"/>
      <c r="S182" s="96" t="n"/>
      <c r="T182" s="96" t="n"/>
      <c r="U182" s="96" t="n"/>
      <c r="V182" s="161" t="n"/>
      <c r="W182" s="96" t="n"/>
      <c r="X182" s="161" t="n"/>
      <c r="Y182" s="97" t="n"/>
      <c r="Z182" s="97" t="n"/>
      <c r="AA182" s="97" t="n"/>
      <c r="AB182" s="97" t="n"/>
      <c r="AC182" s="97" t="n"/>
      <c r="AD182" s="161" t="n"/>
      <c r="AE182" s="174" t="n"/>
      <c r="AF182" s="96" t="n"/>
      <c r="AG182" s="97" t="n"/>
      <c r="AH182" s="97" t="n"/>
      <c r="AI182" s="97" t="n"/>
      <c r="AJ182" s="96" t="n"/>
      <c r="AK182" s="130" t="n"/>
    </row>
    <row r="183" ht="12" customHeight="1">
      <c r="A183" s="108" t="inlineStr">
        <is>
          <t>SKLU2402504</t>
        </is>
      </c>
      <c r="B183" s="108" t="n"/>
      <c r="C183" s="108" t="n"/>
      <c r="D183" s="172" t="n"/>
      <c r="E183" s="173" t="n"/>
      <c r="F183" s="96" t="n"/>
      <c r="G183" s="96" t="n"/>
      <c r="H183" s="111" t="n"/>
      <c r="I183" s="96" t="n"/>
      <c r="J183" s="96" t="n"/>
      <c r="K183" s="96" t="n"/>
      <c r="L183" s="111" t="n"/>
      <c r="M183" s="96" t="n"/>
      <c r="N183" s="96" t="n"/>
      <c r="O183" s="111" t="n"/>
      <c r="P183" s="111" t="n"/>
      <c r="Q183" s="111" t="n"/>
      <c r="R183" s="96" t="n"/>
      <c r="S183" s="96" t="n"/>
      <c r="T183" s="96" t="n"/>
      <c r="U183" s="96" t="n"/>
      <c r="V183" s="161" t="n"/>
      <c r="W183" s="96" t="n"/>
      <c r="X183" s="161" t="n"/>
      <c r="Y183" s="97" t="n"/>
      <c r="Z183" s="97" t="n"/>
      <c r="AA183" s="97" t="n"/>
      <c r="AB183" s="97" t="n"/>
      <c r="AC183" s="97" t="n"/>
      <c r="AD183" s="161" t="n"/>
      <c r="AE183" s="174" t="n"/>
      <c r="AF183" s="96" t="n"/>
      <c r="AG183" s="97" t="n"/>
      <c r="AH183" s="97" t="n"/>
      <c r="AI183" s="97" t="n"/>
      <c r="AJ183" s="96" t="n"/>
      <c r="AK183" s="130" t="n"/>
    </row>
    <row r="184" ht="12" customHeight="1">
      <c r="A184" s="108" t="inlineStr">
        <is>
          <t>SKLU2424695</t>
        </is>
      </c>
      <c r="B184" s="108" t="n"/>
      <c r="C184" s="108" t="n"/>
      <c r="D184" s="172" t="n"/>
      <c r="E184" s="173" t="n"/>
      <c r="F184" s="96" t="n"/>
      <c r="G184" s="96" t="n"/>
      <c r="H184" s="111" t="n"/>
      <c r="I184" s="96" t="n"/>
      <c r="J184" s="96" t="n"/>
      <c r="K184" s="96" t="n"/>
      <c r="L184" s="111" t="n"/>
      <c r="M184" s="96" t="n"/>
      <c r="N184" s="96" t="n"/>
      <c r="O184" s="111" t="n"/>
      <c r="P184" s="111" t="n"/>
      <c r="Q184" s="111" t="n"/>
      <c r="R184" s="96" t="n"/>
      <c r="S184" s="96" t="n"/>
      <c r="T184" s="96" t="n"/>
      <c r="U184" s="96" t="n"/>
      <c r="V184" s="161" t="n"/>
      <c r="W184" s="96" t="n"/>
      <c r="X184" s="161" t="n"/>
      <c r="Y184" s="97" t="n"/>
      <c r="Z184" s="97" t="n"/>
      <c r="AA184" s="97" t="n"/>
      <c r="AB184" s="97" t="n"/>
      <c r="AC184" s="97" t="n"/>
      <c r="AD184" s="161" t="n"/>
      <c r="AE184" s="174" t="n"/>
      <c r="AF184" s="96" t="n"/>
      <c r="AG184" s="97" t="n"/>
      <c r="AH184" s="97" t="n"/>
      <c r="AI184" s="97" t="n"/>
      <c r="AJ184" s="96" t="n"/>
      <c r="AK184" s="130" t="n"/>
    </row>
    <row r="185" ht="12" customHeight="1">
      <c r="A185" s="108" t="inlineStr">
        <is>
          <t>SKLU2435663</t>
        </is>
      </c>
      <c r="B185" s="108" t="n"/>
      <c r="C185" s="108" t="n"/>
      <c r="D185" s="172" t="n"/>
      <c r="E185" s="173" t="n"/>
      <c r="F185" s="96" t="n"/>
      <c r="G185" s="96" t="n"/>
      <c r="H185" s="111" t="n"/>
      <c r="I185" s="96" t="n"/>
      <c r="J185" s="96" t="n"/>
      <c r="K185" s="96" t="n"/>
      <c r="L185" s="111" t="n"/>
      <c r="M185" s="96" t="n"/>
      <c r="N185" s="96" t="n"/>
      <c r="O185" s="111" t="n"/>
      <c r="P185" s="111" t="n"/>
      <c r="Q185" s="111" t="n"/>
      <c r="R185" s="96" t="n"/>
      <c r="S185" s="96" t="n"/>
      <c r="T185" s="96" t="n"/>
      <c r="U185" s="96" t="n"/>
      <c r="V185" s="161" t="n"/>
      <c r="W185" s="96" t="n"/>
      <c r="X185" s="161" t="n"/>
      <c r="Y185" s="97" t="n"/>
      <c r="Z185" s="97" t="n"/>
      <c r="AA185" s="97" t="n"/>
      <c r="AB185" s="97" t="n"/>
      <c r="AC185" s="97" t="n"/>
      <c r="AD185" s="161" t="n"/>
      <c r="AE185" s="174" t="n"/>
      <c r="AF185" s="96" t="n"/>
      <c r="AG185" s="97" t="n"/>
      <c r="AH185" s="97" t="n"/>
      <c r="AI185" s="97" t="n"/>
      <c r="AJ185" s="96" t="n"/>
      <c r="AK185" s="130" t="n"/>
    </row>
    <row r="186" ht="12" customHeight="1">
      <c r="A186" s="108" t="inlineStr">
        <is>
          <t>SKLU2484502</t>
        </is>
      </c>
      <c r="B186" s="108" t="n"/>
      <c r="C186" s="108" t="n"/>
      <c r="D186" s="172" t="n"/>
      <c r="E186" s="173" t="n"/>
      <c r="F186" s="96" t="n"/>
      <c r="G186" s="96" t="n"/>
      <c r="H186" s="111" t="n"/>
      <c r="I186" s="96" t="n"/>
      <c r="J186" s="96" t="n"/>
      <c r="K186" s="96" t="n"/>
      <c r="L186" s="111" t="n"/>
      <c r="M186" s="96" t="n"/>
      <c r="N186" s="96" t="n"/>
      <c r="O186" s="111" t="n"/>
      <c r="P186" s="111" t="n"/>
      <c r="Q186" s="111" t="n"/>
      <c r="R186" s="96" t="n"/>
      <c r="S186" s="96" t="n"/>
      <c r="T186" s="96" t="n"/>
      <c r="U186" s="96" t="n"/>
      <c r="V186" s="161" t="n"/>
      <c r="W186" s="96" t="n"/>
      <c r="X186" s="161" t="n"/>
      <c r="Y186" s="97" t="n"/>
      <c r="Z186" s="97" t="n"/>
      <c r="AA186" s="97" t="n"/>
      <c r="AB186" s="97" t="n"/>
      <c r="AC186" s="97" t="n"/>
      <c r="AD186" s="161" t="n"/>
      <c r="AE186" s="174" t="n"/>
      <c r="AF186" s="96" t="n"/>
      <c r="AG186" s="97" t="n"/>
      <c r="AH186" s="97" t="n"/>
      <c r="AI186" s="97" t="n"/>
      <c r="AJ186" s="96" t="n"/>
      <c r="AK186" s="130" t="n"/>
    </row>
    <row r="187" ht="12" customHeight="1">
      <c r="A187" s="108" t="inlineStr">
        <is>
          <t>SKLU2487060</t>
        </is>
      </c>
      <c r="B187" s="108" t="n"/>
      <c r="C187" s="108" t="n"/>
      <c r="D187" s="172" t="n"/>
      <c r="E187" s="173" t="n"/>
      <c r="F187" s="96" t="n"/>
      <c r="G187" s="96" t="n"/>
      <c r="H187" s="111" t="n"/>
      <c r="I187" s="96" t="n"/>
      <c r="J187" s="96" t="n"/>
      <c r="K187" s="96" t="n"/>
      <c r="L187" s="111" t="n"/>
      <c r="M187" s="96" t="n"/>
      <c r="N187" s="96" t="n"/>
      <c r="O187" s="111" t="n"/>
      <c r="P187" s="111" t="n"/>
      <c r="Q187" s="111" t="n"/>
      <c r="R187" s="96" t="n"/>
      <c r="S187" s="96" t="n"/>
      <c r="T187" s="96" t="n"/>
      <c r="U187" s="96" t="n"/>
      <c r="V187" s="161" t="n"/>
      <c r="W187" s="96" t="n"/>
      <c r="X187" s="161" t="n"/>
      <c r="Y187" s="97" t="n"/>
      <c r="Z187" s="97" t="n"/>
      <c r="AA187" s="97" t="n"/>
      <c r="AB187" s="97" t="n"/>
      <c r="AC187" s="97" t="n"/>
      <c r="AD187" s="161" t="n"/>
      <c r="AE187" s="174" t="n"/>
      <c r="AF187" s="96" t="n"/>
      <c r="AG187" s="97" t="n"/>
      <c r="AH187" s="97" t="n"/>
      <c r="AI187" s="97" t="n"/>
      <c r="AJ187" s="96" t="n"/>
      <c r="AK187" s="130" t="n"/>
    </row>
    <row r="188" ht="12" customHeight="1">
      <c r="A188" s="108" t="inlineStr">
        <is>
          <t>SKRU9909283</t>
        </is>
      </c>
      <c r="B188" s="108" t="n"/>
      <c r="C188" s="108" t="n"/>
      <c r="D188" s="172" t="n"/>
      <c r="E188" s="173" t="n"/>
      <c r="F188" s="96" t="n"/>
      <c r="G188" s="96" t="n"/>
      <c r="H188" s="111" t="n"/>
      <c r="I188" s="96" t="n"/>
      <c r="J188" s="96" t="n"/>
      <c r="K188" s="96" t="n"/>
      <c r="L188" s="111" t="n"/>
      <c r="M188" s="96" t="n"/>
      <c r="N188" s="96" t="n"/>
      <c r="O188" s="111" t="n"/>
      <c r="P188" s="111" t="n"/>
      <c r="Q188" s="111" t="n"/>
      <c r="R188" s="96" t="n"/>
      <c r="S188" s="96" t="n"/>
      <c r="T188" s="96" t="n"/>
      <c r="U188" s="96" t="n"/>
      <c r="V188" s="161" t="n"/>
      <c r="W188" s="96" t="n"/>
      <c r="X188" s="161" t="n"/>
      <c r="Y188" s="97" t="n"/>
      <c r="Z188" s="97" t="n"/>
      <c r="AA188" s="97" t="n"/>
      <c r="AB188" s="97" t="n"/>
      <c r="AC188" s="97" t="n"/>
      <c r="AD188" s="161" t="n"/>
      <c r="AE188" s="174" t="n"/>
      <c r="AF188" s="96" t="n"/>
      <c r="AG188" s="97" t="n"/>
      <c r="AH188" s="97" t="n"/>
      <c r="AI188" s="97" t="n"/>
      <c r="AJ188" s="96" t="n"/>
      <c r="AK188" s="130" t="n"/>
    </row>
    <row r="189" ht="12" customHeight="1">
      <c r="A189" s="108" t="inlineStr">
        <is>
          <t>TCKU2122328</t>
        </is>
      </c>
      <c r="B189" s="108" t="n"/>
      <c r="C189" s="108" t="n"/>
      <c r="D189" s="172" t="n"/>
      <c r="E189" s="173" t="n"/>
      <c r="F189" s="96" t="n"/>
      <c r="G189" s="96" t="n"/>
      <c r="H189" s="111" t="n"/>
      <c r="I189" s="96" t="n"/>
      <c r="J189" s="96" t="n"/>
      <c r="K189" s="96" t="n"/>
      <c r="L189" s="111" t="n"/>
      <c r="M189" s="96" t="n"/>
      <c r="N189" s="96" t="n"/>
      <c r="O189" s="111" t="n"/>
      <c r="P189" s="111" t="n"/>
      <c r="Q189" s="111" t="n"/>
      <c r="R189" s="96" t="n"/>
      <c r="S189" s="96" t="n"/>
      <c r="T189" s="96" t="n"/>
      <c r="U189" s="96" t="n"/>
      <c r="V189" s="161" t="n"/>
      <c r="W189" s="96" t="n"/>
      <c r="X189" s="161" t="n"/>
      <c r="Y189" s="97" t="n"/>
      <c r="Z189" s="97" t="n"/>
      <c r="AA189" s="97" t="n"/>
      <c r="AB189" s="97" t="n"/>
      <c r="AC189" s="97" t="n"/>
      <c r="AD189" s="161" t="n"/>
      <c r="AE189" s="174" t="n"/>
      <c r="AF189" s="96" t="n"/>
      <c r="AG189" s="97" t="n"/>
      <c r="AH189" s="97" t="n"/>
      <c r="AI189" s="97" t="n"/>
      <c r="AJ189" s="96" t="n"/>
      <c r="AK189" s="130" t="n"/>
    </row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96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750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750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BEAU2859749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HASLS22260902818</v>
      </c>
      <c r="E3" s="62" t="str">
        <f>VLOOKUP(D3,'2.Bookinglist'!A:CT,27,FALSE)</f>
        <v>WHA GC LOGISTICS COMPANY LIMITED</v>
      </c>
      <c r="F3" s="62" t="str">
        <f>VLOOKUP(D3,'2.Bookinglist'!A:CT,28,FALSE)</f>
        <v>PTT GLOBAL CHEMICAL PUBLIC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SWIC</v>
      </c>
      <c r="P3" s="61" t="str">
        <f>VLOOKUP(A3,'1.Loading'!A:R,4,FALSE)</f>
        <v>2611N</v>
      </c>
      <c r="Q3" s="61" t="str">
        <f>VLOOKUP(D3,'2.Bookinglist'!A:CT,12,FALSE)</f>
        <v>KHS1</v>
      </c>
      <c r="R3" s="60" t="str">
        <f>IF(LEFT(K3,2)="22","20'","40'")</f>
        <v>20'</v>
      </c>
      <c r="S3" s="101" t="n"/>
      <c r="T3" s="61" t="str">
        <f>VLOOKUP(A3,'1.Loading'!A:R,2,FALSE)</f>
        <v>2026-10-17</v>
      </c>
      <c r="U3" s="63">
        <f>T3-S3</f>
        <v>46312</v>
      </c>
      <c r="V3" s="178" t="n"/>
      <c r="W3" s="61" t="str">
        <f>VLOOKUP(A3,'3.GateMove'!A:D,4,FALSE)</f>
        <v>2026-10-13</v>
      </c>
      <c r="X3" s="63">
        <f>((T3-W3)+1)</f>
        <v>5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46313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Dharaporn</v>
      </c>
      <c r="AL3" s="60" t="str">
        <f>VLOOKUP(D3,'2.Bookinglist'!A:CW,101,FALSE)</f>
        <v>2026-10-16</v>
      </c>
      <c r="AM3" s="60" t="str">
        <f>VLOOKUP(D3,'2.Bookinglist'!A:BK,63,FALSE)</f>
        <v>LCHY5</v>
      </c>
      <c r="AN3" s="62" t="str">
        <f>VLOOKUP(D3,'2.Bookinglist'!A:AZ,52,FALSE)</f>
        <v>CY 02/10/26 , RTN 08/10/26
*PLS CHECK OPEN GATE BEFOER RETURN CTNR*</v>
      </c>
      <c r="AO3" s="62" t="str">
        <f>VLOOKUP(D3,'2.Bookinglist'!A:CY,103,FALSE)</f>
        <v>ROLL OVER FROM PREVIOUS VSL PGPO 2612N BY ALLOCATION TEAM MS.TARN APPROVED COST IS UNDER HA DD.13/10</v>
      </c>
    </row>
    <row r="4" ht="12.95" customHeight="1">
      <c r="A4" s="96" t="inlineStr">
        <is>
          <t>CRXU7661973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HASLS22260901359</v>
      </c>
      <c r="E4" s="62" t="str">
        <f>VLOOKUP(D4,'2.Bookinglist'!A:CT,27,FALSE)</f>
        <v>LOTUS FREIGHT AND SERVICES CORP.,LTD.</v>
      </c>
      <c r="F4" s="62" t="str">
        <f>VLOOKUP(D4,'2.Bookinglist'!A:CT,28,FALSE)</f>
        <v>EXCEL ENTECH CO.,LTD.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42PC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SWIC</v>
      </c>
      <c r="P4" s="61" t="str">
        <f>VLOOKUP(A4,'1.Loading'!A:R,4,FALSE)</f>
        <v>2611N</v>
      </c>
      <c r="Q4" s="61" t="str">
        <f>VLOOKUP(D4,'2.Bookinglist'!A:CT,12,FALSE)</f>
        <v>KHS1</v>
      </c>
      <c r="R4" s="60" t="str">
        <f>IF(LEFT(K4,2)="22","20'","40'")</f>
        <v>40'</v>
      </c>
      <c r="S4" s="185" t="n"/>
      <c r="T4" s="61" t="str">
        <f>VLOOKUP(A4,'1.Loading'!A:R,2,FALSE)</f>
        <v>2026-10-17</v>
      </c>
      <c r="U4" s="63">
        <f>T4-S4</f>
        <v>46312</v>
      </c>
      <c r="V4" s="186" t="n"/>
      <c r="W4" s="61" t="str">
        <f>VLOOKUP(A4,'3.GateMove'!A:D,4,FALSE)</f>
        <v>2026-10-14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46313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Sukunpoj Damrongying</v>
      </c>
      <c r="AL4" s="60" t="str">
        <f>VLOOKUP(D4,'2.Bookinglist'!A:CW,101,FALSE)</f>
        <v>2026-10-13</v>
      </c>
      <c r="AM4" s="60" t="str">
        <f>VLOOKUP(D4,'2.Bookinglist'!A:BK,63,FALSE)</f>
        <v>LCH20</v>
      </c>
      <c r="AN4" s="62" t="str">
        <f>VLOOKUP(D4,'2.Bookinglist'!A:AZ,52,FALSE)</f>
        <v>*APPROVAL BY MR.M.J CHANG DD.21/09/2026  **
Pickup : 2026-10-09, Return : 2026-10-10 
1X40'HC &amp; 1X20'FR OOG 5 TEUS, CY AT  PW DEPOT // 1X40'FR OOG 10 TEUS  CY AT YJC LMH // EXTEND CLOSING DD.14/10/26 @23.59</v>
      </c>
      <c r="AO4" s="62">
        <f>VLOOKUP(D4,'2.Bookinglist'!A:CY,103,FALSE)</f>
        <v>0</v>
      </c>
    </row>
    <row r="5" ht="12.95" customHeight="1">
      <c r="A5" s="96" t="inlineStr">
        <is>
          <t>DFSU3097259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HASLS22260902390</v>
      </c>
      <c r="E5" s="62" t="str">
        <f>VLOOKUP(D5,'2.Bookinglist'!A:CT,27,FALSE)</f>
        <v>IRPC PUBLIC COMPANY LIMITED</v>
      </c>
      <c r="F5" s="62" t="str">
        <f>VLOOKUP(D5,'2.Bookinglist'!A:CT,28,FALSE)</f>
        <v>IRPC PUBLIC COMPANY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JPKIJ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SWIC</v>
      </c>
      <c r="P5" s="61" t="str">
        <f>VLOOKUP(A5,'1.Loading'!A:R,4,FALSE)</f>
        <v>2611N</v>
      </c>
      <c r="Q5" s="61" t="str">
        <f>VLOOKUP(D5,'2.Bookinglist'!A:CT,12,FALSE)</f>
        <v>KHS1</v>
      </c>
      <c r="R5" s="60" t="str">
        <f>IF(LEFT(K5,2)="22","20'","40'")</f>
        <v>20'</v>
      </c>
      <c r="S5" s="185" t="n"/>
      <c r="T5" s="61" t="str">
        <f>VLOOKUP(A5,'1.Loading'!A:R,2,FALSE)</f>
        <v>2026-10-17</v>
      </c>
      <c r="U5" s="63">
        <f>T5-S5</f>
        <v>46312</v>
      </c>
      <c r="V5" s="186" t="n"/>
      <c r="W5" s="61" t="str">
        <f>VLOOKUP(A5,'3.GateMove'!A:D,4,FALSE)</f>
        <v>2026-10-13</v>
      </c>
      <c r="X5" s="63">
        <f>((T5-W5)+1)</f>
        <v>5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46313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2026-10-15</v>
      </c>
      <c r="AM5" s="60" t="str">
        <f>VLOOKUP(D5,'2.Bookinglist'!A:BK,63,FALSE)</f>
        <v>LCHY5</v>
      </c>
      <c r="AN5" s="62" t="str">
        <f>VLOOKUP(D5,'2.Bookinglist'!A:AZ,52,FALSE)</f>
        <v>CY-RTN 05-07/10/26 (PI26090085-1)</v>
      </c>
      <c r="AO5" s="62" t="str">
        <f>VLOOKUP(D5,'2.Bookinglist'!A:CY,103,FALSE)</f>
        <v>ROLL OVER FROM PREVIOUS VSL SWRG 2609N BY ALLOCATION TEAM MS.TAN APPROVED COST IS UNDER HA DD.09/10</v>
      </c>
    </row>
    <row r="6" ht="12.95" customHeight="1">
      <c r="A6" s="96" t="inlineStr">
        <is>
          <t>FBIU0005438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HASLS22260902818</v>
      </c>
      <c r="E6" s="62" t="str">
        <f>VLOOKUP(D6,'2.Bookinglist'!A:CT,27,FALSE)</f>
        <v>WHA GC LOGISTICS COMPANY LIMITED</v>
      </c>
      <c r="F6" s="62" t="str">
        <f>VLOOKUP(D6,'2.Bookinglist'!A:CT,28,FALSE)</f>
        <v>PTT GLOBAL CHEMICAL PUBLIC COMPANY LIMITED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SWIC</v>
      </c>
      <c r="P6" s="61" t="str">
        <f>VLOOKUP(A6,'1.Loading'!A:R,4,FALSE)</f>
        <v>2611N</v>
      </c>
      <c r="Q6" s="61" t="str">
        <f>VLOOKUP(D6,'2.Bookinglist'!A:CT,12,FALSE)</f>
        <v>KHS1</v>
      </c>
      <c r="R6" s="60" t="str">
        <f>IF(LEFT(K6,2)="22","20'","40'")</f>
        <v>20'</v>
      </c>
      <c r="S6" s="185" t="n"/>
      <c r="T6" s="61" t="str">
        <f>VLOOKUP(A6,'1.Loading'!A:R,2,FALSE)</f>
        <v>2026-10-17</v>
      </c>
      <c r="U6" s="63">
        <f>T6-S6</f>
        <v>46312</v>
      </c>
      <c r="V6" s="186" t="n"/>
      <c r="W6" s="61" t="str">
        <f>VLOOKUP(A6,'3.GateMove'!A:D,4,FALSE)</f>
        <v>2026-10-13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46313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2026-10-16</v>
      </c>
      <c r="AM6" s="60" t="str">
        <f>VLOOKUP(D6,'2.Bookinglist'!A:BK,63,FALSE)</f>
        <v>LCHY5</v>
      </c>
      <c r="AN6" s="62" t="str">
        <f>VLOOKUP(D6,'2.Bookinglist'!A:AZ,52,FALSE)</f>
        <v>CY 02/10/26 , RTN 08/10/26
*PLS CHECK OPEN GATE BEFOER RETURN CTNR*</v>
      </c>
      <c r="AO6" s="62" t="str">
        <f>VLOOKUP(D6,'2.Bookinglist'!A:CY,103,FALSE)</f>
        <v>ROLL OVER FROM PREVIOUS VSL PGPO 2612N BY ALLOCATION TEAM MS.TARN APPROVED COST IS UNDER HA DD.13/10</v>
      </c>
    </row>
    <row r="7" ht="12.95" customHeight="1">
      <c r="A7" s="96" t="inlineStr">
        <is>
          <t>FBIU5372570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HASLS22260902790</v>
      </c>
      <c r="E7" s="62" t="str">
        <f>VLOOKUP(D7,'2.Bookinglist'!A:CT,27,FALSE)</f>
        <v>GOLDEN SEA FROZEN FOODS CO.,LTD</v>
      </c>
      <c r="F7" s="62" t="str">
        <f>VLOOKUP(D7,'2.Bookinglist'!A:CT,28,FALSE)</f>
        <v>GOLDEN SEA FROZEN FOODS CO.,LTD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45RE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>RF</v>
      </c>
      <c r="O7" s="61" t="str">
        <f>VLOOKUP(A7,'1.Loading'!A:R,3,FALSE)</f>
        <v>SWIC</v>
      </c>
      <c r="P7" s="61" t="str">
        <f>VLOOKUP(A7,'1.Loading'!A:R,4,FALSE)</f>
        <v>2611N</v>
      </c>
      <c r="Q7" s="61" t="str">
        <f>VLOOKUP(D7,'2.Bookinglist'!A:CT,12,FALSE)</f>
        <v>KHS1</v>
      </c>
      <c r="R7" s="60" t="str">
        <f>IF(LEFT(K7,2)="22","20'","40'")</f>
        <v>40'</v>
      </c>
      <c r="S7" s="185" t="n"/>
      <c r="T7" s="61" t="str">
        <f>VLOOKUP(A7,'1.Loading'!A:R,2,FALSE)</f>
        <v>2026-10-17</v>
      </c>
      <c r="U7" s="63">
        <f>T7-S7</f>
        <v>46312</v>
      </c>
      <c r="V7" s="186" t="n"/>
      <c r="W7" s="61" t="str">
        <f>VLOOKUP(A7,'3.GateMove'!A:D,4,FALSE)</f>
        <v>2026-10-13</v>
      </c>
      <c r="X7" s="63">
        <f>((T7-W7)+1)</f>
        <v>5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46313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2026-10-14</v>
      </c>
      <c r="AM7" s="60" t="str">
        <f>VLOOKUP(D7,'2.Bookinglist'!A:BK,63,FALSE)</f>
        <v>LCH27</v>
      </c>
      <c r="AN7" s="62" t="str">
        <f>VLOOKUP(D7,'2.Bookinglist'!A:AZ,52,FALSE)</f>
        <v>Pickup : 2026-10-09, Return : 2026-10-12 (Temp -18.0 / Vent Close) 
CLS TIME 13/10/26 @18.00</v>
      </c>
      <c r="AO7" s="62">
        <f>VLOOKUP(D7,'2.Bookinglist'!A:CY,103,FALSE)</f>
        <v>0</v>
      </c>
    </row>
    <row r="8" ht="12.95" customHeight="1">
      <c r="A8" s="96" t="inlineStr">
        <is>
          <t>FBIU5372863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HASLS22260902805</v>
      </c>
      <c r="E8" s="62" t="str">
        <f>VLOOKUP(D8,'2.Bookinglist'!A:CT,27,FALSE)</f>
        <v>GOLDEN SEA FROZEN FOODS CO.,LTD</v>
      </c>
      <c r="F8" s="62" t="str">
        <f>VLOOKUP(D8,'2.Bookinglist'!A:CT,28,FALSE)</f>
        <v>GOLDEN SEA FROZEN FOODS CO.,LTD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45RE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>RF</v>
      </c>
      <c r="O8" s="61" t="str">
        <f>VLOOKUP(A8,'1.Loading'!A:R,3,FALSE)</f>
        <v>SWIC</v>
      </c>
      <c r="P8" s="61" t="str">
        <f>VLOOKUP(A8,'1.Loading'!A:R,4,FALSE)</f>
        <v>2611N</v>
      </c>
      <c r="Q8" s="61" t="str">
        <f>VLOOKUP(D8,'2.Bookinglist'!A:CT,12,FALSE)</f>
        <v>KHS1</v>
      </c>
      <c r="R8" s="60" t="str">
        <f>IF(LEFT(K8,2)="22","20'","40'")</f>
        <v>40'</v>
      </c>
      <c r="S8" s="185" t="n"/>
      <c r="T8" s="61" t="str">
        <f>VLOOKUP(A8,'1.Loading'!A:R,2,FALSE)</f>
        <v>2026-10-17</v>
      </c>
      <c r="U8" s="63">
        <f>T8-S8</f>
        <v>46312</v>
      </c>
      <c r="V8" s="186" t="n"/>
      <c r="W8" s="61" t="str">
        <f>VLOOKUP(A8,'3.GateMove'!A:D,4,FALSE)</f>
        <v>2026-10-14</v>
      </c>
      <c r="X8" s="63">
        <f>((T8-W8)+1)</f>
        <v>4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3</v>
      </c>
      <c r="AE8" s="63">
        <f>(T8-V8)+1</f>
        <v>46313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Kanokporn</v>
      </c>
      <c r="AL8" s="60" t="str">
        <f>VLOOKUP(D8,'2.Bookinglist'!A:CW,101,FALSE)</f>
        <v>2026-10-14</v>
      </c>
      <c r="AM8" s="60" t="str">
        <f>VLOOKUP(D8,'2.Bookinglist'!A:BK,63,FALSE)</f>
        <v>LCH27</v>
      </c>
      <c r="AN8" s="62" t="str">
        <f>VLOOKUP(D8,'2.Bookinglist'!A:AZ,52,FALSE)</f>
        <v>Pickup : 2026-10-06, Return : 2026-10-12  (Temp -18.0 / Vent Close) 
CLS TIME 13/10/26 @18.00</v>
      </c>
      <c r="AO8" s="62">
        <f>VLOOKUP(D8,'2.Bookinglist'!A:CY,103,FALSE)</f>
        <v>0</v>
      </c>
    </row>
    <row r="9" ht="12.95" customHeight="1">
      <c r="A9" s="96" t="inlineStr">
        <is>
          <t>FSCU5867837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HASLS22261000262</v>
      </c>
      <c r="E9" s="62" t="str">
        <f>VLOOKUP(D9,'2.Bookinglist'!A:CT,27,FALSE)</f>
        <v>GOLDEN SEA FROZEN FOODS CO.,LTD</v>
      </c>
      <c r="F9" s="62" t="str">
        <f>VLOOKUP(D9,'2.Bookinglist'!A:CT,28,FALSE)</f>
        <v>GOLDEN SEA FROZEN FOODS CO.,LTD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45RE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>RF</v>
      </c>
      <c r="O9" s="61" t="str">
        <f>VLOOKUP(A9,'1.Loading'!A:R,3,FALSE)</f>
        <v>SWIC</v>
      </c>
      <c r="P9" s="61" t="str">
        <f>VLOOKUP(A9,'1.Loading'!A:R,4,FALSE)</f>
        <v>2611N</v>
      </c>
      <c r="Q9" s="61" t="str">
        <f>VLOOKUP(D9,'2.Bookinglist'!A:CT,12,FALSE)</f>
        <v>KHS1</v>
      </c>
      <c r="R9" s="60" t="str">
        <f>IF(LEFT(K9,2)="22","20'","40'")</f>
        <v>40'</v>
      </c>
      <c r="S9" s="185" t="n"/>
      <c r="T9" s="61" t="str">
        <f>VLOOKUP(A9,'1.Loading'!A:R,2,FALSE)</f>
        <v>2026-10-17</v>
      </c>
      <c r="U9" s="63">
        <f>T9-S9</f>
        <v>46312</v>
      </c>
      <c r="V9" s="186" t="n"/>
      <c r="W9" s="61" t="str">
        <f>VLOOKUP(A9,'3.GateMove'!A:D,4,FALSE)</f>
        <v>2026-10-14</v>
      </c>
      <c r="X9" s="63">
        <f>((T9-W9)+1)</f>
        <v>4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46313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Kanokporn</v>
      </c>
      <c r="AL9" s="60" t="str">
        <f>VLOOKUP(D9,'2.Bookinglist'!A:CW,101,FALSE)</f>
        <v>2026-10-16</v>
      </c>
      <c r="AM9" s="60" t="str">
        <f>VLOOKUP(D9,'2.Bookinglist'!A:BK,63,FALSE)</f>
        <v>LCH27</v>
      </c>
      <c r="AN9" s="62" t="str">
        <f>VLOOKUP(D9,'2.Bookinglist'!A:AZ,52,FALSE)</f>
        <v>Pickup : 2026-10-09, Return : 2026-10-13  (Temp -18.0 / Vent Close) 
CLS TIME 15/10/26  @18.00 (1ST DATE RTN 13/10/2026 W/O RENT,ELECTRIC)</v>
      </c>
      <c r="AO9" s="62">
        <f>VLOOKUP(D9,'2.Bookinglist'!A:CY,103,FALSE)</f>
        <v>0</v>
      </c>
    </row>
    <row r="10" ht="12.95" customHeight="1">
      <c r="A10" s="96" t="inlineStr">
        <is>
          <t>FSCU5868345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HASLS22261000260</v>
      </c>
      <c r="E10" s="62" t="str">
        <f>VLOOKUP(D10,'2.Bookinglist'!A:CT,27,FALSE)</f>
        <v>GOLDEN SEA FROZEN FOODS CO.,LTD</v>
      </c>
      <c r="F10" s="62" t="str">
        <f>VLOOKUP(D10,'2.Bookinglist'!A:CT,28,FALSE)</f>
        <v>GOLDEN SEA FROZEN FOODS CO.,LTD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45RE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>RF</v>
      </c>
      <c r="O10" s="61" t="str">
        <f>VLOOKUP(A10,'1.Loading'!A:R,3,FALSE)</f>
        <v>SWIC</v>
      </c>
      <c r="P10" s="61" t="str">
        <f>VLOOKUP(A10,'1.Loading'!A:R,4,FALSE)</f>
        <v>2611N</v>
      </c>
      <c r="Q10" s="61" t="str">
        <f>VLOOKUP(D10,'2.Bookinglist'!A:CT,12,FALSE)</f>
        <v>KHS1</v>
      </c>
      <c r="R10" s="60" t="str">
        <f>IF(LEFT(K10,2)="22","20'","40'")</f>
        <v>40'</v>
      </c>
      <c r="S10" s="185" t="n"/>
      <c r="T10" s="61" t="str">
        <f>VLOOKUP(A10,'1.Loading'!A:R,2,FALSE)</f>
        <v>2026-10-17</v>
      </c>
      <c r="U10" s="63">
        <f>T10-S10</f>
        <v>46312</v>
      </c>
      <c r="V10" s="186" t="n"/>
      <c r="W10" s="61" t="str">
        <f>VLOOKUP(A10,'3.GateMove'!A:D,4,FALSE)</f>
        <v>2026-10-13</v>
      </c>
      <c r="X10" s="63">
        <f>((T10-W10)+1)</f>
        <v>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3</v>
      </c>
      <c r="AE10" s="63">
        <f>(T10-V10)+1</f>
        <v>46313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Kanokporn</v>
      </c>
      <c r="AL10" s="60" t="str">
        <f>VLOOKUP(D10,'2.Bookinglist'!A:CW,101,FALSE)</f>
        <v>2026-10-16</v>
      </c>
      <c r="AM10" s="60" t="str">
        <f>VLOOKUP(D10,'2.Bookinglist'!A:BK,63,FALSE)</f>
        <v>LCH27</v>
      </c>
      <c r="AN10" s="62" t="str">
        <f>VLOOKUP(D10,'2.Bookinglist'!A:AZ,52,FALSE)</f>
        <v>Pickup : 2026-10-09, Return : 2026-10-13 (Temp -18.0 / Vent Close) 
CLS TIME 15/10/26  @18.00 (1ST DATE RTN 13/10/2026 W/O RENT,ELECTRIC)</v>
      </c>
      <c r="AO10" s="62">
        <f>VLOOKUP(D10,'2.Bookinglist'!A:CY,103,FALSE)</f>
        <v>0</v>
      </c>
    </row>
    <row r="11" ht="12.95" customHeight="1">
      <c r="A11" s="96" t="inlineStr">
        <is>
          <t>FSCU5891366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HASLS22260902808</v>
      </c>
      <c r="E11" s="62" t="str">
        <f>VLOOKUP(D11,'2.Bookinglist'!A:CT,27,FALSE)</f>
        <v>GOLDEN SEA FROZEN FOODS CO.,LTD</v>
      </c>
      <c r="F11" s="62" t="str">
        <f>VLOOKUP(D11,'2.Bookinglist'!A:CT,28,FALSE)</f>
        <v>GOLDEN SEA FROZEN FOODS CO.,LTD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45RE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>RF</v>
      </c>
      <c r="O11" s="61" t="str">
        <f>VLOOKUP(A11,'1.Loading'!A:R,3,FALSE)</f>
        <v>SWIC</v>
      </c>
      <c r="P11" s="61" t="str">
        <f>VLOOKUP(A11,'1.Loading'!A:R,4,FALSE)</f>
        <v>2611N</v>
      </c>
      <c r="Q11" s="61" t="str">
        <f>VLOOKUP(D11,'2.Bookinglist'!A:CT,12,FALSE)</f>
        <v>KHS1</v>
      </c>
      <c r="R11" s="60" t="str">
        <f>IF(LEFT(K11,2)="22","20'","40'")</f>
        <v>40'</v>
      </c>
      <c r="S11" s="185" t="n"/>
      <c r="T11" s="61" t="str">
        <f>VLOOKUP(A11,'1.Loading'!A:R,2,FALSE)</f>
        <v>2026-10-17</v>
      </c>
      <c r="U11" s="63">
        <f>T11-S11</f>
        <v>46312</v>
      </c>
      <c r="V11" s="186" t="n"/>
      <c r="W11" s="61" t="str">
        <f>VLOOKUP(A11,'3.GateMove'!A:D,4,FALSE)</f>
        <v>2026-10-13</v>
      </c>
      <c r="X11" s="63">
        <f>((T11-W11)+1)</f>
        <v>5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3</v>
      </c>
      <c r="AE11" s="63">
        <f>(T11-V11)+1</f>
        <v>46313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2026-10-14</v>
      </c>
      <c r="AM11" s="60" t="str">
        <f>VLOOKUP(D11,'2.Bookinglist'!A:BK,63,FALSE)</f>
        <v>LCH27</v>
      </c>
      <c r="AN11" s="62" t="str">
        <f>VLOOKUP(D11,'2.Bookinglist'!A:AZ,52,FALSE)</f>
        <v>Pickup : 2026-10-06, Return : 2026-10-12 RF45REx1 (Temp -18.0 / Vent Close) 
CLS TIME : 13/10/2026 @23.00 </v>
      </c>
      <c r="AO11" s="62">
        <f>VLOOKUP(D11,'2.Bookinglist'!A:CY,103,FALSE)</f>
        <v>0</v>
      </c>
    </row>
    <row r="12" ht="12.95" customHeight="1">
      <c r="A12" s="96" t="inlineStr">
        <is>
          <t>FSCU5892125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HASLS22261000530</v>
      </c>
      <c r="E12" s="62" t="str">
        <f>VLOOKUP(D12,'2.Bookinglist'!A:CT,27,FALSE)</f>
        <v>GOLDEN SEA FROZEN FOODS CO.,LTD</v>
      </c>
      <c r="F12" s="62" t="str">
        <f>VLOOKUP(D12,'2.Bookinglist'!A:CT,28,FALSE)</f>
        <v>GOLDEN SEA FROZEN FOODS CO.,LTD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SWIC</v>
      </c>
      <c r="P12" s="61" t="str">
        <f>VLOOKUP(A12,'1.Loading'!A:R,4,FALSE)</f>
        <v>2611N</v>
      </c>
      <c r="Q12" s="61" t="str">
        <f>VLOOKUP(D12,'2.Bookinglist'!A:CT,12,FALSE)</f>
        <v>KHS1</v>
      </c>
      <c r="R12" s="60" t="str">
        <f>IF(LEFT(K12,2)="22","20'","40'")</f>
        <v>40'</v>
      </c>
      <c r="S12" s="185" t="n"/>
      <c r="T12" s="61" t="str">
        <f>VLOOKUP(A12,'1.Loading'!A:R,2,FALSE)</f>
        <v>2026-10-17</v>
      </c>
      <c r="U12" s="63">
        <f>T12-S12</f>
        <v>46312</v>
      </c>
      <c r="V12" s="186" t="n"/>
      <c r="W12" s="61" t="str">
        <f>VLOOKUP(A12,'3.GateMove'!A:D,4,FALSE)</f>
        <v>2026-10-14</v>
      </c>
      <c r="X12" s="63">
        <f>((T12-W12)+1)</f>
        <v>4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46313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Kanokporn</v>
      </c>
      <c r="AL12" s="60" t="str">
        <f>VLOOKUP(D12,'2.Bookinglist'!A:CW,101,FALSE)</f>
        <v>2026-10-15</v>
      </c>
      <c r="AM12" s="60" t="str">
        <f>VLOOKUP(D12,'2.Bookinglist'!A:BK,63,FALSE)</f>
        <v>LCH27</v>
      </c>
      <c r="AN12" s="62" t="str">
        <f>VLOOKUP(D12,'2.Bookinglist'!A:AZ,52,FALSE)</f>
        <v>Pickup : 2026-10-09, Return : 2026-10-13  (Temp -18.0 / Vent Close) 
CLS TIME 14/10/26 @23.59</v>
      </c>
      <c r="AO12" s="62">
        <f>VLOOKUP(D12,'2.Bookinglist'!A:CY,103,FALSE)</f>
        <v>0</v>
      </c>
    </row>
    <row r="13" ht="12.95" customHeight="1">
      <c r="A13" s="96" t="inlineStr">
        <is>
          <t>FSCU5892974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HASLS22260902808</v>
      </c>
      <c r="E13" s="62" t="str">
        <f>VLOOKUP(D13,'2.Bookinglist'!A:CT,27,FALSE)</f>
        <v>GOLDEN SEA FROZEN FOODS CO.,LTD</v>
      </c>
      <c r="F13" s="62" t="str">
        <f>VLOOKUP(D13,'2.Bookinglist'!A:CT,28,FALSE)</f>
        <v>GOLDEN SEA FROZEN FOODS CO.,LTD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45RE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>RF</v>
      </c>
      <c r="O13" s="61" t="str">
        <f>VLOOKUP(A13,'1.Loading'!A:R,3,FALSE)</f>
        <v>SWIC</v>
      </c>
      <c r="P13" s="61" t="str">
        <f>VLOOKUP(A13,'1.Loading'!A:R,4,FALSE)</f>
        <v>2611N</v>
      </c>
      <c r="Q13" s="61" t="str">
        <f>VLOOKUP(D13,'2.Bookinglist'!A:CT,12,FALSE)</f>
        <v>KHS1</v>
      </c>
      <c r="R13" s="60" t="str">
        <f>IF(LEFT(K13,2)="22","20'","40'")</f>
        <v>40'</v>
      </c>
      <c r="S13" s="185" t="n"/>
      <c r="T13" s="61" t="str">
        <f>VLOOKUP(A13,'1.Loading'!A:R,2,FALSE)</f>
        <v>2026-10-17</v>
      </c>
      <c r="U13" s="63">
        <f>T13-S13</f>
        <v>46312</v>
      </c>
      <c r="V13" s="186" t="n"/>
      <c r="W13" s="61" t="str">
        <f>VLOOKUP(A13,'3.GateMove'!A:D,4,FALSE)</f>
        <v>2026-10-13</v>
      </c>
      <c r="X13" s="63">
        <f>((T13-W13)+1)</f>
        <v>5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3</v>
      </c>
      <c r="AE13" s="63">
        <f>(T13-V13)+1</f>
        <v>46313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2026-10-14</v>
      </c>
      <c r="AM13" s="60" t="str">
        <f>VLOOKUP(D13,'2.Bookinglist'!A:BK,63,FALSE)</f>
        <v>LCH27</v>
      </c>
      <c r="AN13" s="62" t="str">
        <f>VLOOKUP(D13,'2.Bookinglist'!A:AZ,52,FALSE)</f>
        <v>Pickup : 2026-10-06, Return : 2026-10-12 RF45REx1 (Temp -18.0 / Vent Close) 
CLS TIME : 13/10/2026 @23.00 </v>
      </c>
      <c r="AO13" s="62">
        <f>VLOOKUP(D13,'2.Bookinglist'!A:CY,103,FALSE)</f>
        <v>0</v>
      </c>
    </row>
    <row r="14" ht="12.95" customHeight="1">
      <c r="A14" s="96" t="inlineStr">
        <is>
          <t>FSCU5896814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HASLS22260902810</v>
      </c>
      <c r="E14" s="62" t="str">
        <f>VLOOKUP(D14,'2.Bookinglist'!A:CT,27,FALSE)</f>
        <v>GOLDEN SEA FROZEN FOODS CO.,LTD</v>
      </c>
      <c r="F14" s="62" t="str">
        <f>VLOOKUP(D14,'2.Bookinglist'!A:CT,28,FALSE)</f>
        <v>GOLDEN SEA FROZEN FOODS CO.,LTD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45RE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>RF</v>
      </c>
      <c r="O14" s="61" t="str">
        <f>VLOOKUP(A14,'1.Loading'!A:R,3,FALSE)</f>
        <v>SWIC</v>
      </c>
      <c r="P14" s="61" t="str">
        <f>VLOOKUP(A14,'1.Loading'!A:R,4,FALSE)</f>
        <v>2611N</v>
      </c>
      <c r="Q14" s="61" t="str">
        <f>VLOOKUP(D14,'2.Bookinglist'!A:CT,12,FALSE)</f>
        <v>KHS1</v>
      </c>
      <c r="R14" s="60" t="str">
        <f>IF(LEFT(K14,2)="22","20'","40'")</f>
        <v>40'</v>
      </c>
      <c r="S14" s="185" t="n"/>
      <c r="T14" s="61" t="str">
        <f>VLOOKUP(A14,'1.Loading'!A:R,2,FALSE)</f>
        <v>2026-10-17</v>
      </c>
      <c r="U14" s="63">
        <f>T14-S14</f>
        <v>46312</v>
      </c>
      <c r="V14" s="186" t="n"/>
      <c r="W14" s="61" t="str">
        <f>VLOOKUP(A14,'3.GateMove'!A:D,4,FALSE)</f>
        <v>2026-10-13</v>
      </c>
      <c r="X14" s="63">
        <f>((T14-W14)+1)</f>
        <v>5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3</v>
      </c>
      <c r="AE14" s="63">
        <f>(T14-V14)+1</f>
        <v>46313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2026-10-14</v>
      </c>
      <c r="AM14" s="60" t="str">
        <f>VLOOKUP(D14,'2.Bookinglist'!A:BK,63,FALSE)</f>
        <v>LCH27</v>
      </c>
      <c r="AN14" s="62" t="str">
        <f>VLOOKUP(D14,'2.Bookinglist'!A:AZ,52,FALSE)</f>
        <v>Pickup : 2026-10-06, Return : 2026-10-12 RF45REx1 (Temp -18.0 / Vent Close)  
CLS TIME : 13/10/2026 @23.00  </v>
      </c>
      <c r="AO14" s="62">
        <f>VLOOKUP(D14,'2.Bookinglist'!A:CY,103,FALSE)</f>
        <v>0</v>
      </c>
    </row>
    <row r="15" ht="12.95" customHeight="1">
      <c r="A15" s="96" t="inlineStr">
        <is>
          <t>GCXU5995723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HASLS22260901519</v>
      </c>
      <c r="E15" s="62" t="str">
        <f>VLOOKUP(D15,'2.Bookinglist'!A:CT,27,FALSE)</f>
        <v>WHA GC LOGISTICS COMPANY LIMITED</v>
      </c>
      <c r="F15" s="62" t="str">
        <f>VLOOKUP(D15,'2.Bookinglist'!A:CT,28,FALSE)</f>
        <v>PTT GLOBAL CHEMICAL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JPKIJ</v>
      </c>
      <c r="J15" s="61" t="str">
        <f>VLOOKUP(D15,'2.Bookinglist'!A:CT,26,FALSE)</f>
        <v>KRPUS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SWIC</v>
      </c>
      <c r="P15" s="61" t="str">
        <f>VLOOKUP(A15,'1.Loading'!A:R,4,FALSE)</f>
        <v>2611N</v>
      </c>
      <c r="Q15" s="61" t="str">
        <f>VLOOKUP(D15,'2.Bookinglist'!A:CT,12,FALSE)</f>
        <v>KHS1</v>
      </c>
      <c r="R15" s="60" t="str">
        <f>IF(LEFT(K15,2)="22","20'","40'")</f>
        <v>40'</v>
      </c>
      <c r="S15" s="185" t="n"/>
      <c r="T15" s="61" t="str">
        <f>VLOOKUP(A15,'1.Loading'!A:R,2,FALSE)</f>
        <v>2026-10-17</v>
      </c>
      <c r="U15" s="63">
        <f>T15-S15</f>
        <v>46312</v>
      </c>
      <c r="V15" s="186" t="n"/>
      <c r="W15" s="61" t="str">
        <f>VLOOKUP(A15,'3.GateMove'!A:D,4,FALSE)</f>
        <v>2026-10-13</v>
      </c>
      <c r="X15" s="63">
        <f>((T15-W15)+1)</f>
        <v>5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46313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2026-10-15</v>
      </c>
      <c r="AM15" s="60" t="str">
        <f>VLOOKUP(D15,'2.Bookinglist'!A:BK,63,FALSE)</f>
        <v>LCHY5</v>
      </c>
      <c r="AN15" s="62" t="str">
        <f>VLOOKUP(D15,'2.Bookinglist'!A:AZ,52,FALSE)</f>
        <v>CY 28/09/26 , RTN 04/10/26 (PR2610002658 )
*PLS CHECK OPEN GATE BEFORE RETURN CTNR*</v>
      </c>
      <c r="AO15" s="62" t="str">
        <f>VLOOKUP(D15,'2.Bookinglist'!A:CY,103,FALSE)</f>
        <v>ROLL OVER FROM PREVIOUS VSL SWRG 2609N BY ALLOCATION TEAM MS.TAN APPROVED COST IS UNDER HA DD.09/10</v>
      </c>
    </row>
    <row r="16" ht="12.95" customHeight="1">
      <c r="A16" s="96" t="inlineStr">
        <is>
          <t>GCXU6301730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HASLS22260800970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SWIC</v>
      </c>
      <c r="P16" s="61" t="str">
        <f>VLOOKUP(A16,'1.Loading'!A:R,4,FALSE)</f>
        <v>2611N</v>
      </c>
      <c r="Q16" s="61" t="str">
        <f>VLOOKUP(D16,'2.Bookinglist'!A:CT,12,FALSE)</f>
        <v>KHS1</v>
      </c>
      <c r="R16" s="60" t="str">
        <f>IF(LEFT(K16,2)="22","20'","40'")</f>
        <v>40'</v>
      </c>
      <c r="S16" s="185" t="n"/>
      <c r="T16" s="61" t="str">
        <f>VLOOKUP(A16,'1.Loading'!A:R,2,FALSE)</f>
        <v>2026-10-17</v>
      </c>
      <c r="U16" s="63">
        <f>T16-S16</f>
        <v>46312</v>
      </c>
      <c r="V16" s="186" t="n"/>
      <c r="W16" s="61" t="str">
        <f>VLOOKUP(A16,'3.GateMove'!A:D,4,FALSE)</f>
        <v>2026-10-13</v>
      </c>
      <c r="X16" s="63">
        <f>((T16-W16)+1)</f>
        <v>5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46313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2026-10-10</v>
      </c>
      <c r="AM16" s="60" t="str">
        <f>VLOOKUP(D16,'2.Bookinglist'!A:BK,63,FALSE)</f>
        <v>LCHY5</v>
      </c>
      <c r="AN16" s="62" t="str">
        <f>VLOOKUP(D16,'2.Bookinglist'!A:AZ,52,FALSE)</f>
        <v>CY : 02/10/26 , RTN : 04/10/26 [1ST RTN 08/10/2026 W/O RENT]
** PLEASE CHECK OPEN GATE BEFORE RETURN CONTAINER ** 
</v>
      </c>
      <c r="AO16" s="62">
        <f>VLOOKUP(D16,'2.Bookinglist'!A:CY,103,FALSE)</f>
        <v>0</v>
      </c>
    </row>
    <row r="17" ht="12.95" customHeight="1">
      <c r="A17" s="96" t="inlineStr">
        <is>
          <t>HALU2106707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HASLS22260800966</v>
      </c>
      <c r="E17" s="62" t="str">
        <f>VLOOKUP(D17,'2.Bookinglist'!A:CT,27,FALSE)</f>
        <v>WHA GC LOGISTICS COMPANY LIMITED</v>
      </c>
      <c r="F17" s="62" t="str">
        <f>VLOOKUP(D17,'2.Bookinglist'!A:CT,28,FALSE)</f>
        <v>PTT GLOBAL CHEMICAL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SWIC</v>
      </c>
      <c r="P17" s="61" t="str">
        <f>VLOOKUP(A17,'1.Loading'!A:R,4,FALSE)</f>
        <v>2611N</v>
      </c>
      <c r="Q17" s="61" t="str">
        <f>VLOOKUP(D17,'2.Bookinglist'!A:CT,12,FALSE)</f>
        <v>KHS1</v>
      </c>
      <c r="R17" s="60" t="str">
        <f>IF(LEFT(K17,2)="22","20'","40'")</f>
        <v>20'</v>
      </c>
      <c r="S17" s="185" t="n"/>
      <c r="T17" s="61" t="str">
        <f>VLOOKUP(A17,'1.Loading'!A:R,2,FALSE)</f>
        <v>2026-10-17</v>
      </c>
      <c r="U17" s="63">
        <f>T17-S17</f>
        <v>46312</v>
      </c>
      <c r="V17" s="186" t="n"/>
      <c r="W17" s="61" t="str">
        <f>VLOOKUP(A17,'3.GateMove'!A:D,4,FALSE)</f>
        <v>2026-10-13</v>
      </c>
      <c r="X17" s="63">
        <f>((T17-W17)+1)</f>
        <v>5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46313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2026-10-16</v>
      </c>
      <c r="AM17" s="60" t="str">
        <f>VLOOKUP(D17,'2.Bookinglist'!A:BK,63,FALSE)</f>
        <v>LCHY5</v>
      </c>
      <c r="AN17" s="62" t="str">
        <f>VLOOKUP(D17,'2.Bookinglist'!A:AZ,52,FALSE)</f>
        <v>CY 02/10/26 , RTN 08/10/26
*PLS CHECK OPEN GATE BEFOER RETURN CTNR*</v>
      </c>
      <c r="AO17" s="62" t="str">
        <f>VLOOKUP(D17,'2.Bookinglist'!A:CY,103,FALSE)</f>
        <v>ROLL OVER FROM PREVIOUS VSL PGPO 2612N BY ALLOCATION TEAM MS.TARN APPROVED COST IS UNDER HA DD.13/10</v>
      </c>
    </row>
    <row r="18" ht="12.95" customHeight="1">
      <c r="A18" s="96" t="inlineStr">
        <is>
          <t>HALU2311888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HASLS22260902063</v>
      </c>
      <c r="E18" s="62" t="str">
        <f>VLOOKUP(D18,'2.Bookinglist'!A:CT,27,FALSE)</f>
        <v>SCGJWD LOGISTICS PUBLIC COMPANY LIMITED</v>
      </c>
      <c r="F18" s="62" t="str">
        <f>VLOOKUP(D18,'2.Bookinglist'!A:CT,28,FALSE)</f>
        <v>THAI POLYETHYLENE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JPMOJ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SWIC</v>
      </c>
      <c r="P18" s="61" t="str">
        <f>VLOOKUP(A18,'1.Loading'!A:R,4,FALSE)</f>
        <v>2611N</v>
      </c>
      <c r="Q18" s="61" t="str">
        <f>VLOOKUP(D18,'2.Bookinglist'!A:CT,12,FALSE)</f>
        <v>KHS1</v>
      </c>
      <c r="R18" s="60" t="str">
        <f>IF(LEFT(K18,2)="22","20'","40'")</f>
        <v>20'</v>
      </c>
      <c r="S18" s="185" t="n"/>
      <c r="T18" s="61" t="str">
        <f>VLOOKUP(A18,'1.Loading'!A:R,2,FALSE)</f>
        <v>2026-10-17</v>
      </c>
      <c r="U18" s="63">
        <f>T18-S18</f>
        <v>46312</v>
      </c>
      <c r="V18" s="186" t="n"/>
      <c r="W18" s="61" t="str">
        <f>VLOOKUP(A18,'3.GateMove'!A:D,4,FALSE)</f>
        <v>2026-10-13</v>
      </c>
      <c r="X18" s="63">
        <f>((T18-W18)+1)</f>
        <v>5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46313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Kanokporn</v>
      </c>
      <c r="AL18" s="60" t="str">
        <f>VLOOKUP(D18,'2.Bookinglist'!A:CW,101,FALSE)</f>
        <v>2026-10-15</v>
      </c>
      <c r="AM18" s="60" t="str">
        <f>VLOOKUP(D18,'2.Bookinglist'!A:BK,63,FALSE)</f>
        <v>LCHY5</v>
      </c>
      <c r="AN18" s="62" t="str">
        <f>VLOOKUP(D18,'2.Bookinglist'!A:AZ,52,FALSE)</f>
        <v>[FIX]CY-RTN 02-05/10/26 (  INV  3031061853 ) 
*PLS CHECK OPEN GATE BEFORE RETURN CTNR*</v>
      </c>
      <c r="AO18" s="62" t="str">
        <f>VLOOKUP(D18,'2.Bookinglist'!A:CY,103,FALSE)</f>
        <v>ROLL OVER FROM PREVIOUS VSL SWRG 2609N BY ALLOCATION TEAM MS.TAN APPROVED COST IS UNDER HA DD.09/10</v>
      </c>
    </row>
    <row r="19" ht="12.95" customHeight="1">
      <c r="A19" s="96" t="inlineStr">
        <is>
          <t>HALU2327267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HASLS22260800966</v>
      </c>
      <c r="E19" s="62" t="str">
        <f>VLOOKUP(D19,'2.Bookinglist'!A:CT,27,FALSE)</f>
        <v>WHA GC LOGISTICS COMPANY LIMITED</v>
      </c>
      <c r="F19" s="62" t="str">
        <f>VLOOKUP(D19,'2.Bookinglist'!A:CT,28,FALSE)</f>
        <v>PTT GLOBAL CHEMICAL PUBLIC COMPANY LIMITED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SWIC</v>
      </c>
      <c r="P19" s="61" t="str">
        <f>VLOOKUP(A19,'1.Loading'!A:R,4,FALSE)</f>
        <v>2611N</v>
      </c>
      <c r="Q19" s="61" t="str">
        <f>VLOOKUP(D19,'2.Bookinglist'!A:CT,12,FALSE)</f>
        <v>KHS1</v>
      </c>
      <c r="R19" s="60" t="str">
        <f>IF(LEFT(K19,2)="22","20'","40'")</f>
        <v>20'</v>
      </c>
      <c r="S19" s="185" t="n"/>
      <c r="T19" s="61" t="str">
        <f>VLOOKUP(A19,'1.Loading'!A:R,2,FALSE)</f>
        <v>2026-10-17</v>
      </c>
      <c r="U19" s="63">
        <f>T19-S19</f>
        <v>46312</v>
      </c>
      <c r="V19" s="186" t="n"/>
      <c r="W19" s="61" t="str">
        <f>VLOOKUP(A19,'3.GateMove'!A:D,4,FALSE)</f>
        <v>2026-10-13</v>
      </c>
      <c r="X19" s="63">
        <f>((T19-W19)+1)</f>
        <v>5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46313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Dharaporn</v>
      </c>
      <c r="AL19" s="60" t="str">
        <f>VLOOKUP(D19,'2.Bookinglist'!A:CW,101,FALSE)</f>
        <v>2026-10-16</v>
      </c>
      <c r="AM19" s="60" t="str">
        <f>VLOOKUP(D19,'2.Bookinglist'!A:BK,63,FALSE)</f>
        <v>LCHY5</v>
      </c>
      <c r="AN19" s="62" t="str">
        <f>VLOOKUP(D19,'2.Bookinglist'!A:AZ,52,FALSE)</f>
        <v>CY 02/10/26 , RTN 08/10/26
*PLS CHECK OPEN GATE BEFOER RETURN CTNR*</v>
      </c>
      <c r="AO19" s="62" t="str">
        <f>VLOOKUP(D19,'2.Bookinglist'!A:CY,103,FALSE)</f>
        <v>ROLL OVER FROM PREVIOUS VSL PGPO 2612N BY ALLOCATION TEAM MS.TARN APPROVED COST IS UNDER HA DD.13/10</v>
      </c>
    </row>
    <row r="20" ht="12.95" customHeight="1">
      <c r="A20" s="96" t="inlineStr">
        <is>
          <t>HALU2342410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HASLS22260800966</v>
      </c>
      <c r="E20" s="62" t="str">
        <f>VLOOKUP(D20,'2.Bookinglist'!A:CT,27,FALSE)</f>
        <v>WHA GC LOGISTICS COMPANY LIMITED</v>
      </c>
      <c r="F20" s="62" t="str">
        <f>VLOOKUP(D20,'2.Bookinglist'!A:CT,28,FALSE)</f>
        <v>PTT GLOBAL CHEMICAL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SWIC</v>
      </c>
      <c r="P20" s="61" t="str">
        <f>VLOOKUP(A20,'1.Loading'!A:R,4,FALSE)</f>
        <v>2611N</v>
      </c>
      <c r="Q20" s="61" t="str">
        <f>VLOOKUP(D20,'2.Bookinglist'!A:CT,12,FALSE)</f>
        <v>KHS1</v>
      </c>
      <c r="R20" s="60" t="str">
        <f>IF(LEFT(K20,2)="22","20'","40'")</f>
        <v>20'</v>
      </c>
      <c r="S20" s="185" t="n"/>
      <c r="T20" s="61" t="str">
        <f>VLOOKUP(A20,'1.Loading'!A:R,2,FALSE)</f>
        <v>2026-10-17</v>
      </c>
      <c r="U20" s="63">
        <f>T20-S20</f>
        <v>46312</v>
      </c>
      <c r="V20" s="186" t="n"/>
      <c r="W20" s="61" t="str">
        <f>VLOOKUP(A20,'3.GateMove'!A:D,4,FALSE)</f>
        <v>2026-10-13</v>
      </c>
      <c r="X20" s="63">
        <f>((T20-W20)+1)</f>
        <v>5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46313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2026-10-16</v>
      </c>
      <c r="AM20" s="60" t="str">
        <f>VLOOKUP(D20,'2.Bookinglist'!A:BK,63,FALSE)</f>
        <v>LCHY5</v>
      </c>
      <c r="AN20" s="62" t="str">
        <f>VLOOKUP(D20,'2.Bookinglist'!A:AZ,52,FALSE)</f>
        <v>CY 02/10/26 , RTN 08/10/26
*PLS CHECK OPEN GATE BEFOER RETURN CTNR*</v>
      </c>
      <c r="AO20" s="62" t="str">
        <f>VLOOKUP(D20,'2.Bookinglist'!A:CY,103,FALSE)</f>
        <v>ROLL OVER FROM PREVIOUS VSL PGPO 2612N BY ALLOCATION TEAM MS.TARN APPROVED COST IS UNDER HA DD.13/10</v>
      </c>
    </row>
    <row r="21" ht="12.95" customHeight="1">
      <c r="A21" s="96" t="inlineStr">
        <is>
          <t>HALU2348423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HASLS22260902818</v>
      </c>
      <c r="E21" s="62" t="str">
        <f>VLOOKUP(D21,'2.Bookinglist'!A:CT,27,FALSE)</f>
        <v>WHA GC LOGISTICS COMPANY LIMITED</v>
      </c>
      <c r="F21" s="62" t="str">
        <f>VLOOKUP(D21,'2.Bookinglist'!A:CT,28,FALSE)</f>
        <v>PTT GLOBAL CHEMICAL PUBLIC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SWIC</v>
      </c>
      <c r="P21" s="61" t="str">
        <f>VLOOKUP(A21,'1.Loading'!A:R,4,FALSE)</f>
        <v>2611N</v>
      </c>
      <c r="Q21" s="61" t="str">
        <f>VLOOKUP(D21,'2.Bookinglist'!A:CT,12,FALSE)</f>
        <v>KHS1</v>
      </c>
      <c r="R21" s="60" t="str">
        <f>IF(LEFT(K21,2)="22","20'","40'")</f>
        <v>20'</v>
      </c>
      <c r="S21" s="185" t="n"/>
      <c r="T21" s="61" t="str">
        <f>VLOOKUP(A21,'1.Loading'!A:R,2,FALSE)</f>
        <v>2026-10-17</v>
      </c>
      <c r="U21" s="63">
        <f>T21-S21</f>
        <v>46312</v>
      </c>
      <c r="V21" s="186" t="n"/>
      <c r="W21" s="61" t="str">
        <f>VLOOKUP(A21,'3.GateMove'!A:D,4,FALSE)</f>
        <v>2026-10-13</v>
      </c>
      <c r="X21" s="63">
        <f>((T21-W21)+1)</f>
        <v>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46313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2026-10-16</v>
      </c>
      <c r="AM21" s="60" t="str">
        <f>VLOOKUP(D21,'2.Bookinglist'!A:BK,63,FALSE)</f>
        <v>LCHY5</v>
      </c>
      <c r="AN21" s="62" t="str">
        <f>VLOOKUP(D21,'2.Bookinglist'!A:AZ,52,FALSE)</f>
        <v>CY 02/10/26 , RTN 08/10/26
*PLS CHECK OPEN GATE BEFOER RETURN CTNR*</v>
      </c>
      <c r="AO21" s="62" t="str">
        <f>VLOOKUP(D21,'2.Bookinglist'!A:CY,103,FALSE)</f>
        <v>ROLL OVER FROM PREVIOUS VSL PGPO 2612N BY ALLOCATION TEAM MS.TARN APPROVED COST IS UNDER HA DD.13/10</v>
      </c>
    </row>
    <row r="22" ht="12.95" customHeight="1">
      <c r="A22" s="96" t="inlineStr">
        <is>
          <t>HALU2352336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HASLS22260901729</v>
      </c>
      <c r="E22" s="62" t="str">
        <f>VLOOKUP(D22,'2.Bookinglist'!A:CT,27,FALSE)</f>
        <v>CROSS-WORLD INTERNATIONAL CO., LTD.</v>
      </c>
      <c r="F22" s="62" t="str">
        <f>VLOOKUP(D22,'2.Bookinglist'!A:CT,28,FALSE)</f>
        <v>TPBI PUBLIC COMPANY LIMITED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JPTMK</v>
      </c>
      <c r="J22" s="61" t="str">
        <f>VLOOKUP(D22,'2.Bookinglist'!A:CT,26,FALSE)</f>
        <v>KRPUS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SWIC</v>
      </c>
      <c r="P22" s="61" t="str">
        <f>VLOOKUP(A22,'1.Loading'!A:R,4,FALSE)</f>
        <v>2611N</v>
      </c>
      <c r="Q22" s="61" t="str">
        <f>VLOOKUP(D22,'2.Bookinglist'!A:CT,12,FALSE)</f>
        <v>KHS1</v>
      </c>
      <c r="R22" s="60" t="str">
        <f>IF(LEFT(K22,2)="22","20'","40'")</f>
        <v>20'</v>
      </c>
      <c r="S22" s="185" t="n"/>
      <c r="T22" s="61" t="str">
        <f>VLOOKUP(A22,'1.Loading'!A:R,2,FALSE)</f>
        <v>2026-10-17</v>
      </c>
      <c r="U22" s="63">
        <f>T22-S22</f>
        <v>46312</v>
      </c>
      <c r="V22" s="186" t="n"/>
      <c r="W22" s="61" t="str">
        <f>VLOOKUP(A22,'3.GateMove'!A:D,4,FALSE)</f>
        <v>2026-10-13</v>
      </c>
      <c r="X22" s="63">
        <f>((T22-W22)+1)</f>
        <v>5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46313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Sukunpoj Damrongying</v>
      </c>
      <c r="AL22" s="60" t="str">
        <f>VLOOKUP(D22,'2.Bookinglist'!A:CW,101,FALSE)</f>
        <v>2026-10-16</v>
      </c>
      <c r="AM22" s="60" t="str">
        <f>VLOOKUP(D22,'2.Bookinglist'!A:BK,63,FALSE)</f>
        <v>LCHY5</v>
      </c>
      <c r="AN22" s="62" t="str">
        <f>VLOOKUP(D22,'2.Bookinglist'!A:AZ,52,FALSE)</f>
        <v>[FIX]Pickup : 2026-10-10, Return : 2026-10-12 (1ST RTN DD: 12/10/26 WO/RENT)</v>
      </c>
      <c r="AO22" s="62">
        <f>VLOOKUP(D22,'2.Bookinglist'!A:CY,103,FALSE)</f>
        <v>0</v>
      </c>
    </row>
    <row r="23" ht="12.95" customHeight="1">
      <c r="A23" s="96" t="inlineStr">
        <is>
          <t>HALU2427749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HASLS22260900880</v>
      </c>
      <c r="E23" s="62" t="str">
        <f>VLOOKUP(D23,'2.Bookinglist'!A:CT,27,FALSE)</f>
        <v>LX PANTOS (THAILAND) CO., LTD.</v>
      </c>
      <c r="F23" s="62" t="str">
        <f>VLOOKUP(D23,'2.Bookinglist'!A:CT,28,FALSE)</f>
        <v>UNITEX RUBBER CO.,LTD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KRUSN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SWIC</v>
      </c>
      <c r="P23" s="61" t="str">
        <f>VLOOKUP(A23,'1.Loading'!A:R,4,FALSE)</f>
        <v>2611N</v>
      </c>
      <c r="Q23" s="61" t="str">
        <f>VLOOKUP(D23,'2.Bookinglist'!A:CT,12,FALSE)</f>
        <v>KHS1</v>
      </c>
      <c r="R23" s="60" t="str">
        <f>IF(LEFT(K23,2)="22","20'","40'")</f>
        <v>20'</v>
      </c>
      <c r="S23" s="185" t="n"/>
      <c r="T23" s="61" t="str">
        <f>VLOOKUP(A23,'1.Loading'!A:R,2,FALSE)</f>
        <v>2026-10-17</v>
      </c>
      <c r="U23" s="63">
        <f>T23-S23</f>
        <v>46312</v>
      </c>
      <c r="V23" s="186" t="n"/>
      <c r="W23" s="61" t="str">
        <f>VLOOKUP(A23,'3.GateMove'!A:D,4,FALSE)</f>
        <v>2026-10-13</v>
      </c>
      <c r="X23" s="63">
        <f>((T23-W23)+1)</f>
        <v>5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46313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Kim jaewon</v>
      </c>
      <c r="AL23" s="60" t="str">
        <f>VLOOKUP(D23,'2.Bookinglist'!A:CW,101,FALSE)</f>
        <v>2026-10-13</v>
      </c>
      <c r="AM23" s="60" t="str">
        <f>VLOOKUP(D23,'2.Bookinglist'!A:BK,63,FALSE)</f>
        <v>LCHY5</v>
      </c>
      <c r="AN23" s="62" t="str">
        <f>VLOOKUP(D23,'2.Bookinglist'!A:AZ,52,FALSE)</f>
        <v>**APPROVED BY MJ CHANG DD.30/09/26** *FLEXIBAG ONDECK*
Survey : 2026-10-06, Pickup : 2026-10-07, Return : 2026-10-08 [1ST RTN 10/10/2026 W/O RENT]
**PLS CHECK OPEN GATE BEFORE RETURN CNTR**</v>
      </c>
      <c r="AO23" s="62">
        <f>VLOOKUP(D23,'2.Bookinglist'!A:CY,103,FALSE)</f>
        <v>0</v>
      </c>
    </row>
    <row r="24" ht="12.95" customHeight="1">
      <c r="A24" s="96" t="inlineStr">
        <is>
          <t>HALU2505219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HASLS22260902030</v>
      </c>
      <c r="E24" s="62" t="str">
        <f>VLOOKUP(D24,'2.Bookinglist'!A:CT,27,FALSE)</f>
        <v>DOW CHEMICAL THAILAND LTD.</v>
      </c>
      <c r="F24" s="62" t="str">
        <f>VLOOKUP(D24,'2.Bookinglist'!A:CT,28,FALSE)</f>
        <v>SIAM POLYETHYLENE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JPYKK</v>
      </c>
      <c r="J24" s="61" t="str">
        <f>VLOOKUP(D24,'2.Bookinglist'!A:CT,26,FALSE)</f>
        <v>KRPUS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SWIC</v>
      </c>
      <c r="P24" s="61" t="str">
        <f>VLOOKUP(A24,'1.Loading'!A:R,4,FALSE)</f>
        <v>2611N</v>
      </c>
      <c r="Q24" s="61" t="str">
        <f>VLOOKUP(D24,'2.Bookinglist'!A:CT,12,FALSE)</f>
        <v>KHS1</v>
      </c>
      <c r="R24" s="60" t="str">
        <f>IF(LEFT(K24,2)="22","20'","40'")</f>
        <v>20'</v>
      </c>
      <c r="S24" s="185" t="n"/>
      <c r="T24" s="61" t="str">
        <f>VLOOKUP(A24,'1.Loading'!A:R,2,FALSE)</f>
        <v>2026-10-17</v>
      </c>
      <c r="U24" s="63">
        <f>T24-S24</f>
        <v>46312</v>
      </c>
      <c r="V24" s="186" t="n"/>
      <c r="W24" s="61" t="str">
        <f>VLOOKUP(A24,'3.GateMove'!A:D,4,FALSE)</f>
        <v>2026-10-13</v>
      </c>
      <c r="X24" s="63">
        <f>((T24-W24)+1)</f>
        <v>5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46313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SEO JI YEONG</v>
      </c>
      <c r="AL24" s="60" t="str">
        <f>VLOOKUP(D24,'2.Bookinglist'!A:CW,101,FALSE)</f>
        <v>2026-10-13</v>
      </c>
      <c r="AM24" s="60" t="str">
        <f>VLOOKUP(D24,'2.Bookinglist'!A:BK,63,FALSE)</f>
        <v>LCHY5</v>
      </c>
      <c r="AN24" s="62" t="str">
        <f>VLOOKUP(D24,'2.Bookinglist'!A:AZ,52,FALSE)</f>
        <v>Pickup : 2026-10-05, Return : 2026-10-09</v>
      </c>
      <c r="AO24" s="62">
        <f>VLOOKUP(D24,'2.Bookinglist'!A:CY,103,FALSE)</f>
        <v>0</v>
      </c>
    </row>
    <row r="25" ht="12.95" customHeight="1">
      <c r="A25" s="96" t="inlineStr">
        <is>
          <t>HALU2517225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HASLS22260902028</v>
      </c>
      <c r="E25" s="62" t="str">
        <f>VLOOKUP(D25,'2.Bookinglist'!A:CT,27,FALSE)</f>
        <v>DOW CHEMICAL THAILAND LTD.</v>
      </c>
      <c r="F25" s="62" t="str">
        <f>VLOOKUP(D25,'2.Bookinglist'!A:CT,28,FALSE)</f>
        <v>SIAM POLYETHYLENE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JPYKK</v>
      </c>
      <c r="J25" s="61" t="str">
        <f>VLOOKUP(D25,'2.Bookinglist'!A:CT,26,FALSE)</f>
        <v>KRPUS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SWIC</v>
      </c>
      <c r="P25" s="61" t="str">
        <f>VLOOKUP(A25,'1.Loading'!A:R,4,FALSE)</f>
        <v>2611N</v>
      </c>
      <c r="Q25" s="61" t="str">
        <f>VLOOKUP(D25,'2.Bookinglist'!A:CT,12,FALSE)</f>
        <v>KHS1</v>
      </c>
      <c r="R25" s="60" t="str">
        <f>IF(LEFT(K25,2)="22","20'","40'")</f>
        <v>20'</v>
      </c>
      <c r="S25" s="185" t="n"/>
      <c r="T25" s="61" t="str">
        <f>VLOOKUP(A25,'1.Loading'!A:R,2,FALSE)</f>
        <v>2026-10-17</v>
      </c>
      <c r="U25" s="63">
        <f>T25-S25</f>
        <v>46312</v>
      </c>
      <c r="V25" s="186" t="n"/>
      <c r="W25" s="61" t="str">
        <f>VLOOKUP(A25,'3.GateMove'!A:D,4,FALSE)</f>
        <v>2026-10-13</v>
      </c>
      <c r="X25" s="63">
        <f>((T25-W25)+1)</f>
        <v>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46313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SEO JI YEONG</v>
      </c>
      <c r="AL25" s="60" t="str">
        <f>VLOOKUP(D25,'2.Bookinglist'!A:CW,101,FALSE)</f>
        <v>2026-10-13</v>
      </c>
      <c r="AM25" s="60" t="str">
        <f>VLOOKUP(D25,'2.Bookinglist'!A:BK,63,FALSE)</f>
        <v>LCHY5</v>
      </c>
      <c r="AN25" s="62" t="str">
        <f>VLOOKUP(D25,'2.Bookinglist'!A:AZ,52,FALSE)</f>
        <v>Pickup : 2026-10-05, Return : 2026-10-09</v>
      </c>
      <c r="AO25" s="62">
        <f>VLOOKUP(D25,'2.Bookinglist'!A:CY,103,FALSE)</f>
        <v>0</v>
      </c>
    </row>
    <row r="26" ht="12.95" customHeight="1">
      <c r="A26" s="96" t="inlineStr">
        <is>
          <t>HALU5686609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HASLS22260900462</v>
      </c>
      <c r="E26" s="62" t="str">
        <f>VLOOKUP(D26,'2.Bookinglist'!A:CT,27,FALSE)</f>
        <v>WHA GC LOGISTICS COMPANY LIMITED</v>
      </c>
      <c r="F26" s="62" t="str">
        <f>VLOOKUP(D26,'2.Bookinglist'!A:CT,28,FALSE)</f>
        <v>PTT GLOBAL CHEMICAL PUBLIC COMPANY LIMITED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SWIC</v>
      </c>
      <c r="P26" s="61" t="str">
        <f>VLOOKUP(A26,'1.Loading'!A:R,4,FALSE)</f>
        <v>2611N</v>
      </c>
      <c r="Q26" s="61" t="str">
        <f>VLOOKUP(D26,'2.Bookinglist'!A:CT,12,FALSE)</f>
        <v>KHS1</v>
      </c>
      <c r="R26" s="60" t="str">
        <f>IF(LEFT(K26,2)="22","20'","40'")</f>
        <v>40'</v>
      </c>
      <c r="S26" s="185" t="n"/>
      <c r="T26" s="61" t="str">
        <f>VLOOKUP(A26,'1.Loading'!A:R,2,FALSE)</f>
        <v>2026-10-17</v>
      </c>
      <c r="U26" s="63">
        <f>T26-S26</f>
        <v>46312</v>
      </c>
      <c r="V26" s="186" t="n"/>
      <c r="W26" s="61" t="str">
        <f>VLOOKUP(A26,'3.GateMove'!A:D,4,FALSE)</f>
        <v>2026-10-12</v>
      </c>
      <c r="X26" s="63">
        <f>((T26-W26)+1)</f>
        <v>6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46313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Dharaporn</v>
      </c>
      <c r="AL26" s="60" t="str">
        <f>VLOOKUP(D26,'2.Bookinglist'!A:CW,101,FALSE)</f>
        <v>2026-10-12</v>
      </c>
      <c r="AM26" s="60" t="str">
        <f>VLOOKUP(D26,'2.Bookinglist'!A:BK,63,FALSE)</f>
        <v>LCH27</v>
      </c>
      <c r="AN26" s="62" t="str">
        <f>VLOOKUP(D26,'2.Bookinglist'!A:AZ,52,FALSE)</f>
        <v>CY-RTN 09-11/10/26
</v>
      </c>
      <c r="AO26" s="62">
        <f>VLOOKUP(D26,'2.Bookinglist'!A:CY,103,FALSE)</f>
        <v>0</v>
      </c>
    </row>
    <row r="27" ht="12.95" customHeight="1">
      <c r="A27" s="96" t="inlineStr">
        <is>
          <t>HALU8501144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HASLS22261000784</v>
      </c>
      <c r="E27" s="62" t="str">
        <f>VLOOKUP(D27,'2.Bookinglist'!A:CT,27,FALSE)</f>
        <v>YJC (THAILAND) CO., LTD.</v>
      </c>
      <c r="F27" s="62" t="str">
        <f>VLOOKUP(D27,'2.Bookinglist'!A:CT,28,FALSE)</f>
        <v>THAI NIPPON RUBBER INDUSTRY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RUVVO</v>
      </c>
      <c r="J27" s="61" t="str">
        <f>VLOOKUP(D27,'2.Bookinglist'!A:CT,26,FALSE)</f>
        <v>KRPUS</v>
      </c>
      <c r="K27" s="61" t="str">
        <f>VLOOKUP(A27,'1.Loading'!A:R,5,FALSE)</f>
        <v>45RE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>RF</v>
      </c>
      <c r="O27" s="61" t="str">
        <f>VLOOKUP(A27,'1.Loading'!A:R,3,FALSE)</f>
        <v>SWIC</v>
      </c>
      <c r="P27" s="61" t="str">
        <f>VLOOKUP(A27,'1.Loading'!A:R,4,FALSE)</f>
        <v>2611N</v>
      </c>
      <c r="Q27" s="61" t="str">
        <f>VLOOKUP(D27,'2.Bookinglist'!A:CT,12,FALSE)</f>
        <v>KHS1</v>
      </c>
      <c r="R27" s="60" t="str">
        <f>IF(LEFT(K27,2)="22","20'","40'")</f>
        <v>40'</v>
      </c>
      <c r="S27" s="185" t="n"/>
      <c r="T27" s="61" t="str">
        <f>VLOOKUP(A27,'1.Loading'!A:R,2,FALSE)</f>
        <v>2026-10-17</v>
      </c>
      <c r="U27" s="63">
        <f>T27-S27</f>
        <v>46312</v>
      </c>
      <c r="V27" s="186" t="n"/>
      <c r="W27" s="61" t="str">
        <f>VLOOKUP(A27,'3.GateMove'!A:D,4,FALSE)</f>
        <v>2026-10-13</v>
      </c>
      <c r="X27" s="63">
        <f>((T27-W27)+1)</f>
        <v>5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3</v>
      </c>
      <c r="AE27" s="63">
        <f>(T27-V27)+1</f>
        <v>46313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Kim yong rae</v>
      </c>
      <c r="AL27" s="60" t="str">
        <f>VLOOKUP(D27,'2.Bookinglist'!A:CW,101,FALSE)</f>
        <v>2026-10-15</v>
      </c>
      <c r="AM27" s="60" t="str">
        <f>VLOOKUP(D27,'2.Bookinglist'!A:BK,63,FALSE)</f>
        <v>LCH27</v>
      </c>
      <c r="AN27" s="62" t="str">
        <f>VLOOKUP(D27,'2.Bookinglist'!A:AZ,52,FALSE)</f>
        <v>[FIX][FIX][FIX]Pickup : 2026-10-12, Return : 2026-10-13 (Temp +20.0 / Vent 20% Open) *PRECOOL*
CLS TIME 14/10/26 @23.59 COST PRECOOL = 1,200 BAHT</v>
      </c>
      <c r="AO27" s="62">
        <f>VLOOKUP(D27,'2.Bookinglist'!A:CY,103,FALSE)</f>
        <v>0</v>
      </c>
    </row>
    <row r="28" ht="12.95" customHeight="1">
      <c r="A28" s="96" t="inlineStr">
        <is>
          <t>HLHU6409733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HASLS22260900462</v>
      </c>
      <c r="E28" s="62" t="str">
        <f>VLOOKUP(D28,'2.Bookinglist'!A:CT,27,FALSE)</f>
        <v>WHA GC LOGISTICS COMPANY LIMITED</v>
      </c>
      <c r="F28" s="62" t="str">
        <f>VLOOKUP(D28,'2.Bookinglist'!A:CT,28,FALSE)</f>
        <v>PTT GLOBAL CHEMICAL PUBLIC COMPANY LIMITED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SWIC</v>
      </c>
      <c r="P28" s="61" t="str">
        <f>VLOOKUP(A28,'1.Loading'!A:R,4,FALSE)</f>
        <v>2611N</v>
      </c>
      <c r="Q28" s="61" t="str">
        <f>VLOOKUP(D28,'2.Bookinglist'!A:CT,12,FALSE)</f>
        <v>KHS1</v>
      </c>
      <c r="R28" s="60" t="str">
        <f>IF(LEFT(K28,2)="22","20'","40'")</f>
        <v>40'</v>
      </c>
      <c r="S28" s="185" t="n"/>
      <c r="T28" s="61" t="str">
        <f>VLOOKUP(A28,'1.Loading'!A:R,2,FALSE)</f>
        <v>2026-10-17</v>
      </c>
      <c r="U28" s="63">
        <f>T28-S28</f>
        <v>46312</v>
      </c>
      <c r="V28" s="186" t="n"/>
      <c r="W28" s="61" t="str">
        <f>VLOOKUP(A28,'3.GateMove'!A:D,4,FALSE)</f>
        <v>2026-10-12</v>
      </c>
      <c r="X28" s="63">
        <f>((T28-W28)+1)</f>
        <v>6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46313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2026-10-12</v>
      </c>
      <c r="AM28" s="60" t="str">
        <f>VLOOKUP(D28,'2.Bookinglist'!A:BK,63,FALSE)</f>
        <v>LCH27</v>
      </c>
      <c r="AN28" s="62" t="str">
        <f>VLOOKUP(D28,'2.Bookinglist'!A:AZ,52,FALSE)</f>
        <v>CY-RTN 09-11/10/26
</v>
      </c>
      <c r="AO28" s="62">
        <f>VLOOKUP(D28,'2.Bookinglist'!A:CY,103,FALSE)</f>
        <v>0</v>
      </c>
    </row>
    <row r="29" ht="12.95" customHeight="1">
      <c r="A29" s="96" t="inlineStr">
        <is>
          <t>HLHU8436050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HASLS22260800970</v>
      </c>
      <c r="E29" s="62" t="str">
        <f>VLOOKUP(D29,'2.Bookinglist'!A:CT,27,FALSE)</f>
        <v>WHA GC LOGISTICS COMPANY LIMITED</v>
      </c>
      <c r="F29" s="62" t="str">
        <f>VLOOKUP(D29,'2.Bookinglist'!A:CT,28,FALSE)</f>
        <v>PTT GLOBAL CHEMICAL PUBLIC COMPANY LIMITED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SWIC</v>
      </c>
      <c r="P29" s="61" t="str">
        <f>VLOOKUP(A29,'1.Loading'!A:R,4,FALSE)</f>
        <v>2611N</v>
      </c>
      <c r="Q29" s="61" t="str">
        <f>VLOOKUP(D29,'2.Bookinglist'!A:CT,12,FALSE)</f>
        <v>KHS1</v>
      </c>
      <c r="R29" s="60" t="str">
        <f>IF(LEFT(K29,2)="22","20'","40'")</f>
        <v>40'</v>
      </c>
      <c r="S29" s="185" t="n"/>
      <c r="T29" s="61" t="str">
        <f>VLOOKUP(A29,'1.Loading'!A:R,2,FALSE)</f>
        <v>2026-10-17</v>
      </c>
      <c r="U29" s="63">
        <f>T29-S29</f>
        <v>46312</v>
      </c>
      <c r="V29" s="186" t="n"/>
      <c r="W29" s="61" t="str">
        <f>VLOOKUP(A29,'3.GateMove'!A:D,4,FALSE)</f>
        <v>2026-10-13</v>
      </c>
      <c r="X29" s="63">
        <f>((T29-W29)+1)</f>
        <v>5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46313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Dharaporn</v>
      </c>
      <c r="AL29" s="60" t="str">
        <f>VLOOKUP(D29,'2.Bookinglist'!A:CW,101,FALSE)</f>
        <v>2026-10-10</v>
      </c>
      <c r="AM29" s="60" t="str">
        <f>VLOOKUP(D29,'2.Bookinglist'!A:BK,63,FALSE)</f>
        <v>LCHY5</v>
      </c>
      <c r="AN29" s="62" t="str">
        <f>VLOOKUP(D29,'2.Bookinglist'!A:AZ,52,FALSE)</f>
        <v>CY : 02/10/26 , RTN : 04/10/26 [1ST RTN 08/10/2026 W/O RENT]
** PLEASE CHECK OPEN GATE BEFORE RETURN CONTAINER ** 
</v>
      </c>
      <c r="AO29" s="62">
        <f>VLOOKUP(D29,'2.Bookinglist'!A:CY,103,FALSE)</f>
        <v>0</v>
      </c>
    </row>
    <row r="30" ht="12.95" customHeight="1">
      <c r="A30" s="96" t="inlineStr">
        <is>
          <t>HLHU8438026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HASLS22260800970</v>
      </c>
      <c r="E30" s="62" t="str">
        <f>VLOOKUP(D30,'2.Bookinglist'!A:CT,27,FALSE)</f>
        <v>WHA GC LOGISTICS COMPANY LIMITED</v>
      </c>
      <c r="F30" s="62" t="str">
        <f>VLOOKUP(D30,'2.Bookinglist'!A:CT,28,FALSE)</f>
        <v>PTT GLOBAL CHEMICAL PUBLIC COMPANY LIMITED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SWIC</v>
      </c>
      <c r="P30" s="61" t="str">
        <f>VLOOKUP(A30,'1.Loading'!A:R,4,FALSE)</f>
        <v>2611N</v>
      </c>
      <c r="Q30" s="61" t="str">
        <f>VLOOKUP(D30,'2.Bookinglist'!A:CT,12,FALSE)</f>
        <v>KHS1</v>
      </c>
      <c r="R30" s="60" t="str">
        <f>IF(LEFT(K30,2)="22","20'","40'")</f>
        <v>40'</v>
      </c>
      <c r="S30" s="185" t="n"/>
      <c r="T30" s="61" t="str">
        <f>VLOOKUP(A30,'1.Loading'!A:R,2,FALSE)</f>
        <v>2026-10-17</v>
      </c>
      <c r="U30" s="63">
        <f>T30-S30</f>
        <v>46312</v>
      </c>
      <c r="V30" s="186" t="n"/>
      <c r="W30" s="61" t="str">
        <f>VLOOKUP(A30,'3.GateMove'!A:D,4,FALSE)</f>
        <v>2026-10-13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46313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Dharaporn</v>
      </c>
      <c r="AL30" s="60" t="str">
        <f>VLOOKUP(D30,'2.Bookinglist'!A:CW,101,FALSE)</f>
        <v>2026-10-10</v>
      </c>
      <c r="AM30" s="60" t="str">
        <f>VLOOKUP(D30,'2.Bookinglist'!A:BK,63,FALSE)</f>
        <v>LCHY5</v>
      </c>
      <c r="AN30" s="62" t="str">
        <f>VLOOKUP(D30,'2.Bookinglist'!A:AZ,52,FALSE)</f>
        <v>CY : 02/10/26 , RTN : 04/10/26 [1ST RTN 08/10/2026 W/O RENT]
** PLEASE CHECK OPEN GATE BEFORE RETURN CONTAINER ** 
</v>
      </c>
      <c r="AO30" s="62">
        <f>VLOOKUP(D30,'2.Bookinglist'!A:CY,103,FALSE)</f>
        <v>0</v>
      </c>
    </row>
    <row r="31" ht="12.95" customHeight="1">
      <c r="A31" s="96" t="inlineStr">
        <is>
          <t>HLHU8461751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HASLS22260800970</v>
      </c>
      <c r="E31" s="62" t="str">
        <f>VLOOKUP(D31,'2.Bookinglist'!A:CT,27,FALSE)</f>
        <v>WHA GC LOGISTICS COMPANY LIMITED</v>
      </c>
      <c r="F31" s="62" t="str">
        <f>VLOOKUP(D31,'2.Bookinglist'!A:CT,28,FALSE)</f>
        <v>PTT GLOBAL CHEMICAL PUBLIC COMPANY LIMITED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SWIC</v>
      </c>
      <c r="P31" s="61" t="str">
        <f>VLOOKUP(A31,'1.Loading'!A:R,4,FALSE)</f>
        <v>2611N</v>
      </c>
      <c r="Q31" s="61" t="str">
        <f>VLOOKUP(D31,'2.Bookinglist'!A:CT,12,FALSE)</f>
        <v>KHS1</v>
      </c>
      <c r="R31" s="60" t="str">
        <f>IF(LEFT(K31,2)="22","20'","40'")</f>
        <v>40'</v>
      </c>
      <c r="S31" s="185" t="n"/>
      <c r="T31" s="61" t="str">
        <f>VLOOKUP(A31,'1.Loading'!A:R,2,FALSE)</f>
        <v>2026-10-17</v>
      </c>
      <c r="U31" s="63">
        <f>T31-S31</f>
        <v>46312</v>
      </c>
      <c r="V31" s="186" t="n"/>
      <c r="W31" s="61" t="str">
        <f>VLOOKUP(A31,'3.GateMove'!A:D,4,FALSE)</f>
        <v>2026-10-13</v>
      </c>
      <c r="X31" s="63">
        <f>((T31-W31)+1)</f>
        <v>5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46313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Dharaporn</v>
      </c>
      <c r="AL31" s="60" t="str">
        <f>VLOOKUP(D31,'2.Bookinglist'!A:CW,101,FALSE)</f>
        <v>2026-10-10</v>
      </c>
      <c r="AM31" s="60" t="str">
        <f>VLOOKUP(D31,'2.Bookinglist'!A:BK,63,FALSE)</f>
        <v>LCHY5</v>
      </c>
      <c r="AN31" s="62" t="str">
        <f>VLOOKUP(D31,'2.Bookinglist'!A:AZ,52,FALSE)</f>
        <v>CY : 02/10/26 , RTN : 04/10/26 [1ST RTN 08/10/2026 W/O RENT]
** PLEASE CHECK OPEN GATE BEFORE RETURN CONTAINER ** 
</v>
      </c>
      <c r="AO31" s="62">
        <f>VLOOKUP(D31,'2.Bookinglist'!A:CY,103,FALSE)</f>
        <v>0</v>
      </c>
    </row>
    <row r="32" ht="12.95" customHeight="1">
      <c r="A32" s="96" t="inlineStr">
        <is>
          <t>HLHU8468118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HASLS22260902743</v>
      </c>
      <c r="E32" s="62" t="str">
        <f>VLOOKUP(D32,'2.Bookinglist'!A:CT,27,FALSE)</f>
        <v>CANVAS GLOBAL LOGISTICS (THAILAND) CO., LTD.</v>
      </c>
      <c r="F32" s="62" t="str">
        <f>VLOOKUP(D32,'2.Bookinglist'!A:CT,28,FALSE)</f>
        <v>SANJIANG CHEMICAL FIBER (THAILAND) CO.,LTD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SWIC</v>
      </c>
      <c r="P32" s="61" t="str">
        <f>VLOOKUP(A32,'1.Loading'!A:R,4,FALSE)</f>
        <v>2611N</v>
      </c>
      <c r="Q32" s="61" t="str">
        <f>VLOOKUP(D32,'2.Bookinglist'!A:CT,12,FALSE)</f>
        <v>KHS1</v>
      </c>
      <c r="R32" s="60" t="str">
        <f>IF(LEFT(K32,2)="22","20'","40'")</f>
        <v>40'</v>
      </c>
      <c r="S32" s="185" t="n"/>
      <c r="T32" s="61" t="str">
        <f>VLOOKUP(A32,'1.Loading'!A:R,2,FALSE)</f>
        <v>2026-10-17</v>
      </c>
      <c r="U32" s="63">
        <f>T32-S32</f>
        <v>46312</v>
      </c>
      <c r="V32" s="186" t="n"/>
      <c r="W32" s="61" t="str">
        <f>VLOOKUP(A32,'3.GateMove'!A:D,4,FALSE)</f>
        <v>2026-10-10</v>
      </c>
      <c r="X32" s="63">
        <f>((T32-W32)+1)</f>
        <v>8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1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250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46313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250</v>
      </c>
      <c r="AJ32" s="188" t="n"/>
      <c r="AK32" s="62" t="str">
        <f>VLOOKUP(D32,'2.Bookinglist'!A:CT,40,FALSE)</f>
        <v>Arunphat W. (Aiw)</v>
      </c>
      <c r="AL32" s="60" t="str">
        <f>VLOOKUP(D32,'2.Bookinglist'!A:CW,101,FALSE)</f>
        <v>2026-10-14</v>
      </c>
      <c r="AM32" s="60" t="str">
        <f>VLOOKUP(D32,'2.Bookinglist'!A:BK,63,FALSE)</f>
        <v>LCHY5</v>
      </c>
      <c r="AN32" s="62" t="str">
        <f>VLOOKUP(D32,'2.Bookinglist'!A:AZ,52,FALSE)</f>
        <v>Pickup : 2026-10-09, Return : 2026-10-10</v>
      </c>
      <c r="AO32" s="62">
        <f>VLOOKUP(D32,'2.Bookinglist'!A:CY,103,FALSE)</f>
        <v>0</v>
      </c>
    </row>
    <row r="33" ht="12.95" customHeight="1">
      <c r="A33" s="96" t="inlineStr">
        <is>
          <t>HLHU8572082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HASLS22260902744</v>
      </c>
      <c r="E33" s="62" t="str">
        <f>VLOOKUP(D33,'2.Bookinglist'!A:CT,27,FALSE)</f>
        <v>CANVAS GLOBAL LOGISTICS (THAILAND) CO., LTD.</v>
      </c>
      <c r="F33" s="62" t="str">
        <f>VLOOKUP(D33,'2.Bookinglist'!A:CT,28,FALSE)</f>
        <v>SANJIANG CHEMICAL FIBER (THAILAND) CO.,LTD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SWIC</v>
      </c>
      <c r="P33" s="61" t="str">
        <f>VLOOKUP(A33,'1.Loading'!A:R,4,FALSE)</f>
        <v>2611N</v>
      </c>
      <c r="Q33" s="61" t="str">
        <f>VLOOKUP(D33,'2.Bookinglist'!A:CT,12,FALSE)</f>
        <v>KHS1</v>
      </c>
      <c r="R33" s="60" t="str">
        <f>IF(LEFT(K33,2)="22","20'","40'")</f>
        <v>40'</v>
      </c>
      <c r="S33" s="185" t="n"/>
      <c r="T33" s="61" t="str">
        <f>VLOOKUP(A33,'1.Loading'!A:R,2,FALSE)</f>
        <v>2026-10-17</v>
      </c>
      <c r="U33" s="63">
        <f>T33-S33</f>
        <v>46312</v>
      </c>
      <c r="V33" s="186" t="n"/>
      <c r="W33" s="61" t="str">
        <f>VLOOKUP(A33,'3.GateMove'!A:D,4,FALSE)</f>
        <v>2026-10-12</v>
      </c>
      <c r="X33" s="63">
        <f>((T33-W33)+1)</f>
        <v>6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46313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Arunphat W. (Aiw)</v>
      </c>
      <c r="AL33" s="60" t="str">
        <f>VLOOKUP(D33,'2.Bookinglist'!A:CW,101,FALSE)</f>
        <v>2026-10-14</v>
      </c>
      <c r="AM33" s="60" t="str">
        <f>VLOOKUP(D33,'2.Bookinglist'!A:BK,63,FALSE)</f>
        <v>LCHY5</v>
      </c>
      <c r="AN33" s="62" t="str">
        <f>VLOOKUP(D33,'2.Bookinglist'!A:AZ,52,FALSE)</f>
        <v>Pickup : 2026-10-10, Return : 2026-10-12</v>
      </c>
      <c r="AO33" s="62">
        <f>VLOOKUP(D33,'2.Bookinglist'!A:CY,103,FALSE)</f>
        <v>0</v>
      </c>
    </row>
    <row r="34" ht="12.95" customHeight="1">
      <c r="A34" s="96" t="inlineStr">
        <is>
          <t>HLHU8589980</t>
        </is>
      </c>
      <c r="B34" s="184" t="str">
        <f>IF(C34=Charge!$M$1,Charge!$J$1,IF(C34=Charge!$M$23,Charge!$J$23,IF(C34=Charge!$M$17,Charge!$J$17,IF(C34=Charge!$N$17,Charge!$J$17,Charge!$J$7))))</f>
        <v>G1</v>
      </c>
      <c r="C34" s="61" t="str">
        <f>VLOOKUP(A34,'1.Loading'!A:R,14,FALSE)</f>
        <v>LCH04</v>
      </c>
      <c r="D34" s="61" t="str">
        <f>VLOOKUP(A34,'1.Loading'!A:R,17,FALSE)</f>
        <v>HASLS22260800970</v>
      </c>
      <c r="E34" s="62" t="str">
        <f>VLOOKUP(D34,'2.Bookinglist'!A:CT,27,FALSE)</f>
        <v>WHA GC LOGISTICS COMPANY LIMITED</v>
      </c>
      <c r="F34" s="62" t="str">
        <f>VLOOKUP(D34,'2.Bookinglist'!A:CT,28,FALSE)</f>
        <v>PTT GLOBAL CHEMICAL PUBLIC COMPANY LIMITED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SWIC</v>
      </c>
      <c r="P34" s="61" t="str">
        <f>VLOOKUP(A34,'1.Loading'!A:R,4,FALSE)</f>
        <v>2611N</v>
      </c>
      <c r="Q34" s="61" t="str">
        <f>VLOOKUP(D34,'2.Bookinglist'!A:CT,12,FALSE)</f>
        <v>KHS1</v>
      </c>
      <c r="R34" s="60" t="str">
        <f>IF(LEFT(K34,2)="22","20'","40'")</f>
        <v>40'</v>
      </c>
      <c r="S34" s="185" t="n"/>
      <c r="T34" s="61" t="str">
        <f>VLOOKUP(A34,'1.Loading'!A:R,2,FALSE)</f>
        <v>2026-10-17</v>
      </c>
      <c r="U34" s="63">
        <f>T34-S34</f>
        <v>46312</v>
      </c>
      <c r="V34" s="186" t="n"/>
      <c r="W34" s="61" t="str">
        <f>VLOOKUP(A34,'3.GateMove'!A:D,4,FALSE)</f>
        <v>2026-10-13</v>
      </c>
      <c r="X34" s="63">
        <f>((T34-W34)+1)</f>
        <v>5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46313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Dharaporn</v>
      </c>
      <c r="AL34" s="60" t="str">
        <f>VLOOKUP(D34,'2.Bookinglist'!A:CW,101,FALSE)</f>
        <v>2026-10-10</v>
      </c>
      <c r="AM34" s="60" t="str">
        <f>VLOOKUP(D34,'2.Bookinglist'!A:BK,63,FALSE)</f>
        <v>LCHY5</v>
      </c>
      <c r="AN34" s="62" t="str">
        <f>VLOOKUP(D34,'2.Bookinglist'!A:AZ,52,FALSE)</f>
        <v>CY : 02/10/26 , RTN : 04/10/26 [1ST RTN 08/10/2026 W/O RENT]
** PLEASE CHECK OPEN GATE BEFORE RETURN CONTAINER ** 
</v>
      </c>
      <c r="AO34" s="62">
        <f>VLOOKUP(D34,'2.Bookinglist'!A:CY,103,FALSE)</f>
        <v>0</v>
      </c>
    </row>
    <row r="35" ht="12.95" customHeight="1">
      <c r="A35" s="96" t="inlineStr">
        <is>
          <t>SKHU1540516</t>
        </is>
      </c>
      <c r="B35" s="184" t="str">
        <f>IF(C35=Charge!$M$1,Charge!$J$1,IF(C35=Charge!$M$23,Charge!$J$23,IF(C35=Charge!$M$17,Charge!$J$17,IF(C35=Charge!$N$17,Charge!$J$17,Charge!$J$7))))</f>
        <v>G1</v>
      </c>
      <c r="C35" s="61" t="str">
        <f>VLOOKUP(A35,'1.Loading'!A:R,14,FALSE)</f>
        <v>LCH04</v>
      </c>
      <c r="D35" s="61" t="str">
        <f>VLOOKUP(A35,'1.Loading'!A:R,17,FALSE)</f>
        <v>HASLS22260901359</v>
      </c>
      <c r="E35" s="62" t="str">
        <f>VLOOKUP(D35,'2.Bookinglist'!A:CT,27,FALSE)</f>
        <v>LOTUS FREIGHT AND SERVICES CORP.,LTD.</v>
      </c>
      <c r="F35" s="62" t="str">
        <f>VLOOKUP(D35,'2.Bookinglist'!A:CT,28,FALSE)</f>
        <v>EXCEL ENTECH CO.,LTD.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22PC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SWIC</v>
      </c>
      <c r="P35" s="61" t="str">
        <f>VLOOKUP(A35,'1.Loading'!A:R,4,FALSE)</f>
        <v>2611N</v>
      </c>
      <c r="Q35" s="61" t="str">
        <f>VLOOKUP(D35,'2.Bookinglist'!A:CT,12,FALSE)</f>
        <v>KHS1</v>
      </c>
      <c r="R35" s="60" t="str">
        <f>IF(LEFT(K35,2)="22","20'","40'")</f>
        <v>20'</v>
      </c>
      <c r="S35" s="185" t="n"/>
      <c r="T35" s="61" t="str">
        <f>VLOOKUP(A35,'1.Loading'!A:R,2,FALSE)</f>
        <v>2026-10-17</v>
      </c>
      <c r="U35" s="63">
        <f>T35-S35</f>
        <v>46312</v>
      </c>
      <c r="V35" s="186" t="n"/>
      <c r="W35" s="61" t="str">
        <f>VLOOKUP(A35,'3.GateMove'!A:D,4,FALSE)</f>
        <v>2026-10-16</v>
      </c>
      <c r="X35" s="63">
        <f>((T35-W35)+1)</f>
        <v>2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46313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Sukunpoj Damrongying</v>
      </c>
      <c r="AL35" s="60" t="str">
        <f>VLOOKUP(D35,'2.Bookinglist'!A:CW,101,FALSE)</f>
        <v>2026-10-13</v>
      </c>
      <c r="AM35" s="60" t="str">
        <f>VLOOKUP(D35,'2.Bookinglist'!A:BK,63,FALSE)</f>
        <v>LCH20</v>
      </c>
      <c r="AN35" s="62" t="str">
        <f>VLOOKUP(D35,'2.Bookinglist'!A:AZ,52,FALSE)</f>
        <v>*APPROVAL BY MR.M.J CHANG DD.21/09/2026  **
Pickup : 2026-10-09, Return : 2026-10-10 
1X40'HC &amp; 1X20'FR OOG 5 TEUS, CY AT  PW DEPOT // 1X40'FR OOG 10 TEUS  CY AT YJC LMH // EXTEND CLOSING DD.14/10/26 @23.59</v>
      </c>
      <c r="AO35" s="62">
        <f>VLOOKUP(D35,'2.Bookinglist'!A:CY,103,FALSE)</f>
        <v>0</v>
      </c>
    </row>
    <row r="36" ht="12.95" customHeight="1">
      <c r="A36" s="96" t="inlineStr">
        <is>
          <t>SKHU6201520</t>
        </is>
      </c>
      <c r="B36" s="184" t="str">
        <f>IF(C36=Charge!$M$1,Charge!$J$1,IF(C36=Charge!$M$23,Charge!$J$23,IF(C36=Charge!$M$17,Charge!$J$17,IF(C36=Charge!$N$17,Charge!$J$17,Charge!$J$7))))</f>
        <v>G1</v>
      </c>
      <c r="C36" s="61" t="str">
        <f>VLOOKUP(A36,'1.Loading'!A:R,14,FALSE)</f>
        <v>LCH04</v>
      </c>
      <c r="D36" s="61" t="str">
        <f>VLOOKUP(A36,'1.Loading'!A:R,17,FALSE)</f>
        <v>HASLS22260800970</v>
      </c>
      <c r="E36" s="62" t="str">
        <f>VLOOKUP(D36,'2.Bookinglist'!A:CT,27,FALSE)</f>
        <v>WHA GC LOGISTICS COMPANY LIMITED</v>
      </c>
      <c r="F36" s="62" t="str">
        <f>VLOOKUP(D36,'2.Bookinglist'!A:CT,28,FALSE)</f>
        <v>PTT GLOBAL CHEMICAL PUBLIC COMPANY LIMITED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SWIC</v>
      </c>
      <c r="P36" s="61" t="str">
        <f>VLOOKUP(A36,'1.Loading'!A:R,4,FALSE)</f>
        <v>2611N</v>
      </c>
      <c r="Q36" s="61" t="str">
        <f>VLOOKUP(D36,'2.Bookinglist'!A:CT,12,FALSE)</f>
        <v>KHS1</v>
      </c>
      <c r="R36" s="60" t="str">
        <f>IF(LEFT(K36,2)="22","20'","40'")</f>
        <v>40'</v>
      </c>
      <c r="S36" s="185" t="n"/>
      <c r="T36" s="61" t="str">
        <f>VLOOKUP(A36,'1.Loading'!A:R,2,FALSE)</f>
        <v>2026-10-17</v>
      </c>
      <c r="U36" s="63">
        <f>T36-S36</f>
        <v>46312</v>
      </c>
      <c r="V36" s="186" t="n"/>
      <c r="W36" s="61" t="str">
        <f>VLOOKUP(A36,'3.GateMove'!A:D,4,FALSE)</f>
        <v>2026-10-13</v>
      </c>
      <c r="X36" s="63">
        <f>((T36-W36)+1)</f>
        <v>5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46313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2026-10-10</v>
      </c>
      <c r="AM36" s="60" t="str">
        <f>VLOOKUP(D36,'2.Bookinglist'!A:BK,63,FALSE)</f>
        <v>LCHY5</v>
      </c>
      <c r="AN36" s="62" t="str">
        <f>VLOOKUP(D36,'2.Bookinglist'!A:AZ,52,FALSE)</f>
        <v>CY : 02/10/26 , RTN : 04/10/26 [1ST RTN 08/10/2026 W/O RENT]
** PLEASE CHECK OPEN GATE BEFORE RETURN CONTAINER ** 
</v>
      </c>
      <c r="AO36" s="62">
        <f>VLOOKUP(D36,'2.Bookinglist'!A:CY,103,FALSE)</f>
        <v>0</v>
      </c>
    </row>
    <row r="37" ht="12.95" customHeight="1">
      <c r="A37" s="96" t="inlineStr">
        <is>
          <t>SKHU6304513</t>
        </is>
      </c>
      <c r="B37" s="184" t="str">
        <f>IF(C37=Charge!$M$1,Charge!$J$1,IF(C37=Charge!$M$23,Charge!$J$23,IF(C37=Charge!$M$17,Charge!$J$17,IF(C37=Charge!$N$17,Charge!$J$17,Charge!$J$7))))</f>
        <v>G1</v>
      </c>
      <c r="C37" s="61" t="str">
        <f>VLOOKUP(A37,'1.Loading'!A:R,14,FALSE)</f>
        <v>LCH04</v>
      </c>
      <c r="D37" s="61" t="str">
        <f>VLOOKUP(A37,'1.Loading'!A:R,17,FALSE)</f>
        <v>HASLS22260800970</v>
      </c>
      <c r="E37" s="62" t="str">
        <f>VLOOKUP(D37,'2.Bookinglist'!A:CT,27,FALSE)</f>
        <v>WHA GC LOGISTICS COMPANY LIMITED</v>
      </c>
      <c r="F37" s="62" t="str">
        <f>VLOOKUP(D37,'2.Bookinglist'!A:CT,28,FALSE)</f>
        <v>PTT GLOBAL CHEMICAL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SWIC</v>
      </c>
      <c r="P37" s="61" t="str">
        <f>VLOOKUP(A37,'1.Loading'!A:R,4,FALSE)</f>
        <v>2611N</v>
      </c>
      <c r="Q37" s="61" t="str">
        <f>VLOOKUP(D37,'2.Bookinglist'!A:CT,12,FALSE)</f>
        <v>KHS1</v>
      </c>
      <c r="R37" s="60" t="str">
        <f>IF(LEFT(K37,2)="22","20'","40'")</f>
        <v>40'</v>
      </c>
      <c r="S37" s="185" t="n"/>
      <c r="T37" s="61" t="str">
        <f>VLOOKUP(A37,'1.Loading'!A:R,2,FALSE)</f>
        <v>2026-10-17</v>
      </c>
      <c r="U37" s="63">
        <f>T37-S37</f>
        <v>46312</v>
      </c>
      <c r="V37" s="186" t="n"/>
      <c r="W37" s="61" t="str">
        <f>VLOOKUP(A37,'3.GateMove'!A:D,4,FALSE)</f>
        <v>2026-10-13</v>
      </c>
      <c r="X37" s="63">
        <f>((T37-W37)+1)</f>
        <v>5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46313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2026-10-10</v>
      </c>
      <c r="AM37" s="60" t="str">
        <f>VLOOKUP(D37,'2.Bookinglist'!A:BK,63,FALSE)</f>
        <v>LCHY5</v>
      </c>
      <c r="AN37" s="62" t="str">
        <f>VLOOKUP(D37,'2.Bookinglist'!A:AZ,52,FALSE)</f>
        <v>CY : 02/10/26 , RTN : 04/10/26 [1ST RTN 08/10/2026 W/O RENT]
** PLEASE CHECK OPEN GATE BEFORE RETURN CONTAINER ** 
</v>
      </c>
      <c r="AO37" s="62">
        <f>VLOOKUP(D37,'2.Bookinglist'!A:CY,103,FALSE)</f>
        <v>0</v>
      </c>
    </row>
    <row r="38" ht="12.95" customHeight="1">
      <c r="A38" s="96" t="inlineStr">
        <is>
          <t>SKHU6306537</t>
        </is>
      </c>
      <c r="B38" s="184" t="str">
        <f>IF(C38=Charge!$M$1,Charge!$J$1,IF(C38=Charge!$M$23,Charge!$J$23,IF(C38=Charge!$M$17,Charge!$J$17,IF(C38=Charge!$N$17,Charge!$J$17,Charge!$J$7))))</f>
        <v>G1</v>
      </c>
      <c r="C38" s="61" t="str">
        <f>VLOOKUP(A38,'1.Loading'!A:R,14,FALSE)</f>
        <v>LCH04</v>
      </c>
      <c r="D38" s="61" t="str">
        <f>VLOOKUP(A38,'1.Loading'!A:R,17,FALSE)</f>
        <v>HASLS22260902743</v>
      </c>
      <c r="E38" s="62" t="str">
        <f>VLOOKUP(D38,'2.Bookinglist'!A:CT,27,FALSE)</f>
        <v>CANVAS GLOBAL LOGISTICS (THAILAND) CO., LTD.</v>
      </c>
      <c r="F38" s="62" t="str">
        <f>VLOOKUP(D38,'2.Bookinglist'!A:CT,28,FALSE)</f>
        <v>SANJIANG CHEMICAL FIBER (THAILAND) CO.,LTD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SWIC</v>
      </c>
      <c r="P38" s="61" t="str">
        <f>VLOOKUP(A38,'1.Loading'!A:R,4,FALSE)</f>
        <v>2611N</v>
      </c>
      <c r="Q38" s="61" t="str">
        <f>VLOOKUP(D38,'2.Bookinglist'!A:CT,12,FALSE)</f>
        <v>KHS1</v>
      </c>
      <c r="R38" s="60" t="str">
        <f>IF(LEFT(K38,2)="22","20'","40'")</f>
        <v>40'</v>
      </c>
      <c r="S38" s="185" t="n"/>
      <c r="T38" s="61" t="str">
        <f>VLOOKUP(A38,'1.Loading'!A:R,2,FALSE)</f>
        <v>2026-10-17</v>
      </c>
      <c r="U38" s="63">
        <f>T38-S38</f>
        <v>46312</v>
      </c>
      <c r="V38" s="186" t="n"/>
      <c r="W38" s="61" t="str">
        <f>VLOOKUP(A38,'3.GateMove'!A:D,4,FALSE)</f>
        <v>2026-10-10</v>
      </c>
      <c r="X38" s="63">
        <f>((T38-W38)+1)</f>
        <v>8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1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250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46313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250</v>
      </c>
      <c r="AJ38" s="188" t="n"/>
      <c r="AK38" s="62" t="str">
        <f>VLOOKUP(D38,'2.Bookinglist'!A:CT,40,FALSE)</f>
        <v>Arunphat W. (Aiw)</v>
      </c>
      <c r="AL38" s="60" t="str">
        <f>VLOOKUP(D38,'2.Bookinglist'!A:CW,101,FALSE)</f>
        <v>2026-10-14</v>
      </c>
      <c r="AM38" s="60" t="str">
        <f>VLOOKUP(D38,'2.Bookinglist'!A:BK,63,FALSE)</f>
        <v>LCHY5</v>
      </c>
      <c r="AN38" s="62" t="str">
        <f>VLOOKUP(D38,'2.Bookinglist'!A:AZ,52,FALSE)</f>
        <v>Pickup : 2026-10-09, Return : 2026-10-10</v>
      </c>
      <c r="AO38" s="62">
        <f>VLOOKUP(D38,'2.Bookinglist'!A:CY,103,FALSE)</f>
        <v>0</v>
      </c>
    </row>
    <row r="39" ht="12.95" customHeight="1">
      <c r="A39" s="96" t="inlineStr">
        <is>
          <t>SKHU6308587</t>
        </is>
      </c>
      <c r="B39" s="184" t="str">
        <f>IF(C39=Charge!$M$1,Charge!$J$1,IF(C39=Charge!$M$23,Charge!$J$23,IF(C39=Charge!$M$17,Charge!$J$17,IF(C39=Charge!$N$17,Charge!$J$17,Charge!$J$7))))</f>
        <v>G1</v>
      </c>
      <c r="C39" s="61" t="str">
        <f>VLOOKUP(A39,'1.Loading'!A:R,14,FALSE)</f>
        <v>LCH04</v>
      </c>
      <c r="D39" s="61" t="str">
        <f>VLOOKUP(A39,'1.Loading'!A:R,17,FALSE)</f>
        <v>HASLS22260902245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JPKIJ</v>
      </c>
      <c r="J39" s="61" t="str">
        <f>VLOOKUP(D39,'2.Bookinglist'!A:CT,26,FALSE)</f>
        <v>KRPUS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SWIC</v>
      </c>
      <c r="P39" s="61" t="str">
        <f>VLOOKUP(A39,'1.Loading'!A:R,4,FALSE)</f>
        <v>2611N</v>
      </c>
      <c r="Q39" s="61" t="str">
        <f>VLOOKUP(D39,'2.Bookinglist'!A:CT,12,FALSE)</f>
        <v>KHS1</v>
      </c>
      <c r="R39" s="60" t="str">
        <f>IF(LEFT(K39,2)="22","20'","40'")</f>
        <v>40'</v>
      </c>
      <c r="S39" s="185" t="n"/>
      <c r="T39" s="61" t="str">
        <f>VLOOKUP(A39,'1.Loading'!A:R,2,FALSE)</f>
        <v>2026-10-17</v>
      </c>
      <c r="U39" s="63">
        <f>T39-S39</f>
        <v>46312</v>
      </c>
      <c r="V39" s="186" t="n"/>
      <c r="W39" s="61" t="str">
        <f>VLOOKUP(A39,'3.GateMove'!A:D,4,FALSE)</f>
        <v>2026-10-13</v>
      </c>
      <c r="X39" s="63">
        <f>((T39-W39)+1)</f>
        <v>5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46313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2026-10-15</v>
      </c>
      <c r="AM39" s="60" t="str">
        <f>VLOOKUP(D39,'2.Bookinglist'!A:BK,63,FALSE)</f>
        <v>LCHY5</v>
      </c>
      <c r="AN39" s="62" t="str">
        <f>VLOOKUP(D39,'2.Bookinglist'!A:AZ,52,FALSE)</f>
        <v>CY-RTN 24-27/09/26 (1ST RETURN DATE DD.04/10/26)
*PLS CHECK OPEN GATE BEFORE RETURN CTNR*</v>
      </c>
      <c r="AO39" s="62" t="str">
        <f>VLOOKUP(D39,'2.Bookinglist'!A:CY,103,FALSE)</f>
        <v>ROLL OVER FROM PREVIOUS VSL SWRG 2609N BY ALLOCATION TEAM MS.TAN APPROVED COST IS UNDER HA DD.09/10</v>
      </c>
    </row>
    <row r="40" ht="12.95" customHeight="1">
      <c r="A40" s="96" t="inlineStr">
        <is>
          <t>SKHU6346205</t>
        </is>
      </c>
      <c r="B40" s="184" t="str">
        <f>IF(C40=Charge!$M$1,Charge!$J$1,IF(C40=Charge!$M$23,Charge!$J$23,IF(C40=Charge!$M$17,Charge!$J$17,IF(C40=Charge!$N$17,Charge!$J$17,Charge!$J$7))))</f>
        <v>G1</v>
      </c>
      <c r="C40" s="61" t="str">
        <f>VLOOKUP(A40,'1.Loading'!A:R,14,FALSE)</f>
        <v>LCH04</v>
      </c>
      <c r="D40" s="61" t="str">
        <f>VLOOKUP(A40,'1.Loading'!A:R,17,FALSE)</f>
        <v>HASLS22260900462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SWIC</v>
      </c>
      <c r="P40" s="61" t="str">
        <f>VLOOKUP(A40,'1.Loading'!A:R,4,FALSE)</f>
        <v>2611N</v>
      </c>
      <c r="Q40" s="61" t="str">
        <f>VLOOKUP(D40,'2.Bookinglist'!A:CT,12,FALSE)</f>
        <v>KHS1</v>
      </c>
      <c r="R40" s="60" t="str">
        <f>IF(LEFT(K40,2)="22","20'","40'")</f>
        <v>40'</v>
      </c>
      <c r="S40" s="185" t="n"/>
      <c r="T40" s="61" t="str">
        <f>VLOOKUP(A40,'1.Loading'!A:R,2,FALSE)</f>
        <v>2026-10-17</v>
      </c>
      <c r="U40" s="63">
        <f>T40-S40</f>
        <v>46312</v>
      </c>
      <c r="V40" s="186" t="n"/>
      <c r="W40" s="61" t="str">
        <f>VLOOKUP(A40,'3.GateMove'!A:D,4,FALSE)</f>
        <v>2026-10-11</v>
      </c>
      <c r="X40" s="63">
        <f>((T40-W40)+1)</f>
        <v>7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46313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2026-10-12</v>
      </c>
      <c r="AM40" s="60" t="str">
        <f>VLOOKUP(D40,'2.Bookinglist'!A:BK,63,FALSE)</f>
        <v>LCH27</v>
      </c>
      <c r="AN40" s="62" t="str">
        <f>VLOOKUP(D40,'2.Bookinglist'!A:AZ,52,FALSE)</f>
        <v>CY-RTN 09-11/10/26
</v>
      </c>
      <c r="AO40" s="62">
        <f>VLOOKUP(D40,'2.Bookinglist'!A:CY,103,FALSE)</f>
        <v>0</v>
      </c>
    </row>
    <row r="41" ht="12.95" customHeight="1">
      <c r="A41" s="96" t="inlineStr">
        <is>
          <t>SKHU6402021</t>
        </is>
      </c>
      <c r="B41" s="184" t="str">
        <f>IF(C41=Charge!$M$1,Charge!$J$1,IF(C41=Charge!$M$23,Charge!$J$23,IF(C41=Charge!$M$17,Charge!$J$17,IF(C41=Charge!$N$17,Charge!$J$17,Charge!$J$7))))</f>
        <v>G1</v>
      </c>
      <c r="C41" s="61" t="str">
        <f>VLOOKUP(A41,'1.Loading'!A:R,14,FALSE)</f>
        <v>LCH04</v>
      </c>
      <c r="D41" s="61" t="str">
        <f>VLOOKUP(A41,'1.Loading'!A:R,17,FALSE)</f>
        <v>HASLS22260902048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SWIC</v>
      </c>
      <c r="P41" s="61" t="str">
        <f>VLOOKUP(A41,'1.Loading'!A:R,4,FALSE)</f>
        <v>2611N</v>
      </c>
      <c r="Q41" s="61" t="str">
        <f>VLOOKUP(D41,'2.Bookinglist'!A:CT,12,FALSE)</f>
        <v>KHS1</v>
      </c>
      <c r="R41" s="60" t="str">
        <f>IF(LEFT(K41,2)="22","20'","40'")</f>
        <v>40'</v>
      </c>
      <c r="S41" s="185" t="n"/>
      <c r="T41" s="61" t="str">
        <f>VLOOKUP(A41,'1.Loading'!A:R,2,FALSE)</f>
        <v>2026-10-17</v>
      </c>
      <c r="U41" s="63">
        <f>T41-S41</f>
        <v>46312</v>
      </c>
      <c r="V41" s="186" t="n"/>
      <c r="W41" s="61" t="str">
        <f>VLOOKUP(A41,'3.GateMove'!A:D,4,FALSE)</f>
        <v>2026-10-13</v>
      </c>
      <c r="X41" s="63">
        <f>((T41-W41)+1)</f>
        <v>5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46313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2026-10-10</v>
      </c>
      <c r="AM41" s="60" t="str">
        <f>VLOOKUP(D41,'2.Bookinglist'!A:BK,63,FALSE)</f>
        <v>LCHY5</v>
      </c>
      <c r="AN41" s="62" t="str">
        <f>VLOOKUP(D41,'2.Bookinglist'!A:AZ,52,FALSE)</f>
        <v>CY : 05/10/26 , RTN : 0810/26 [1ST RTN 08/10/2026 W/O RENT]
** PLEASE CHECK OPEN GATE BEFORE RETURN CONTAINER ** 
</v>
      </c>
      <c r="AO41" s="62">
        <f>VLOOKUP(D41,'2.Bookinglist'!A:CY,103,FALSE)</f>
        <v>0</v>
      </c>
    </row>
    <row r="42" ht="12.95" customHeight="1">
      <c r="A42" s="96" t="inlineStr">
        <is>
          <t>SKHU6508076</t>
        </is>
      </c>
      <c r="B42" s="184" t="str">
        <f>IF(C42=Charge!$M$1,Charge!$J$1,IF(C42=Charge!$M$23,Charge!$J$23,IF(C42=Charge!$M$17,Charge!$J$17,IF(C42=Charge!$N$17,Charge!$J$17,Charge!$J$7))))</f>
        <v>G1</v>
      </c>
      <c r="C42" s="61" t="str">
        <f>VLOOKUP(A42,'1.Loading'!A:R,14,FALSE)</f>
        <v>LCH04</v>
      </c>
      <c r="D42" s="61" t="str">
        <f>VLOOKUP(A42,'1.Loading'!A:R,17,FALSE)</f>
        <v>HASLS22260901519</v>
      </c>
      <c r="E42" s="62" t="str">
        <f>VLOOKUP(D42,'2.Bookinglist'!A:CT,27,FALSE)</f>
        <v>WHA GC LOGISTICS COMPANY LIMITED</v>
      </c>
      <c r="F42" s="62" t="str">
        <f>VLOOKUP(D42,'2.Bookinglist'!A:CT,28,FALSE)</f>
        <v>PTT GLOBAL CHEMICAL PUBLIC COMPANY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JPKIJ</v>
      </c>
      <c r="J42" s="61" t="str">
        <f>VLOOKUP(D42,'2.Bookinglist'!A:CT,26,FALSE)</f>
        <v>KRPUS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SWIC</v>
      </c>
      <c r="P42" s="61" t="str">
        <f>VLOOKUP(A42,'1.Loading'!A:R,4,FALSE)</f>
        <v>2611N</v>
      </c>
      <c r="Q42" s="61" t="str">
        <f>VLOOKUP(D42,'2.Bookinglist'!A:CT,12,FALSE)</f>
        <v>KHS1</v>
      </c>
      <c r="R42" s="60" t="str">
        <f>IF(LEFT(K42,2)="22","20'","40'")</f>
        <v>40'</v>
      </c>
      <c r="S42" s="185" t="n"/>
      <c r="T42" s="61" t="str">
        <f>VLOOKUP(A42,'1.Loading'!A:R,2,FALSE)</f>
        <v>2026-10-17</v>
      </c>
      <c r="U42" s="63">
        <f>T42-S42</f>
        <v>46312</v>
      </c>
      <c r="V42" s="186" t="n"/>
      <c r="W42" s="61" t="str">
        <f>VLOOKUP(A42,'3.GateMove'!A:D,4,FALSE)</f>
        <v>2026-10-13</v>
      </c>
      <c r="X42" s="63">
        <f>((T42-W42)+1)</f>
        <v>5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46313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2026-10-15</v>
      </c>
      <c r="AM42" s="60" t="str">
        <f>VLOOKUP(D42,'2.Bookinglist'!A:BK,63,FALSE)</f>
        <v>LCHY5</v>
      </c>
      <c r="AN42" s="62" t="str">
        <f>VLOOKUP(D42,'2.Bookinglist'!A:AZ,52,FALSE)</f>
        <v>CY 28/09/26 , RTN 04/10/26 (PR2610002658 )
*PLS CHECK OPEN GATE BEFORE RETURN CTNR*</v>
      </c>
      <c r="AO42" s="62" t="str">
        <f>VLOOKUP(D42,'2.Bookinglist'!A:CY,103,FALSE)</f>
        <v>ROLL OVER FROM PREVIOUS VSL SWRG 2609N BY ALLOCATION TEAM MS.TAN APPROVED COST IS UNDER HA DD.09/10</v>
      </c>
    </row>
    <row r="43" ht="12.95" customHeight="1">
      <c r="A43" s="96" t="inlineStr">
        <is>
          <t>SKHU6522747</t>
        </is>
      </c>
      <c r="B43" s="184" t="str">
        <f>IF(C43=Charge!$M$1,Charge!$J$1,IF(C43=Charge!$M$23,Charge!$J$23,IF(C43=Charge!$M$17,Charge!$J$17,IF(C43=Charge!$N$17,Charge!$J$17,Charge!$J$7))))</f>
        <v>G1</v>
      </c>
      <c r="C43" s="61" t="str">
        <f>VLOOKUP(A43,'1.Loading'!A:R,14,FALSE)</f>
        <v>LCH04</v>
      </c>
      <c r="D43" s="61" t="str">
        <f>VLOOKUP(A43,'1.Loading'!A:R,17,FALSE)</f>
        <v>HASLS22260901519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JPKIJ</v>
      </c>
      <c r="J43" s="61" t="str">
        <f>VLOOKUP(D43,'2.Bookinglist'!A:CT,26,FALSE)</f>
        <v>KRPUS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SWIC</v>
      </c>
      <c r="P43" s="61" t="str">
        <f>VLOOKUP(A43,'1.Loading'!A:R,4,FALSE)</f>
        <v>2611N</v>
      </c>
      <c r="Q43" s="61" t="str">
        <f>VLOOKUP(D43,'2.Bookinglist'!A:CT,12,FALSE)</f>
        <v>KHS1</v>
      </c>
      <c r="R43" s="60" t="str">
        <f>IF(LEFT(K43,2)="22","20'","40'")</f>
        <v>40'</v>
      </c>
      <c r="S43" s="185" t="n"/>
      <c r="T43" s="61" t="str">
        <f>VLOOKUP(A43,'1.Loading'!A:R,2,FALSE)</f>
        <v>2026-10-17</v>
      </c>
      <c r="U43" s="63">
        <f>T43-S43</f>
        <v>46312</v>
      </c>
      <c r="V43" s="186" t="n"/>
      <c r="W43" s="61" t="str">
        <f>VLOOKUP(A43,'3.GateMove'!A:D,4,FALSE)</f>
        <v>2026-10-13</v>
      </c>
      <c r="X43" s="63">
        <f>((T43-W43)+1)</f>
        <v>5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46313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2026-10-15</v>
      </c>
      <c r="AM43" s="60" t="str">
        <f>VLOOKUP(D43,'2.Bookinglist'!A:BK,63,FALSE)</f>
        <v>LCHY5</v>
      </c>
      <c r="AN43" s="62" t="str">
        <f>VLOOKUP(D43,'2.Bookinglist'!A:AZ,52,FALSE)</f>
        <v>CY 28/09/26 , RTN 04/10/26 (PR2610002658 )
*PLS CHECK OPEN GATE BEFORE RETURN CTNR*</v>
      </c>
      <c r="AO43" s="62" t="str">
        <f>VLOOKUP(D43,'2.Bookinglist'!A:CY,103,FALSE)</f>
        <v>ROLL OVER FROM PREVIOUS VSL SWRG 2609N BY ALLOCATION TEAM MS.TAN APPROVED COST IS UNDER HA DD.09/10</v>
      </c>
    </row>
    <row r="44" ht="12.95" customHeight="1">
      <c r="A44" s="96" t="inlineStr">
        <is>
          <t>SKHU8712221</t>
        </is>
      </c>
      <c r="B44" s="184" t="str">
        <f>IF(C44=Charge!$M$1,Charge!$J$1,IF(C44=Charge!$M$23,Charge!$J$23,IF(C44=Charge!$M$17,Charge!$J$17,IF(C44=Charge!$N$17,Charge!$J$17,Charge!$J$7))))</f>
        <v>G1</v>
      </c>
      <c r="C44" s="61" t="str">
        <f>VLOOKUP(A44,'1.Loading'!A:R,14,FALSE)</f>
        <v>LCH04</v>
      </c>
      <c r="D44" s="61" t="str">
        <f>VLOOKUP(A44,'1.Loading'!A:R,17,FALSE)</f>
        <v>HASLS22260902670</v>
      </c>
      <c r="E44" s="62" t="str">
        <f>VLOOKUP(D44,'2.Bookinglist'!A:CT,27,FALSE)</f>
        <v>KORCHINA FREIGHT (THAILAND) CO., LTD.</v>
      </c>
      <c r="F44" s="62" t="str">
        <f>VLOOKUP(D44,'2.Bookinglist'!A:CT,28,FALSE)</f>
        <v>CONTINENTAL TYRES (THAILAND) CO., LTD.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SWIC</v>
      </c>
      <c r="P44" s="61" t="str">
        <f>VLOOKUP(A44,'1.Loading'!A:R,4,FALSE)</f>
        <v>2611N</v>
      </c>
      <c r="Q44" s="61" t="str">
        <f>VLOOKUP(D44,'2.Bookinglist'!A:CT,12,FALSE)</f>
        <v>KHS1</v>
      </c>
      <c r="R44" s="60" t="str">
        <f>IF(LEFT(K44,2)="22","20'","40'")</f>
        <v>40'</v>
      </c>
      <c r="S44" s="185" t="n"/>
      <c r="T44" s="61" t="str">
        <f>VLOOKUP(A44,'1.Loading'!A:R,2,FALSE)</f>
        <v>2026-10-17</v>
      </c>
      <c r="U44" s="63">
        <f>T44-S44</f>
        <v>46312</v>
      </c>
      <c r="V44" s="186" t="n"/>
      <c r="W44" s="61" t="str">
        <f>VLOOKUP(A44,'3.GateMove'!A:D,4,FALSE)</f>
        <v>2026-10-12</v>
      </c>
      <c r="X44" s="63">
        <f>((T44-W44)+1)</f>
        <v>6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46313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LEE HWA DONG</v>
      </c>
      <c r="AL44" s="60" t="str">
        <f>VLOOKUP(D44,'2.Bookinglist'!A:CW,101,FALSE)</f>
        <v>2026-10-16</v>
      </c>
      <c r="AM44" s="60" t="str">
        <f>VLOOKUP(D44,'2.Bookinglist'!A:BK,63,FALSE)</f>
        <v>LCHY5</v>
      </c>
      <c r="AN44" s="62" t="str">
        <f>VLOOKUP(D44,'2.Bookinglist'!A:AZ,52,FALSE)</f>
        <v>Pickup : 2026-10-12, Return : 2026-10-12</v>
      </c>
      <c r="AO44" s="62" t="str">
        <f>VLOOKUP(D44,'2.Bookinglist'!A:CY,103,FALSE)</f>
        <v>ROLL OVER FROM PREVIOUS VSL SWBT 2616N BY ALLOCATION TEAM MS.TARN APRPOVED COST IS UNDER HA DD.14/10</v>
      </c>
    </row>
    <row r="45" ht="12.95" customHeight="1">
      <c r="A45" s="96" t="inlineStr">
        <is>
          <t>SKHU9322608</t>
        </is>
      </c>
      <c r="B45" s="184" t="str">
        <f>IF(C45=Charge!$M$1,Charge!$J$1,IF(C45=Charge!$M$23,Charge!$J$23,IF(C45=Charge!$M$17,Charge!$J$17,IF(C45=Charge!$N$17,Charge!$J$17,Charge!$J$7))))</f>
        <v>G1</v>
      </c>
      <c r="C45" s="61" t="str">
        <f>VLOOKUP(A45,'1.Loading'!A:R,14,FALSE)</f>
        <v>LCH04</v>
      </c>
      <c r="D45" s="61" t="str">
        <f>VLOOKUP(A45,'1.Loading'!A:R,17,FALSE)</f>
        <v>HASLS22260900462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SWIC</v>
      </c>
      <c r="P45" s="61" t="str">
        <f>VLOOKUP(A45,'1.Loading'!A:R,4,FALSE)</f>
        <v>2611N</v>
      </c>
      <c r="Q45" s="61" t="str">
        <f>VLOOKUP(D45,'2.Bookinglist'!A:CT,12,FALSE)</f>
        <v>KHS1</v>
      </c>
      <c r="R45" s="60" t="str">
        <f>IF(LEFT(K45,2)="22","20'","40'")</f>
        <v>40'</v>
      </c>
      <c r="S45" s="185" t="n"/>
      <c r="T45" s="61" t="str">
        <f>VLOOKUP(A45,'1.Loading'!A:R,2,FALSE)</f>
        <v>2026-10-17</v>
      </c>
      <c r="U45" s="63">
        <f>T45-S45</f>
        <v>46312</v>
      </c>
      <c r="V45" s="186" t="n"/>
      <c r="W45" s="61" t="str">
        <f>VLOOKUP(A45,'3.GateMove'!A:D,4,FALSE)</f>
        <v>2026-10-12</v>
      </c>
      <c r="X45" s="63">
        <f>((T45-W45)+1)</f>
        <v>6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46313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2026-10-12</v>
      </c>
      <c r="AM45" s="60" t="str">
        <f>VLOOKUP(D45,'2.Bookinglist'!A:BK,63,FALSE)</f>
        <v>LCH27</v>
      </c>
      <c r="AN45" s="62" t="str">
        <f>VLOOKUP(D45,'2.Bookinglist'!A:AZ,52,FALSE)</f>
        <v>CY-RTN 09-11/10/26
</v>
      </c>
      <c r="AO45" s="62">
        <f>VLOOKUP(D45,'2.Bookinglist'!A:CY,103,FALSE)</f>
        <v>0</v>
      </c>
    </row>
    <row r="46" ht="12.95" customHeight="1">
      <c r="A46" s="96" t="inlineStr">
        <is>
          <t>SKHU9547306</t>
        </is>
      </c>
      <c r="B46" s="184" t="str">
        <f>IF(C46=Charge!$M$1,Charge!$J$1,IF(C46=Charge!$M$23,Charge!$J$23,IF(C46=Charge!$M$17,Charge!$J$17,IF(C46=Charge!$N$17,Charge!$J$17,Charge!$J$7))))</f>
        <v>G1</v>
      </c>
      <c r="C46" s="61" t="str">
        <f>VLOOKUP(A46,'1.Loading'!A:R,14,FALSE)</f>
        <v>LCH04</v>
      </c>
      <c r="D46" s="61" t="str">
        <f>VLOOKUP(A46,'1.Loading'!A:R,17,FALSE)</f>
        <v>HASLS22260900462</v>
      </c>
      <c r="E46" s="62" t="str">
        <f>VLOOKUP(D46,'2.Bookinglist'!A:CT,27,FALSE)</f>
        <v>WHA GC LOGISTICS COMPANY LIMITED</v>
      </c>
      <c r="F46" s="62" t="str">
        <f>VLOOKUP(D46,'2.Bookinglist'!A:CT,28,FALSE)</f>
        <v>PTT GLOBAL CHEMICAL PUBLIC COMPANY LIMITED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SWIC</v>
      </c>
      <c r="P46" s="61" t="str">
        <f>VLOOKUP(A46,'1.Loading'!A:R,4,FALSE)</f>
        <v>2611N</v>
      </c>
      <c r="Q46" s="61" t="str">
        <f>VLOOKUP(D46,'2.Bookinglist'!A:CT,12,FALSE)</f>
        <v>KHS1</v>
      </c>
      <c r="R46" s="60" t="str">
        <f>IF(LEFT(K46,2)="22","20'","40'")</f>
        <v>40'</v>
      </c>
      <c r="S46" s="185" t="n"/>
      <c r="T46" s="61" t="str">
        <f>VLOOKUP(A46,'1.Loading'!A:R,2,FALSE)</f>
        <v>2026-10-17</v>
      </c>
      <c r="U46" s="63">
        <f>T46-S46</f>
        <v>46312</v>
      </c>
      <c r="V46" s="186" t="n"/>
      <c r="W46" s="61" t="str">
        <f>VLOOKUP(A46,'3.GateMove'!A:D,4,FALSE)</f>
        <v>2026-10-12</v>
      </c>
      <c r="X46" s="63">
        <f>((T46-W46)+1)</f>
        <v>6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46313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2026-10-12</v>
      </c>
      <c r="AM46" s="60" t="str">
        <f>VLOOKUP(D46,'2.Bookinglist'!A:BK,63,FALSE)</f>
        <v>LCH27</v>
      </c>
      <c r="AN46" s="62" t="str">
        <f>VLOOKUP(D46,'2.Bookinglist'!A:AZ,52,FALSE)</f>
        <v>CY-RTN 09-11/10/26
</v>
      </c>
      <c r="AO46" s="62">
        <f>VLOOKUP(D46,'2.Bookinglist'!A:CY,103,FALSE)</f>
        <v>0</v>
      </c>
    </row>
    <row r="47" ht="12.95" customHeight="1">
      <c r="A47" s="96" t="inlineStr">
        <is>
          <t>SKHU9555662</t>
        </is>
      </c>
      <c r="B47" s="184" t="str">
        <f>IF(C47=Charge!$M$1,Charge!$J$1,IF(C47=Charge!$M$23,Charge!$J$23,IF(C47=Charge!$M$17,Charge!$J$17,IF(C47=Charge!$N$17,Charge!$J$17,Charge!$J$7))))</f>
        <v>G1</v>
      </c>
      <c r="C47" s="61" t="str">
        <f>VLOOKUP(A47,'1.Loading'!A:R,14,FALSE)</f>
        <v>LCH04</v>
      </c>
      <c r="D47" s="61" t="str">
        <f>VLOOKUP(A47,'1.Loading'!A:R,17,FALSE)</f>
        <v>HASLS22260900462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SWIC</v>
      </c>
      <c r="P47" s="61" t="str">
        <f>VLOOKUP(A47,'1.Loading'!A:R,4,FALSE)</f>
        <v>2611N</v>
      </c>
      <c r="Q47" s="61" t="str">
        <f>VLOOKUP(D47,'2.Bookinglist'!A:CT,12,FALSE)</f>
        <v>KHS1</v>
      </c>
      <c r="R47" s="60" t="str">
        <f>IF(LEFT(K47,2)="22","20'","40'")</f>
        <v>40'</v>
      </c>
      <c r="S47" s="185" t="n"/>
      <c r="T47" s="61" t="str">
        <f>VLOOKUP(A47,'1.Loading'!A:R,2,FALSE)</f>
        <v>2026-10-17</v>
      </c>
      <c r="U47" s="63">
        <f>T47-S47</f>
        <v>46312</v>
      </c>
      <c r="V47" s="186" t="n"/>
      <c r="W47" s="61" t="str">
        <f>VLOOKUP(A47,'3.GateMove'!A:D,4,FALSE)</f>
        <v>2026-10-11</v>
      </c>
      <c r="X47" s="63">
        <f>((T47-W47)+1)</f>
        <v>7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46313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2026-10-12</v>
      </c>
      <c r="AM47" s="60" t="str">
        <f>VLOOKUP(D47,'2.Bookinglist'!A:BK,63,FALSE)</f>
        <v>LCH27</v>
      </c>
      <c r="AN47" s="62" t="str">
        <f>VLOOKUP(D47,'2.Bookinglist'!A:AZ,52,FALSE)</f>
        <v>CY-RTN 09-11/10/26
</v>
      </c>
      <c r="AO47" s="62">
        <f>VLOOKUP(D47,'2.Bookinglist'!A:CY,103,FALSE)</f>
        <v>0</v>
      </c>
    </row>
    <row r="48" ht="12.95" customHeight="1">
      <c r="A48" s="96" t="inlineStr">
        <is>
          <t>SKHU9612696</t>
        </is>
      </c>
      <c r="B48" s="184" t="str">
        <f>IF(C48=Charge!$M$1,Charge!$J$1,IF(C48=Charge!$M$23,Charge!$J$23,IF(C48=Charge!$M$17,Charge!$J$17,IF(C48=Charge!$N$17,Charge!$J$17,Charge!$J$7))))</f>
        <v>G1</v>
      </c>
      <c r="C48" s="61" t="str">
        <f>VLOOKUP(A48,'1.Loading'!A:R,14,FALSE)</f>
        <v>LCH04</v>
      </c>
      <c r="D48" s="61" t="str">
        <f>VLOOKUP(A48,'1.Loading'!A:R,17,FALSE)</f>
        <v>HASLS22260902647</v>
      </c>
      <c r="E48" s="62" t="str">
        <f>VLOOKUP(D48,'2.Bookinglist'!A:CT,27,FALSE)</f>
        <v>ALL CARGO SOLUTIONS CO., LTD.</v>
      </c>
      <c r="F48" s="62" t="str">
        <f>VLOOKUP(D48,'2.Bookinglist'!A:CT,28,FALSE)</f>
        <v>SHEICO (THAILAND)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SWIC</v>
      </c>
      <c r="P48" s="61" t="str">
        <f>VLOOKUP(A48,'1.Loading'!A:R,4,FALSE)</f>
        <v>2611N</v>
      </c>
      <c r="Q48" s="61" t="str">
        <f>VLOOKUP(D48,'2.Bookinglist'!A:CT,12,FALSE)</f>
        <v>KHS1</v>
      </c>
      <c r="R48" s="60" t="str">
        <f>IF(LEFT(K48,2)="22","20'","40'")</f>
        <v>40'</v>
      </c>
      <c r="S48" s="185" t="n"/>
      <c r="T48" s="61" t="str">
        <f>VLOOKUP(A48,'1.Loading'!A:R,2,FALSE)</f>
        <v>2026-10-17</v>
      </c>
      <c r="U48" s="63">
        <f>T48-S48</f>
        <v>46312</v>
      </c>
      <c r="V48" s="186" t="n"/>
      <c r="W48" s="61" t="str">
        <f>VLOOKUP(A48,'3.GateMove'!A:D,4,FALSE)</f>
        <v>2026-10-10</v>
      </c>
      <c r="X48" s="63">
        <f>((T48-W48)+1)</f>
        <v>8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1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250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46313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250</v>
      </c>
      <c r="AJ48" s="188" t="n"/>
      <c r="AK48" s="62" t="str">
        <f>VLOOKUP(D48,'2.Bookinglist'!A:CT,40,FALSE)</f>
        <v>Arunphat W. (Aiw)</v>
      </c>
      <c r="AL48" s="60" t="str">
        <f>VLOOKUP(D48,'2.Bookinglist'!A:CW,101,FALSE)</f>
        <v>2026-10-16</v>
      </c>
      <c r="AM48" s="60" t="str">
        <f>VLOOKUP(D48,'2.Bookinglist'!A:BK,63,FALSE)</f>
        <v>LCHY5</v>
      </c>
      <c r="AN48" s="62" t="str">
        <f>VLOOKUP(D48,'2.Bookinglist'!A:AZ,52,FALSE)</f>
        <v>Pickup : 2026-10-09, Return : 2026-10-09 [1ST RTN 12/10/2026 W/O RENT]
** PLEASE CHECK OPEN GATE BEFORE RETURN CONTAINER ** </v>
      </c>
      <c r="AO48" s="62">
        <f>VLOOKUP(D48,'2.Bookinglist'!A:CY,103,FALSE)</f>
        <v>0</v>
      </c>
    </row>
    <row r="49" ht="12.95" customHeight="1">
      <c r="A49" s="96" t="inlineStr">
        <is>
          <t>SKHU9805062</t>
        </is>
      </c>
      <c r="B49" s="184" t="str">
        <f>IF(C49=Charge!$M$1,Charge!$J$1,IF(C49=Charge!$M$23,Charge!$J$23,IF(C49=Charge!$M$17,Charge!$J$17,IF(C49=Charge!$N$17,Charge!$J$17,Charge!$J$7))))</f>
        <v>G1</v>
      </c>
      <c r="C49" s="61" t="str">
        <f>VLOOKUP(A49,'1.Loading'!A:R,14,FALSE)</f>
        <v>LCH04</v>
      </c>
      <c r="D49" s="61" t="str">
        <f>VLOOKUP(A49,'1.Loading'!A:R,17,FALSE)</f>
        <v>HASLS22260901359</v>
      </c>
      <c r="E49" s="62" t="str">
        <f>VLOOKUP(D49,'2.Bookinglist'!A:CT,27,FALSE)</f>
        <v>LOTUS FREIGHT AND SERVICES CORP.,LTD.</v>
      </c>
      <c r="F49" s="62" t="str">
        <f>VLOOKUP(D49,'2.Bookinglist'!A:CT,28,FALSE)</f>
        <v>EXCEL ENTECH CO.,LTD.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VNSGN</v>
      </c>
      <c r="J49" s="61">
        <f>VLOOKUP(D49,'2.Bookinglist'!A:CT,26,FALSE)</f>
        <v>0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SWIC</v>
      </c>
      <c r="P49" s="61" t="str">
        <f>VLOOKUP(A49,'1.Loading'!A:R,4,FALSE)</f>
        <v>2611N</v>
      </c>
      <c r="Q49" s="61" t="str">
        <f>VLOOKUP(D49,'2.Bookinglist'!A:CT,12,FALSE)</f>
        <v>KHS1</v>
      </c>
      <c r="R49" s="60" t="str">
        <f>IF(LEFT(K49,2)="22","20'","40'")</f>
        <v>40'</v>
      </c>
      <c r="S49" s="185" t="n"/>
      <c r="T49" s="61" t="str">
        <f>VLOOKUP(A49,'1.Loading'!A:R,2,FALSE)</f>
        <v>2026-10-17</v>
      </c>
      <c r="U49" s="63">
        <f>T49-S49</f>
        <v>46312</v>
      </c>
      <c r="V49" s="186" t="n"/>
      <c r="W49" s="61" t="str">
        <f>VLOOKUP(A49,'3.GateMove'!A:D,4,FALSE)</f>
        <v>2026-10-12</v>
      </c>
      <c r="X49" s="63">
        <f>((T49-W49)+1)</f>
        <v>6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0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46313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0</v>
      </c>
      <c r="AJ49" s="188" t="n"/>
      <c r="AK49" s="62" t="str">
        <f>VLOOKUP(D49,'2.Bookinglist'!A:CT,40,FALSE)</f>
        <v>Sukunpoj Damrongying</v>
      </c>
      <c r="AL49" s="60" t="str">
        <f>VLOOKUP(D49,'2.Bookinglist'!A:CW,101,FALSE)</f>
        <v>2026-10-13</v>
      </c>
      <c r="AM49" s="60" t="str">
        <f>VLOOKUP(D49,'2.Bookinglist'!A:BK,63,FALSE)</f>
        <v>LCH20</v>
      </c>
      <c r="AN49" s="62" t="str">
        <f>VLOOKUP(D49,'2.Bookinglist'!A:AZ,52,FALSE)</f>
        <v>*APPROVAL BY MR.M.J CHANG DD.21/09/2026  **
Pickup : 2026-10-09, Return : 2026-10-10 
1X40'HC &amp; 1X20'FR OOG 5 TEUS, CY AT  PW DEPOT // 1X40'FR OOG 10 TEUS  CY AT YJC LMH // EXTEND CLOSING DD.14/10/26 @23.59</v>
      </c>
      <c r="AO49" s="62">
        <f>VLOOKUP(D49,'2.Bookinglist'!A:CY,103,FALSE)</f>
        <v>0</v>
      </c>
    </row>
    <row r="50" ht="12.95" customHeight="1">
      <c r="A50" s="96" t="inlineStr">
        <is>
          <t>SKHU9827919</t>
        </is>
      </c>
      <c r="B50" s="184" t="str">
        <f>IF(C50=Charge!$M$1,Charge!$J$1,IF(C50=Charge!$M$23,Charge!$J$23,IF(C50=Charge!$M$17,Charge!$J$17,IF(C50=Charge!$N$17,Charge!$J$17,Charge!$J$7))))</f>
        <v>G1</v>
      </c>
      <c r="C50" s="61" t="str">
        <f>VLOOKUP(A50,'1.Loading'!A:R,14,FALSE)</f>
        <v>LCH04</v>
      </c>
      <c r="D50" s="61" t="str">
        <f>VLOOKUP(A50,'1.Loading'!A:R,17,FALSE)</f>
        <v>HASLS22260800970</v>
      </c>
      <c r="E50" s="62" t="str">
        <f>VLOOKUP(D50,'2.Bookinglist'!A:CT,27,FALSE)</f>
        <v>WHA GC LOGISTICS COMPANY LIMITED</v>
      </c>
      <c r="F50" s="62" t="str">
        <f>VLOOKUP(D50,'2.Bookinglist'!A:CT,28,FALSE)</f>
        <v>PTT GLOBAL CHEMICAL PUBLIC COMPANY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SWIC</v>
      </c>
      <c r="P50" s="61" t="str">
        <f>VLOOKUP(A50,'1.Loading'!A:R,4,FALSE)</f>
        <v>2611N</v>
      </c>
      <c r="Q50" s="61" t="str">
        <f>VLOOKUP(D50,'2.Bookinglist'!A:CT,12,FALSE)</f>
        <v>KHS1</v>
      </c>
      <c r="R50" s="60" t="str">
        <f>IF(LEFT(K50,2)="22","20'","40'")</f>
        <v>40'</v>
      </c>
      <c r="S50" s="185" t="n"/>
      <c r="T50" s="61" t="str">
        <f>VLOOKUP(A50,'1.Loading'!A:R,2,FALSE)</f>
        <v>2026-10-17</v>
      </c>
      <c r="U50" s="63">
        <f>T50-S50</f>
        <v>46312</v>
      </c>
      <c r="V50" s="186" t="n"/>
      <c r="W50" s="61" t="str">
        <f>VLOOKUP(A50,'3.GateMove'!A:D,4,FALSE)</f>
        <v>2026-10-13</v>
      </c>
      <c r="X50" s="63">
        <f>((T50-W50)+1)</f>
        <v>5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0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46313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0</v>
      </c>
      <c r="AJ50" s="188" t="n"/>
      <c r="AK50" s="62" t="str">
        <f>VLOOKUP(D50,'2.Bookinglist'!A:CT,40,FALSE)</f>
        <v>Dharaporn</v>
      </c>
      <c r="AL50" s="60" t="str">
        <f>VLOOKUP(D50,'2.Bookinglist'!A:CW,101,FALSE)</f>
        <v>2026-10-10</v>
      </c>
      <c r="AM50" s="60" t="str">
        <f>VLOOKUP(D50,'2.Bookinglist'!A:BK,63,FALSE)</f>
        <v>LCHY5</v>
      </c>
      <c r="AN50" s="62" t="str">
        <f>VLOOKUP(D50,'2.Bookinglist'!A:AZ,52,FALSE)</f>
        <v>CY : 02/10/26 , RTN : 04/10/26 [1ST RTN 08/10/2026 W/O RENT]
** PLEASE CHECK OPEN GATE BEFORE RETURN CONTAINER ** 
</v>
      </c>
      <c r="AO50" s="62">
        <f>VLOOKUP(D50,'2.Bookinglist'!A:CY,103,FALSE)</f>
        <v>0</v>
      </c>
    </row>
    <row r="51" ht="12.95" customHeight="1">
      <c r="A51" s="96" t="inlineStr">
        <is>
          <t>SKHU9919110</t>
        </is>
      </c>
      <c r="B51" s="184" t="str">
        <f>IF(C51=Charge!$M$1,Charge!$J$1,IF(C51=Charge!$M$23,Charge!$J$23,IF(C51=Charge!$M$17,Charge!$J$17,IF(C51=Charge!$N$17,Charge!$J$17,Charge!$J$7))))</f>
        <v>G1</v>
      </c>
      <c r="C51" s="61" t="str">
        <f>VLOOKUP(A51,'1.Loading'!A:R,14,FALSE)</f>
        <v>LCH04</v>
      </c>
      <c r="D51" s="61" t="str">
        <f>VLOOKUP(A51,'1.Loading'!A:R,17,FALSE)</f>
        <v>HASLS22260902744</v>
      </c>
      <c r="E51" s="62" t="str">
        <f>VLOOKUP(D51,'2.Bookinglist'!A:CT,27,FALSE)</f>
        <v>CANVAS GLOBAL LOGISTICS (THAILAND) CO., LTD.</v>
      </c>
      <c r="F51" s="62" t="str">
        <f>VLOOKUP(D51,'2.Bookinglist'!A:CT,28,FALSE)</f>
        <v>SANJIANG CHEMICAL FIBER (THAILAND) CO.,LTD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VNSGN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SWIC</v>
      </c>
      <c r="P51" s="61" t="str">
        <f>VLOOKUP(A51,'1.Loading'!A:R,4,FALSE)</f>
        <v>2611N</v>
      </c>
      <c r="Q51" s="61" t="str">
        <f>VLOOKUP(D51,'2.Bookinglist'!A:CT,12,FALSE)</f>
        <v>KHS1</v>
      </c>
      <c r="R51" s="60" t="str">
        <f>IF(LEFT(K51,2)="22","20'","40'")</f>
        <v>40'</v>
      </c>
      <c r="S51" s="185" t="n"/>
      <c r="T51" s="61" t="str">
        <f>VLOOKUP(A51,'1.Loading'!A:R,2,FALSE)</f>
        <v>2026-10-17</v>
      </c>
      <c r="U51" s="63">
        <f>T51-S51</f>
        <v>46312</v>
      </c>
      <c r="V51" s="186" t="n"/>
      <c r="W51" s="61" t="str">
        <f>VLOOKUP(A51,'3.GateMove'!A:D,4,FALSE)</f>
        <v>2026-10-12</v>
      </c>
      <c r="X51" s="63">
        <f>((T51-W51)+1)</f>
        <v>6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0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46313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0</v>
      </c>
      <c r="AJ51" s="188" t="n"/>
      <c r="AK51" s="62" t="str">
        <f>VLOOKUP(D51,'2.Bookinglist'!A:CT,40,FALSE)</f>
        <v>Arunphat W. (Aiw)</v>
      </c>
      <c r="AL51" s="60" t="str">
        <f>VLOOKUP(D51,'2.Bookinglist'!A:CW,101,FALSE)</f>
        <v>2026-10-14</v>
      </c>
      <c r="AM51" s="60" t="str">
        <f>VLOOKUP(D51,'2.Bookinglist'!A:BK,63,FALSE)</f>
        <v>LCHY5</v>
      </c>
      <c r="AN51" s="62" t="str">
        <f>VLOOKUP(D51,'2.Bookinglist'!A:AZ,52,FALSE)</f>
        <v>Pickup : 2026-10-10, Return : 2026-10-12</v>
      </c>
      <c r="AO51" s="62">
        <f>VLOOKUP(D51,'2.Bookinglist'!A:CY,103,FALSE)</f>
        <v>0</v>
      </c>
    </row>
    <row r="52" ht="12.95" customHeight="1">
      <c r="A52" s="96" t="inlineStr">
        <is>
          <t>SKHU9924863</t>
        </is>
      </c>
      <c r="B52" s="184" t="str">
        <f>IF(C52=Charge!$M$1,Charge!$J$1,IF(C52=Charge!$M$23,Charge!$J$23,IF(C52=Charge!$M$17,Charge!$J$17,IF(C52=Charge!$N$17,Charge!$J$17,Charge!$J$7))))</f>
        <v>G1</v>
      </c>
      <c r="C52" s="61" t="str">
        <f>VLOOKUP(A52,'1.Loading'!A:R,14,FALSE)</f>
        <v>LCH04</v>
      </c>
      <c r="D52" s="61" t="str">
        <f>VLOOKUP(A52,'1.Loading'!A:R,17,FALSE)</f>
        <v>HASLS22260900462</v>
      </c>
      <c r="E52" s="62" t="str">
        <f>VLOOKUP(D52,'2.Bookinglist'!A:CT,27,FALSE)</f>
        <v>WHA GC LOGISTICS COMPANY LIMITED</v>
      </c>
      <c r="F52" s="62" t="str">
        <f>VLOOKUP(D52,'2.Bookinglist'!A:CT,28,FALSE)</f>
        <v>PTT GLOBAL CHEMICAL PUBLIC COMPANY LIMITED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VNSGN</v>
      </c>
      <c r="J52" s="61">
        <f>VLOOKUP(D52,'2.Bookinglist'!A:CT,26,FALSE)</f>
        <v>0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SWIC</v>
      </c>
      <c r="P52" s="61" t="str">
        <f>VLOOKUP(A52,'1.Loading'!A:R,4,FALSE)</f>
        <v>2611N</v>
      </c>
      <c r="Q52" s="61" t="str">
        <f>VLOOKUP(D52,'2.Bookinglist'!A:CT,12,FALSE)</f>
        <v>KHS1</v>
      </c>
      <c r="R52" s="60" t="str">
        <f>IF(LEFT(K52,2)="22","20'","40'")</f>
        <v>40'</v>
      </c>
      <c r="S52" s="185" t="n"/>
      <c r="T52" s="61" t="str">
        <f>VLOOKUP(A52,'1.Loading'!A:R,2,FALSE)</f>
        <v>2026-10-17</v>
      </c>
      <c r="U52" s="63">
        <f>T52-S52</f>
        <v>46312</v>
      </c>
      <c r="V52" s="186" t="n"/>
      <c r="W52" s="61" t="str">
        <f>VLOOKUP(A52,'3.GateMove'!A:D,4,FALSE)</f>
        <v>2026-10-12</v>
      </c>
      <c r="X52" s="63">
        <f>((T52-W52)+1)</f>
        <v>6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0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46313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0</v>
      </c>
      <c r="AJ52" s="188" t="n"/>
      <c r="AK52" s="62" t="str">
        <f>VLOOKUP(D52,'2.Bookinglist'!A:CT,40,FALSE)</f>
        <v>Dharaporn</v>
      </c>
      <c r="AL52" s="60" t="str">
        <f>VLOOKUP(D52,'2.Bookinglist'!A:CW,101,FALSE)</f>
        <v>2026-10-12</v>
      </c>
      <c r="AM52" s="60" t="str">
        <f>VLOOKUP(D52,'2.Bookinglist'!A:BK,63,FALSE)</f>
        <v>LCH27</v>
      </c>
      <c r="AN52" s="62" t="str">
        <f>VLOOKUP(D52,'2.Bookinglist'!A:AZ,52,FALSE)</f>
        <v>CY-RTN 09-11/10/26
</v>
      </c>
      <c r="AO52" s="62">
        <f>VLOOKUP(D52,'2.Bookinglist'!A:CY,103,FALSE)</f>
        <v>0</v>
      </c>
    </row>
    <row r="53" ht="12.95" customHeight="1">
      <c r="A53" s="96" t="inlineStr">
        <is>
          <t>SKHU9931796</t>
        </is>
      </c>
      <c r="B53" s="184" t="str">
        <f>IF(C53=Charge!$M$1,Charge!$J$1,IF(C53=Charge!$M$23,Charge!$J$23,IF(C53=Charge!$M$17,Charge!$J$17,IF(C53=Charge!$N$17,Charge!$J$17,Charge!$J$7))))</f>
        <v>G1</v>
      </c>
      <c r="C53" s="61" t="str">
        <f>VLOOKUP(A53,'1.Loading'!A:R,14,FALSE)</f>
        <v>LCH04</v>
      </c>
      <c r="D53" s="61" t="str">
        <f>VLOOKUP(A53,'1.Loading'!A:R,17,FALSE)</f>
        <v>HASLS22260900462</v>
      </c>
      <c r="E53" s="62" t="str">
        <f>VLOOKUP(D53,'2.Bookinglist'!A:CT,27,FALSE)</f>
        <v>WHA GC LOGISTICS COMPANY LIMITED</v>
      </c>
      <c r="F53" s="62" t="str">
        <f>VLOOKUP(D53,'2.Bookinglist'!A:CT,28,FALSE)</f>
        <v>PTT GLOBAL CHEMICAL PUBLIC COMPANY LIMITED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VNSGN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SWIC</v>
      </c>
      <c r="P53" s="61" t="str">
        <f>VLOOKUP(A53,'1.Loading'!A:R,4,FALSE)</f>
        <v>2611N</v>
      </c>
      <c r="Q53" s="61" t="str">
        <f>VLOOKUP(D53,'2.Bookinglist'!A:CT,12,FALSE)</f>
        <v>KHS1</v>
      </c>
      <c r="R53" s="60" t="str">
        <f>IF(LEFT(K53,2)="22","20'","40'")</f>
        <v>40'</v>
      </c>
      <c r="S53" s="185" t="n"/>
      <c r="T53" s="61" t="str">
        <f>VLOOKUP(A53,'1.Loading'!A:R,2,FALSE)</f>
        <v>2026-10-17</v>
      </c>
      <c r="U53" s="63">
        <f>T53-S53</f>
        <v>46312</v>
      </c>
      <c r="V53" s="186" t="n"/>
      <c r="W53" s="61" t="str">
        <f>VLOOKUP(A53,'3.GateMove'!A:D,4,FALSE)</f>
        <v>2026-10-13</v>
      </c>
      <c r="X53" s="63">
        <f>((T53-W53)+1)</f>
        <v>5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0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46313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2026-10-12</v>
      </c>
      <c r="AM53" s="60" t="str">
        <f>VLOOKUP(D53,'2.Bookinglist'!A:BK,63,FALSE)</f>
        <v>LCH27</v>
      </c>
      <c r="AN53" s="62" t="str">
        <f>VLOOKUP(D53,'2.Bookinglist'!A:AZ,52,FALSE)</f>
        <v>CY-RTN 09-11/10/26
</v>
      </c>
      <c r="AO53" s="62">
        <f>VLOOKUP(D53,'2.Bookinglist'!A:CY,103,FALSE)</f>
        <v>0</v>
      </c>
    </row>
    <row r="54" ht="12.95" customHeight="1">
      <c r="A54" s="96" t="inlineStr">
        <is>
          <t>SKHU9931991</t>
        </is>
      </c>
      <c r="B54" s="184" t="str">
        <f>IF(C54=Charge!$M$1,Charge!$J$1,IF(C54=Charge!$M$23,Charge!$J$23,IF(C54=Charge!$M$17,Charge!$J$17,IF(C54=Charge!$N$17,Charge!$J$17,Charge!$J$7))))</f>
        <v>G1</v>
      </c>
      <c r="C54" s="61" t="str">
        <f>VLOOKUP(A54,'1.Loading'!A:R,14,FALSE)</f>
        <v>LCH04</v>
      </c>
      <c r="D54" s="61" t="str">
        <f>VLOOKUP(A54,'1.Loading'!A:R,17,FALSE)</f>
        <v>HASLS22260901519</v>
      </c>
      <c r="E54" s="62" t="str">
        <f>VLOOKUP(D54,'2.Bookinglist'!A:CT,27,FALSE)</f>
        <v>WHA GC LOGISTICS COMPANY LIMITED</v>
      </c>
      <c r="F54" s="62" t="str">
        <f>VLOOKUP(D54,'2.Bookinglist'!A:CT,28,FALSE)</f>
        <v>PTT GLOBAL CHEMICAL PUBLIC COMPANY LIMITED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JPKIJ</v>
      </c>
      <c r="J54" s="61" t="str">
        <f>VLOOKUP(D54,'2.Bookinglist'!A:CT,26,FALSE)</f>
        <v>KRPUS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SWIC</v>
      </c>
      <c r="P54" s="61" t="str">
        <f>VLOOKUP(A54,'1.Loading'!A:R,4,FALSE)</f>
        <v>2611N</v>
      </c>
      <c r="Q54" s="61" t="str">
        <f>VLOOKUP(D54,'2.Bookinglist'!A:CT,12,FALSE)</f>
        <v>KHS1</v>
      </c>
      <c r="R54" s="60" t="str">
        <f>IF(LEFT(K54,2)="22","20'","40'")</f>
        <v>40'</v>
      </c>
      <c r="S54" s="185" t="n"/>
      <c r="T54" s="61" t="str">
        <f>VLOOKUP(A54,'1.Loading'!A:R,2,FALSE)</f>
        <v>2026-10-17</v>
      </c>
      <c r="U54" s="63">
        <f>T54-S54</f>
        <v>46312</v>
      </c>
      <c r="V54" s="186" t="n"/>
      <c r="W54" s="61" t="str">
        <f>VLOOKUP(A54,'3.GateMove'!A:D,4,FALSE)</f>
        <v>2026-10-13</v>
      </c>
      <c r="X54" s="63">
        <f>((T54-W54)+1)</f>
        <v>5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0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46313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0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2026-10-15</v>
      </c>
      <c r="AM54" s="60" t="str">
        <f>VLOOKUP(D54,'2.Bookinglist'!A:BK,63,FALSE)</f>
        <v>LCHY5</v>
      </c>
      <c r="AN54" s="62" t="str">
        <f>VLOOKUP(D54,'2.Bookinglist'!A:AZ,52,FALSE)</f>
        <v>CY 28/09/26 , RTN 04/10/26 (PR2610002658 )
*PLS CHECK OPEN GATE BEFORE RETURN CTNR*</v>
      </c>
      <c r="AO54" s="62" t="str">
        <f>VLOOKUP(D54,'2.Bookinglist'!A:CY,103,FALSE)</f>
        <v>ROLL OVER FROM PREVIOUS VSL SWRG 2609N BY ALLOCATION TEAM MS.TAN APPROVED COST IS UNDER HA DD.09/10</v>
      </c>
    </row>
    <row r="55" ht="12.95" customHeight="1">
      <c r="A55" s="96" t="inlineStr">
        <is>
          <t>SKHU9936437</t>
        </is>
      </c>
      <c r="B55" s="184" t="str">
        <f>IF(C55=Charge!$M$1,Charge!$J$1,IF(C55=Charge!$M$23,Charge!$J$23,IF(C55=Charge!$M$17,Charge!$J$17,IF(C55=Charge!$N$17,Charge!$J$17,Charge!$J$7))))</f>
        <v>G1</v>
      </c>
      <c r="C55" s="61" t="str">
        <f>VLOOKUP(A55,'1.Loading'!A:R,14,FALSE)</f>
        <v>LCH04</v>
      </c>
      <c r="D55" s="61" t="str">
        <f>VLOOKUP(A55,'1.Loading'!A:R,17,FALSE)</f>
        <v>HASLS22260800970</v>
      </c>
      <c r="E55" s="62" t="str">
        <f>VLOOKUP(D55,'2.Bookinglist'!A:CT,27,FALSE)</f>
        <v>WHA GC LOGISTICS COMPANY LIMITED</v>
      </c>
      <c r="F55" s="62" t="str">
        <f>VLOOKUP(D55,'2.Bookinglist'!A:CT,28,FALSE)</f>
        <v>PTT GLOBAL CHEMICAL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VNSGN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SWIC</v>
      </c>
      <c r="P55" s="61" t="str">
        <f>VLOOKUP(A55,'1.Loading'!A:R,4,FALSE)</f>
        <v>2611N</v>
      </c>
      <c r="Q55" s="61" t="str">
        <f>VLOOKUP(D55,'2.Bookinglist'!A:CT,12,FALSE)</f>
        <v>KHS1</v>
      </c>
      <c r="R55" s="60" t="str">
        <f>IF(LEFT(K55,2)="22","20'","40'")</f>
        <v>40'</v>
      </c>
      <c r="S55" s="185" t="n"/>
      <c r="T55" s="61" t="str">
        <f>VLOOKUP(A55,'1.Loading'!A:R,2,FALSE)</f>
        <v>2026-10-17</v>
      </c>
      <c r="U55" s="63">
        <f>T55-S55</f>
        <v>46312</v>
      </c>
      <c r="V55" s="186" t="n"/>
      <c r="W55" s="61" t="str">
        <f>VLOOKUP(A55,'3.GateMove'!A:D,4,FALSE)</f>
        <v>2026-10-13</v>
      </c>
      <c r="X55" s="63">
        <f>((T55-W55)+1)</f>
        <v>5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46313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Dharaporn</v>
      </c>
      <c r="AL55" s="60" t="str">
        <f>VLOOKUP(D55,'2.Bookinglist'!A:CW,101,FALSE)</f>
        <v>2026-10-10</v>
      </c>
      <c r="AM55" s="60" t="str">
        <f>VLOOKUP(D55,'2.Bookinglist'!A:BK,63,FALSE)</f>
        <v>LCHY5</v>
      </c>
      <c r="AN55" s="62" t="str">
        <f>VLOOKUP(D55,'2.Bookinglist'!A:AZ,52,FALSE)</f>
        <v>CY : 02/10/26 , RTN : 04/10/26 [1ST RTN 08/10/2026 W/O RENT]
** PLEASE CHECK OPEN GATE BEFORE RETURN CONTAINER ** 
</v>
      </c>
      <c r="AO55" s="62">
        <f>VLOOKUP(D55,'2.Bookinglist'!A:CY,103,FALSE)</f>
        <v>0</v>
      </c>
    </row>
    <row r="56" ht="12.95" customHeight="1">
      <c r="A56" s="96" t="inlineStr">
        <is>
          <t>SKLU0553775</t>
        </is>
      </c>
      <c r="B56" s="184" t="str">
        <f>IF(C56=Charge!$M$1,Charge!$J$1,IF(C56=Charge!$M$23,Charge!$J$23,IF(C56=Charge!$M$17,Charge!$J$17,IF(C56=Charge!$N$17,Charge!$J$17,Charge!$J$7))))</f>
        <v>G1</v>
      </c>
      <c r="C56" s="61" t="str">
        <f>VLOOKUP(A56,'1.Loading'!A:R,14,FALSE)</f>
        <v>LCH04</v>
      </c>
      <c r="D56" s="61" t="str">
        <f>VLOOKUP(A56,'1.Loading'!A:R,17,FALSE)</f>
        <v>HASLS22260800966</v>
      </c>
      <c r="E56" s="62" t="str">
        <f>VLOOKUP(D56,'2.Bookinglist'!A:CT,27,FALSE)</f>
        <v>WHA GC LOGISTICS COMPANY LIMITED</v>
      </c>
      <c r="F56" s="62" t="str">
        <f>VLOOKUP(D56,'2.Bookinglist'!A:CT,28,FALSE)</f>
        <v>PTT GLOBAL CHEMICAL PUBLIC COMPANY LIMITED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VNSGN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SWIC</v>
      </c>
      <c r="P56" s="61" t="str">
        <f>VLOOKUP(A56,'1.Loading'!A:R,4,FALSE)</f>
        <v>2611N</v>
      </c>
      <c r="Q56" s="61" t="str">
        <f>VLOOKUP(D56,'2.Bookinglist'!A:CT,12,FALSE)</f>
        <v>KHS1</v>
      </c>
      <c r="R56" s="60" t="str">
        <f>IF(LEFT(K56,2)="22","20'","40'")</f>
        <v>20'</v>
      </c>
      <c r="S56" s="185" t="n"/>
      <c r="T56" s="61" t="str">
        <f>VLOOKUP(A56,'1.Loading'!A:R,2,FALSE)</f>
        <v>2026-10-17</v>
      </c>
      <c r="U56" s="63">
        <f>T56-S56</f>
        <v>46312</v>
      </c>
      <c r="V56" s="186" t="n"/>
      <c r="W56" s="61" t="str">
        <f>VLOOKUP(A56,'3.GateMove'!A:D,4,FALSE)</f>
        <v>2026-10-13</v>
      </c>
      <c r="X56" s="63">
        <f>((T56-W56)+1)</f>
        <v>5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0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46313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0</v>
      </c>
      <c r="AJ56" s="188" t="n"/>
      <c r="AK56" s="62" t="str">
        <f>VLOOKUP(D56,'2.Bookinglist'!A:CT,40,FALSE)</f>
        <v>Dharaporn</v>
      </c>
      <c r="AL56" s="60" t="str">
        <f>VLOOKUP(D56,'2.Bookinglist'!A:CW,101,FALSE)</f>
        <v>2026-10-16</v>
      </c>
      <c r="AM56" s="60" t="str">
        <f>VLOOKUP(D56,'2.Bookinglist'!A:BK,63,FALSE)</f>
        <v>LCHY5</v>
      </c>
      <c r="AN56" s="62" t="str">
        <f>VLOOKUP(D56,'2.Bookinglist'!A:AZ,52,FALSE)</f>
        <v>CY 02/10/26 , RTN 08/10/26
*PLS CHECK OPEN GATE BEFOER RETURN CTNR*</v>
      </c>
      <c r="AO56" s="62" t="str">
        <f>VLOOKUP(D56,'2.Bookinglist'!A:CY,103,FALSE)</f>
        <v>ROLL OVER FROM PREVIOUS VSL PGPO 2612N BY ALLOCATION TEAM MS.TARN APPROVED COST IS UNDER HA DD.13/10</v>
      </c>
    </row>
    <row r="57" ht="12.95" customHeight="1">
      <c r="A57" s="96" t="inlineStr">
        <is>
          <t>SKLU1102523</t>
        </is>
      </c>
      <c r="B57" s="184" t="str">
        <f>IF(C57=Charge!$M$1,Charge!$J$1,IF(C57=Charge!$M$23,Charge!$J$23,IF(C57=Charge!$M$17,Charge!$J$17,IF(C57=Charge!$N$17,Charge!$J$17,Charge!$J$7))))</f>
        <v>G1</v>
      </c>
      <c r="C57" s="61" t="str">
        <f>VLOOKUP(A57,'1.Loading'!A:R,14,FALSE)</f>
        <v>LCH04</v>
      </c>
      <c r="D57" s="61" t="str">
        <f>VLOOKUP(A57,'1.Loading'!A:R,17,FALSE)</f>
        <v>HASLS22260900838</v>
      </c>
      <c r="E57" s="62" t="str">
        <f>VLOOKUP(D57,'2.Bookinglist'!A:CT,27,FALSE)</f>
        <v>SCGJWD LOGISTICS PUBLIC COMPANY LIMITED</v>
      </c>
      <c r="F57" s="62" t="str">
        <f>VLOOKUP(D57,'2.Bookinglist'!A:CT,28,FALSE)</f>
        <v>THAI POLYETHYLENE CO., LTD.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JPNAH</v>
      </c>
      <c r="J57" s="61" t="str">
        <f>VLOOKUP(D57,'2.Bookinglist'!A:CT,26,FALSE)</f>
        <v>KRPUS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SWIC</v>
      </c>
      <c r="P57" s="61" t="str">
        <f>VLOOKUP(A57,'1.Loading'!A:R,4,FALSE)</f>
        <v>2611N</v>
      </c>
      <c r="Q57" s="61" t="str">
        <f>VLOOKUP(D57,'2.Bookinglist'!A:CT,12,FALSE)</f>
        <v>KHS1</v>
      </c>
      <c r="R57" s="60" t="str">
        <f>IF(LEFT(K57,2)="22","20'","40'")</f>
        <v>20'</v>
      </c>
      <c r="S57" s="185" t="n"/>
      <c r="T57" s="61" t="str">
        <f>VLOOKUP(A57,'1.Loading'!A:R,2,FALSE)</f>
        <v>2026-10-17</v>
      </c>
      <c r="U57" s="63">
        <f>T57-S57</f>
        <v>46312</v>
      </c>
      <c r="V57" s="186" t="n"/>
      <c r="W57" s="61" t="str">
        <f>VLOOKUP(A57,'3.GateMove'!A:D,4,FALSE)</f>
        <v>2026-10-13</v>
      </c>
      <c r="X57" s="63">
        <f>((T57-W57)+1)</f>
        <v>5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0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46313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0</v>
      </c>
      <c r="AJ57" s="188" t="n"/>
      <c r="AK57" s="62" t="str">
        <f>VLOOKUP(D57,'2.Bookinglist'!A:CT,40,FALSE)</f>
        <v>Kanokporn</v>
      </c>
      <c r="AL57" s="60" t="str">
        <f>VLOOKUP(D57,'2.Bookinglist'!A:CW,101,FALSE)</f>
        <v>2026-10-15</v>
      </c>
      <c r="AM57" s="60" t="str">
        <f>VLOOKUP(D57,'2.Bookinglist'!A:BK,63,FALSE)</f>
        <v>LCH28</v>
      </c>
      <c r="AN57" s="62" t="str">
        <f>VLOOKUP(D57,'2.Bookinglist'!A:AZ,52,FALSE)</f>
        <v>CY 30/09/26 , RTN 02/10/26 (  INV  3031061819 ) </v>
      </c>
      <c r="AO57" s="62" t="str">
        <f>VLOOKUP(D57,'2.Bookinglist'!A:CY,103,FALSE)</f>
        <v>ROLL OVER FROM PREVIOUS VSL SWRG 2609N BY ALLOCATION TEAM MS.TAN APPROVED COST IS UNDER HA DD.09/10</v>
      </c>
    </row>
    <row r="58" ht="12.95" customHeight="1">
      <c r="A58" s="96" t="inlineStr">
        <is>
          <t>SKLU1105667</t>
        </is>
      </c>
      <c r="B58" s="184" t="str">
        <f>IF(C58=Charge!$M$1,Charge!$J$1,IF(C58=Charge!$M$23,Charge!$J$23,IF(C58=Charge!$M$17,Charge!$J$17,IF(C58=Charge!$N$17,Charge!$J$17,Charge!$J$7))))</f>
        <v>G1</v>
      </c>
      <c r="C58" s="61" t="str">
        <f>VLOOKUP(A58,'1.Loading'!A:R,14,FALSE)</f>
        <v>LCH04</v>
      </c>
      <c r="D58" s="61" t="str">
        <f>VLOOKUP(A58,'1.Loading'!A:R,17,FALSE)</f>
        <v>HASLS22260902818</v>
      </c>
      <c r="E58" s="62" t="str">
        <f>VLOOKUP(D58,'2.Bookinglist'!A:CT,27,FALSE)</f>
        <v>WHA GC LOGISTICS COMPANY LIMITED</v>
      </c>
      <c r="F58" s="62" t="str">
        <f>VLOOKUP(D58,'2.Bookinglist'!A:CT,28,FALSE)</f>
        <v>PTT GLOBAL CHEMICAL PUBLIC COMPANY LIMITED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VNSGN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SWIC</v>
      </c>
      <c r="P58" s="61" t="str">
        <f>VLOOKUP(A58,'1.Loading'!A:R,4,FALSE)</f>
        <v>2611N</v>
      </c>
      <c r="Q58" s="61" t="str">
        <f>VLOOKUP(D58,'2.Bookinglist'!A:CT,12,FALSE)</f>
        <v>KHS1</v>
      </c>
      <c r="R58" s="60" t="str">
        <f>IF(LEFT(K58,2)="22","20'","40'")</f>
        <v>20'</v>
      </c>
      <c r="S58" s="185" t="n"/>
      <c r="T58" s="61" t="str">
        <f>VLOOKUP(A58,'1.Loading'!A:R,2,FALSE)</f>
        <v>2026-10-17</v>
      </c>
      <c r="U58" s="63">
        <f>T58-S58</f>
        <v>46312</v>
      </c>
      <c r="V58" s="186" t="n"/>
      <c r="W58" s="61" t="str">
        <f>VLOOKUP(A58,'3.GateMove'!A:D,4,FALSE)</f>
        <v>2026-10-13</v>
      </c>
      <c r="X58" s="63">
        <f>((T58-W58)+1)</f>
        <v>5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0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46313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0</v>
      </c>
      <c r="AJ58" s="188" t="n"/>
      <c r="AK58" s="62" t="str">
        <f>VLOOKUP(D58,'2.Bookinglist'!A:CT,40,FALSE)</f>
        <v>Dharaporn</v>
      </c>
      <c r="AL58" s="60" t="str">
        <f>VLOOKUP(D58,'2.Bookinglist'!A:CW,101,FALSE)</f>
        <v>2026-10-16</v>
      </c>
      <c r="AM58" s="60" t="str">
        <f>VLOOKUP(D58,'2.Bookinglist'!A:BK,63,FALSE)</f>
        <v>LCHY5</v>
      </c>
      <c r="AN58" s="62" t="str">
        <f>VLOOKUP(D58,'2.Bookinglist'!A:AZ,52,FALSE)</f>
        <v>CY 02/10/26 , RTN 08/10/26
*PLS CHECK OPEN GATE BEFOER RETURN CTNR*</v>
      </c>
      <c r="AO58" s="62" t="str">
        <f>VLOOKUP(D58,'2.Bookinglist'!A:CY,103,FALSE)</f>
        <v>ROLL OVER FROM PREVIOUS VSL PGPO 2612N BY ALLOCATION TEAM MS.TARN APPROVED COST IS UNDER HA DD.13/10</v>
      </c>
    </row>
    <row r="59" ht="12.95" customHeight="1">
      <c r="A59" s="96" t="inlineStr">
        <is>
          <t>SKLU1115773</t>
        </is>
      </c>
      <c r="B59" s="184" t="str">
        <f>IF(C59=Charge!$M$1,Charge!$J$1,IF(C59=Charge!$M$23,Charge!$J$23,IF(C59=Charge!$M$17,Charge!$J$17,IF(C59=Charge!$N$17,Charge!$J$17,Charge!$J$7))))</f>
        <v>G1</v>
      </c>
      <c r="C59" s="61" t="str">
        <f>VLOOKUP(A59,'1.Loading'!A:R,14,FALSE)</f>
        <v>LCH04</v>
      </c>
      <c r="D59" s="61" t="str">
        <f>VLOOKUP(A59,'1.Loading'!A:R,17,FALSE)</f>
        <v>HASLS22260902390</v>
      </c>
      <c r="E59" s="62" t="str">
        <f>VLOOKUP(D59,'2.Bookinglist'!A:CT,27,FALSE)</f>
        <v>IRPC PUBLIC COMPANY LIMITED</v>
      </c>
      <c r="F59" s="62" t="str">
        <f>VLOOKUP(D59,'2.Bookinglist'!A:CT,28,FALSE)</f>
        <v>IRPC PUBLIC COMPANY LIMITED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JPKIJ</v>
      </c>
      <c r="J59" s="61" t="str">
        <f>VLOOKUP(D59,'2.Bookinglist'!A:CT,26,FALSE)</f>
        <v>KRPUS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SWIC</v>
      </c>
      <c r="P59" s="61" t="str">
        <f>VLOOKUP(A59,'1.Loading'!A:R,4,FALSE)</f>
        <v>2611N</v>
      </c>
      <c r="Q59" s="61" t="str">
        <f>VLOOKUP(D59,'2.Bookinglist'!A:CT,12,FALSE)</f>
        <v>KHS1</v>
      </c>
      <c r="R59" s="60" t="str">
        <f>IF(LEFT(K59,2)="22","20'","40'")</f>
        <v>20'</v>
      </c>
      <c r="S59" s="185" t="n"/>
      <c r="T59" s="61" t="str">
        <f>VLOOKUP(A59,'1.Loading'!A:R,2,FALSE)</f>
        <v>2026-10-17</v>
      </c>
      <c r="U59" s="63">
        <f>T59-S59</f>
        <v>46312</v>
      </c>
      <c r="V59" s="186" t="n"/>
      <c r="W59" s="61" t="str">
        <f>VLOOKUP(A59,'3.GateMove'!A:D,4,FALSE)</f>
        <v>2026-10-13</v>
      </c>
      <c r="X59" s="63">
        <f>((T59-W59)+1)</f>
        <v>5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46313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Dharaporn</v>
      </c>
      <c r="AL59" s="60" t="str">
        <f>VLOOKUP(D59,'2.Bookinglist'!A:CW,101,FALSE)</f>
        <v>2026-10-15</v>
      </c>
      <c r="AM59" s="60" t="str">
        <f>VLOOKUP(D59,'2.Bookinglist'!A:BK,63,FALSE)</f>
        <v>LCHY5</v>
      </c>
      <c r="AN59" s="62" t="str">
        <f>VLOOKUP(D59,'2.Bookinglist'!A:AZ,52,FALSE)</f>
        <v>CY-RTN 05-07/10/26 (PI26090085-1)</v>
      </c>
      <c r="AO59" s="62" t="str">
        <f>VLOOKUP(D59,'2.Bookinglist'!A:CY,103,FALSE)</f>
        <v>ROLL OVER FROM PREVIOUS VSL SWRG 2609N BY ALLOCATION TEAM MS.TAN APPROVED COST IS UNDER HA DD.09/10</v>
      </c>
    </row>
    <row r="60" ht="12.95" customHeight="1">
      <c r="A60" s="96" t="inlineStr">
        <is>
          <t>SKLU1326610</t>
        </is>
      </c>
      <c r="B60" s="184" t="str">
        <f>IF(C60=Charge!$M$1,Charge!$J$1,IF(C60=Charge!$M$23,Charge!$J$23,IF(C60=Charge!$M$17,Charge!$J$17,IF(C60=Charge!$N$17,Charge!$J$17,Charge!$J$7))))</f>
        <v>G1</v>
      </c>
      <c r="C60" s="61" t="str">
        <f>VLOOKUP(A60,'1.Loading'!A:R,14,FALSE)</f>
        <v>LCH04</v>
      </c>
      <c r="D60" s="61" t="str">
        <f>VLOOKUP(A60,'1.Loading'!A:R,17,FALSE)</f>
        <v>HASLS22260800966</v>
      </c>
      <c r="E60" s="62" t="str">
        <f>VLOOKUP(D60,'2.Bookinglist'!A:CT,27,FALSE)</f>
        <v>WHA GC LOGISTICS COMPANY LIMITED</v>
      </c>
      <c r="F60" s="62" t="str">
        <f>VLOOKUP(D60,'2.Bookinglist'!A:CT,28,FALSE)</f>
        <v>PTT GLOBAL CHEMICAL PUBLIC COMPANY LIMITED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VNSGN</v>
      </c>
      <c r="J60" s="61">
        <f>VLOOKUP(D60,'2.Bookinglist'!A:CT,26,FALSE)</f>
        <v>0</v>
      </c>
      <c r="K60" s="61" t="str">
        <f>VLOOKUP(A60,'1.Loading'!A:R,5,FALSE)</f>
        <v>22GP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SWIC</v>
      </c>
      <c r="P60" s="61" t="str">
        <f>VLOOKUP(A60,'1.Loading'!A:R,4,FALSE)</f>
        <v>2611N</v>
      </c>
      <c r="Q60" s="61" t="str">
        <f>VLOOKUP(D60,'2.Bookinglist'!A:CT,12,FALSE)</f>
        <v>KHS1</v>
      </c>
      <c r="R60" s="60" t="str">
        <f>IF(LEFT(K60,2)="22","20'","40'")</f>
        <v>20'</v>
      </c>
      <c r="S60" s="185" t="n"/>
      <c r="T60" s="61" t="str">
        <f>VLOOKUP(A60,'1.Loading'!A:R,2,FALSE)</f>
        <v>2026-10-17</v>
      </c>
      <c r="U60" s="63">
        <f>T60-S60</f>
        <v>46312</v>
      </c>
      <c r="V60" s="186" t="n"/>
      <c r="W60" s="61" t="str">
        <f>VLOOKUP(A60,'3.GateMove'!A:D,4,FALSE)</f>
        <v>2026-10-13</v>
      </c>
      <c r="X60" s="63">
        <f>((T60-W60)+1)</f>
        <v>5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0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46313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0</v>
      </c>
      <c r="AJ60" s="188" t="n"/>
      <c r="AK60" s="62" t="str">
        <f>VLOOKUP(D60,'2.Bookinglist'!A:CT,40,FALSE)</f>
        <v>Dharaporn</v>
      </c>
      <c r="AL60" s="60" t="str">
        <f>VLOOKUP(D60,'2.Bookinglist'!A:CW,101,FALSE)</f>
        <v>2026-10-16</v>
      </c>
      <c r="AM60" s="60" t="str">
        <f>VLOOKUP(D60,'2.Bookinglist'!A:BK,63,FALSE)</f>
        <v>LCHY5</v>
      </c>
      <c r="AN60" s="62" t="str">
        <f>VLOOKUP(D60,'2.Bookinglist'!A:AZ,52,FALSE)</f>
        <v>CY 02/10/26 , RTN 08/10/26
*PLS CHECK OPEN GATE BEFOER RETURN CTNR*</v>
      </c>
      <c r="AO60" s="62" t="str">
        <f>VLOOKUP(D60,'2.Bookinglist'!A:CY,103,FALSE)</f>
        <v>ROLL OVER FROM PREVIOUS VSL PGPO 2612N BY ALLOCATION TEAM MS.TARN APPROVED COST IS UNDER HA DD.13/10</v>
      </c>
    </row>
    <row r="61" ht="12.95" customHeight="1">
      <c r="A61" s="96" t="inlineStr">
        <is>
          <t>SKLU1344893</t>
        </is>
      </c>
      <c r="B61" s="184" t="str">
        <f>IF(C61=Charge!$M$1,Charge!$J$1,IF(C61=Charge!$M$23,Charge!$J$23,IF(C61=Charge!$M$17,Charge!$J$17,IF(C61=Charge!$N$17,Charge!$J$17,Charge!$J$7))))</f>
        <v>G1</v>
      </c>
      <c r="C61" s="61" t="str">
        <f>VLOOKUP(A61,'1.Loading'!A:R,14,FALSE)</f>
        <v>LCH04</v>
      </c>
      <c r="D61" s="61" t="str">
        <f>VLOOKUP(A61,'1.Loading'!A:R,17,FALSE)</f>
        <v>HASLS22260902676</v>
      </c>
      <c r="E61" s="62" t="str">
        <f>VLOOKUP(D61,'2.Bookinglist'!A:CT,27,FALSE)</f>
        <v>HAST LOGISTICS CO., LTD.</v>
      </c>
      <c r="F61" s="62" t="str">
        <f>VLOOKUP(D61,'2.Bookinglist'!A:CT,28,FALSE)</f>
        <v>THE THAI SUGAR TRADING CORPORATION LTD.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VNSGN</v>
      </c>
      <c r="J61" s="61">
        <f>VLOOKUP(D61,'2.Bookinglist'!A:CT,26,FALSE)</f>
        <v>0</v>
      </c>
      <c r="K61" s="61" t="str">
        <f>VLOOKUP(A61,'1.Loading'!A:R,5,FALSE)</f>
        <v>22GP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SWIC</v>
      </c>
      <c r="P61" s="61" t="str">
        <f>VLOOKUP(A61,'1.Loading'!A:R,4,FALSE)</f>
        <v>2611N</v>
      </c>
      <c r="Q61" s="61" t="str">
        <f>VLOOKUP(D61,'2.Bookinglist'!A:CT,12,FALSE)</f>
        <v>KHS1</v>
      </c>
      <c r="R61" s="60" t="str">
        <f>IF(LEFT(K61,2)="22","20'","40'")</f>
        <v>20'</v>
      </c>
      <c r="S61" s="185" t="n"/>
      <c r="T61" s="61" t="str">
        <f>VLOOKUP(A61,'1.Loading'!A:R,2,FALSE)</f>
        <v>2026-10-17</v>
      </c>
      <c r="U61" s="63">
        <f>T61-S61</f>
        <v>46312</v>
      </c>
      <c r="V61" s="186" t="n"/>
      <c r="W61" s="61" t="str">
        <f>VLOOKUP(A61,'3.GateMove'!A:D,4,FALSE)</f>
        <v>2026-10-12</v>
      </c>
      <c r="X61" s="63">
        <f>((T61-W61)+1)</f>
        <v>6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0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46313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0</v>
      </c>
      <c r="AJ61" s="188" t="n"/>
      <c r="AK61" s="62" t="str">
        <f>VLOOKUP(D61,'2.Bookinglist'!A:CT,40,FALSE)</f>
        <v>Kanokporn</v>
      </c>
      <c r="AL61" s="60" t="str">
        <f>VLOOKUP(D61,'2.Bookinglist'!A:CW,101,FALSE)</f>
        <v>2026-10-16</v>
      </c>
      <c r="AM61" s="60" t="str">
        <f>VLOOKUP(D61,'2.Bookinglist'!A:BK,63,FALSE)</f>
        <v>LCHY5</v>
      </c>
      <c r="AN61" s="62" t="str">
        <f>VLOOKUP(D61,'2.Bookinglist'!A:AZ,52,FALSE)</f>
        <v>Pickup : 2026-10-10, Return : 2026-10-12</v>
      </c>
      <c r="AO61" s="62">
        <f>VLOOKUP(D61,'2.Bookinglist'!A:CY,103,FALSE)</f>
        <v>0</v>
      </c>
    </row>
    <row r="62" ht="12.95" customHeight="1">
      <c r="A62" s="96" t="inlineStr">
        <is>
          <t>SKLU1409124</t>
        </is>
      </c>
      <c r="B62" s="184" t="str">
        <f>IF(C62=Charge!$M$1,Charge!$J$1,IF(C62=Charge!$M$23,Charge!$J$23,IF(C62=Charge!$M$17,Charge!$J$17,IF(C62=Charge!$N$17,Charge!$J$17,Charge!$J$7))))</f>
        <v>G1</v>
      </c>
      <c r="C62" s="61" t="str">
        <f>VLOOKUP(A62,'1.Loading'!A:R,14,FALSE)</f>
        <v>LCH04</v>
      </c>
      <c r="D62" s="61" t="str">
        <f>VLOOKUP(A62,'1.Loading'!A:R,17,FALSE)</f>
        <v>HASLS22260902818</v>
      </c>
      <c r="E62" s="62" t="str">
        <f>VLOOKUP(D62,'2.Bookinglist'!A:CT,27,FALSE)</f>
        <v>WHA GC LOGISTICS COMPANY LIMITED</v>
      </c>
      <c r="F62" s="62" t="str">
        <f>VLOOKUP(D62,'2.Bookinglist'!A:CT,28,FALSE)</f>
        <v>PTT GLOBAL CHEMICAL PUBLIC COMPANY LIMITED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VNSGN</v>
      </c>
      <c r="J62" s="61">
        <f>VLOOKUP(D62,'2.Bookinglist'!A:CT,26,FALSE)</f>
        <v>0</v>
      </c>
      <c r="K62" s="61" t="str">
        <f>VLOOKUP(A62,'1.Loading'!A:R,5,FALSE)</f>
        <v>22GP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SWIC</v>
      </c>
      <c r="P62" s="61" t="str">
        <f>VLOOKUP(A62,'1.Loading'!A:R,4,FALSE)</f>
        <v>2611N</v>
      </c>
      <c r="Q62" s="61" t="str">
        <f>VLOOKUP(D62,'2.Bookinglist'!A:CT,12,FALSE)</f>
        <v>KHS1</v>
      </c>
      <c r="R62" s="60" t="str">
        <f>IF(LEFT(K62,2)="22","20'","40'")</f>
        <v>20'</v>
      </c>
      <c r="S62" s="185" t="n"/>
      <c r="T62" s="61" t="str">
        <f>VLOOKUP(A62,'1.Loading'!A:R,2,FALSE)</f>
        <v>2026-10-17</v>
      </c>
      <c r="U62" s="63">
        <f>T62-S62</f>
        <v>46312</v>
      </c>
      <c r="V62" s="186" t="n"/>
      <c r="W62" s="61" t="str">
        <f>VLOOKUP(A62,'3.GateMove'!A:D,4,FALSE)</f>
        <v>2026-10-13</v>
      </c>
      <c r="X62" s="63">
        <f>((T62-W62)+1)</f>
        <v>5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0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46313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0</v>
      </c>
      <c r="AJ62" s="188" t="n"/>
      <c r="AK62" s="62" t="str">
        <f>VLOOKUP(D62,'2.Bookinglist'!A:CT,40,FALSE)</f>
        <v>Dharaporn</v>
      </c>
      <c r="AL62" s="60" t="str">
        <f>VLOOKUP(D62,'2.Bookinglist'!A:CW,101,FALSE)</f>
        <v>2026-10-16</v>
      </c>
      <c r="AM62" s="60" t="str">
        <f>VLOOKUP(D62,'2.Bookinglist'!A:BK,63,FALSE)</f>
        <v>LCHY5</v>
      </c>
      <c r="AN62" s="62" t="str">
        <f>VLOOKUP(D62,'2.Bookinglist'!A:AZ,52,FALSE)</f>
        <v>CY 02/10/26 , RTN 08/10/26
*PLS CHECK OPEN GATE BEFOER RETURN CTNR*</v>
      </c>
      <c r="AO62" s="62" t="str">
        <f>VLOOKUP(D62,'2.Bookinglist'!A:CY,103,FALSE)</f>
        <v>ROLL OVER FROM PREVIOUS VSL PGPO 2612N BY ALLOCATION TEAM MS.TARN APPROVED COST IS UNDER HA DD.13/10</v>
      </c>
    </row>
    <row r="63" ht="12.95" customHeight="1">
      <c r="A63" s="96" t="inlineStr">
        <is>
          <t>SKLU1514475</t>
        </is>
      </c>
      <c r="B63" s="184" t="str">
        <f>IF(C63=Charge!$M$1,Charge!$J$1,IF(C63=Charge!$M$23,Charge!$J$23,IF(C63=Charge!$M$17,Charge!$J$17,IF(C63=Charge!$N$17,Charge!$J$17,Charge!$J$7))))</f>
        <v>G1</v>
      </c>
      <c r="C63" s="61" t="str">
        <f>VLOOKUP(A63,'1.Loading'!A:R,14,FALSE)</f>
        <v>LCH04</v>
      </c>
      <c r="D63" s="61" t="str">
        <f>VLOOKUP(A63,'1.Loading'!A:R,17,FALSE)</f>
        <v>HASLS22260902676</v>
      </c>
      <c r="E63" s="62" t="str">
        <f>VLOOKUP(D63,'2.Bookinglist'!A:CT,27,FALSE)</f>
        <v>HAST LOGISTICS CO., LTD.</v>
      </c>
      <c r="F63" s="62" t="str">
        <f>VLOOKUP(D63,'2.Bookinglist'!A:CT,28,FALSE)</f>
        <v>THE THAI SUGAR TRADING CORPORATION 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VNSGN</v>
      </c>
      <c r="J63" s="61">
        <f>VLOOKUP(D63,'2.Bookinglist'!A:CT,26,FALSE)</f>
        <v>0</v>
      </c>
      <c r="K63" s="61" t="str">
        <f>VLOOKUP(A63,'1.Loading'!A:R,5,FALSE)</f>
        <v>22GP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SWIC</v>
      </c>
      <c r="P63" s="61" t="str">
        <f>VLOOKUP(A63,'1.Loading'!A:R,4,FALSE)</f>
        <v>2611N</v>
      </c>
      <c r="Q63" s="61" t="str">
        <f>VLOOKUP(D63,'2.Bookinglist'!A:CT,12,FALSE)</f>
        <v>KHS1</v>
      </c>
      <c r="R63" s="60" t="str">
        <f>IF(LEFT(K63,2)="22","20'","40'")</f>
        <v>20'</v>
      </c>
      <c r="S63" s="185" t="n"/>
      <c r="T63" s="61" t="str">
        <f>VLOOKUP(A63,'1.Loading'!A:R,2,FALSE)</f>
        <v>2026-10-17</v>
      </c>
      <c r="U63" s="63">
        <f>T63-S63</f>
        <v>46312</v>
      </c>
      <c r="V63" s="186" t="n"/>
      <c r="W63" s="61" t="str">
        <f>VLOOKUP(A63,'3.GateMove'!A:D,4,FALSE)</f>
        <v>2026-10-12</v>
      </c>
      <c r="X63" s="63">
        <f>((T63-W63)+1)</f>
        <v>6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0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46313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0</v>
      </c>
      <c r="AJ63" s="188" t="n"/>
      <c r="AK63" s="62" t="str">
        <f>VLOOKUP(D63,'2.Bookinglist'!A:CT,40,FALSE)</f>
        <v>Kanokporn</v>
      </c>
      <c r="AL63" s="60" t="str">
        <f>VLOOKUP(D63,'2.Bookinglist'!A:CW,101,FALSE)</f>
        <v>2026-10-16</v>
      </c>
      <c r="AM63" s="60" t="str">
        <f>VLOOKUP(D63,'2.Bookinglist'!A:BK,63,FALSE)</f>
        <v>LCHY5</v>
      </c>
      <c r="AN63" s="62" t="str">
        <f>VLOOKUP(D63,'2.Bookinglist'!A:AZ,52,FALSE)</f>
        <v>Pickup : 2026-10-10, Return : 2026-10-12</v>
      </c>
      <c r="AO63" s="62">
        <f>VLOOKUP(D63,'2.Bookinglist'!A:CY,103,FALSE)</f>
        <v>0</v>
      </c>
    </row>
    <row r="64" ht="12.95" customHeight="1">
      <c r="A64" s="96" t="inlineStr">
        <is>
          <t>SKLU1524299</t>
        </is>
      </c>
      <c r="B64" s="184" t="str">
        <f>IF(C64=Charge!$M$1,Charge!$J$1,IF(C64=Charge!$M$23,Charge!$J$23,IF(C64=Charge!$M$17,Charge!$J$17,IF(C64=Charge!$N$17,Charge!$J$17,Charge!$J$7))))</f>
        <v>G1</v>
      </c>
      <c r="C64" s="61" t="str">
        <f>VLOOKUP(A64,'1.Loading'!A:R,14,FALSE)</f>
        <v>LCH04</v>
      </c>
      <c r="D64" s="61" t="str">
        <f>VLOOKUP(A64,'1.Loading'!A:R,17,FALSE)</f>
        <v>HASLS22260902063</v>
      </c>
      <c r="E64" s="62" t="str">
        <f>VLOOKUP(D64,'2.Bookinglist'!A:CT,27,FALSE)</f>
        <v>SCGJWD LOGISTICS PUBLIC COMPANY LIMITED</v>
      </c>
      <c r="F64" s="62" t="str">
        <f>VLOOKUP(D64,'2.Bookinglist'!A:CT,28,FALSE)</f>
        <v>THAI POLYETHYLENE CO., LTD.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JPMOJ</v>
      </c>
      <c r="J64" s="61" t="str">
        <f>VLOOKUP(D64,'2.Bookinglist'!A:CT,26,FALSE)</f>
        <v>KRPUS</v>
      </c>
      <c r="K64" s="61" t="str">
        <f>VLOOKUP(A64,'1.Loading'!A:R,5,FALSE)</f>
        <v>22GP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SWIC</v>
      </c>
      <c r="P64" s="61" t="str">
        <f>VLOOKUP(A64,'1.Loading'!A:R,4,FALSE)</f>
        <v>2611N</v>
      </c>
      <c r="Q64" s="61" t="str">
        <f>VLOOKUP(D64,'2.Bookinglist'!A:CT,12,FALSE)</f>
        <v>KHS1</v>
      </c>
      <c r="R64" s="60" t="str">
        <f>IF(LEFT(K64,2)="22","20'","40'")</f>
        <v>20'</v>
      </c>
      <c r="S64" s="185" t="n"/>
      <c r="T64" s="61" t="str">
        <f>VLOOKUP(A64,'1.Loading'!A:R,2,FALSE)</f>
        <v>2026-10-17</v>
      </c>
      <c r="U64" s="63">
        <f>T64-S64</f>
        <v>46312</v>
      </c>
      <c r="V64" s="186" t="n"/>
      <c r="W64" s="61" t="str">
        <f>VLOOKUP(A64,'3.GateMove'!A:D,4,FALSE)</f>
        <v>2026-10-13</v>
      </c>
      <c r="X64" s="63">
        <f>((T64-W64)+1)</f>
        <v>5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0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46313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0</v>
      </c>
      <c r="AJ64" s="188" t="n"/>
      <c r="AK64" s="62" t="str">
        <f>VLOOKUP(D64,'2.Bookinglist'!A:CT,40,FALSE)</f>
        <v>Kanokporn</v>
      </c>
      <c r="AL64" s="60" t="str">
        <f>VLOOKUP(D64,'2.Bookinglist'!A:CW,101,FALSE)</f>
        <v>2026-10-15</v>
      </c>
      <c r="AM64" s="60" t="str">
        <f>VLOOKUP(D64,'2.Bookinglist'!A:BK,63,FALSE)</f>
        <v>LCHY5</v>
      </c>
      <c r="AN64" s="62" t="str">
        <f>VLOOKUP(D64,'2.Bookinglist'!A:AZ,52,FALSE)</f>
        <v>[FIX]CY-RTN 02-05/10/26 (  INV  3031061853 ) 
*PLS CHECK OPEN GATE BEFORE RETURN CTNR*</v>
      </c>
      <c r="AO64" s="62" t="str">
        <f>VLOOKUP(D64,'2.Bookinglist'!A:CY,103,FALSE)</f>
        <v>ROLL OVER FROM PREVIOUS VSL SWRG 2609N BY ALLOCATION TEAM MS.TAN APPROVED COST IS UNDER HA DD.09/10</v>
      </c>
    </row>
    <row r="65" ht="12.95" customHeight="1">
      <c r="A65" s="96" t="inlineStr">
        <is>
          <t>SKLU1534229</t>
        </is>
      </c>
      <c r="B65" s="184" t="str">
        <f>IF(C65=Charge!$M$1,Charge!$J$1,IF(C65=Charge!$M$23,Charge!$J$23,IF(C65=Charge!$M$17,Charge!$J$17,IF(C65=Charge!$N$17,Charge!$J$17,Charge!$J$7))))</f>
        <v>G1</v>
      </c>
      <c r="C65" s="61" t="str">
        <f>VLOOKUP(A65,'1.Loading'!A:R,14,FALSE)</f>
        <v>LCH04</v>
      </c>
      <c r="D65" s="61" t="str">
        <f>VLOOKUP(A65,'1.Loading'!A:R,17,FALSE)</f>
        <v>HASLS22260902304</v>
      </c>
      <c r="E65" s="62" t="str">
        <f>VLOOKUP(D65,'2.Bookinglist'!A:CT,27,FALSE)</f>
        <v>WHA GC LOGISTICS COMPANY LIMITED</v>
      </c>
      <c r="F65" s="62" t="str">
        <f>VLOOKUP(D65,'2.Bookinglist'!A:CT,28,FALSE)</f>
        <v>PTT GLOBAL CHEMICAL PUBLIC COMPANY LIMITED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VNSGN</v>
      </c>
      <c r="J65" s="61">
        <f>VLOOKUP(D65,'2.Bookinglist'!A:CT,26,FALSE)</f>
        <v>0</v>
      </c>
      <c r="K65" s="61" t="str">
        <f>VLOOKUP(A65,'1.Loading'!A:R,5,FALSE)</f>
        <v>22GP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SWIC</v>
      </c>
      <c r="P65" s="61" t="str">
        <f>VLOOKUP(A65,'1.Loading'!A:R,4,FALSE)</f>
        <v>2611N</v>
      </c>
      <c r="Q65" s="61" t="str">
        <f>VLOOKUP(D65,'2.Bookinglist'!A:CT,12,FALSE)</f>
        <v>KHS1</v>
      </c>
      <c r="R65" s="60" t="str">
        <f>IF(LEFT(K65,2)="22","20'","40'")</f>
        <v>20'</v>
      </c>
      <c r="S65" s="185" t="n"/>
      <c r="T65" s="61" t="str">
        <f>VLOOKUP(A65,'1.Loading'!A:R,2,FALSE)</f>
        <v>2026-10-17</v>
      </c>
      <c r="U65" s="63">
        <f>T65-S65</f>
        <v>46312</v>
      </c>
      <c r="V65" s="186" t="n"/>
      <c r="W65" s="61" t="str">
        <f>VLOOKUP(A65,'3.GateMove'!A:D,4,FALSE)</f>
        <v>2026-10-13</v>
      </c>
      <c r="X65" s="63">
        <f>((T65-W65)+1)</f>
        <v>5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0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46313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0</v>
      </c>
      <c r="AJ65" s="188" t="n"/>
      <c r="AK65" s="62" t="str">
        <f>VLOOKUP(D65,'2.Bookinglist'!A:CT,40,FALSE)</f>
        <v>Dharaporn</v>
      </c>
      <c r="AL65" s="60" t="str">
        <f>VLOOKUP(D65,'2.Bookinglist'!A:CW,101,FALSE)</f>
        <v>2026-10-16</v>
      </c>
      <c r="AM65" s="60" t="str">
        <f>VLOOKUP(D65,'2.Bookinglist'!A:BK,63,FALSE)</f>
        <v>LCHY5</v>
      </c>
      <c r="AN65" s="62" t="str">
        <f>VLOOKUP(D65,'2.Bookinglist'!A:AZ,52,FALSE)</f>
        <v>CY : 02/10/26 , RTN : 04/10/26 [1ST RTN 09/10/2026 W/O RENT]
** PLEASE CHECK OPEN GATE BEFORE RETURN CONTAINER ** 
</v>
      </c>
      <c r="AO65" s="62">
        <f>VLOOKUP(D65,'2.Bookinglist'!A:CY,103,FALSE)</f>
        <v>0</v>
      </c>
    </row>
    <row r="66" ht="12.95" customHeight="1">
      <c r="A66" s="96" t="inlineStr">
        <is>
          <t>SKLU1550425</t>
        </is>
      </c>
      <c r="B66" s="184" t="str">
        <f>IF(C66=Charge!$M$1,Charge!$J$1,IF(C66=Charge!$M$23,Charge!$J$23,IF(C66=Charge!$M$17,Charge!$J$17,IF(C66=Charge!$N$17,Charge!$J$17,Charge!$J$7))))</f>
        <v>G1</v>
      </c>
      <c r="C66" s="61" t="str">
        <f>VLOOKUP(A66,'1.Loading'!A:R,14,FALSE)</f>
        <v>LCH04</v>
      </c>
      <c r="D66" s="61" t="str">
        <f>VLOOKUP(A66,'1.Loading'!A:R,17,FALSE)</f>
        <v>HASLS22260902676</v>
      </c>
      <c r="E66" s="62" t="str">
        <f>VLOOKUP(D66,'2.Bookinglist'!A:CT,27,FALSE)</f>
        <v>HAST LOGISTICS CO., LTD.</v>
      </c>
      <c r="F66" s="62" t="str">
        <f>VLOOKUP(D66,'2.Bookinglist'!A:CT,28,FALSE)</f>
        <v>THE THAI SUGAR TRADING CORPORATION LTD.</v>
      </c>
      <c r="G66" s="60">
        <f>VLOOKUP(D66,'2.Bookinglist'!A:E,5,FALSE)</f>
        <v>0</v>
      </c>
      <c r="H66" s="61" t="str">
        <f>VLOOKUP(D66,'2.Bookinglist'!A:CT,15,FALSE)</f>
        <v>THLCH</v>
      </c>
      <c r="I66" s="61" t="str">
        <f>VLOOKUP(D66,'2.Bookinglist'!A:CT,19,FALSE)</f>
        <v>VNSGN</v>
      </c>
      <c r="J66" s="61">
        <f>VLOOKUP(D66,'2.Bookinglist'!A:CT,26,FALSE)</f>
        <v>0</v>
      </c>
      <c r="K66" s="61" t="str">
        <f>VLOOKUP(A66,'1.Loading'!A:R,5,FALSE)</f>
        <v>22GP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SWIC</v>
      </c>
      <c r="P66" s="61" t="str">
        <f>VLOOKUP(A66,'1.Loading'!A:R,4,FALSE)</f>
        <v>2611N</v>
      </c>
      <c r="Q66" s="61" t="str">
        <f>VLOOKUP(D66,'2.Bookinglist'!A:CT,12,FALSE)</f>
        <v>KHS1</v>
      </c>
      <c r="R66" s="60" t="str">
        <f>IF(LEFT(K66,2)="22","20'","40'")</f>
        <v>20'</v>
      </c>
      <c r="S66" s="185" t="n"/>
      <c r="T66" s="61" t="str">
        <f>VLOOKUP(A66,'1.Loading'!A:R,2,FALSE)</f>
        <v>2026-10-17</v>
      </c>
      <c r="U66" s="63">
        <f>T66-S66</f>
        <v>46312</v>
      </c>
      <c r="V66" s="186" t="n"/>
      <c r="W66" s="61" t="str">
        <f>VLOOKUP(A66,'3.GateMove'!A:D,4,FALSE)</f>
        <v>2026-10-12</v>
      </c>
      <c r="X66" s="63">
        <f>((T66-W66)+1)</f>
        <v>6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0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46313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0</v>
      </c>
      <c r="AJ66" s="188" t="n"/>
      <c r="AK66" s="62" t="str">
        <f>VLOOKUP(D66,'2.Bookinglist'!A:CT,40,FALSE)</f>
        <v>Kanokporn</v>
      </c>
      <c r="AL66" s="60" t="str">
        <f>VLOOKUP(D66,'2.Bookinglist'!A:CW,101,FALSE)</f>
        <v>2026-10-16</v>
      </c>
      <c r="AM66" s="60" t="str">
        <f>VLOOKUP(D66,'2.Bookinglist'!A:BK,63,FALSE)</f>
        <v>LCHY5</v>
      </c>
      <c r="AN66" s="62" t="str">
        <f>VLOOKUP(D66,'2.Bookinglist'!A:AZ,52,FALSE)</f>
        <v>Pickup : 2026-10-10, Return : 2026-10-12</v>
      </c>
      <c r="AO66" s="62">
        <f>VLOOKUP(D66,'2.Bookinglist'!A:CY,103,FALSE)</f>
        <v>0</v>
      </c>
    </row>
    <row r="67" ht="12.95" customHeight="1">
      <c r="A67" s="96" t="inlineStr">
        <is>
          <t>SKLU1556697</t>
        </is>
      </c>
      <c r="B67" s="184" t="str">
        <f>IF(C67=Charge!$M$1,Charge!$J$1,IF(C67=Charge!$M$23,Charge!$J$23,IF(C67=Charge!$M$17,Charge!$J$17,IF(C67=Charge!$N$17,Charge!$J$17,Charge!$J$7))))</f>
        <v>G1</v>
      </c>
      <c r="C67" s="61" t="str">
        <f>VLOOKUP(A67,'1.Loading'!A:R,14,FALSE)</f>
        <v>LCH04</v>
      </c>
      <c r="D67" s="61" t="str">
        <f>VLOOKUP(A67,'1.Loading'!A:R,17,FALSE)</f>
        <v>HASLS22260902676</v>
      </c>
      <c r="E67" s="62" t="str">
        <f>VLOOKUP(D67,'2.Bookinglist'!A:CT,27,FALSE)</f>
        <v>HAST LOGISTICS CO., LTD.</v>
      </c>
      <c r="F67" s="62" t="str">
        <f>VLOOKUP(D67,'2.Bookinglist'!A:CT,28,FALSE)</f>
        <v>THE THAI SUGAR TRADING CORPORATION LTD.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VNSGN</v>
      </c>
      <c r="J67" s="61">
        <f>VLOOKUP(D67,'2.Bookinglist'!A:CT,26,FALSE)</f>
        <v>0</v>
      </c>
      <c r="K67" s="61" t="str">
        <f>VLOOKUP(A67,'1.Loading'!A:R,5,FALSE)</f>
        <v>22GP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SWIC</v>
      </c>
      <c r="P67" s="61" t="str">
        <f>VLOOKUP(A67,'1.Loading'!A:R,4,FALSE)</f>
        <v>2611N</v>
      </c>
      <c r="Q67" s="61" t="str">
        <f>VLOOKUP(D67,'2.Bookinglist'!A:CT,12,FALSE)</f>
        <v>KHS1</v>
      </c>
      <c r="R67" s="60" t="str">
        <f>IF(LEFT(K67,2)="22","20'","40'")</f>
        <v>20'</v>
      </c>
      <c r="S67" s="185" t="n"/>
      <c r="T67" s="61" t="str">
        <f>VLOOKUP(A67,'1.Loading'!A:R,2,FALSE)</f>
        <v>2026-10-17</v>
      </c>
      <c r="U67" s="63">
        <f>T67-S67</f>
        <v>46312</v>
      </c>
      <c r="V67" s="186" t="n"/>
      <c r="W67" s="61" t="str">
        <f>VLOOKUP(A67,'3.GateMove'!A:D,4,FALSE)</f>
        <v>2026-10-12</v>
      </c>
      <c r="X67" s="63">
        <f>((T67-W67)+1)</f>
        <v>6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0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46313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0</v>
      </c>
      <c r="AJ67" s="188" t="n"/>
      <c r="AK67" s="62" t="str">
        <f>VLOOKUP(D67,'2.Bookinglist'!A:CT,40,FALSE)</f>
        <v>Kanokporn</v>
      </c>
      <c r="AL67" s="60" t="str">
        <f>VLOOKUP(D67,'2.Bookinglist'!A:CW,101,FALSE)</f>
        <v>2026-10-16</v>
      </c>
      <c r="AM67" s="60" t="str">
        <f>VLOOKUP(D67,'2.Bookinglist'!A:BK,63,FALSE)</f>
        <v>LCHY5</v>
      </c>
      <c r="AN67" s="62" t="str">
        <f>VLOOKUP(D67,'2.Bookinglist'!A:AZ,52,FALSE)</f>
        <v>Pickup : 2026-10-10, Return : 2026-10-12</v>
      </c>
      <c r="AO67" s="62">
        <f>VLOOKUP(D67,'2.Bookinglist'!A:CY,103,FALSE)</f>
        <v>0</v>
      </c>
    </row>
    <row r="68" ht="12.95" customHeight="1">
      <c r="A68" s="96" t="inlineStr">
        <is>
          <t>SKLU1594594</t>
        </is>
      </c>
      <c r="B68" s="184" t="str">
        <f>IF(C68=Charge!$M$1,Charge!$J$1,IF(C68=Charge!$M$23,Charge!$J$23,IF(C68=Charge!$M$17,Charge!$J$17,IF(C68=Charge!$N$17,Charge!$J$17,Charge!$J$7))))</f>
        <v>G1</v>
      </c>
      <c r="C68" s="61" t="str">
        <f>VLOOKUP(A68,'1.Loading'!A:R,14,FALSE)</f>
        <v>LCH04</v>
      </c>
      <c r="D68" s="61" t="str">
        <f>VLOOKUP(A68,'1.Loading'!A:R,17,FALSE)</f>
        <v>HASLS22260800966</v>
      </c>
      <c r="E68" s="62" t="str">
        <f>VLOOKUP(D68,'2.Bookinglist'!A:CT,27,FALSE)</f>
        <v>WHA GC LOGISTICS COMPANY LIMITED</v>
      </c>
      <c r="F68" s="62" t="str">
        <f>VLOOKUP(D68,'2.Bookinglist'!A:CT,28,FALSE)</f>
        <v>PTT GLOBAL CHEMICAL PUBLIC COMPANY LIMITED</v>
      </c>
      <c r="G68" s="60">
        <f>VLOOKUP(D68,'2.Bookinglist'!A:E,5,FALSE)</f>
        <v>0</v>
      </c>
      <c r="H68" s="61" t="str">
        <f>VLOOKUP(D68,'2.Bookinglist'!A:CT,15,FALSE)</f>
        <v>THLCH</v>
      </c>
      <c r="I68" s="61" t="str">
        <f>VLOOKUP(D68,'2.Bookinglist'!A:CT,19,FALSE)</f>
        <v>VNSGN</v>
      </c>
      <c r="J68" s="61">
        <f>VLOOKUP(D68,'2.Bookinglist'!A:CT,26,FALSE)</f>
        <v>0</v>
      </c>
      <c r="K68" s="61" t="str">
        <f>VLOOKUP(A68,'1.Loading'!A:R,5,FALSE)</f>
        <v>22GP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SWIC</v>
      </c>
      <c r="P68" s="61" t="str">
        <f>VLOOKUP(A68,'1.Loading'!A:R,4,FALSE)</f>
        <v>2611N</v>
      </c>
      <c r="Q68" s="61" t="str">
        <f>VLOOKUP(D68,'2.Bookinglist'!A:CT,12,FALSE)</f>
        <v>KHS1</v>
      </c>
      <c r="R68" s="60" t="str">
        <f>IF(LEFT(K68,2)="22","20'","40'")</f>
        <v>20'</v>
      </c>
      <c r="S68" s="185" t="n"/>
      <c r="T68" s="61" t="str">
        <f>VLOOKUP(A68,'1.Loading'!A:R,2,FALSE)</f>
        <v>2026-10-17</v>
      </c>
      <c r="U68" s="63">
        <f>T68-S68</f>
        <v>46312</v>
      </c>
      <c r="V68" s="186" t="n"/>
      <c r="W68" s="61" t="str">
        <f>VLOOKUP(A68,'3.GateMove'!A:D,4,FALSE)</f>
        <v>2026-10-13</v>
      </c>
      <c r="X68" s="63">
        <f>((T68-W68)+1)</f>
        <v>5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0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46313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0</v>
      </c>
      <c r="AJ68" s="188" t="n"/>
      <c r="AK68" s="62" t="str">
        <f>VLOOKUP(D68,'2.Bookinglist'!A:CT,40,FALSE)</f>
        <v>Dharaporn</v>
      </c>
      <c r="AL68" s="60" t="str">
        <f>VLOOKUP(D68,'2.Bookinglist'!A:CW,101,FALSE)</f>
        <v>2026-10-16</v>
      </c>
      <c r="AM68" s="60" t="str">
        <f>VLOOKUP(D68,'2.Bookinglist'!A:BK,63,FALSE)</f>
        <v>LCHY5</v>
      </c>
      <c r="AN68" s="62" t="str">
        <f>VLOOKUP(D68,'2.Bookinglist'!A:AZ,52,FALSE)</f>
        <v>CY 02/10/26 , RTN 08/10/26
*PLS CHECK OPEN GATE BEFOER RETURN CTNR*</v>
      </c>
      <c r="AO68" s="62" t="str">
        <f>VLOOKUP(D68,'2.Bookinglist'!A:CY,103,FALSE)</f>
        <v>ROLL OVER FROM PREVIOUS VSL PGPO 2612N BY ALLOCATION TEAM MS.TARN APPROVED COST IS UNDER HA DD.13/10</v>
      </c>
    </row>
    <row r="69" ht="12.95" customHeight="1">
      <c r="A69" s="96" t="inlineStr">
        <is>
          <t>SKLU1597926</t>
        </is>
      </c>
      <c r="B69" s="184" t="str">
        <f>IF(C69=Charge!$M$1,Charge!$J$1,IF(C69=Charge!$M$23,Charge!$J$23,IF(C69=Charge!$M$17,Charge!$J$17,IF(C69=Charge!$N$17,Charge!$J$17,Charge!$J$7))))</f>
        <v>G1</v>
      </c>
      <c r="C69" s="61" t="str">
        <f>VLOOKUP(A69,'1.Loading'!A:R,14,FALSE)</f>
        <v>LCH04</v>
      </c>
      <c r="D69" s="61" t="str">
        <f>VLOOKUP(A69,'1.Loading'!A:R,17,FALSE)</f>
        <v>HASLS22260902818</v>
      </c>
      <c r="E69" s="62" t="str">
        <f>VLOOKUP(D69,'2.Bookinglist'!A:CT,27,FALSE)</f>
        <v>WHA GC LOGISTICS COMPANY LIMITED</v>
      </c>
      <c r="F69" s="62" t="str">
        <f>VLOOKUP(D69,'2.Bookinglist'!A:CT,28,FALSE)</f>
        <v>PTT GLOBAL CHEMICAL PUBLIC COMPANY LIMITED</v>
      </c>
      <c r="G69" s="60">
        <f>VLOOKUP(D69,'2.Bookinglist'!A:E,5,FALSE)</f>
        <v>0</v>
      </c>
      <c r="H69" s="61" t="str">
        <f>VLOOKUP(D69,'2.Bookinglist'!A:CT,15,FALSE)</f>
        <v>THLCH</v>
      </c>
      <c r="I69" s="61" t="str">
        <f>VLOOKUP(D69,'2.Bookinglist'!A:CT,19,FALSE)</f>
        <v>VNSGN</v>
      </c>
      <c r="J69" s="61">
        <f>VLOOKUP(D69,'2.Bookinglist'!A:CT,26,FALSE)</f>
        <v>0</v>
      </c>
      <c r="K69" s="61" t="str">
        <f>VLOOKUP(A69,'1.Loading'!A:R,5,FALSE)</f>
        <v>22GP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SWIC</v>
      </c>
      <c r="P69" s="61" t="str">
        <f>VLOOKUP(A69,'1.Loading'!A:R,4,FALSE)</f>
        <v>2611N</v>
      </c>
      <c r="Q69" s="61" t="str">
        <f>VLOOKUP(D69,'2.Bookinglist'!A:CT,12,FALSE)</f>
        <v>KHS1</v>
      </c>
      <c r="R69" s="60" t="str">
        <f>IF(LEFT(K69,2)="22","20'","40'")</f>
        <v>20'</v>
      </c>
      <c r="S69" s="185" t="n"/>
      <c r="T69" s="61" t="str">
        <f>VLOOKUP(A69,'1.Loading'!A:R,2,FALSE)</f>
        <v>2026-10-17</v>
      </c>
      <c r="U69" s="63">
        <f>T69-S69</f>
        <v>46312</v>
      </c>
      <c r="V69" s="186" t="n"/>
      <c r="W69" s="61" t="str">
        <f>VLOOKUP(A69,'3.GateMove'!A:D,4,FALSE)</f>
        <v>2026-10-13</v>
      </c>
      <c r="X69" s="63">
        <f>((T69-W69)+1)</f>
        <v>5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0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46313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0</v>
      </c>
      <c r="AJ69" s="188" t="n"/>
      <c r="AK69" s="62" t="str">
        <f>VLOOKUP(D69,'2.Bookinglist'!A:CT,40,FALSE)</f>
        <v>Dharaporn</v>
      </c>
      <c r="AL69" s="60" t="str">
        <f>VLOOKUP(D69,'2.Bookinglist'!A:CW,101,FALSE)</f>
        <v>2026-10-16</v>
      </c>
      <c r="AM69" s="60" t="str">
        <f>VLOOKUP(D69,'2.Bookinglist'!A:BK,63,FALSE)</f>
        <v>LCHY5</v>
      </c>
      <c r="AN69" s="62" t="str">
        <f>VLOOKUP(D69,'2.Bookinglist'!A:AZ,52,FALSE)</f>
        <v>CY 02/10/26 , RTN 08/10/26
*PLS CHECK OPEN GATE BEFOER RETURN CTNR*</v>
      </c>
      <c r="AO69" s="62" t="str">
        <f>VLOOKUP(D69,'2.Bookinglist'!A:CY,103,FALSE)</f>
        <v>ROLL OVER FROM PREVIOUS VSL PGPO 2612N BY ALLOCATION TEAM MS.TARN APPROVED COST IS UNDER HA DD.13/10</v>
      </c>
    </row>
    <row r="70" ht="12.95" customHeight="1">
      <c r="A70" s="96" t="inlineStr">
        <is>
          <t>SKLU1630650</t>
        </is>
      </c>
      <c r="B70" s="184" t="str">
        <f>IF(C70=Charge!$M$1,Charge!$J$1,IF(C70=Charge!$M$23,Charge!$J$23,IF(C70=Charge!$M$17,Charge!$J$17,IF(C70=Charge!$N$17,Charge!$J$17,Charge!$J$7))))</f>
        <v>G1</v>
      </c>
      <c r="C70" s="61" t="str">
        <f>VLOOKUP(A70,'1.Loading'!A:R,14,FALSE)</f>
        <v>LCH04</v>
      </c>
      <c r="D70" s="61" t="str">
        <f>VLOOKUP(A70,'1.Loading'!A:R,17,FALSE)</f>
        <v>HASLS22261000763</v>
      </c>
      <c r="E70" s="62" t="str">
        <f>VLOOKUP(D70,'2.Bookinglist'!A:CT,27,FALSE)</f>
        <v>UNITED MARINE LOGISTIC CO., LTD.</v>
      </c>
      <c r="F70" s="62" t="str">
        <f>VLOOKUP(D70,'2.Bookinglist'!A:CT,28,FALSE)</f>
        <v>WELLGROW GLASS INDUSTRY CO., LTD.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VNSGN</v>
      </c>
      <c r="J70" s="61">
        <f>VLOOKUP(D70,'2.Bookinglist'!A:CT,26,FALSE)</f>
        <v>0</v>
      </c>
      <c r="K70" s="61" t="str">
        <f>VLOOKUP(A70,'1.Loading'!A:R,5,FALSE)</f>
        <v>22GP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SWIC</v>
      </c>
      <c r="P70" s="61" t="str">
        <f>VLOOKUP(A70,'1.Loading'!A:R,4,FALSE)</f>
        <v>2611N</v>
      </c>
      <c r="Q70" s="61" t="str">
        <f>VLOOKUP(D70,'2.Bookinglist'!A:CT,12,FALSE)</f>
        <v>KHS1</v>
      </c>
      <c r="R70" s="60" t="str">
        <f>IF(LEFT(K70,2)="22","20'","40'")</f>
        <v>20'</v>
      </c>
      <c r="S70" s="185" t="n"/>
      <c r="T70" s="61" t="str">
        <f>VLOOKUP(A70,'1.Loading'!A:R,2,FALSE)</f>
        <v>2026-10-17</v>
      </c>
      <c r="U70" s="63">
        <f>T70-S70</f>
        <v>46312</v>
      </c>
      <c r="V70" s="186" t="n"/>
      <c r="W70" s="61" t="str">
        <f>VLOOKUP(A70,'3.GateMove'!A:D,4,FALSE)</f>
        <v>2026-10-12</v>
      </c>
      <c r="X70" s="63">
        <f>((T70-W70)+1)</f>
        <v>6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0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46313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0</v>
      </c>
      <c r="AJ70" s="188" t="n"/>
      <c r="AK70" s="62" t="str">
        <f>VLOOKUP(D70,'2.Bookinglist'!A:CT,40,FALSE)</f>
        <v>Nannaapust Sukporntaweewat</v>
      </c>
      <c r="AL70" s="60" t="str">
        <f>VLOOKUP(D70,'2.Bookinglist'!A:CW,101,FALSE)</f>
        <v>2026-10-15</v>
      </c>
      <c r="AM70" s="60" t="str">
        <f>VLOOKUP(D70,'2.Bookinglist'!A:BK,63,FALSE)</f>
        <v>LCHY5</v>
      </c>
      <c r="AN70" s="62" t="str">
        <f>VLOOKUP(D70,'2.Bookinglist'!A:AZ,52,FALSE)</f>
        <v>Pickup : 2026-10-10, Return : 2026-10-12 
** PLEASE CHECK OPEN GATE BEFORE RETURN CONTAINER **  </v>
      </c>
      <c r="AO70" s="62">
        <f>VLOOKUP(D70,'2.Bookinglist'!A:CY,103,FALSE)</f>
        <v>0</v>
      </c>
    </row>
    <row r="71" ht="12.95" customHeight="1">
      <c r="A71" s="96" t="inlineStr">
        <is>
          <t>SKLU1802152</t>
        </is>
      </c>
      <c r="B71" s="184" t="str">
        <f>IF(C71=Charge!$M$1,Charge!$J$1,IF(C71=Charge!$M$23,Charge!$J$23,IF(C71=Charge!$M$17,Charge!$J$17,IF(C71=Charge!$N$17,Charge!$J$17,Charge!$J$7))))</f>
        <v>G1</v>
      </c>
      <c r="C71" s="61" t="str">
        <f>VLOOKUP(A71,'1.Loading'!A:R,14,FALSE)</f>
        <v>LCH04</v>
      </c>
      <c r="D71" s="61" t="str">
        <f>VLOOKUP(A71,'1.Loading'!A:R,17,FALSE)</f>
        <v>HASLS22260902063</v>
      </c>
      <c r="E71" s="62" t="str">
        <f>VLOOKUP(D71,'2.Bookinglist'!A:CT,27,FALSE)</f>
        <v>SCGJWD LOGISTICS PUBLIC COMPANY LIMITED</v>
      </c>
      <c r="F71" s="62" t="str">
        <f>VLOOKUP(D71,'2.Bookinglist'!A:CT,28,FALSE)</f>
        <v>THAI POLYETHYLENE CO., LTD.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JPMOJ</v>
      </c>
      <c r="J71" s="61" t="str">
        <f>VLOOKUP(D71,'2.Bookinglist'!A:CT,26,FALSE)</f>
        <v>KRPUS</v>
      </c>
      <c r="K71" s="61" t="str">
        <f>VLOOKUP(A71,'1.Loading'!A:R,5,FALSE)</f>
        <v>22GP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SWIC</v>
      </c>
      <c r="P71" s="61" t="str">
        <f>VLOOKUP(A71,'1.Loading'!A:R,4,FALSE)</f>
        <v>2611N</v>
      </c>
      <c r="Q71" s="61" t="str">
        <f>VLOOKUP(D71,'2.Bookinglist'!A:CT,12,FALSE)</f>
        <v>KHS1</v>
      </c>
      <c r="R71" s="60" t="str">
        <f>IF(LEFT(K71,2)="22","20'","40'")</f>
        <v>20'</v>
      </c>
      <c r="S71" s="185" t="n"/>
      <c r="T71" s="61" t="str">
        <f>VLOOKUP(A71,'1.Loading'!A:R,2,FALSE)</f>
        <v>2026-10-17</v>
      </c>
      <c r="U71" s="63">
        <f>T71-S71</f>
        <v>46312</v>
      </c>
      <c r="V71" s="186" t="n"/>
      <c r="W71" s="61" t="str">
        <f>VLOOKUP(A71,'3.GateMove'!A:D,4,FALSE)</f>
        <v>2026-10-13</v>
      </c>
      <c r="X71" s="63">
        <f>((T71-W71)+1)</f>
        <v>5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0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46313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0</v>
      </c>
      <c r="AJ71" s="188" t="n"/>
      <c r="AK71" s="62" t="str">
        <f>VLOOKUP(D71,'2.Bookinglist'!A:CT,40,FALSE)</f>
        <v>Kanokporn</v>
      </c>
      <c r="AL71" s="60" t="str">
        <f>VLOOKUP(D71,'2.Bookinglist'!A:CW,101,FALSE)</f>
        <v>2026-10-15</v>
      </c>
      <c r="AM71" s="60" t="str">
        <f>VLOOKUP(D71,'2.Bookinglist'!A:BK,63,FALSE)</f>
        <v>LCHY5</v>
      </c>
      <c r="AN71" s="62" t="str">
        <f>VLOOKUP(D71,'2.Bookinglist'!A:AZ,52,FALSE)</f>
        <v>[FIX]CY-RTN 02-05/10/26 (  INV  3031061853 ) 
*PLS CHECK OPEN GATE BEFORE RETURN CTNR*</v>
      </c>
      <c r="AO71" s="62" t="str">
        <f>VLOOKUP(D71,'2.Bookinglist'!A:CY,103,FALSE)</f>
        <v>ROLL OVER FROM PREVIOUS VSL SWRG 2609N BY ALLOCATION TEAM MS.TAN APPROVED COST IS UNDER HA DD.09/10</v>
      </c>
    </row>
    <row r="72" ht="12.95" customHeight="1">
      <c r="A72" s="96" t="inlineStr">
        <is>
          <t>SKLU1803668</t>
        </is>
      </c>
      <c r="B72" s="184" t="str">
        <f>IF(C72=Charge!$M$1,Charge!$J$1,IF(C72=Charge!$M$23,Charge!$J$23,IF(C72=Charge!$M$17,Charge!$J$17,IF(C72=Charge!$N$17,Charge!$J$17,Charge!$J$7))))</f>
        <v>G1</v>
      </c>
      <c r="C72" s="61" t="str">
        <f>VLOOKUP(A72,'1.Loading'!A:R,14,FALSE)</f>
        <v>LCH04</v>
      </c>
      <c r="D72" s="61" t="str">
        <f>VLOOKUP(A72,'1.Loading'!A:R,17,FALSE)</f>
        <v>HASLS22260901329</v>
      </c>
      <c r="E72" s="62" t="str">
        <f>VLOOKUP(D72,'2.Bookinglist'!A:CT,27,FALSE)</f>
        <v>WHA GC LOGISTICS COMPANY LIMITED</v>
      </c>
      <c r="F72" s="62" t="str">
        <f>VLOOKUP(D72,'2.Bookinglist'!A:CT,28,FALSE)</f>
        <v>PTT GLOBAL CHEMICAL PUBLIC COMPANY LIMITED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VNSGN</v>
      </c>
      <c r="J72" s="61">
        <f>VLOOKUP(D72,'2.Bookinglist'!A:CT,26,FALSE)</f>
        <v>0</v>
      </c>
      <c r="K72" s="61" t="str">
        <f>VLOOKUP(A72,'1.Loading'!A:R,5,FALSE)</f>
        <v>22GP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SWIC</v>
      </c>
      <c r="P72" s="61" t="str">
        <f>VLOOKUP(A72,'1.Loading'!A:R,4,FALSE)</f>
        <v>2611N</v>
      </c>
      <c r="Q72" s="61" t="str">
        <f>VLOOKUP(D72,'2.Bookinglist'!A:CT,12,FALSE)</f>
        <v>KHS1</v>
      </c>
      <c r="R72" s="60" t="str">
        <f>IF(LEFT(K72,2)="22","20'","40'")</f>
        <v>20'</v>
      </c>
      <c r="S72" s="185" t="n"/>
      <c r="T72" s="61" t="str">
        <f>VLOOKUP(A72,'1.Loading'!A:R,2,FALSE)</f>
        <v>2026-10-17</v>
      </c>
      <c r="U72" s="63">
        <f>T72-S72</f>
        <v>46312</v>
      </c>
      <c r="V72" s="186" t="n"/>
      <c r="W72" s="61" t="str">
        <f>VLOOKUP(A72,'3.GateMove'!A:D,4,FALSE)</f>
        <v>2026-10-11</v>
      </c>
      <c r="X72" s="63">
        <f>((T72-W72)+1)</f>
        <v>7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0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46313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0</v>
      </c>
      <c r="AJ72" s="188" t="n"/>
      <c r="AK72" s="62" t="str">
        <f>VLOOKUP(D72,'2.Bookinglist'!A:CT,40,FALSE)</f>
        <v>Dharaporn</v>
      </c>
      <c r="AL72" s="60" t="str">
        <f>VLOOKUP(D72,'2.Bookinglist'!A:CW,101,FALSE)</f>
        <v>2026-10-16</v>
      </c>
      <c r="AM72" s="60" t="str">
        <f>VLOOKUP(D72,'2.Bookinglist'!A:BK,63,FALSE)</f>
        <v>LCH27</v>
      </c>
      <c r="AN72" s="62" t="str">
        <f>VLOOKUP(D72,'2.Bookinglist'!A:AZ,52,FALSE)</f>
        <v>CY-RTN 05-07/10/26 (PR2610002025)
*PLS CHECK OPEN GATE BEFORE RETURN CTNR*</v>
      </c>
      <c r="AO72" s="62" t="str">
        <f>VLOOKUP(D72,'2.Bookinglist'!A:CY,103,FALSE)</f>
        <v>ROLL OVER FROM PREVIOUS VSL SWBT 2616N BY ALLOCATION TEAM MS.TARN APRPOVED COST IS UNDER HA DD.14/10</v>
      </c>
    </row>
    <row r="73" ht="12.95" customHeight="1">
      <c r="A73" s="96" t="inlineStr">
        <is>
          <t>SKLU1806610</t>
        </is>
      </c>
      <c r="B73" s="184" t="str">
        <f>IF(C73=Charge!$M$1,Charge!$J$1,IF(C73=Charge!$M$23,Charge!$J$23,IF(C73=Charge!$M$17,Charge!$J$17,IF(C73=Charge!$N$17,Charge!$J$17,Charge!$J$7))))</f>
        <v>G1</v>
      </c>
      <c r="C73" s="61" t="str">
        <f>VLOOKUP(A73,'1.Loading'!A:R,14,FALSE)</f>
        <v>LCH04</v>
      </c>
      <c r="D73" s="61" t="str">
        <f>VLOOKUP(A73,'1.Loading'!A:R,17,FALSE)</f>
        <v>HASLS22260902676</v>
      </c>
      <c r="E73" s="62" t="str">
        <f>VLOOKUP(D73,'2.Bookinglist'!A:CT,27,FALSE)</f>
        <v>HAST LOGISTICS CO., LTD.</v>
      </c>
      <c r="F73" s="62" t="str">
        <f>VLOOKUP(D73,'2.Bookinglist'!A:CT,28,FALSE)</f>
        <v>THE THAI SUGAR TRADING CORPORATION LTD.</v>
      </c>
      <c r="G73" s="60">
        <f>VLOOKUP(D73,'2.Bookinglist'!A:E,5,FALSE)</f>
        <v>0</v>
      </c>
      <c r="H73" s="61" t="str">
        <f>VLOOKUP(D73,'2.Bookinglist'!A:CT,15,FALSE)</f>
        <v>THLCH</v>
      </c>
      <c r="I73" s="61" t="str">
        <f>VLOOKUP(D73,'2.Bookinglist'!A:CT,19,FALSE)</f>
        <v>VNSGN</v>
      </c>
      <c r="J73" s="61">
        <f>VLOOKUP(D73,'2.Bookinglist'!A:CT,26,FALSE)</f>
        <v>0</v>
      </c>
      <c r="K73" s="61" t="str">
        <f>VLOOKUP(A73,'1.Loading'!A:R,5,FALSE)</f>
        <v>22GP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SWIC</v>
      </c>
      <c r="P73" s="61" t="str">
        <f>VLOOKUP(A73,'1.Loading'!A:R,4,FALSE)</f>
        <v>2611N</v>
      </c>
      <c r="Q73" s="61" t="str">
        <f>VLOOKUP(D73,'2.Bookinglist'!A:CT,12,FALSE)</f>
        <v>KHS1</v>
      </c>
      <c r="R73" s="60" t="str">
        <f>IF(LEFT(K73,2)="22","20'","40'")</f>
        <v>20'</v>
      </c>
      <c r="S73" s="185" t="n"/>
      <c r="T73" s="61" t="str">
        <f>VLOOKUP(A73,'1.Loading'!A:R,2,FALSE)</f>
        <v>2026-10-17</v>
      </c>
      <c r="U73" s="63">
        <f>T73-S73</f>
        <v>46312</v>
      </c>
      <c r="V73" s="186" t="n"/>
      <c r="W73" s="61" t="str">
        <f>VLOOKUP(A73,'3.GateMove'!A:D,4,FALSE)</f>
        <v>2026-10-13</v>
      </c>
      <c r="X73" s="63">
        <f>((T73-W73)+1)</f>
        <v>5</v>
      </c>
      <c r="Y73" s="64">
        <f>IF(AND(OR(C73="BKK01",C73="BKK04"),L73="CFS/CY"),0,IF(M73="DG",1,IF(LEFT(C73,3)="LCH",7,IF(C73="BKK02",5,3))))</f>
        <v>7</v>
      </c>
      <c r="Z73" s="63">
        <f>IF(IF(AND(AC73="TML",AB73&gt;0),((T73-W73)+1)-AB73,((T73-W73)+1)-Y73)&gt;0,IF(AND(AC73="TML",AB73&gt;0),((T73-W73)+1)-AB73,((T73-W73)+1)-Y73),0)</f>
        <v>0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46313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0</v>
      </c>
      <c r="AJ73" s="188" t="n"/>
      <c r="AK73" s="62" t="str">
        <f>VLOOKUP(D73,'2.Bookinglist'!A:CT,40,FALSE)</f>
        <v>Kanokporn</v>
      </c>
      <c r="AL73" s="60" t="str">
        <f>VLOOKUP(D73,'2.Bookinglist'!A:CW,101,FALSE)</f>
        <v>2026-10-16</v>
      </c>
      <c r="AM73" s="60" t="str">
        <f>VLOOKUP(D73,'2.Bookinglist'!A:BK,63,FALSE)</f>
        <v>LCHY5</v>
      </c>
      <c r="AN73" s="62" t="str">
        <f>VLOOKUP(D73,'2.Bookinglist'!A:AZ,52,FALSE)</f>
        <v>Pickup : 2026-10-10, Return : 2026-10-12</v>
      </c>
      <c r="AO73" s="62">
        <f>VLOOKUP(D73,'2.Bookinglist'!A:CY,103,FALSE)</f>
        <v>0</v>
      </c>
    </row>
    <row r="74" ht="12.95" customHeight="1">
      <c r="A74" s="96" t="inlineStr">
        <is>
          <t>SKLU1821677</t>
        </is>
      </c>
      <c r="B74" s="184" t="str">
        <f>IF(C74=Charge!$M$1,Charge!$J$1,IF(C74=Charge!$M$23,Charge!$J$23,IF(C74=Charge!$M$17,Charge!$J$17,IF(C74=Charge!$N$17,Charge!$J$17,Charge!$J$7))))</f>
        <v>G1</v>
      </c>
      <c r="C74" s="61" t="str">
        <f>VLOOKUP(A74,'1.Loading'!A:R,14,FALSE)</f>
        <v>LCH04</v>
      </c>
      <c r="D74" s="61" t="str">
        <f>VLOOKUP(A74,'1.Loading'!A:R,17,FALSE)</f>
        <v>HASLS22260900838</v>
      </c>
      <c r="E74" s="62" t="str">
        <f>VLOOKUP(D74,'2.Bookinglist'!A:CT,27,FALSE)</f>
        <v>SCGJWD LOGISTICS PUBLIC COMPANY LIMITED</v>
      </c>
      <c r="F74" s="62" t="str">
        <f>VLOOKUP(D74,'2.Bookinglist'!A:CT,28,FALSE)</f>
        <v>THAI POLYETHYLENE CO., LTD.</v>
      </c>
      <c r="G74" s="60">
        <f>VLOOKUP(D74,'2.Bookinglist'!A:E,5,FALSE)</f>
        <v>0</v>
      </c>
      <c r="H74" s="61" t="str">
        <f>VLOOKUP(D74,'2.Bookinglist'!A:CT,15,FALSE)</f>
        <v>THLCH</v>
      </c>
      <c r="I74" s="61" t="str">
        <f>VLOOKUP(D74,'2.Bookinglist'!A:CT,19,FALSE)</f>
        <v>JPNAH</v>
      </c>
      <c r="J74" s="61" t="str">
        <f>VLOOKUP(D74,'2.Bookinglist'!A:CT,26,FALSE)</f>
        <v>KRPUS</v>
      </c>
      <c r="K74" s="61" t="str">
        <f>VLOOKUP(A74,'1.Loading'!A:R,5,FALSE)</f>
        <v>22GP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SWIC</v>
      </c>
      <c r="P74" s="61" t="str">
        <f>VLOOKUP(A74,'1.Loading'!A:R,4,FALSE)</f>
        <v>2611N</v>
      </c>
      <c r="Q74" s="61" t="str">
        <f>VLOOKUP(D74,'2.Bookinglist'!A:CT,12,FALSE)</f>
        <v>KHS1</v>
      </c>
      <c r="R74" s="60" t="str">
        <f>IF(LEFT(K74,2)="22","20'","40'")</f>
        <v>20'</v>
      </c>
      <c r="S74" s="185" t="n"/>
      <c r="T74" s="61" t="str">
        <f>VLOOKUP(A74,'1.Loading'!A:R,2,FALSE)</f>
        <v>2026-10-17</v>
      </c>
      <c r="U74" s="63">
        <f>T74-S74</f>
        <v>46312</v>
      </c>
      <c r="V74" s="186" t="n"/>
      <c r="W74" s="61" t="str">
        <f>VLOOKUP(A74,'3.GateMove'!A:D,4,FALSE)</f>
        <v>2026-10-13</v>
      </c>
      <c r="X74" s="63">
        <f>((T74-W74)+1)</f>
        <v>5</v>
      </c>
      <c r="Y74" s="64">
        <f>IF(AND(OR(C74="BKK01",C74="BKK04"),L74="CFS/CY"),0,IF(M74="DG",1,IF(LEFT(C74,3)="LCH",7,IF(C74="BKK02",5,3))))</f>
        <v>7</v>
      </c>
      <c r="Z74" s="63">
        <f>IF(IF(AND(AC74="TML",AB74&gt;0),((T74-W74)+1)-AB74,((T74-W74)+1)-Y74)&gt;0,IF(AND(AC74="TML",AB74&gt;0),((T74-W74)+1)-AB74,((T74-W74)+1)-Y74),0)</f>
        <v>0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46313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0</v>
      </c>
      <c r="AJ74" s="188" t="n"/>
      <c r="AK74" s="62" t="str">
        <f>VLOOKUP(D74,'2.Bookinglist'!A:CT,40,FALSE)</f>
        <v>Kanokporn</v>
      </c>
      <c r="AL74" s="60" t="str">
        <f>VLOOKUP(D74,'2.Bookinglist'!A:CW,101,FALSE)</f>
        <v>2026-10-15</v>
      </c>
      <c r="AM74" s="60" t="str">
        <f>VLOOKUP(D74,'2.Bookinglist'!A:BK,63,FALSE)</f>
        <v>LCH28</v>
      </c>
      <c r="AN74" s="62" t="str">
        <f>VLOOKUP(D74,'2.Bookinglist'!A:AZ,52,FALSE)</f>
        <v>CY 30/09/26 , RTN 02/10/26 (  INV  3031061819 ) </v>
      </c>
      <c r="AO74" s="62" t="str">
        <f>VLOOKUP(D74,'2.Bookinglist'!A:CY,103,FALSE)</f>
        <v>ROLL OVER FROM PREVIOUS VSL SWRG 2609N BY ALLOCATION TEAM MS.TAN APPROVED COST IS UNDER HA DD.09/10</v>
      </c>
    </row>
    <row r="75" ht="12.95" customHeight="1">
      <c r="A75" s="96" t="inlineStr">
        <is>
          <t>SKLU1822246</t>
        </is>
      </c>
      <c r="B75" s="184" t="str">
        <f>IF(C75=Charge!$M$1,Charge!$J$1,IF(C75=Charge!$M$23,Charge!$J$23,IF(C75=Charge!$M$17,Charge!$J$17,IF(C75=Charge!$N$17,Charge!$J$17,Charge!$J$7))))</f>
        <v>G1</v>
      </c>
      <c r="C75" s="61" t="str">
        <f>VLOOKUP(A75,'1.Loading'!A:R,14,FALSE)</f>
        <v>LCH04</v>
      </c>
      <c r="D75" s="61" t="str">
        <f>VLOOKUP(A75,'1.Loading'!A:R,17,FALSE)</f>
        <v>HASLS22260800966</v>
      </c>
      <c r="E75" s="62" t="str">
        <f>VLOOKUP(D75,'2.Bookinglist'!A:CT,27,FALSE)</f>
        <v>WHA GC LOGISTICS COMPANY LIMITED</v>
      </c>
      <c r="F75" s="62" t="str">
        <f>VLOOKUP(D75,'2.Bookinglist'!A:CT,28,FALSE)</f>
        <v>PTT GLOBAL CHEMICAL PUBLIC COMPANY LIMITED</v>
      </c>
      <c r="G75" s="60">
        <f>VLOOKUP(D75,'2.Bookinglist'!A:E,5,FALSE)</f>
        <v>0</v>
      </c>
      <c r="H75" s="61" t="str">
        <f>VLOOKUP(D75,'2.Bookinglist'!A:CT,15,FALSE)</f>
        <v>THLCH</v>
      </c>
      <c r="I75" s="61" t="str">
        <f>VLOOKUP(D75,'2.Bookinglist'!A:CT,19,FALSE)</f>
        <v>VNSGN</v>
      </c>
      <c r="J75" s="61">
        <f>VLOOKUP(D75,'2.Bookinglist'!A:CT,26,FALSE)</f>
        <v>0</v>
      </c>
      <c r="K75" s="61" t="str">
        <f>VLOOKUP(A75,'1.Loading'!A:R,5,FALSE)</f>
        <v>22GP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SWIC</v>
      </c>
      <c r="P75" s="61" t="str">
        <f>VLOOKUP(A75,'1.Loading'!A:R,4,FALSE)</f>
        <v>2611N</v>
      </c>
      <c r="Q75" s="61" t="str">
        <f>VLOOKUP(D75,'2.Bookinglist'!A:CT,12,FALSE)</f>
        <v>KHS1</v>
      </c>
      <c r="R75" s="60" t="str">
        <f>IF(LEFT(K75,2)="22","20'","40'")</f>
        <v>20'</v>
      </c>
      <c r="S75" s="185" t="n"/>
      <c r="T75" s="61" t="str">
        <f>VLOOKUP(A75,'1.Loading'!A:R,2,FALSE)</f>
        <v>2026-10-17</v>
      </c>
      <c r="U75" s="63">
        <f>T75-S75</f>
        <v>46312</v>
      </c>
      <c r="V75" s="186" t="n"/>
      <c r="W75" s="61" t="str">
        <f>VLOOKUP(A75,'3.GateMove'!A:D,4,FALSE)</f>
        <v>2026-10-13</v>
      </c>
      <c r="X75" s="63">
        <f>((T75-W75)+1)</f>
        <v>5</v>
      </c>
      <c r="Y75" s="64">
        <f>IF(AND(OR(C75="BKK01",C75="BKK04"),L75="CFS/CY"),0,IF(M75="DG",1,IF(LEFT(C75,3)="LCH",7,IF(C75="BKK02",5,3))))</f>
        <v>7</v>
      </c>
      <c r="Z75" s="63">
        <f>IF(IF(AND(AC75="TML",AB75&gt;0),((T75-W75)+1)-AB75,((T75-W75)+1)-Y75)&gt;0,IF(AND(AC75="TML",AB75&gt;0),((T75-W75)+1)-AB75,((T75-W75)+1)-Y75),0)</f>
        <v>0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46313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0</v>
      </c>
      <c r="AJ75" s="188" t="n"/>
      <c r="AK75" s="62" t="str">
        <f>VLOOKUP(D75,'2.Bookinglist'!A:CT,40,FALSE)</f>
        <v>Dharaporn</v>
      </c>
      <c r="AL75" s="60" t="str">
        <f>VLOOKUP(D75,'2.Bookinglist'!A:CW,101,FALSE)</f>
        <v>2026-10-16</v>
      </c>
      <c r="AM75" s="60" t="str">
        <f>VLOOKUP(D75,'2.Bookinglist'!A:BK,63,FALSE)</f>
        <v>LCHY5</v>
      </c>
      <c r="AN75" s="62" t="str">
        <f>VLOOKUP(D75,'2.Bookinglist'!A:AZ,52,FALSE)</f>
        <v>CY 02/10/26 , RTN 08/10/26
*PLS CHECK OPEN GATE BEFOER RETURN CTNR*</v>
      </c>
      <c r="AO75" s="62" t="str">
        <f>VLOOKUP(D75,'2.Bookinglist'!A:CY,103,FALSE)</f>
        <v>ROLL OVER FROM PREVIOUS VSL PGPO 2612N BY ALLOCATION TEAM MS.TARN APPROVED COST IS UNDER HA DD.13/10</v>
      </c>
    </row>
    <row r="76" ht="12.95" customHeight="1">
      <c r="A76" s="96" t="inlineStr">
        <is>
          <t>SKLU1911111</t>
        </is>
      </c>
      <c r="B76" s="184" t="str">
        <f>IF(C76=Charge!$M$1,Charge!$J$1,IF(C76=Charge!$M$23,Charge!$J$23,IF(C76=Charge!$M$17,Charge!$J$17,IF(C76=Charge!$N$17,Charge!$J$17,Charge!$J$7))))</f>
        <v>G1</v>
      </c>
      <c r="C76" s="61" t="str">
        <f>VLOOKUP(A76,'1.Loading'!A:R,14,FALSE)</f>
        <v>LCH04</v>
      </c>
      <c r="D76" s="61" t="str">
        <f>VLOOKUP(A76,'1.Loading'!A:R,17,FALSE)</f>
        <v>HASLS22260902676</v>
      </c>
      <c r="E76" s="62" t="str">
        <f>VLOOKUP(D76,'2.Bookinglist'!A:CT,27,FALSE)</f>
        <v>HAST LOGISTICS CO., LTD.</v>
      </c>
      <c r="F76" s="62" t="str">
        <f>VLOOKUP(D76,'2.Bookinglist'!A:CT,28,FALSE)</f>
        <v>THE THAI SUGAR TRADING CORPORATION LTD.</v>
      </c>
      <c r="G76" s="60">
        <f>VLOOKUP(D76,'2.Bookinglist'!A:E,5,FALSE)</f>
        <v>0</v>
      </c>
      <c r="H76" s="61" t="str">
        <f>VLOOKUP(D76,'2.Bookinglist'!A:CT,15,FALSE)</f>
        <v>THLCH</v>
      </c>
      <c r="I76" s="61" t="str">
        <f>VLOOKUP(D76,'2.Bookinglist'!A:CT,19,FALSE)</f>
        <v>VNSGN</v>
      </c>
      <c r="J76" s="61">
        <f>VLOOKUP(D76,'2.Bookinglist'!A:CT,26,FALSE)</f>
        <v>0</v>
      </c>
      <c r="K76" s="61" t="str">
        <f>VLOOKUP(A76,'1.Loading'!A:R,5,FALSE)</f>
        <v>22GP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SWIC</v>
      </c>
      <c r="P76" s="61" t="str">
        <f>VLOOKUP(A76,'1.Loading'!A:R,4,FALSE)</f>
        <v>2611N</v>
      </c>
      <c r="Q76" s="61" t="str">
        <f>VLOOKUP(D76,'2.Bookinglist'!A:CT,12,FALSE)</f>
        <v>KHS1</v>
      </c>
      <c r="R76" s="60" t="str">
        <f>IF(LEFT(K76,2)="22","20'","40'")</f>
        <v>20'</v>
      </c>
      <c r="S76" s="185" t="n"/>
      <c r="T76" s="61" t="str">
        <f>VLOOKUP(A76,'1.Loading'!A:R,2,FALSE)</f>
        <v>2026-10-17</v>
      </c>
      <c r="U76" s="63">
        <f>T76-S76</f>
        <v>46312</v>
      </c>
      <c r="V76" s="186" t="n"/>
      <c r="W76" s="61" t="str">
        <f>VLOOKUP(A76,'3.GateMove'!A:D,4,FALSE)</f>
        <v>2026-10-12</v>
      </c>
      <c r="X76" s="63">
        <f>((T76-W76)+1)</f>
        <v>6</v>
      </c>
      <c r="Y76" s="64">
        <f>IF(AND(OR(C76="BKK01",C76="BKK04"),L76="CFS/CY"),0,IF(M76="DG",1,IF(LEFT(C76,3)="LCH",7,IF(C76="BKK02",5,3))))</f>
        <v>7</v>
      </c>
      <c r="Z76" s="63">
        <f>IF(IF(AND(AC76="TML",AB76&gt;0),((T76-W76)+1)-AB76,((T76-W76)+1)-Y76)&gt;0,IF(AND(AC76="TML",AB76&gt;0),((T76-W76)+1)-AB76,((T76-W76)+1)-Y76),0)</f>
        <v>0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46313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0</v>
      </c>
      <c r="AJ76" s="188" t="n"/>
      <c r="AK76" s="62" t="str">
        <f>VLOOKUP(D76,'2.Bookinglist'!A:CT,40,FALSE)</f>
        <v>Kanokporn</v>
      </c>
      <c r="AL76" s="60" t="str">
        <f>VLOOKUP(D76,'2.Bookinglist'!A:CW,101,FALSE)</f>
        <v>2026-10-16</v>
      </c>
      <c r="AM76" s="60" t="str">
        <f>VLOOKUP(D76,'2.Bookinglist'!A:BK,63,FALSE)</f>
        <v>LCHY5</v>
      </c>
      <c r="AN76" s="62" t="str">
        <f>VLOOKUP(D76,'2.Bookinglist'!A:AZ,52,FALSE)</f>
        <v>Pickup : 2026-10-10, Return : 2026-10-12</v>
      </c>
      <c r="AO76" s="62">
        <f>VLOOKUP(D76,'2.Bookinglist'!A:CY,103,FALSE)</f>
        <v>0</v>
      </c>
    </row>
    <row r="77" ht="12.95" customHeight="1">
      <c r="A77" s="96" t="inlineStr">
        <is>
          <t>SKLU1919684</t>
        </is>
      </c>
      <c r="B77" s="184" t="str">
        <f>IF(C77=Charge!$M$1,Charge!$J$1,IF(C77=Charge!$M$23,Charge!$J$23,IF(C77=Charge!$M$17,Charge!$J$17,IF(C77=Charge!$N$17,Charge!$J$17,Charge!$J$7))))</f>
        <v>G1</v>
      </c>
      <c r="C77" s="61" t="str">
        <f>VLOOKUP(A77,'1.Loading'!A:R,14,FALSE)</f>
        <v>LCH04</v>
      </c>
      <c r="D77" s="61" t="str">
        <f>VLOOKUP(A77,'1.Loading'!A:R,17,FALSE)</f>
        <v>HASLS22260901329</v>
      </c>
      <c r="E77" s="62" t="str">
        <f>VLOOKUP(D77,'2.Bookinglist'!A:CT,27,FALSE)</f>
        <v>WHA GC LOGISTICS COMPANY LIMITED</v>
      </c>
      <c r="F77" s="62" t="str">
        <f>VLOOKUP(D77,'2.Bookinglist'!A:CT,28,FALSE)</f>
        <v>PTT GLOBAL CHEMICAL PUBLIC COMPANY LIMITED</v>
      </c>
      <c r="G77" s="60">
        <f>VLOOKUP(D77,'2.Bookinglist'!A:E,5,FALSE)</f>
        <v>0</v>
      </c>
      <c r="H77" s="61" t="str">
        <f>VLOOKUP(D77,'2.Bookinglist'!A:CT,15,FALSE)</f>
        <v>THLCH</v>
      </c>
      <c r="I77" s="61" t="str">
        <f>VLOOKUP(D77,'2.Bookinglist'!A:CT,19,FALSE)</f>
        <v>VNSGN</v>
      </c>
      <c r="J77" s="61">
        <f>VLOOKUP(D77,'2.Bookinglist'!A:CT,26,FALSE)</f>
        <v>0</v>
      </c>
      <c r="K77" s="61" t="str">
        <f>VLOOKUP(A77,'1.Loading'!A:R,5,FALSE)</f>
        <v>22GP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SWIC</v>
      </c>
      <c r="P77" s="61" t="str">
        <f>VLOOKUP(A77,'1.Loading'!A:R,4,FALSE)</f>
        <v>2611N</v>
      </c>
      <c r="Q77" s="61" t="str">
        <f>VLOOKUP(D77,'2.Bookinglist'!A:CT,12,FALSE)</f>
        <v>KHS1</v>
      </c>
      <c r="R77" s="60" t="str">
        <f>IF(LEFT(K77,2)="22","20'","40'")</f>
        <v>20'</v>
      </c>
      <c r="S77" s="185" t="n"/>
      <c r="T77" s="61" t="str">
        <f>VLOOKUP(A77,'1.Loading'!A:R,2,FALSE)</f>
        <v>2026-10-17</v>
      </c>
      <c r="U77" s="63">
        <f>T77-S77</f>
        <v>46312</v>
      </c>
      <c r="V77" s="186" t="n"/>
      <c r="W77" s="61" t="str">
        <f>VLOOKUP(A77,'3.GateMove'!A:D,4,FALSE)</f>
        <v>2026-10-11</v>
      </c>
      <c r="X77" s="63">
        <f>((T77-W77)+1)</f>
        <v>7</v>
      </c>
      <c r="Y77" s="64">
        <f>IF(AND(OR(C77="BKK01",C77="BKK04"),L77="CFS/CY"),0,IF(M77="DG",1,IF(LEFT(C77,3)="LCH",7,IF(C77="BKK02",5,3))))</f>
        <v>7</v>
      </c>
      <c r="Z77" s="63">
        <f>IF(IF(AND(AC77="TML",AB77&gt;0),((T77-W77)+1)-AB77,((T77-W77)+1)-Y77)&gt;0,IF(AND(AC77="TML",AB77&gt;0),((T77-W77)+1)-AB77,((T77-W77)+1)-Y77),0)</f>
        <v>0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46313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0</v>
      </c>
      <c r="AJ77" s="188" t="n"/>
      <c r="AK77" s="62" t="str">
        <f>VLOOKUP(D77,'2.Bookinglist'!A:CT,40,FALSE)</f>
        <v>Dharaporn</v>
      </c>
      <c r="AL77" s="60" t="str">
        <f>VLOOKUP(D77,'2.Bookinglist'!A:CW,101,FALSE)</f>
        <v>2026-10-16</v>
      </c>
      <c r="AM77" s="60" t="str">
        <f>VLOOKUP(D77,'2.Bookinglist'!A:BK,63,FALSE)</f>
        <v>LCH27</v>
      </c>
      <c r="AN77" s="62" t="str">
        <f>VLOOKUP(D77,'2.Bookinglist'!A:AZ,52,FALSE)</f>
        <v>CY-RTN 05-07/10/26 (PR2610002025)
*PLS CHECK OPEN GATE BEFORE RETURN CTNR*</v>
      </c>
      <c r="AO77" s="62" t="str">
        <f>VLOOKUP(D77,'2.Bookinglist'!A:CY,103,FALSE)</f>
        <v>ROLL OVER FROM PREVIOUS VSL SWBT 2616N BY ALLOCATION TEAM MS.TARN APRPOVED COST IS UNDER HA DD.14/10</v>
      </c>
    </row>
    <row r="78" ht="12.95" customHeight="1">
      <c r="A78" s="96" t="inlineStr">
        <is>
          <t>SKLU1938581</t>
        </is>
      </c>
      <c r="B78" s="184" t="str">
        <f>IF(C78=Charge!$M$1,Charge!$J$1,IF(C78=Charge!$M$23,Charge!$J$23,IF(C78=Charge!$M$17,Charge!$J$17,IF(C78=Charge!$N$17,Charge!$J$17,Charge!$J$7))))</f>
        <v>G1</v>
      </c>
      <c r="C78" s="61" t="str">
        <f>VLOOKUP(A78,'1.Loading'!A:R,14,FALSE)</f>
        <v>LCH04</v>
      </c>
      <c r="D78" s="61" t="str">
        <f>VLOOKUP(A78,'1.Loading'!A:R,17,FALSE)</f>
        <v>HASLS22260902676</v>
      </c>
      <c r="E78" s="62" t="str">
        <f>VLOOKUP(D78,'2.Bookinglist'!A:CT,27,FALSE)</f>
        <v>HAST LOGISTICS CO., LTD.</v>
      </c>
      <c r="F78" s="62" t="str">
        <f>VLOOKUP(D78,'2.Bookinglist'!A:CT,28,FALSE)</f>
        <v>THE THAI SUGAR TRADING CORPORATION LTD.</v>
      </c>
      <c r="G78" s="60">
        <f>VLOOKUP(D78,'2.Bookinglist'!A:E,5,FALSE)</f>
        <v>0</v>
      </c>
      <c r="H78" s="61" t="str">
        <f>VLOOKUP(D78,'2.Bookinglist'!A:CT,15,FALSE)</f>
        <v>THLCH</v>
      </c>
      <c r="I78" s="61" t="str">
        <f>VLOOKUP(D78,'2.Bookinglist'!A:CT,19,FALSE)</f>
        <v>VNSGN</v>
      </c>
      <c r="J78" s="61">
        <f>VLOOKUP(D78,'2.Bookinglist'!A:CT,26,FALSE)</f>
        <v>0</v>
      </c>
      <c r="K78" s="61" t="str">
        <f>VLOOKUP(A78,'1.Loading'!A:R,5,FALSE)</f>
        <v>22GP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SWIC</v>
      </c>
      <c r="P78" s="61" t="str">
        <f>VLOOKUP(A78,'1.Loading'!A:R,4,FALSE)</f>
        <v>2611N</v>
      </c>
      <c r="Q78" s="61" t="str">
        <f>VLOOKUP(D78,'2.Bookinglist'!A:CT,12,FALSE)</f>
        <v>KHS1</v>
      </c>
      <c r="R78" s="60" t="str">
        <f>IF(LEFT(K78,2)="22","20'","40'")</f>
        <v>20'</v>
      </c>
      <c r="S78" s="185" t="n"/>
      <c r="T78" s="61" t="str">
        <f>VLOOKUP(A78,'1.Loading'!A:R,2,FALSE)</f>
        <v>2026-10-17</v>
      </c>
      <c r="U78" s="63">
        <f>T78-S78</f>
        <v>46312</v>
      </c>
      <c r="V78" s="186" t="n"/>
      <c r="W78" s="61" t="str">
        <f>VLOOKUP(A78,'3.GateMove'!A:D,4,FALSE)</f>
        <v>2026-10-12</v>
      </c>
      <c r="X78" s="63">
        <f>((T78-W78)+1)</f>
        <v>6</v>
      </c>
      <c r="Y78" s="64">
        <f>IF(AND(OR(C78="BKK01",C78="BKK04"),L78="CFS/CY"),0,IF(M78="DG",1,IF(LEFT(C78,3)="LCH",7,IF(C78="BKK02",5,3))))</f>
        <v>7</v>
      </c>
      <c r="Z78" s="63">
        <f>IF(IF(AND(AC78="TML",AB78&gt;0),((T78-W78)+1)-AB78,((T78-W78)+1)-Y78)&gt;0,IF(AND(AC78="TML",AB78&gt;0),((T78-W78)+1)-AB78,((T78-W78)+1)-Y78),0)</f>
        <v>0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46313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0</v>
      </c>
      <c r="AJ78" s="188" t="n"/>
      <c r="AK78" s="62" t="str">
        <f>VLOOKUP(D78,'2.Bookinglist'!A:CT,40,FALSE)</f>
        <v>Kanokporn</v>
      </c>
      <c r="AL78" s="60" t="str">
        <f>VLOOKUP(D78,'2.Bookinglist'!A:CW,101,FALSE)</f>
        <v>2026-10-16</v>
      </c>
      <c r="AM78" s="60" t="str">
        <f>VLOOKUP(D78,'2.Bookinglist'!A:BK,63,FALSE)</f>
        <v>LCHY5</v>
      </c>
      <c r="AN78" s="62" t="str">
        <f>VLOOKUP(D78,'2.Bookinglist'!A:AZ,52,FALSE)</f>
        <v>Pickup : 2026-10-10, Return : 2026-10-12</v>
      </c>
      <c r="AO78" s="62">
        <f>VLOOKUP(D78,'2.Bookinglist'!A:CY,103,FALSE)</f>
        <v>0</v>
      </c>
    </row>
    <row r="79" ht="12.95" customHeight="1">
      <c r="A79" s="96" t="inlineStr">
        <is>
          <t>SKLU1961154</t>
        </is>
      </c>
      <c r="B79" s="184" t="str">
        <f>IF(C79=Charge!$M$1,Charge!$J$1,IF(C79=Charge!$M$23,Charge!$J$23,IF(C79=Charge!$M$17,Charge!$J$17,IF(C79=Charge!$N$17,Charge!$J$17,Charge!$J$7))))</f>
        <v>G1</v>
      </c>
      <c r="C79" s="61" t="str">
        <f>VLOOKUP(A79,'1.Loading'!A:R,14,FALSE)</f>
        <v>LCH04</v>
      </c>
      <c r="D79" s="61" t="str">
        <f>VLOOKUP(A79,'1.Loading'!A:R,17,FALSE)</f>
        <v>HASLS22261000325</v>
      </c>
      <c r="E79" s="62" t="str">
        <f>VLOOKUP(D79,'2.Bookinglist'!A:CT,27,FALSE)</f>
        <v>EASTERN AIR LOGISTICS CO., LTD.</v>
      </c>
      <c r="F79" s="62" t="str">
        <f>VLOOKUP(D79,'2.Bookinglist'!A:CT,28,FALSE)</f>
        <v>YU WON NRT (THAILAND) CO.,LTD.</v>
      </c>
      <c r="G79" s="60">
        <f>VLOOKUP(D79,'2.Bookinglist'!A:E,5,FALSE)</f>
        <v>0</v>
      </c>
      <c r="H79" s="61" t="str">
        <f>VLOOKUP(D79,'2.Bookinglist'!A:CT,15,FALSE)</f>
        <v>THLCH</v>
      </c>
      <c r="I79" s="61" t="str">
        <f>VLOOKUP(D79,'2.Bookinglist'!A:CT,19,FALSE)</f>
        <v>VNSGN</v>
      </c>
      <c r="J79" s="61">
        <f>VLOOKUP(D79,'2.Bookinglist'!A:CT,26,FALSE)</f>
        <v>0</v>
      </c>
      <c r="K79" s="61" t="str">
        <f>VLOOKUP(A79,'1.Loading'!A:R,5,FALSE)</f>
        <v>22GP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SWIC</v>
      </c>
      <c r="P79" s="61" t="str">
        <f>VLOOKUP(A79,'1.Loading'!A:R,4,FALSE)</f>
        <v>2611N</v>
      </c>
      <c r="Q79" s="61" t="str">
        <f>VLOOKUP(D79,'2.Bookinglist'!A:CT,12,FALSE)</f>
        <v>KHS1</v>
      </c>
      <c r="R79" s="60" t="str">
        <f>IF(LEFT(K79,2)="22","20'","40'")</f>
        <v>20'</v>
      </c>
      <c r="S79" s="185" t="n"/>
      <c r="T79" s="61" t="str">
        <f>VLOOKUP(A79,'1.Loading'!A:R,2,FALSE)</f>
        <v>2026-10-17</v>
      </c>
      <c r="U79" s="63">
        <f>T79-S79</f>
        <v>46312</v>
      </c>
      <c r="V79" s="186" t="n"/>
      <c r="W79" s="61" t="str">
        <f>VLOOKUP(A79,'3.GateMove'!A:D,4,FALSE)</f>
        <v>2026-10-13</v>
      </c>
      <c r="X79" s="63">
        <f>((T79-W79)+1)</f>
        <v>5</v>
      </c>
      <c r="Y79" s="64">
        <f>IF(AND(OR(C79="BKK01",C79="BKK04"),L79="CFS/CY"),0,IF(M79="DG",1,IF(LEFT(C79,3)="LCH",7,IF(C79="BKK02",5,3))))</f>
        <v>7</v>
      </c>
      <c r="Z79" s="63">
        <f>IF(IF(AND(AC79="TML",AB79&gt;0),((T79-W79)+1)-AB79,((T79-W79)+1)-Y79)&gt;0,IF(AND(AC79="TML",AB79&gt;0),((T79-W79)+1)-AB79,((T79-W79)+1)-Y79),0)</f>
        <v>0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46313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0</v>
      </c>
      <c r="AJ79" s="188" t="n"/>
      <c r="AK79" s="62" t="str">
        <f>VLOOKUP(D79,'2.Bookinglist'!A:CT,40,FALSE)</f>
        <v>Pattarapong Saengthong</v>
      </c>
      <c r="AL79" s="60" t="str">
        <f>VLOOKUP(D79,'2.Bookinglist'!A:CW,101,FALSE)</f>
        <v>2026-10-16</v>
      </c>
      <c r="AM79" s="60" t="str">
        <f>VLOOKUP(D79,'2.Bookinglist'!A:BK,63,FALSE)</f>
        <v>LCHY5</v>
      </c>
      <c r="AN79" s="62" t="str">
        <f>VLOOKUP(D79,'2.Bookinglist'!A:AZ,52,FALSE)</f>
        <v>Pickup : 2026-10-12, Return : 2026-10-12 
** PLEASE CHECK OPEN GATE BEFORE RETURN CONTAINER ** </v>
      </c>
      <c r="AO79" s="62" t="str">
        <f>VLOOKUP(D79,'2.Bookinglist'!A:CY,103,FALSE)</f>
        <v>ROLL OVER FROM PREVIOUS VSL SWBT 2616N BY ALLOCATION TEAM MS.TARN APRPOVED COST IS UNDER HA DD.14/10</v>
      </c>
    </row>
    <row r="80" ht="12.95" customHeight="1">
      <c r="A80" s="96" t="inlineStr">
        <is>
          <t>SKLU1979282</t>
        </is>
      </c>
      <c r="B80" s="184" t="str">
        <f>IF(C80=Charge!$M$1,Charge!$J$1,IF(C80=Charge!$M$23,Charge!$J$23,IF(C80=Charge!$M$17,Charge!$J$17,IF(C80=Charge!$N$17,Charge!$J$17,Charge!$J$7))))</f>
        <v>G1</v>
      </c>
      <c r="C80" s="61" t="str">
        <f>VLOOKUP(A80,'1.Loading'!A:R,14,FALSE)</f>
        <v>LCH04</v>
      </c>
      <c r="D80" s="61" t="str">
        <f>VLOOKUP(A80,'1.Loading'!A:R,17,FALSE)</f>
        <v>HASLS22260902063</v>
      </c>
      <c r="E80" s="62" t="str">
        <f>VLOOKUP(D80,'2.Bookinglist'!A:CT,27,FALSE)</f>
        <v>SCGJWD LOGISTICS PUBLIC COMPANY LIMITED</v>
      </c>
      <c r="F80" s="62" t="str">
        <f>VLOOKUP(D80,'2.Bookinglist'!A:CT,28,FALSE)</f>
        <v>THAI POLYETHYLENE CO., LTD.</v>
      </c>
      <c r="G80" s="60">
        <f>VLOOKUP(D80,'2.Bookinglist'!A:E,5,FALSE)</f>
        <v>0</v>
      </c>
      <c r="H80" s="61" t="str">
        <f>VLOOKUP(D80,'2.Bookinglist'!A:CT,15,FALSE)</f>
        <v>THLCH</v>
      </c>
      <c r="I80" s="61" t="str">
        <f>VLOOKUP(D80,'2.Bookinglist'!A:CT,19,FALSE)</f>
        <v>JPMOJ</v>
      </c>
      <c r="J80" s="61" t="str">
        <f>VLOOKUP(D80,'2.Bookinglist'!A:CT,26,FALSE)</f>
        <v>KRPUS</v>
      </c>
      <c r="K80" s="61" t="str">
        <f>VLOOKUP(A80,'1.Loading'!A:R,5,FALSE)</f>
        <v>22GP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SWIC</v>
      </c>
      <c r="P80" s="61" t="str">
        <f>VLOOKUP(A80,'1.Loading'!A:R,4,FALSE)</f>
        <v>2611N</v>
      </c>
      <c r="Q80" s="61" t="str">
        <f>VLOOKUP(D80,'2.Bookinglist'!A:CT,12,FALSE)</f>
        <v>KHS1</v>
      </c>
      <c r="R80" s="60" t="str">
        <f>IF(LEFT(K80,2)="22","20'","40'")</f>
        <v>20'</v>
      </c>
      <c r="S80" s="185" t="n"/>
      <c r="T80" s="61" t="str">
        <f>VLOOKUP(A80,'1.Loading'!A:R,2,FALSE)</f>
        <v>2026-10-17</v>
      </c>
      <c r="U80" s="63">
        <f>T80-S80</f>
        <v>46312</v>
      </c>
      <c r="V80" s="186" t="n"/>
      <c r="W80" s="61" t="str">
        <f>VLOOKUP(A80,'3.GateMove'!A:D,4,FALSE)</f>
        <v>2026-10-13</v>
      </c>
      <c r="X80" s="63">
        <f>((T80-W80)+1)</f>
        <v>5</v>
      </c>
      <c r="Y80" s="64">
        <f>IF(AND(OR(C80="BKK01",C80="BKK04"),L80="CFS/CY"),0,IF(M80="DG",1,IF(LEFT(C80,3)="LCH",7,IF(C80="BKK02",5,3))))</f>
        <v>7</v>
      </c>
      <c r="Z80" s="63">
        <f>IF(IF(AND(AC80="TML",AB80&gt;0),((T80-W80)+1)-AB80,((T80-W80)+1)-Y80)&gt;0,IF(AND(AC80="TML",AB80&gt;0),((T80-W80)+1)-AB80,((T80-W80)+1)-Y80),0)</f>
        <v>0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46313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0</v>
      </c>
      <c r="AJ80" s="188" t="n"/>
      <c r="AK80" s="62" t="str">
        <f>VLOOKUP(D80,'2.Bookinglist'!A:CT,40,FALSE)</f>
        <v>Kanokporn</v>
      </c>
      <c r="AL80" s="60" t="str">
        <f>VLOOKUP(D80,'2.Bookinglist'!A:CW,101,FALSE)</f>
        <v>2026-10-15</v>
      </c>
      <c r="AM80" s="60" t="str">
        <f>VLOOKUP(D80,'2.Bookinglist'!A:BK,63,FALSE)</f>
        <v>LCHY5</v>
      </c>
      <c r="AN80" s="62" t="str">
        <f>VLOOKUP(D80,'2.Bookinglist'!A:AZ,52,FALSE)</f>
        <v>[FIX]CY-RTN 02-05/10/26 (  INV  3031061853 ) 
*PLS CHECK OPEN GATE BEFORE RETURN CTNR*</v>
      </c>
      <c r="AO80" s="62" t="str">
        <f>VLOOKUP(D80,'2.Bookinglist'!A:CY,103,FALSE)</f>
        <v>ROLL OVER FROM PREVIOUS VSL SWRG 2609N BY ALLOCATION TEAM MS.TAN APPROVED COST IS UNDER HA DD.09/10</v>
      </c>
    </row>
    <row r="81" ht="12.95" customHeight="1">
      <c r="A81" s="96" t="inlineStr">
        <is>
          <t>SKLU1993608</t>
        </is>
      </c>
      <c r="B81" s="184" t="str">
        <f>IF(C81=Charge!$M$1,Charge!$J$1,IF(C81=Charge!$M$23,Charge!$J$23,IF(C81=Charge!$M$17,Charge!$J$17,IF(C81=Charge!$N$17,Charge!$J$17,Charge!$J$7))))</f>
        <v>G1</v>
      </c>
      <c r="C81" s="61" t="str">
        <f>VLOOKUP(A81,'1.Loading'!A:R,14,FALSE)</f>
        <v>LCH04</v>
      </c>
      <c r="D81" s="61" t="str">
        <f>VLOOKUP(A81,'1.Loading'!A:R,17,FALSE)</f>
        <v>HASLS22260902232</v>
      </c>
      <c r="E81" s="62" t="str">
        <f>VLOOKUP(D81,'2.Bookinglist'!A:CT,27,FALSE)</f>
        <v>SCGJWD LOGISTICS PUBLIC COMPANY LIMITED</v>
      </c>
      <c r="F81" s="62" t="str">
        <f>VLOOKUP(D81,'2.Bookinglist'!A:CT,28,FALSE)</f>
        <v>THAI POLYETHYLENE CO., LTD.</v>
      </c>
      <c r="G81" s="60">
        <f>VLOOKUP(D81,'2.Bookinglist'!A:E,5,FALSE)</f>
        <v>0</v>
      </c>
      <c r="H81" s="61" t="str">
        <f>VLOOKUP(D81,'2.Bookinglist'!A:CT,15,FALSE)</f>
        <v>THLCH</v>
      </c>
      <c r="I81" s="61" t="str">
        <f>VLOOKUP(D81,'2.Bookinglist'!A:CT,19,FALSE)</f>
        <v>JPNAH</v>
      </c>
      <c r="J81" s="61" t="str">
        <f>VLOOKUP(D81,'2.Bookinglist'!A:CT,26,FALSE)</f>
        <v>KRPUS</v>
      </c>
      <c r="K81" s="61" t="str">
        <f>VLOOKUP(A81,'1.Loading'!A:R,5,FALSE)</f>
        <v>22GP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SWIC</v>
      </c>
      <c r="P81" s="61" t="str">
        <f>VLOOKUP(A81,'1.Loading'!A:R,4,FALSE)</f>
        <v>2611N</v>
      </c>
      <c r="Q81" s="61" t="str">
        <f>VLOOKUP(D81,'2.Bookinglist'!A:CT,12,FALSE)</f>
        <v>KHS1</v>
      </c>
      <c r="R81" s="60" t="str">
        <f>IF(LEFT(K81,2)="22","20'","40'")</f>
        <v>20'</v>
      </c>
      <c r="S81" s="185" t="n"/>
      <c r="T81" s="61" t="str">
        <f>VLOOKUP(A81,'1.Loading'!A:R,2,FALSE)</f>
        <v>2026-10-17</v>
      </c>
      <c r="U81" s="63">
        <f>T81-S81</f>
        <v>46312</v>
      </c>
      <c r="V81" s="186" t="n"/>
      <c r="W81" s="61" t="str">
        <f>VLOOKUP(A81,'3.GateMove'!A:D,4,FALSE)</f>
        <v>2026-10-12</v>
      </c>
      <c r="X81" s="63">
        <f>((T81-W81)+1)</f>
        <v>6</v>
      </c>
      <c r="Y81" s="64">
        <f>IF(AND(OR(C81="BKK01",C81="BKK04"),L81="CFS/CY"),0,IF(M81="DG",1,IF(LEFT(C81,3)="LCH",7,IF(C81="BKK02",5,3))))</f>
        <v>7</v>
      </c>
      <c r="Z81" s="63">
        <f>IF(IF(AND(AC81="TML",AB81&gt;0),((T81-W81)+1)-AB81,((T81-W81)+1)-Y81)&gt;0,IF(AND(AC81="TML",AB81&gt;0),((T81-W81)+1)-AB81,((T81-W81)+1)-Y81),0)</f>
        <v>0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46313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0</v>
      </c>
      <c r="AJ81" s="188" t="n"/>
      <c r="AK81" s="62" t="str">
        <f>VLOOKUP(D81,'2.Bookinglist'!A:CT,40,FALSE)</f>
        <v>Kanokporn</v>
      </c>
      <c r="AL81" s="60" t="str">
        <f>VLOOKUP(D81,'2.Bookinglist'!A:CW,101,FALSE)</f>
        <v>2026-10-16</v>
      </c>
      <c r="AM81" s="60" t="str">
        <f>VLOOKUP(D81,'2.Bookinglist'!A:BK,63,FALSE)</f>
        <v>LCHY5</v>
      </c>
      <c r="AN81" s="62" t="str">
        <f>VLOOKUP(D81,'2.Bookinglist'!A:AZ,52,FALSE)</f>
        <v>CY-RTN 09-12/10/26 (  INV  3031062369 )
*PLS CHECK OPEN GATE BEFORE RETURN CTNR*</v>
      </c>
      <c r="AO81" s="62">
        <f>VLOOKUP(D81,'2.Bookinglist'!A:CY,103,FALSE)</f>
        <v>0</v>
      </c>
    </row>
    <row r="82" ht="12.95" customHeight="1">
      <c r="A82" s="96" t="inlineStr">
        <is>
          <t>SKLU1999988</t>
        </is>
      </c>
      <c r="B82" s="184" t="str">
        <f>IF(C82=Charge!$M$1,Charge!$J$1,IF(C82=Charge!$M$23,Charge!$J$23,IF(C82=Charge!$M$17,Charge!$J$17,IF(C82=Charge!$N$17,Charge!$J$17,Charge!$J$7))))</f>
        <v>G1</v>
      </c>
      <c r="C82" s="61" t="str">
        <f>VLOOKUP(A82,'1.Loading'!A:R,14,FALSE)</f>
        <v>LCH04</v>
      </c>
      <c r="D82" s="61" t="str">
        <f>VLOOKUP(A82,'1.Loading'!A:R,17,FALSE)</f>
        <v>HASLS22260902676</v>
      </c>
      <c r="E82" s="62" t="str">
        <f>VLOOKUP(D82,'2.Bookinglist'!A:CT,27,FALSE)</f>
        <v>HAST LOGISTICS CO., LTD.</v>
      </c>
      <c r="F82" s="62" t="str">
        <f>VLOOKUP(D82,'2.Bookinglist'!A:CT,28,FALSE)</f>
        <v>THE THAI SUGAR TRADING CORPORATION LTD.</v>
      </c>
      <c r="G82" s="60">
        <f>VLOOKUP(D82,'2.Bookinglist'!A:E,5,FALSE)</f>
        <v>0</v>
      </c>
      <c r="H82" s="61" t="str">
        <f>VLOOKUP(D82,'2.Bookinglist'!A:CT,15,FALSE)</f>
        <v>THLCH</v>
      </c>
      <c r="I82" s="61" t="str">
        <f>VLOOKUP(D82,'2.Bookinglist'!A:CT,19,FALSE)</f>
        <v>VNSGN</v>
      </c>
      <c r="J82" s="61">
        <f>VLOOKUP(D82,'2.Bookinglist'!A:CT,26,FALSE)</f>
        <v>0</v>
      </c>
      <c r="K82" s="61" t="str">
        <f>VLOOKUP(A82,'1.Loading'!A:R,5,FALSE)</f>
        <v>22GP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SWIC</v>
      </c>
      <c r="P82" s="61" t="str">
        <f>VLOOKUP(A82,'1.Loading'!A:R,4,FALSE)</f>
        <v>2611N</v>
      </c>
      <c r="Q82" s="61" t="str">
        <f>VLOOKUP(D82,'2.Bookinglist'!A:CT,12,FALSE)</f>
        <v>KHS1</v>
      </c>
      <c r="R82" s="60" t="str">
        <f>IF(LEFT(K82,2)="22","20'","40'")</f>
        <v>20'</v>
      </c>
      <c r="S82" s="185" t="n"/>
      <c r="T82" s="61" t="str">
        <f>VLOOKUP(A82,'1.Loading'!A:R,2,FALSE)</f>
        <v>2026-10-17</v>
      </c>
      <c r="U82" s="63">
        <f>T82-S82</f>
        <v>46312</v>
      </c>
      <c r="V82" s="186" t="n"/>
      <c r="W82" s="61" t="str">
        <f>VLOOKUP(A82,'3.GateMove'!A:D,4,FALSE)</f>
        <v>2026-10-13</v>
      </c>
      <c r="X82" s="63">
        <f>((T82-W82)+1)</f>
        <v>5</v>
      </c>
      <c r="Y82" s="64">
        <f>IF(AND(OR(C82="BKK01",C82="BKK04"),L82="CFS/CY"),0,IF(M82="DG",1,IF(LEFT(C82,3)="LCH",7,IF(C82="BKK02",5,3))))</f>
        <v>7</v>
      </c>
      <c r="Z82" s="63">
        <f>IF(IF(AND(AC82="TML",AB82&gt;0),((T82-W82)+1)-AB82,((T82-W82)+1)-Y82)&gt;0,IF(AND(AC82="TML",AB82&gt;0),((T82-W82)+1)-AB82,((T82-W82)+1)-Y82),0)</f>
        <v>0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46313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0</v>
      </c>
      <c r="AJ82" s="188" t="n"/>
      <c r="AK82" s="62" t="str">
        <f>VLOOKUP(D82,'2.Bookinglist'!A:CT,40,FALSE)</f>
        <v>Kanokporn</v>
      </c>
      <c r="AL82" s="60" t="str">
        <f>VLOOKUP(D82,'2.Bookinglist'!A:CW,101,FALSE)</f>
        <v>2026-10-16</v>
      </c>
      <c r="AM82" s="60" t="str">
        <f>VLOOKUP(D82,'2.Bookinglist'!A:BK,63,FALSE)</f>
        <v>LCHY5</v>
      </c>
      <c r="AN82" s="62" t="str">
        <f>VLOOKUP(D82,'2.Bookinglist'!A:AZ,52,FALSE)</f>
        <v>Pickup : 2026-10-10, Return : 2026-10-12</v>
      </c>
      <c r="AO82" s="62">
        <f>VLOOKUP(D82,'2.Bookinglist'!A:CY,103,FALSE)</f>
        <v>0</v>
      </c>
    </row>
    <row r="83" ht="12.95" customHeight="1">
      <c r="A83" s="96" t="inlineStr">
        <is>
          <t>SKLU2011990</t>
        </is>
      </c>
      <c r="B83" s="184" t="str">
        <f>IF(C83=Charge!$M$1,Charge!$J$1,IF(C83=Charge!$M$23,Charge!$J$23,IF(C83=Charge!$M$17,Charge!$J$17,IF(C83=Charge!$N$17,Charge!$J$17,Charge!$J$7))))</f>
        <v>G1</v>
      </c>
      <c r="C83" s="61" t="str">
        <f>VLOOKUP(A83,'1.Loading'!A:R,14,FALSE)</f>
        <v>LCH04</v>
      </c>
      <c r="D83" s="61" t="str">
        <f>VLOOKUP(A83,'1.Loading'!A:R,17,FALSE)</f>
        <v>HASLS22260900880</v>
      </c>
      <c r="E83" s="62" t="str">
        <f>VLOOKUP(D83,'2.Bookinglist'!A:CT,27,FALSE)</f>
        <v>LX PANTOS (THAILAND) CO., LTD.</v>
      </c>
      <c r="F83" s="62" t="str">
        <f>VLOOKUP(D83,'2.Bookinglist'!A:CT,28,FALSE)</f>
        <v>UNITEX RUBBER CO.,LTD</v>
      </c>
      <c r="G83" s="60">
        <f>VLOOKUP(D83,'2.Bookinglist'!A:E,5,FALSE)</f>
        <v>0</v>
      </c>
      <c r="H83" s="61" t="str">
        <f>VLOOKUP(D83,'2.Bookinglist'!A:CT,15,FALSE)</f>
        <v>THLCH</v>
      </c>
      <c r="I83" s="61" t="str">
        <f>VLOOKUP(D83,'2.Bookinglist'!A:CT,19,FALSE)</f>
        <v>KRUSN</v>
      </c>
      <c r="J83" s="61">
        <f>VLOOKUP(D83,'2.Bookinglist'!A:CT,26,FALSE)</f>
        <v>0</v>
      </c>
      <c r="K83" s="61" t="str">
        <f>VLOOKUP(A83,'1.Loading'!A:R,5,FALSE)</f>
        <v>22GP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SWIC</v>
      </c>
      <c r="P83" s="61" t="str">
        <f>VLOOKUP(A83,'1.Loading'!A:R,4,FALSE)</f>
        <v>2611N</v>
      </c>
      <c r="Q83" s="61" t="str">
        <f>VLOOKUP(D83,'2.Bookinglist'!A:CT,12,FALSE)</f>
        <v>KHS1</v>
      </c>
      <c r="R83" s="60" t="str">
        <f>IF(LEFT(K83,2)="22","20'","40'")</f>
        <v>20'</v>
      </c>
      <c r="S83" s="185" t="n"/>
      <c r="T83" s="61" t="str">
        <f>VLOOKUP(A83,'1.Loading'!A:R,2,FALSE)</f>
        <v>2026-10-17</v>
      </c>
      <c r="U83" s="63">
        <f>T83-S83</f>
        <v>46312</v>
      </c>
      <c r="V83" s="186" t="n"/>
      <c r="W83" s="61" t="str">
        <f>VLOOKUP(A83,'3.GateMove'!A:D,4,FALSE)</f>
        <v>2026-10-13</v>
      </c>
      <c r="X83" s="63">
        <f>((T83-W83)+1)</f>
        <v>5</v>
      </c>
      <c r="Y83" s="64">
        <f>IF(AND(OR(C83="BKK01",C83="BKK04"),L83="CFS/CY"),0,IF(M83="DG",1,IF(LEFT(C83,3)="LCH",7,IF(C83="BKK02",5,3))))</f>
        <v>7</v>
      </c>
      <c r="Z83" s="63">
        <f>IF(IF(AND(AC83="TML",AB83&gt;0),((T83-W83)+1)-AB83,((T83-W83)+1)-Y83)&gt;0,IF(AND(AC83="TML",AB83&gt;0),((T83-W83)+1)-AB83,((T83-W83)+1)-Y83),0)</f>
        <v>0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46313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0</v>
      </c>
      <c r="AJ83" s="188" t="n"/>
      <c r="AK83" s="62" t="str">
        <f>VLOOKUP(D83,'2.Bookinglist'!A:CT,40,FALSE)</f>
        <v>Kim jaewon</v>
      </c>
      <c r="AL83" s="60" t="str">
        <f>VLOOKUP(D83,'2.Bookinglist'!A:CW,101,FALSE)</f>
        <v>2026-10-13</v>
      </c>
      <c r="AM83" s="60" t="str">
        <f>VLOOKUP(D83,'2.Bookinglist'!A:BK,63,FALSE)</f>
        <v>LCHY5</v>
      </c>
      <c r="AN83" s="62" t="str">
        <f>VLOOKUP(D83,'2.Bookinglist'!A:AZ,52,FALSE)</f>
        <v>**APPROVED BY MJ CHANG DD.30/09/26** *FLEXIBAG ONDECK*
Survey : 2026-10-06, Pickup : 2026-10-07, Return : 2026-10-08 [1ST RTN 10/10/2026 W/O RENT]
**PLS CHECK OPEN GATE BEFORE RETURN CNTR**</v>
      </c>
      <c r="AO83" s="62">
        <f>VLOOKUP(D83,'2.Bookinglist'!A:CY,103,FALSE)</f>
        <v>0</v>
      </c>
    </row>
    <row r="84" ht="12.95" customHeight="1">
      <c r="A84" s="96" t="inlineStr">
        <is>
          <t>SKLU2019856</t>
        </is>
      </c>
      <c r="B84" s="184" t="str">
        <f>IF(C84=Charge!$M$1,Charge!$J$1,IF(C84=Charge!$M$23,Charge!$J$23,IF(C84=Charge!$M$17,Charge!$J$17,IF(C84=Charge!$N$17,Charge!$J$17,Charge!$J$7))))</f>
        <v>G1</v>
      </c>
      <c r="C84" s="61" t="str">
        <f>VLOOKUP(A84,'1.Loading'!A:R,14,FALSE)</f>
        <v>LCH04</v>
      </c>
      <c r="D84" s="61" t="str">
        <f>VLOOKUP(A84,'1.Loading'!A:R,17,FALSE)</f>
        <v>HASLS22260902232</v>
      </c>
      <c r="E84" s="62" t="str">
        <f>VLOOKUP(D84,'2.Bookinglist'!A:CT,27,FALSE)</f>
        <v>SCGJWD LOGISTICS PUBLIC COMPANY LIMITED</v>
      </c>
      <c r="F84" s="62" t="str">
        <f>VLOOKUP(D84,'2.Bookinglist'!A:CT,28,FALSE)</f>
        <v>THAI POLYETHYLENE CO., LTD.</v>
      </c>
      <c r="G84" s="60">
        <f>VLOOKUP(D84,'2.Bookinglist'!A:E,5,FALSE)</f>
        <v>0</v>
      </c>
      <c r="H84" s="61" t="str">
        <f>VLOOKUP(D84,'2.Bookinglist'!A:CT,15,FALSE)</f>
        <v>THLCH</v>
      </c>
      <c r="I84" s="61" t="str">
        <f>VLOOKUP(D84,'2.Bookinglist'!A:CT,19,FALSE)</f>
        <v>JPNAH</v>
      </c>
      <c r="J84" s="61" t="str">
        <f>VLOOKUP(D84,'2.Bookinglist'!A:CT,26,FALSE)</f>
        <v>KRPUS</v>
      </c>
      <c r="K84" s="61" t="str">
        <f>VLOOKUP(A84,'1.Loading'!A:R,5,FALSE)</f>
        <v>22GP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SWIC</v>
      </c>
      <c r="P84" s="61" t="str">
        <f>VLOOKUP(A84,'1.Loading'!A:R,4,FALSE)</f>
        <v>2611N</v>
      </c>
      <c r="Q84" s="61" t="str">
        <f>VLOOKUP(D84,'2.Bookinglist'!A:CT,12,FALSE)</f>
        <v>KHS1</v>
      </c>
      <c r="R84" s="60" t="str">
        <f>IF(LEFT(K84,2)="22","20'","40'")</f>
        <v>20'</v>
      </c>
      <c r="S84" s="185" t="n"/>
      <c r="T84" s="61" t="str">
        <f>VLOOKUP(A84,'1.Loading'!A:R,2,FALSE)</f>
        <v>2026-10-17</v>
      </c>
      <c r="U84" s="63">
        <f>T84-S84</f>
        <v>46312</v>
      </c>
      <c r="V84" s="186" t="n"/>
      <c r="W84" s="61" t="str">
        <f>VLOOKUP(A84,'3.GateMove'!A:D,4,FALSE)</f>
        <v>2026-10-12</v>
      </c>
      <c r="X84" s="63">
        <f>((T84-W84)+1)</f>
        <v>6</v>
      </c>
      <c r="Y84" s="64">
        <f>IF(AND(OR(C84="BKK01",C84="BKK04"),L84="CFS/CY"),0,IF(M84="DG",1,IF(LEFT(C84,3)="LCH",7,IF(C84="BKK02",5,3))))</f>
        <v>7</v>
      </c>
      <c r="Z84" s="63">
        <f>IF(IF(AND(AC84="TML",AB84&gt;0),((T84-W84)+1)-AB84,((T84-W84)+1)-Y84)&gt;0,IF(AND(AC84="TML",AB84&gt;0),((T84-W84)+1)-AB84,((T84-W84)+1)-Y84),0)</f>
        <v>0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46313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0</v>
      </c>
      <c r="AJ84" s="188" t="n"/>
      <c r="AK84" s="62" t="str">
        <f>VLOOKUP(D84,'2.Bookinglist'!A:CT,40,FALSE)</f>
        <v>Kanokporn</v>
      </c>
      <c r="AL84" s="60" t="str">
        <f>VLOOKUP(D84,'2.Bookinglist'!A:CW,101,FALSE)</f>
        <v>2026-10-16</v>
      </c>
      <c r="AM84" s="60" t="str">
        <f>VLOOKUP(D84,'2.Bookinglist'!A:BK,63,FALSE)</f>
        <v>LCHY5</v>
      </c>
      <c r="AN84" s="62" t="str">
        <f>VLOOKUP(D84,'2.Bookinglist'!A:AZ,52,FALSE)</f>
        <v>CY-RTN 09-12/10/26 (  INV  3031062369 )
*PLS CHECK OPEN GATE BEFORE RETURN CTNR*</v>
      </c>
      <c r="AO84" s="62">
        <f>VLOOKUP(D84,'2.Bookinglist'!A:CY,103,FALSE)</f>
        <v>0</v>
      </c>
    </row>
    <row r="85" ht="12.95" customHeight="1">
      <c r="A85" s="96" t="inlineStr">
        <is>
          <t>SKLU2113604</t>
        </is>
      </c>
      <c r="B85" s="184" t="str">
        <f>IF(C85=Charge!$M$1,Charge!$J$1,IF(C85=Charge!$M$23,Charge!$J$23,IF(C85=Charge!$M$17,Charge!$J$17,IF(C85=Charge!$N$17,Charge!$J$17,Charge!$J$7))))</f>
        <v>G1</v>
      </c>
      <c r="C85" s="61" t="str">
        <f>VLOOKUP(A85,'1.Loading'!A:R,14,FALSE)</f>
        <v>LCH04</v>
      </c>
      <c r="D85" s="61" t="str">
        <f>VLOOKUP(A85,'1.Loading'!A:R,17,FALSE)</f>
        <v>HASLS22260902676</v>
      </c>
      <c r="E85" s="62" t="str">
        <f>VLOOKUP(D85,'2.Bookinglist'!A:CT,27,FALSE)</f>
        <v>HAST LOGISTICS CO., LTD.</v>
      </c>
      <c r="F85" s="62" t="str">
        <f>VLOOKUP(D85,'2.Bookinglist'!A:CT,28,FALSE)</f>
        <v>THE THAI SUGAR TRADING CORPORATION LTD.</v>
      </c>
      <c r="G85" s="60">
        <f>VLOOKUP(D85,'2.Bookinglist'!A:E,5,FALSE)</f>
        <v>0</v>
      </c>
      <c r="H85" s="61" t="str">
        <f>VLOOKUP(D85,'2.Bookinglist'!A:CT,15,FALSE)</f>
        <v>THLCH</v>
      </c>
      <c r="I85" s="61" t="str">
        <f>VLOOKUP(D85,'2.Bookinglist'!A:CT,19,FALSE)</f>
        <v>VNSGN</v>
      </c>
      <c r="J85" s="61">
        <f>VLOOKUP(D85,'2.Bookinglist'!A:CT,26,FALSE)</f>
        <v>0</v>
      </c>
      <c r="K85" s="61" t="str">
        <f>VLOOKUP(A85,'1.Loading'!A:R,5,FALSE)</f>
        <v>22GP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SWIC</v>
      </c>
      <c r="P85" s="61" t="str">
        <f>VLOOKUP(A85,'1.Loading'!A:R,4,FALSE)</f>
        <v>2611N</v>
      </c>
      <c r="Q85" s="61" t="str">
        <f>VLOOKUP(D85,'2.Bookinglist'!A:CT,12,FALSE)</f>
        <v>KHS1</v>
      </c>
      <c r="R85" s="60" t="str">
        <f>IF(LEFT(K85,2)="22","20'","40'")</f>
        <v>20'</v>
      </c>
      <c r="S85" s="185" t="n"/>
      <c r="T85" s="61" t="str">
        <f>VLOOKUP(A85,'1.Loading'!A:R,2,FALSE)</f>
        <v>2026-10-17</v>
      </c>
      <c r="U85" s="63">
        <f>T85-S85</f>
        <v>46312</v>
      </c>
      <c r="V85" s="186" t="n"/>
      <c r="W85" s="61" t="str">
        <f>VLOOKUP(A85,'3.GateMove'!A:D,4,FALSE)</f>
        <v>2026-10-13</v>
      </c>
      <c r="X85" s="63">
        <f>((T85-W85)+1)</f>
        <v>5</v>
      </c>
      <c r="Y85" s="64">
        <f>IF(AND(OR(C85="BKK01",C85="BKK04"),L85="CFS/CY"),0,IF(M85="DG",1,IF(LEFT(C85,3)="LCH",7,IF(C85="BKK02",5,3))))</f>
        <v>7</v>
      </c>
      <c r="Z85" s="63">
        <f>IF(IF(AND(AC85="TML",AB85&gt;0),((T85-W85)+1)-AB85,((T85-W85)+1)-Y85)&gt;0,IF(AND(AC85="TML",AB85&gt;0),((T85-W85)+1)-AB85,((T85-W85)+1)-Y85),0)</f>
        <v>0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46313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0</v>
      </c>
      <c r="AJ85" s="188" t="n"/>
      <c r="AK85" s="62" t="str">
        <f>VLOOKUP(D85,'2.Bookinglist'!A:CT,40,FALSE)</f>
        <v>Kanokporn</v>
      </c>
      <c r="AL85" s="60" t="str">
        <f>VLOOKUP(D85,'2.Bookinglist'!A:CW,101,FALSE)</f>
        <v>2026-10-16</v>
      </c>
      <c r="AM85" s="60" t="str">
        <f>VLOOKUP(D85,'2.Bookinglist'!A:BK,63,FALSE)</f>
        <v>LCHY5</v>
      </c>
      <c r="AN85" s="62" t="str">
        <f>VLOOKUP(D85,'2.Bookinglist'!A:AZ,52,FALSE)</f>
        <v>Pickup : 2026-10-10, Return : 2026-10-12</v>
      </c>
      <c r="AO85" s="62">
        <f>VLOOKUP(D85,'2.Bookinglist'!A:CY,103,FALSE)</f>
        <v>0</v>
      </c>
    </row>
    <row r="86" ht="12.95" customHeight="1">
      <c r="A86" s="96" t="inlineStr">
        <is>
          <t>SKLU2302450</t>
        </is>
      </c>
      <c r="B86" s="184" t="str">
        <f>IF(C86=Charge!$M$1,Charge!$J$1,IF(C86=Charge!$M$23,Charge!$J$23,IF(C86=Charge!$M$17,Charge!$J$17,IF(C86=Charge!$N$17,Charge!$J$17,Charge!$J$7))))</f>
        <v>G1</v>
      </c>
      <c r="C86" s="61" t="str">
        <f>VLOOKUP(A86,'1.Loading'!A:R,14,FALSE)</f>
        <v>LCH04</v>
      </c>
      <c r="D86" s="61" t="str">
        <f>VLOOKUP(A86,'1.Loading'!A:R,17,FALSE)</f>
        <v>HASLS22260902676</v>
      </c>
      <c r="E86" s="62" t="str">
        <f>VLOOKUP(D86,'2.Bookinglist'!A:CT,27,FALSE)</f>
        <v>HAST LOGISTICS CO., LTD.</v>
      </c>
      <c r="F86" s="62" t="str">
        <f>VLOOKUP(D86,'2.Bookinglist'!A:CT,28,FALSE)</f>
        <v>THE THAI SUGAR TRADING CORPORATION LTD.</v>
      </c>
      <c r="G86" s="60">
        <f>VLOOKUP(D86,'2.Bookinglist'!A:E,5,FALSE)</f>
        <v>0</v>
      </c>
      <c r="H86" s="61" t="str">
        <f>VLOOKUP(D86,'2.Bookinglist'!A:CT,15,FALSE)</f>
        <v>THLCH</v>
      </c>
      <c r="I86" s="61" t="str">
        <f>VLOOKUP(D86,'2.Bookinglist'!A:CT,19,FALSE)</f>
        <v>VNSGN</v>
      </c>
      <c r="J86" s="61">
        <f>VLOOKUP(D86,'2.Bookinglist'!A:CT,26,FALSE)</f>
        <v>0</v>
      </c>
      <c r="K86" s="61" t="str">
        <f>VLOOKUP(A86,'1.Loading'!A:R,5,FALSE)</f>
        <v>22GP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SWIC</v>
      </c>
      <c r="P86" s="61" t="str">
        <f>VLOOKUP(A86,'1.Loading'!A:R,4,FALSE)</f>
        <v>2611N</v>
      </c>
      <c r="Q86" s="61" t="str">
        <f>VLOOKUP(D86,'2.Bookinglist'!A:CT,12,FALSE)</f>
        <v>KHS1</v>
      </c>
      <c r="R86" s="60" t="str">
        <f>IF(LEFT(K86,2)="22","20'","40'")</f>
        <v>20'</v>
      </c>
      <c r="S86" s="185" t="n"/>
      <c r="T86" s="61" t="str">
        <f>VLOOKUP(A86,'1.Loading'!A:R,2,FALSE)</f>
        <v>2026-10-17</v>
      </c>
      <c r="U86" s="63">
        <f>T86-S86</f>
        <v>46312</v>
      </c>
      <c r="V86" s="186" t="n"/>
      <c r="W86" s="61" t="str">
        <f>VLOOKUP(A86,'3.GateMove'!A:D,4,FALSE)</f>
        <v>2026-10-12</v>
      </c>
      <c r="X86" s="63">
        <f>((T86-W86)+1)</f>
        <v>6</v>
      </c>
      <c r="Y86" s="64">
        <f>IF(AND(OR(C86="BKK01",C86="BKK04"),L86="CFS/CY"),0,IF(M86="DG",1,IF(LEFT(C86,3)="LCH",7,IF(C86="BKK02",5,3))))</f>
        <v>7</v>
      </c>
      <c r="Z86" s="63">
        <f>IF(IF(AND(AC86="TML",AB86&gt;0),((T86-W86)+1)-AB86,((T86-W86)+1)-Y86)&gt;0,IF(AND(AC86="TML",AB86&gt;0),((T86-W86)+1)-AB86,((T86-W86)+1)-Y86),0)</f>
        <v>0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46313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0</v>
      </c>
      <c r="AJ86" s="188" t="n"/>
      <c r="AK86" s="62" t="str">
        <f>VLOOKUP(D86,'2.Bookinglist'!A:CT,40,FALSE)</f>
        <v>Kanokporn</v>
      </c>
      <c r="AL86" s="60" t="str">
        <f>VLOOKUP(D86,'2.Bookinglist'!A:CW,101,FALSE)</f>
        <v>2026-10-16</v>
      </c>
      <c r="AM86" s="60" t="str">
        <f>VLOOKUP(D86,'2.Bookinglist'!A:BK,63,FALSE)</f>
        <v>LCHY5</v>
      </c>
      <c r="AN86" s="62" t="str">
        <f>VLOOKUP(D86,'2.Bookinglist'!A:AZ,52,FALSE)</f>
        <v>Pickup : 2026-10-10, Return : 2026-10-12</v>
      </c>
      <c r="AO86" s="62">
        <f>VLOOKUP(D86,'2.Bookinglist'!A:CY,103,FALSE)</f>
        <v>0</v>
      </c>
    </row>
    <row r="87" ht="12.95" customHeight="1">
      <c r="A87" s="96" t="inlineStr">
        <is>
          <t>SKLU2308289</t>
        </is>
      </c>
      <c r="B87" s="184" t="str">
        <f>IF(C87=Charge!$M$1,Charge!$J$1,IF(C87=Charge!$M$23,Charge!$J$23,IF(C87=Charge!$M$17,Charge!$J$17,IF(C87=Charge!$N$17,Charge!$J$17,Charge!$J$7))))</f>
        <v>G1</v>
      </c>
      <c r="C87" s="61" t="str">
        <f>VLOOKUP(A87,'1.Loading'!A:R,14,FALSE)</f>
        <v>LCH04</v>
      </c>
      <c r="D87" s="61" t="str">
        <f>VLOOKUP(A87,'1.Loading'!A:R,17,FALSE)</f>
        <v>HASLS22260902063</v>
      </c>
      <c r="E87" s="62" t="str">
        <f>VLOOKUP(D87,'2.Bookinglist'!A:CT,27,FALSE)</f>
        <v>SCGJWD LOGISTICS PUBLIC COMPANY LIMITED</v>
      </c>
      <c r="F87" s="62" t="str">
        <f>VLOOKUP(D87,'2.Bookinglist'!A:CT,28,FALSE)</f>
        <v>THAI POLYETHYLENE CO., LTD.</v>
      </c>
      <c r="G87" s="60">
        <f>VLOOKUP(D87,'2.Bookinglist'!A:E,5,FALSE)</f>
        <v>0</v>
      </c>
      <c r="H87" s="61" t="str">
        <f>VLOOKUP(D87,'2.Bookinglist'!A:CT,15,FALSE)</f>
        <v>THLCH</v>
      </c>
      <c r="I87" s="61" t="str">
        <f>VLOOKUP(D87,'2.Bookinglist'!A:CT,19,FALSE)</f>
        <v>JPMOJ</v>
      </c>
      <c r="J87" s="61" t="str">
        <f>VLOOKUP(D87,'2.Bookinglist'!A:CT,26,FALSE)</f>
        <v>KRPUS</v>
      </c>
      <c r="K87" s="61" t="str">
        <f>VLOOKUP(A87,'1.Loading'!A:R,5,FALSE)</f>
        <v>22GP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SWIC</v>
      </c>
      <c r="P87" s="61" t="str">
        <f>VLOOKUP(A87,'1.Loading'!A:R,4,FALSE)</f>
        <v>2611N</v>
      </c>
      <c r="Q87" s="61" t="str">
        <f>VLOOKUP(D87,'2.Bookinglist'!A:CT,12,FALSE)</f>
        <v>KHS1</v>
      </c>
      <c r="R87" s="60" t="str">
        <f>IF(LEFT(K87,2)="22","20'","40'")</f>
        <v>20'</v>
      </c>
      <c r="S87" s="185" t="n"/>
      <c r="T87" s="61" t="str">
        <f>VLOOKUP(A87,'1.Loading'!A:R,2,FALSE)</f>
        <v>2026-10-17</v>
      </c>
      <c r="U87" s="63">
        <f>T87-S87</f>
        <v>46312</v>
      </c>
      <c r="V87" s="186" t="n"/>
      <c r="W87" s="61" t="str">
        <f>VLOOKUP(A87,'3.GateMove'!A:D,4,FALSE)</f>
        <v>2026-10-13</v>
      </c>
      <c r="X87" s="63">
        <f>((T87-W87)+1)</f>
        <v>5</v>
      </c>
      <c r="Y87" s="64">
        <f>IF(AND(OR(C87="BKK01",C87="BKK04"),L87="CFS/CY"),0,IF(M87="DG",1,IF(LEFT(C87,3)="LCH",7,IF(C87="BKK02",5,3))))</f>
        <v>7</v>
      </c>
      <c r="Z87" s="63">
        <f>IF(IF(AND(AC87="TML",AB87&gt;0),((T87-W87)+1)-AB87,((T87-W87)+1)-Y87)&gt;0,IF(AND(AC87="TML",AB87&gt;0),((T87-W87)+1)-AB87,((T87-W87)+1)-Y87),0)</f>
        <v>0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46313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0</v>
      </c>
      <c r="AJ87" s="188" t="n"/>
      <c r="AK87" s="62" t="str">
        <f>VLOOKUP(D87,'2.Bookinglist'!A:CT,40,FALSE)</f>
        <v>Kanokporn</v>
      </c>
      <c r="AL87" s="60" t="str">
        <f>VLOOKUP(D87,'2.Bookinglist'!A:CW,101,FALSE)</f>
        <v>2026-10-15</v>
      </c>
      <c r="AM87" s="60" t="str">
        <f>VLOOKUP(D87,'2.Bookinglist'!A:BK,63,FALSE)</f>
        <v>LCHY5</v>
      </c>
      <c r="AN87" s="62" t="str">
        <f>VLOOKUP(D87,'2.Bookinglist'!A:AZ,52,FALSE)</f>
        <v>[FIX]CY-RTN 02-05/10/26 (  INV  3031061853 ) 
*PLS CHECK OPEN GATE BEFORE RETURN CTNR*</v>
      </c>
      <c r="AO87" s="62" t="str">
        <f>VLOOKUP(D87,'2.Bookinglist'!A:CY,103,FALSE)</f>
        <v>ROLL OVER FROM PREVIOUS VSL SWRG 2609N BY ALLOCATION TEAM MS.TAN APPROVED COST IS UNDER HA DD.09/10</v>
      </c>
    </row>
    <row r="88" ht="12.95" customHeight="1">
      <c r="A88" s="96" t="inlineStr">
        <is>
          <t>SKLU2337970</t>
        </is>
      </c>
      <c r="B88" s="184" t="str">
        <f>IF(C88=Charge!$M$1,Charge!$J$1,IF(C88=Charge!$M$23,Charge!$J$23,IF(C88=Charge!$M$17,Charge!$J$17,IF(C88=Charge!$N$17,Charge!$J$17,Charge!$J$7))))</f>
        <v>G1</v>
      </c>
      <c r="C88" s="61" t="str">
        <f>VLOOKUP(A88,'1.Loading'!A:R,14,FALSE)</f>
        <v>LCH04</v>
      </c>
      <c r="D88" s="61" t="str">
        <f>VLOOKUP(A88,'1.Loading'!A:R,17,FALSE)</f>
        <v>HASLS22261000153</v>
      </c>
      <c r="E88" s="62" t="str">
        <f>VLOOKUP(D88,'2.Bookinglist'!A:CT,27,FALSE)</f>
        <v>BEE LOGISTICS (THAILAND) CO., LTD.</v>
      </c>
      <c r="F88" s="62" t="str">
        <f>VLOOKUP(D88,'2.Bookinglist'!A:CT,28,FALSE)</f>
        <v>INGREDION (THAILAND) CO., LTD.</v>
      </c>
      <c r="G88" s="60">
        <f>VLOOKUP(D88,'2.Bookinglist'!A:E,5,FALSE)</f>
        <v>0</v>
      </c>
      <c r="H88" s="61" t="str">
        <f>VLOOKUP(D88,'2.Bookinglist'!A:CT,15,FALSE)</f>
        <v>THLCH</v>
      </c>
      <c r="I88" s="61" t="str">
        <f>VLOOKUP(D88,'2.Bookinglist'!A:CT,19,FALSE)</f>
        <v>VNSGN</v>
      </c>
      <c r="J88" s="61">
        <f>VLOOKUP(D88,'2.Bookinglist'!A:CT,26,FALSE)</f>
        <v>0</v>
      </c>
      <c r="K88" s="61" t="str">
        <f>VLOOKUP(A88,'1.Loading'!A:R,5,FALSE)</f>
        <v>22GP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SWIC</v>
      </c>
      <c r="P88" s="61" t="str">
        <f>VLOOKUP(A88,'1.Loading'!A:R,4,FALSE)</f>
        <v>2611N</v>
      </c>
      <c r="Q88" s="61" t="str">
        <f>VLOOKUP(D88,'2.Bookinglist'!A:CT,12,FALSE)</f>
        <v>KHS1</v>
      </c>
      <c r="R88" s="60" t="str">
        <f>IF(LEFT(K88,2)="22","20'","40'")</f>
        <v>20'</v>
      </c>
      <c r="S88" s="185" t="n"/>
      <c r="T88" s="61" t="str">
        <f>VLOOKUP(A88,'1.Loading'!A:R,2,FALSE)</f>
        <v>2026-10-17</v>
      </c>
      <c r="U88" s="63">
        <f>T88-S88</f>
        <v>46312</v>
      </c>
      <c r="V88" s="186" t="n"/>
      <c r="W88" s="61" t="str">
        <f>VLOOKUP(A88,'3.GateMove'!A:D,4,FALSE)</f>
        <v>2026-10-13</v>
      </c>
      <c r="X88" s="63">
        <f>((T88-W88)+1)</f>
        <v>5</v>
      </c>
      <c r="Y88" s="64">
        <f>IF(AND(OR(C88="BKK01",C88="BKK04"),L88="CFS/CY"),0,IF(M88="DG",1,IF(LEFT(C88,3)="LCH",7,IF(C88="BKK02",5,3))))</f>
        <v>7</v>
      </c>
      <c r="Z88" s="63">
        <f>IF(IF(AND(AC88="TML",AB88&gt;0),((T88-W88)+1)-AB88,((T88-W88)+1)-Y88)&gt;0,IF(AND(AC88="TML",AB88&gt;0),((T88-W88)+1)-AB88,((T88-W88)+1)-Y88),0)</f>
        <v>0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46313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0</v>
      </c>
      <c r="AJ88" s="188" t="n"/>
      <c r="AK88" s="62" t="str">
        <f>VLOOKUP(D88,'2.Bookinglist'!A:CT,40,FALSE)</f>
        <v>Nustsireerach</v>
      </c>
      <c r="AL88" s="60" t="str">
        <f>VLOOKUP(D88,'2.Bookinglist'!A:CW,101,FALSE)</f>
        <v>2026-10-16</v>
      </c>
      <c r="AM88" s="60" t="str">
        <f>VLOOKUP(D88,'2.Bookinglist'!A:BK,63,FALSE)</f>
        <v>LCHY5</v>
      </c>
      <c r="AN88" s="62" t="str">
        <f>VLOOKUP(D88,'2.Bookinglist'!A:AZ,52,FALSE)</f>
        <v>Pickup : 2026-10-09, Return : 2026-10-11 (1ST RTN DD: 12/10/26 WO/RENT)
**CHECK OPENGATE BEFORE RETURN CNTR**</v>
      </c>
      <c r="AO88" s="62" t="str">
        <f>VLOOKUP(D88,'2.Bookinglist'!A:CY,103,FALSE)</f>
        <v>ROLL OVER FROM PREVIOUS VSL SWBT 2616N BY ALLOCATION TEAM MS.TARN APRPOVED COST IS UNDER HA DD.14/10</v>
      </c>
    </row>
    <row r="89" ht="12.95" customHeight="1">
      <c r="A89" s="96" t="inlineStr">
        <is>
          <t>SKLU2360559</t>
        </is>
      </c>
      <c r="B89" s="184" t="str">
        <f>IF(C89=Charge!$M$1,Charge!$J$1,IF(C89=Charge!$M$23,Charge!$J$23,IF(C89=Charge!$M$17,Charge!$J$17,IF(C89=Charge!$N$17,Charge!$J$17,Charge!$J$7))))</f>
        <v>G1</v>
      </c>
      <c r="C89" s="61" t="str">
        <f>VLOOKUP(A89,'1.Loading'!A:R,14,FALSE)</f>
        <v>LCH04</v>
      </c>
      <c r="D89" s="61" t="str">
        <f>VLOOKUP(A89,'1.Loading'!A:R,17,FALSE)</f>
        <v>HASLS22260800966</v>
      </c>
      <c r="E89" s="62" t="str">
        <f>VLOOKUP(D89,'2.Bookinglist'!A:CT,27,FALSE)</f>
        <v>WHA GC LOGISTICS COMPANY LIMITED</v>
      </c>
      <c r="F89" s="62" t="str">
        <f>VLOOKUP(D89,'2.Bookinglist'!A:CT,28,FALSE)</f>
        <v>PTT GLOBAL CHEMICAL PUBLIC COMPANY LIMITED</v>
      </c>
      <c r="G89" s="60">
        <f>VLOOKUP(D89,'2.Bookinglist'!A:E,5,FALSE)</f>
        <v>0</v>
      </c>
      <c r="H89" s="61" t="str">
        <f>VLOOKUP(D89,'2.Bookinglist'!A:CT,15,FALSE)</f>
        <v>THLCH</v>
      </c>
      <c r="I89" s="61" t="str">
        <f>VLOOKUP(D89,'2.Bookinglist'!A:CT,19,FALSE)</f>
        <v>VNSGN</v>
      </c>
      <c r="J89" s="61">
        <f>VLOOKUP(D89,'2.Bookinglist'!A:CT,26,FALSE)</f>
        <v>0</v>
      </c>
      <c r="K89" s="61" t="str">
        <f>VLOOKUP(A89,'1.Loading'!A:R,5,FALSE)</f>
        <v>22GP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SWIC</v>
      </c>
      <c r="P89" s="61" t="str">
        <f>VLOOKUP(A89,'1.Loading'!A:R,4,FALSE)</f>
        <v>2611N</v>
      </c>
      <c r="Q89" s="61" t="str">
        <f>VLOOKUP(D89,'2.Bookinglist'!A:CT,12,FALSE)</f>
        <v>KHS1</v>
      </c>
      <c r="R89" s="60" t="str">
        <f>IF(LEFT(K89,2)="22","20'","40'")</f>
        <v>20'</v>
      </c>
      <c r="S89" s="185" t="n"/>
      <c r="T89" s="61" t="str">
        <f>VLOOKUP(A89,'1.Loading'!A:R,2,FALSE)</f>
        <v>2026-10-17</v>
      </c>
      <c r="U89" s="63">
        <f>T89-S89</f>
        <v>46312</v>
      </c>
      <c r="V89" s="186" t="n"/>
      <c r="W89" s="61" t="str">
        <f>VLOOKUP(A89,'3.GateMove'!A:D,4,FALSE)</f>
        <v>2026-10-13</v>
      </c>
      <c r="X89" s="63">
        <f>((T89-W89)+1)</f>
        <v>5</v>
      </c>
      <c r="Y89" s="64">
        <f>IF(AND(OR(C89="BKK01",C89="BKK04"),L89="CFS/CY"),0,IF(M89="DG",1,IF(LEFT(C89,3)="LCH",7,IF(C89="BKK02",5,3))))</f>
        <v>7</v>
      </c>
      <c r="Z89" s="63">
        <f>IF(IF(AND(AC89="TML",AB89&gt;0),((T89-W89)+1)-AB89,((T89-W89)+1)-Y89)&gt;0,IF(AND(AC89="TML",AB89&gt;0),((T89-W89)+1)-AB89,((T89-W89)+1)-Y89),0)</f>
        <v>0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46313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0</v>
      </c>
      <c r="AJ89" s="188" t="n"/>
      <c r="AK89" s="62" t="str">
        <f>VLOOKUP(D89,'2.Bookinglist'!A:CT,40,FALSE)</f>
        <v>Dharaporn</v>
      </c>
      <c r="AL89" s="60" t="str">
        <f>VLOOKUP(D89,'2.Bookinglist'!A:CW,101,FALSE)</f>
        <v>2026-10-16</v>
      </c>
      <c r="AM89" s="60" t="str">
        <f>VLOOKUP(D89,'2.Bookinglist'!A:BK,63,FALSE)</f>
        <v>LCHY5</v>
      </c>
      <c r="AN89" s="62" t="str">
        <f>VLOOKUP(D89,'2.Bookinglist'!A:AZ,52,FALSE)</f>
        <v>CY 02/10/26 , RTN 08/10/26
*PLS CHECK OPEN GATE BEFOER RETURN CTNR*</v>
      </c>
      <c r="AO89" s="62" t="str">
        <f>VLOOKUP(D89,'2.Bookinglist'!A:CY,103,FALSE)</f>
        <v>ROLL OVER FROM PREVIOUS VSL PGPO 2612N BY ALLOCATION TEAM MS.TARN APPROVED COST IS UNDER HA DD.13/10</v>
      </c>
    </row>
    <row r="90" ht="12.95" customHeight="1">
      <c r="A90" s="96" t="inlineStr">
        <is>
          <t>SKLU2402504</t>
        </is>
      </c>
      <c r="B90" s="184" t="str">
        <f>IF(C90=Charge!$M$1,Charge!$J$1,IF(C90=Charge!$M$23,Charge!$J$23,IF(C90=Charge!$M$17,Charge!$J$17,IF(C90=Charge!$N$17,Charge!$J$17,Charge!$J$7))))</f>
        <v>G1</v>
      </c>
      <c r="C90" s="61" t="str">
        <f>VLOOKUP(A90,'1.Loading'!A:R,14,FALSE)</f>
        <v>LCH04</v>
      </c>
      <c r="D90" s="61" t="str">
        <f>VLOOKUP(A90,'1.Loading'!A:R,17,FALSE)</f>
        <v>HASLS22260800966</v>
      </c>
      <c r="E90" s="62" t="str">
        <f>VLOOKUP(D90,'2.Bookinglist'!A:CT,27,FALSE)</f>
        <v>WHA GC LOGISTICS COMPANY LIMITED</v>
      </c>
      <c r="F90" s="62" t="str">
        <f>VLOOKUP(D90,'2.Bookinglist'!A:CT,28,FALSE)</f>
        <v>PTT GLOBAL CHEMICAL PUBLIC COMPANY LIMITED</v>
      </c>
      <c r="G90" s="60">
        <f>VLOOKUP(D90,'2.Bookinglist'!A:E,5,FALSE)</f>
        <v>0</v>
      </c>
      <c r="H90" s="61" t="str">
        <f>VLOOKUP(D90,'2.Bookinglist'!A:CT,15,FALSE)</f>
        <v>THLCH</v>
      </c>
      <c r="I90" s="61" t="str">
        <f>VLOOKUP(D90,'2.Bookinglist'!A:CT,19,FALSE)</f>
        <v>VNSGN</v>
      </c>
      <c r="J90" s="61">
        <f>VLOOKUP(D90,'2.Bookinglist'!A:CT,26,FALSE)</f>
        <v>0</v>
      </c>
      <c r="K90" s="61" t="str">
        <f>VLOOKUP(A90,'1.Loading'!A:R,5,FALSE)</f>
        <v>22GP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SWIC</v>
      </c>
      <c r="P90" s="61" t="str">
        <f>VLOOKUP(A90,'1.Loading'!A:R,4,FALSE)</f>
        <v>2611N</v>
      </c>
      <c r="Q90" s="61" t="str">
        <f>VLOOKUP(D90,'2.Bookinglist'!A:CT,12,FALSE)</f>
        <v>KHS1</v>
      </c>
      <c r="R90" s="60" t="str">
        <f>IF(LEFT(K90,2)="22","20'","40'")</f>
        <v>20'</v>
      </c>
      <c r="S90" s="185" t="n"/>
      <c r="T90" s="61" t="str">
        <f>VLOOKUP(A90,'1.Loading'!A:R,2,FALSE)</f>
        <v>2026-10-17</v>
      </c>
      <c r="U90" s="63">
        <f>T90-S90</f>
        <v>46312</v>
      </c>
      <c r="V90" s="186" t="n"/>
      <c r="W90" s="61" t="str">
        <f>VLOOKUP(A90,'3.GateMove'!A:D,4,FALSE)</f>
        <v>2026-10-13</v>
      </c>
      <c r="X90" s="63">
        <f>((T90-W90)+1)</f>
        <v>5</v>
      </c>
      <c r="Y90" s="64">
        <f>IF(AND(OR(C90="BKK01",C90="BKK04"),L90="CFS/CY"),0,IF(M90="DG",1,IF(LEFT(C90,3)="LCH",7,IF(C90="BKK02",5,3))))</f>
        <v>7</v>
      </c>
      <c r="Z90" s="63">
        <f>IF(IF(AND(AC90="TML",AB90&gt;0),((T90-W90)+1)-AB90,((T90-W90)+1)-Y90)&gt;0,IF(AND(AC90="TML",AB90&gt;0),((T90-W90)+1)-AB90,((T90-W90)+1)-Y90),0)</f>
        <v>0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46313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0</v>
      </c>
      <c r="AJ90" s="188" t="n"/>
      <c r="AK90" s="62" t="str">
        <f>VLOOKUP(D90,'2.Bookinglist'!A:CT,40,FALSE)</f>
        <v>Dharaporn</v>
      </c>
      <c r="AL90" s="60" t="str">
        <f>VLOOKUP(D90,'2.Bookinglist'!A:CW,101,FALSE)</f>
        <v>2026-10-16</v>
      </c>
      <c r="AM90" s="60" t="str">
        <f>VLOOKUP(D90,'2.Bookinglist'!A:BK,63,FALSE)</f>
        <v>LCHY5</v>
      </c>
      <c r="AN90" s="62" t="str">
        <f>VLOOKUP(D90,'2.Bookinglist'!A:AZ,52,FALSE)</f>
        <v>CY 02/10/26 , RTN 08/10/26
*PLS CHECK OPEN GATE BEFOER RETURN CTNR*</v>
      </c>
      <c r="AO90" s="62" t="str">
        <f>VLOOKUP(D90,'2.Bookinglist'!A:CY,103,FALSE)</f>
        <v>ROLL OVER FROM PREVIOUS VSL PGPO 2612N BY ALLOCATION TEAM MS.TARN APPROVED COST IS UNDER HA DD.13/10</v>
      </c>
    </row>
    <row r="91" ht="12.95" customHeight="1">
      <c r="A91" s="96" t="inlineStr">
        <is>
          <t>SKLU2424695</t>
        </is>
      </c>
      <c r="B91" s="184" t="str">
        <f>IF(C91=Charge!$M$1,Charge!$J$1,IF(C91=Charge!$M$23,Charge!$J$23,IF(C91=Charge!$M$17,Charge!$J$17,IF(C91=Charge!$N$17,Charge!$J$17,Charge!$J$7))))</f>
        <v>G1</v>
      </c>
      <c r="C91" s="61" t="str">
        <f>VLOOKUP(A91,'1.Loading'!A:R,14,FALSE)</f>
        <v>LCH04</v>
      </c>
      <c r="D91" s="61" t="str">
        <f>VLOOKUP(A91,'1.Loading'!A:R,17,FALSE)</f>
        <v>HASLS22260902029</v>
      </c>
      <c r="E91" s="62" t="str">
        <f>VLOOKUP(D91,'2.Bookinglist'!A:CT,27,FALSE)</f>
        <v>DOW CHEMICAL THAILAND LTD.</v>
      </c>
      <c r="F91" s="62" t="str">
        <f>VLOOKUP(D91,'2.Bookinglist'!A:CT,28,FALSE)</f>
        <v>SIAM POLYETHYLENE CO., LTD.</v>
      </c>
      <c r="G91" s="60">
        <f>VLOOKUP(D91,'2.Bookinglist'!A:E,5,FALSE)</f>
        <v>0</v>
      </c>
      <c r="H91" s="61" t="str">
        <f>VLOOKUP(D91,'2.Bookinglist'!A:CT,15,FALSE)</f>
        <v>THLCH</v>
      </c>
      <c r="I91" s="61" t="str">
        <f>VLOOKUP(D91,'2.Bookinglist'!A:CT,19,FALSE)</f>
        <v>JPYKK</v>
      </c>
      <c r="J91" s="61" t="str">
        <f>VLOOKUP(D91,'2.Bookinglist'!A:CT,26,FALSE)</f>
        <v>KRPUS</v>
      </c>
      <c r="K91" s="61" t="str">
        <f>VLOOKUP(A91,'1.Loading'!A:R,5,FALSE)</f>
        <v>22GP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SWIC</v>
      </c>
      <c r="P91" s="61" t="str">
        <f>VLOOKUP(A91,'1.Loading'!A:R,4,FALSE)</f>
        <v>2611N</v>
      </c>
      <c r="Q91" s="61" t="str">
        <f>VLOOKUP(D91,'2.Bookinglist'!A:CT,12,FALSE)</f>
        <v>KHS1</v>
      </c>
      <c r="R91" s="60" t="str">
        <f>IF(LEFT(K91,2)="22","20'","40'")</f>
        <v>20'</v>
      </c>
      <c r="S91" s="185" t="n"/>
      <c r="T91" s="61" t="str">
        <f>VLOOKUP(A91,'1.Loading'!A:R,2,FALSE)</f>
        <v>2026-10-17</v>
      </c>
      <c r="U91" s="63">
        <f>T91-S91</f>
        <v>46312</v>
      </c>
      <c r="V91" s="186" t="n"/>
      <c r="W91" s="61" t="str">
        <f>VLOOKUP(A91,'3.GateMove'!A:D,4,FALSE)</f>
        <v>2026-10-13</v>
      </c>
      <c r="X91" s="63">
        <f>((T91-W91)+1)</f>
        <v>5</v>
      </c>
      <c r="Y91" s="64">
        <f>IF(AND(OR(C91="BKK01",C91="BKK04"),L91="CFS/CY"),0,IF(M91="DG",1,IF(LEFT(C91,3)="LCH",7,IF(C91="BKK02",5,3))))</f>
        <v>7</v>
      </c>
      <c r="Z91" s="63">
        <f>IF(IF(AND(AC91="TML",AB91&gt;0),((T91-W91)+1)-AB91,((T91-W91)+1)-Y91)&gt;0,IF(AND(AC91="TML",AB91&gt;0),((T91-W91)+1)-AB91,((T91-W91)+1)-Y91),0)</f>
        <v>0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46313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0</v>
      </c>
      <c r="AJ91" s="188" t="n"/>
      <c r="AK91" s="62" t="str">
        <f>VLOOKUP(D91,'2.Bookinglist'!A:CT,40,FALSE)</f>
        <v>SEO JI YEONG</v>
      </c>
      <c r="AL91" s="60" t="str">
        <f>VLOOKUP(D91,'2.Bookinglist'!A:CW,101,FALSE)</f>
        <v>2026-10-13</v>
      </c>
      <c r="AM91" s="60" t="str">
        <f>VLOOKUP(D91,'2.Bookinglist'!A:BK,63,FALSE)</f>
        <v>LCHY5</v>
      </c>
      <c r="AN91" s="62" t="str">
        <f>VLOOKUP(D91,'2.Bookinglist'!A:AZ,52,FALSE)</f>
        <v>Pickup : 2026-10-05, Return : 2026-10-09</v>
      </c>
      <c r="AO91" s="62">
        <f>VLOOKUP(D91,'2.Bookinglist'!A:CY,103,FALSE)</f>
        <v>0</v>
      </c>
    </row>
    <row r="92" ht="12.95" customHeight="1">
      <c r="A92" s="96" t="inlineStr">
        <is>
          <t>SKLU2435663</t>
        </is>
      </c>
      <c r="B92" s="184" t="str">
        <f>IF(C92=Charge!$M$1,Charge!$J$1,IF(C92=Charge!$M$23,Charge!$J$23,IF(C92=Charge!$M$17,Charge!$J$17,IF(C92=Charge!$N$17,Charge!$J$17,Charge!$J$7))))</f>
        <v>G1</v>
      </c>
      <c r="C92" s="61" t="str">
        <f>VLOOKUP(A92,'1.Loading'!A:R,14,FALSE)</f>
        <v>LCH04</v>
      </c>
      <c r="D92" s="61" t="str">
        <f>VLOOKUP(A92,'1.Loading'!A:R,17,FALSE)</f>
        <v>HASLS22261000114</v>
      </c>
      <c r="E92" s="62" t="str">
        <f>VLOOKUP(D92,'2.Bookinglist'!A:CT,27,FALSE)</f>
        <v>CANVAS GLOBAL LOGISTICS (THAILAND) CO., LTD.</v>
      </c>
      <c r="F92" s="62" t="str">
        <f>VLOOKUP(D92,'2.Bookinglist'!A:CT,28,FALSE)</f>
        <v>SRI TRANG GLOVES (THAILAND) PUBLIC COMPANY LIMITED</v>
      </c>
      <c r="G92" s="60">
        <f>VLOOKUP(D92,'2.Bookinglist'!A:E,5,FALSE)</f>
        <v>0</v>
      </c>
      <c r="H92" s="61" t="str">
        <f>VLOOKUP(D92,'2.Bookinglist'!A:CT,15,FALSE)</f>
        <v>THLCH</v>
      </c>
      <c r="I92" s="61" t="str">
        <f>VLOOKUP(D92,'2.Bookinglist'!A:CT,19,FALSE)</f>
        <v>KRPUS</v>
      </c>
      <c r="J92" s="61">
        <f>VLOOKUP(D92,'2.Bookinglist'!A:CT,26,FALSE)</f>
        <v>0</v>
      </c>
      <c r="K92" s="61" t="str">
        <f>VLOOKUP(A92,'1.Loading'!A:R,5,FALSE)</f>
        <v>22GP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SWIC</v>
      </c>
      <c r="P92" s="61" t="str">
        <f>VLOOKUP(A92,'1.Loading'!A:R,4,FALSE)</f>
        <v>2611N</v>
      </c>
      <c r="Q92" s="61" t="str">
        <f>VLOOKUP(D92,'2.Bookinglist'!A:CT,12,FALSE)</f>
        <v>KHS1</v>
      </c>
      <c r="R92" s="60" t="str">
        <f>IF(LEFT(K92,2)="22","20'","40'")</f>
        <v>20'</v>
      </c>
      <c r="S92" s="185" t="n"/>
      <c r="T92" s="61" t="str">
        <f>VLOOKUP(A92,'1.Loading'!A:R,2,FALSE)</f>
        <v>2026-10-17</v>
      </c>
      <c r="U92" s="63">
        <f>T92-S92</f>
        <v>46312</v>
      </c>
      <c r="V92" s="186" t="n"/>
      <c r="W92" s="61" t="str">
        <f>VLOOKUP(A92,'3.GateMove'!A:D,4,FALSE)</f>
        <v>2026-10-14</v>
      </c>
      <c r="X92" s="63">
        <f>((T92-W92)+1)</f>
        <v>4</v>
      </c>
      <c r="Y92" s="64">
        <f>IF(AND(OR(C92="BKK01",C92="BKK04"),L92="CFS/CY"),0,IF(M92="DG",1,IF(LEFT(C92,3)="LCH",7,IF(C92="BKK02",5,3))))</f>
        <v>7</v>
      </c>
      <c r="Z92" s="63">
        <f>IF(IF(AND(AC92="TML",AB92&gt;0),((T92-W92)+1)-AB92,((T92-W92)+1)-Y92)&gt;0,IF(AND(AC92="TML",AB92&gt;0),((T92-W92)+1)-AB92,((T92-W92)+1)-Y92),0)</f>
        <v>0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46313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0</v>
      </c>
      <c r="AJ92" s="188" t="n"/>
      <c r="AK92" s="62" t="str">
        <f>VLOOKUP(D92,'2.Bookinglist'!A:CT,40,FALSE)</f>
        <v>Arunphat W. (Aiw)</v>
      </c>
      <c r="AL92" s="60" t="str">
        <f>VLOOKUP(D92,'2.Bookinglist'!A:CW,101,FALSE)</f>
        <v>2026-10-16</v>
      </c>
      <c r="AM92" s="60" t="str">
        <f>VLOOKUP(D92,'2.Bookinglist'!A:BK,63,FALSE)</f>
        <v>LCHY5</v>
      </c>
      <c r="AN92" s="62" t="str">
        <f>VLOOKUP(D92,'2.Bookinglist'!A:AZ,52,FALSE)</f>
        <v>Pickup : 2026-10-07, Return : 2026-10-12</v>
      </c>
      <c r="AO92" s="62">
        <f>VLOOKUP(D92,'2.Bookinglist'!A:CY,103,FALSE)</f>
        <v>0</v>
      </c>
    </row>
    <row r="93" ht="12.95" customHeight="1">
      <c r="A93" s="96" t="inlineStr">
        <is>
          <t>SKLU2484502</t>
        </is>
      </c>
      <c r="B93" s="184" t="str">
        <f>IF(C93=Charge!$M$1,Charge!$J$1,IF(C93=Charge!$M$23,Charge!$J$23,IF(C93=Charge!$M$17,Charge!$J$17,IF(C93=Charge!$N$17,Charge!$J$17,Charge!$J$7))))</f>
        <v>G1</v>
      </c>
      <c r="C93" s="61" t="str">
        <f>VLOOKUP(A93,'1.Loading'!A:R,14,FALSE)</f>
        <v>LCH04</v>
      </c>
      <c r="D93" s="61" t="str">
        <f>VLOOKUP(A93,'1.Loading'!A:R,17,FALSE)</f>
        <v>HASLS22260800966</v>
      </c>
      <c r="E93" s="62" t="str">
        <f>VLOOKUP(D93,'2.Bookinglist'!A:CT,27,FALSE)</f>
        <v>WHA GC LOGISTICS COMPANY LIMITED</v>
      </c>
      <c r="F93" s="62" t="str">
        <f>VLOOKUP(D93,'2.Bookinglist'!A:CT,28,FALSE)</f>
        <v>PTT GLOBAL CHEMICAL PUBLIC COMPANY LIMITED</v>
      </c>
      <c r="G93" s="60">
        <f>VLOOKUP(D93,'2.Bookinglist'!A:E,5,FALSE)</f>
        <v>0</v>
      </c>
      <c r="H93" s="61" t="str">
        <f>VLOOKUP(D93,'2.Bookinglist'!A:CT,15,FALSE)</f>
        <v>THLCH</v>
      </c>
      <c r="I93" s="61" t="str">
        <f>VLOOKUP(D93,'2.Bookinglist'!A:CT,19,FALSE)</f>
        <v>VNSGN</v>
      </c>
      <c r="J93" s="61">
        <f>VLOOKUP(D93,'2.Bookinglist'!A:CT,26,FALSE)</f>
        <v>0</v>
      </c>
      <c r="K93" s="61" t="str">
        <f>VLOOKUP(A93,'1.Loading'!A:R,5,FALSE)</f>
        <v>22GP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SWIC</v>
      </c>
      <c r="P93" s="61" t="str">
        <f>VLOOKUP(A93,'1.Loading'!A:R,4,FALSE)</f>
        <v>2611N</v>
      </c>
      <c r="Q93" s="61" t="str">
        <f>VLOOKUP(D93,'2.Bookinglist'!A:CT,12,FALSE)</f>
        <v>KHS1</v>
      </c>
      <c r="R93" s="60" t="str">
        <f>IF(LEFT(K93,2)="22","20'","40'")</f>
        <v>20'</v>
      </c>
      <c r="S93" s="185" t="n"/>
      <c r="T93" s="61" t="str">
        <f>VLOOKUP(A93,'1.Loading'!A:R,2,FALSE)</f>
        <v>2026-10-17</v>
      </c>
      <c r="U93" s="63">
        <f>T93-S93</f>
        <v>46312</v>
      </c>
      <c r="V93" s="186" t="n"/>
      <c r="W93" s="61" t="str">
        <f>VLOOKUP(A93,'3.GateMove'!A:D,4,FALSE)</f>
        <v>2026-10-13</v>
      </c>
      <c r="X93" s="63">
        <f>((T93-W93)+1)</f>
        <v>5</v>
      </c>
      <c r="Y93" s="64">
        <f>IF(AND(OR(C93="BKK01",C93="BKK04"),L93="CFS/CY"),0,IF(M93="DG",1,IF(LEFT(C93,3)="LCH",7,IF(C93="BKK02",5,3))))</f>
        <v>7</v>
      </c>
      <c r="Z93" s="63">
        <f>IF(IF(AND(AC93="TML",AB93&gt;0),((T93-W93)+1)-AB93,((T93-W93)+1)-Y93)&gt;0,IF(AND(AC93="TML",AB93&gt;0),((T93-W93)+1)-AB93,((T93-W93)+1)-Y93),0)</f>
        <v>0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46313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0</v>
      </c>
      <c r="AJ93" s="188" t="n"/>
      <c r="AK93" s="62" t="str">
        <f>VLOOKUP(D93,'2.Bookinglist'!A:CT,40,FALSE)</f>
        <v>Dharaporn</v>
      </c>
      <c r="AL93" s="60" t="str">
        <f>VLOOKUP(D93,'2.Bookinglist'!A:CW,101,FALSE)</f>
        <v>2026-10-16</v>
      </c>
      <c r="AM93" s="60" t="str">
        <f>VLOOKUP(D93,'2.Bookinglist'!A:BK,63,FALSE)</f>
        <v>LCHY5</v>
      </c>
      <c r="AN93" s="62" t="str">
        <f>VLOOKUP(D93,'2.Bookinglist'!A:AZ,52,FALSE)</f>
        <v>CY 02/10/26 , RTN 08/10/26
*PLS CHECK OPEN GATE BEFOER RETURN CTNR*</v>
      </c>
      <c r="AO93" s="62" t="str">
        <f>VLOOKUP(D93,'2.Bookinglist'!A:CY,103,FALSE)</f>
        <v>ROLL OVER FROM PREVIOUS VSL PGPO 2612N BY ALLOCATION TEAM MS.TARN APPROVED COST IS UNDER HA DD.13/10</v>
      </c>
    </row>
    <row r="94" ht="12.95" customHeight="1">
      <c r="A94" s="96" t="inlineStr">
        <is>
          <t>SKLU2487060</t>
        </is>
      </c>
      <c r="B94" s="184" t="str">
        <f>IF(C94=Charge!$M$1,Charge!$J$1,IF(C94=Charge!$M$23,Charge!$J$23,IF(C94=Charge!$M$17,Charge!$J$17,IF(C94=Charge!$N$17,Charge!$J$17,Charge!$J$7))))</f>
        <v>G1</v>
      </c>
      <c r="C94" s="61" t="str">
        <f>VLOOKUP(A94,'1.Loading'!A:R,14,FALSE)</f>
        <v>LCH04</v>
      </c>
      <c r="D94" s="61" t="str">
        <f>VLOOKUP(A94,'1.Loading'!A:R,17,FALSE)</f>
        <v>HASLS22260902027</v>
      </c>
      <c r="E94" s="62" t="str">
        <f>VLOOKUP(D94,'2.Bookinglist'!A:CT,27,FALSE)</f>
        <v>DOW CHEMICAL THAILAND LTD.</v>
      </c>
      <c r="F94" s="62" t="str">
        <f>VLOOKUP(D94,'2.Bookinglist'!A:CT,28,FALSE)</f>
        <v>SIAM POLYETHYLENE CO., LTD.</v>
      </c>
      <c r="G94" s="60">
        <f>VLOOKUP(D94,'2.Bookinglist'!A:E,5,FALSE)</f>
        <v>0</v>
      </c>
      <c r="H94" s="61" t="str">
        <f>VLOOKUP(D94,'2.Bookinglist'!A:CT,15,FALSE)</f>
        <v>THLCH</v>
      </c>
      <c r="I94" s="61" t="str">
        <f>VLOOKUP(D94,'2.Bookinglist'!A:CT,19,FALSE)</f>
        <v>JPYKK</v>
      </c>
      <c r="J94" s="61" t="str">
        <f>VLOOKUP(D94,'2.Bookinglist'!A:CT,26,FALSE)</f>
        <v>KRPUS</v>
      </c>
      <c r="K94" s="61" t="str">
        <f>VLOOKUP(A94,'1.Loading'!A:R,5,FALSE)</f>
        <v>22GP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SWIC</v>
      </c>
      <c r="P94" s="61" t="str">
        <f>VLOOKUP(A94,'1.Loading'!A:R,4,FALSE)</f>
        <v>2611N</v>
      </c>
      <c r="Q94" s="61" t="str">
        <f>VLOOKUP(D94,'2.Bookinglist'!A:CT,12,FALSE)</f>
        <v>KHS1</v>
      </c>
      <c r="R94" s="60" t="str">
        <f>IF(LEFT(K94,2)="22","20'","40'")</f>
        <v>20'</v>
      </c>
      <c r="S94" s="185" t="n"/>
      <c r="T94" s="61" t="str">
        <f>VLOOKUP(A94,'1.Loading'!A:R,2,FALSE)</f>
        <v>2026-10-17</v>
      </c>
      <c r="U94" s="63">
        <f>T94-S94</f>
        <v>46312</v>
      </c>
      <c r="V94" s="186" t="n"/>
      <c r="W94" s="61" t="str">
        <f>VLOOKUP(A94,'3.GateMove'!A:D,4,FALSE)</f>
        <v>2026-10-13</v>
      </c>
      <c r="X94" s="63">
        <f>((T94-W94)+1)</f>
        <v>5</v>
      </c>
      <c r="Y94" s="64">
        <f>IF(AND(OR(C94="BKK01",C94="BKK04"),L94="CFS/CY"),0,IF(M94="DG",1,IF(LEFT(C94,3)="LCH",7,IF(C94="BKK02",5,3))))</f>
        <v>7</v>
      </c>
      <c r="Z94" s="63">
        <f>IF(IF(AND(AC94="TML",AB94&gt;0),((T94-W94)+1)-AB94,((T94-W94)+1)-Y94)&gt;0,IF(AND(AC94="TML",AB94&gt;0),((T94-W94)+1)-AB94,((T94-W94)+1)-Y94),0)</f>
        <v>0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46313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0</v>
      </c>
      <c r="AJ94" s="188" t="n"/>
      <c r="AK94" s="62" t="str">
        <f>VLOOKUP(D94,'2.Bookinglist'!A:CT,40,FALSE)</f>
        <v>SEO JI YEONG</v>
      </c>
      <c r="AL94" s="60" t="str">
        <f>VLOOKUP(D94,'2.Bookinglist'!A:CW,101,FALSE)</f>
        <v>2026-10-13</v>
      </c>
      <c r="AM94" s="60" t="str">
        <f>VLOOKUP(D94,'2.Bookinglist'!A:BK,63,FALSE)</f>
        <v>LCHY5</v>
      </c>
      <c r="AN94" s="62" t="str">
        <f>VLOOKUP(D94,'2.Bookinglist'!A:AZ,52,FALSE)</f>
        <v>Pickup : 2026-10-05, Return : 2026-10-09</v>
      </c>
      <c r="AO94" s="62">
        <f>VLOOKUP(D94,'2.Bookinglist'!A:CY,103,FALSE)</f>
        <v>0</v>
      </c>
    </row>
    <row r="95" ht="12.95" customHeight="1">
      <c r="A95" s="96" t="inlineStr">
        <is>
          <t>SKRU9909283</t>
        </is>
      </c>
      <c r="B95" s="184" t="str">
        <f>IF(C95=Charge!$M$1,Charge!$J$1,IF(C95=Charge!$M$23,Charge!$J$23,IF(C95=Charge!$M$17,Charge!$J$17,IF(C95=Charge!$N$17,Charge!$J$17,Charge!$J$7))))</f>
        <v>G1</v>
      </c>
      <c r="C95" s="61" t="str">
        <f>VLOOKUP(A95,'1.Loading'!A:R,14,FALSE)</f>
        <v>LCH04</v>
      </c>
      <c r="D95" s="61" t="str">
        <f>VLOOKUP(A95,'1.Loading'!A:R,17,FALSE)</f>
        <v>HASLS22260902806</v>
      </c>
      <c r="E95" s="62" t="str">
        <f>VLOOKUP(D95,'2.Bookinglist'!A:CT,27,FALSE)</f>
        <v>GOLDEN SEA FROZEN FOODS CO.,LTD</v>
      </c>
      <c r="F95" s="62" t="str">
        <f>VLOOKUP(D95,'2.Bookinglist'!A:CT,28,FALSE)</f>
        <v>GOLDEN SEA FROZEN FOODS CO.,LTD</v>
      </c>
      <c r="G95" s="60">
        <f>VLOOKUP(D95,'2.Bookinglist'!A:E,5,FALSE)</f>
        <v>0</v>
      </c>
      <c r="H95" s="61" t="str">
        <f>VLOOKUP(D95,'2.Bookinglist'!A:CT,15,FALSE)</f>
        <v>THLCH</v>
      </c>
      <c r="I95" s="61" t="str">
        <f>VLOOKUP(D95,'2.Bookinglist'!A:CT,19,FALSE)</f>
        <v>VNSGN</v>
      </c>
      <c r="J95" s="61">
        <f>VLOOKUP(D95,'2.Bookinglist'!A:CT,26,FALSE)</f>
        <v>0</v>
      </c>
      <c r="K95" s="61" t="str">
        <f>VLOOKUP(A95,'1.Loading'!A:R,5,FALSE)</f>
        <v>45RE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>RF</v>
      </c>
      <c r="O95" s="61" t="str">
        <f>VLOOKUP(A95,'1.Loading'!A:R,3,FALSE)</f>
        <v>SWIC</v>
      </c>
      <c r="P95" s="61" t="str">
        <f>VLOOKUP(A95,'1.Loading'!A:R,4,FALSE)</f>
        <v>2611N</v>
      </c>
      <c r="Q95" s="61" t="str">
        <f>VLOOKUP(D95,'2.Bookinglist'!A:CT,12,FALSE)</f>
        <v>KHS1</v>
      </c>
      <c r="R95" s="60" t="str">
        <f>IF(LEFT(K95,2)="22","20'","40'")</f>
        <v>40'</v>
      </c>
      <c r="S95" s="185" t="n"/>
      <c r="T95" s="61" t="str">
        <f>VLOOKUP(A95,'1.Loading'!A:R,2,FALSE)</f>
        <v>2026-10-17</v>
      </c>
      <c r="U95" s="63">
        <f>T95-S95</f>
        <v>46312</v>
      </c>
      <c r="V95" s="186" t="n"/>
      <c r="W95" s="61" t="str">
        <f>VLOOKUP(A95,'3.GateMove'!A:D,4,FALSE)</f>
        <v>2026-10-13</v>
      </c>
      <c r="X95" s="63">
        <f>((T95-W95)+1)</f>
        <v>5</v>
      </c>
      <c r="Y95" s="64">
        <f>IF(AND(OR(C95="BKK01",C95="BKK04"),L95="CFS/CY"),0,IF(M95="DG",1,IF(LEFT(C95,3)="LCH",7,IF(C95="BKK02",5,3))))</f>
        <v>7</v>
      </c>
      <c r="Z95" s="63">
        <f>IF(IF(AND(AC95="TML",AB95&gt;0),((T95-W95)+1)-AB95,((T95-W95)+1)-Y95)&gt;0,IF(AND(AC95="TML",AB95&gt;0),((T95-W95)+1)-AB95,((T95-W95)+1)-Y95),0)</f>
        <v>0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0</v>
      </c>
      <c r="AB95" s="184" t="n"/>
      <c r="AC95" s="184" t="n"/>
      <c r="AD95" s="60">
        <f>IF(M95="DG",3,IF(N95="RF",3,5))+IF(AND(LEFT(C95,3)="BKK",N95="RF",Q95="KTS"),1,0)+IF(Q95="KHS",1,0)</f>
        <v>3</v>
      </c>
      <c r="AE95" s="63">
        <f>(T95-V95)+1</f>
        <v>46313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0</v>
      </c>
      <c r="AJ95" s="188" t="n"/>
      <c r="AK95" s="62" t="str">
        <f>VLOOKUP(D95,'2.Bookinglist'!A:CT,40,FALSE)</f>
        <v>Kanokporn</v>
      </c>
      <c r="AL95" s="60" t="str">
        <f>VLOOKUP(D95,'2.Bookinglist'!A:CW,101,FALSE)</f>
        <v>2026-10-14</v>
      </c>
      <c r="AM95" s="60" t="str">
        <f>VLOOKUP(D95,'2.Bookinglist'!A:BK,63,FALSE)</f>
        <v>LCH27</v>
      </c>
      <c r="AN95" s="62" t="str">
        <f>VLOOKUP(D95,'2.Bookinglist'!A:AZ,52,FALSE)</f>
        <v>Pickup : 2026-10-06, Return : 2026-10-12  (Temp -18.0 / Vent Close) 
CLS TIME 13/10/26 @18.00</v>
      </c>
      <c r="AO95" s="62">
        <f>VLOOKUP(D95,'2.Bookinglist'!A:CY,103,FALSE)</f>
        <v>0</v>
      </c>
    </row>
    <row r="96" ht="12.95" customHeight="1">
      <c r="A96" s="96" t="inlineStr">
        <is>
          <t>TCKU2122328</t>
        </is>
      </c>
      <c r="B96" s="184" t="str">
        <f>IF(C96=Charge!$M$1,Charge!$J$1,IF(C96=Charge!$M$23,Charge!$J$23,IF(C96=Charge!$M$17,Charge!$J$17,IF(C96=Charge!$N$17,Charge!$J$17,Charge!$J$7))))</f>
        <v>G1</v>
      </c>
      <c r="C96" s="61" t="str">
        <f>VLOOKUP(A96,'1.Loading'!A:R,14,FALSE)</f>
        <v>LCH04</v>
      </c>
      <c r="D96" s="61" t="str">
        <f>VLOOKUP(A96,'1.Loading'!A:R,17,FALSE)</f>
        <v>HASLS22260902070</v>
      </c>
      <c r="E96" s="62" t="str">
        <f>VLOOKUP(D96,'2.Bookinglist'!A:CT,27,FALSE)</f>
        <v>H &amp; FRIENDS GTL (THAILAND) CO., LTD.</v>
      </c>
      <c r="F96" s="62" t="str">
        <f>VLOOKUP(D96,'2.Bookinglist'!A:CT,28,FALSE)</f>
        <v> N.C.R.RUBBER INDUSTRY CO., LTD.</v>
      </c>
      <c r="G96" s="60">
        <f>VLOOKUP(D96,'2.Bookinglist'!A:E,5,FALSE)</f>
        <v>0</v>
      </c>
      <c r="H96" s="61" t="str">
        <f>VLOOKUP(D96,'2.Bookinglist'!A:CT,15,FALSE)</f>
        <v>THLCH</v>
      </c>
      <c r="I96" s="61" t="str">
        <f>VLOOKUP(D96,'2.Bookinglist'!A:CT,19,FALSE)</f>
        <v>KRUSN</v>
      </c>
      <c r="J96" s="61">
        <f>VLOOKUP(D96,'2.Bookinglist'!A:CT,26,FALSE)</f>
        <v>0</v>
      </c>
      <c r="K96" s="61" t="str">
        <f>VLOOKUP(A96,'1.Loading'!A:R,5,FALSE)</f>
        <v>22GP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SWIC</v>
      </c>
      <c r="P96" s="61" t="str">
        <f>VLOOKUP(A96,'1.Loading'!A:R,4,FALSE)</f>
        <v>2611N</v>
      </c>
      <c r="Q96" s="61" t="str">
        <f>VLOOKUP(D96,'2.Bookinglist'!A:CT,12,FALSE)</f>
        <v>KHS1</v>
      </c>
      <c r="R96" s="60" t="str">
        <f>IF(LEFT(K96,2)="22","20'","40'")</f>
        <v>20'</v>
      </c>
      <c r="S96" s="185" t="n"/>
      <c r="T96" s="61" t="str">
        <f>VLOOKUP(A96,'1.Loading'!A:R,2,FALSE)</f>
        <v>2026-10-17</v>
      </c>
      <c r="U96" s="63">
        <f>T96-S96</f>
        <v>46312</v>
      </c>
      <c r="V96" s="186" t="n"/>
      <c r="W96" s="61" t="str">
        <f>VLOOKUP(A96,'3.GateMove'!A:D,4,FALSE)</f>
        <v>2026-10-12</v>
      </c>
      <c r="X96" s="63">
        <f>((T96-W96)+1)</f>
        <v>6</v>
      </c>
      <c r="Y96" s="64">
        <f>IF(AND(OR(C96="BKK01",C96="BKK04"),L96="CFS/CY"),0,IF(M96="DG",1,IF(LEFT(C96,3)="LCH",7,IF(C96="BKK02",5,3))))</f>
        <v>7</v>
      </c>
      <c r="Z96" s="63">
        <f>IF(IF(AND(AC96="TML",AB96&gt;0),((T96-W96)+1)-AB96,((T96-W96)+1)-Y96)&gt;0,IF(AND(AC96="TML",AB96&gt;0),((T96-W96)+1)-AB96,((T96-W96)+1)-Y96),0)</f>
        <v>0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46313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0</v>
      </c>
      <c r="AJ96" s="188" t="n"/>
      <c r="AK96" s="62" t="str">
        <f>VLOOKUP(D96,'2.Bookinglist'!A:CT,40,FALSE)</f>
        <v>AHN DAE UN</v>
      </c>
      <c r="AL96" s="60" t="str">
        <f>VLOOKUP(D96,'2.Bookinglist'!A:CW,101,FALSE)</f>
        <v>2026-10-16</v>
      </c>
      <c r="AM96" s="60" t="str">
        <f>VLOOKUP(D96,'2.Bookinglist'!A:BK,63,FALSE)</f>
        <v>LCHY5</v>
      </c>
      <c r="AN96" s="62" t="str">
        <f>VLOOKUP(D96,'2.Bookinglist'!A:AZ,52,FALSE)</f>
        <v>Pickup : 2026-10-10, Return : 2026-10-13</v>
      </c>
      <c r="AO96" s="62">
        <f>VLOOKUP(D96,'2.Bookinglist'!A:CY,103,FALSE)</f>
        <v>0</v>
      </c>
    </row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2026-10-17T06:00:35Z</dcterms:modified>
  <cp:lastModifiedBy>office4</cp:lastModifiedBy>
  <cp:lastPrinted>2019-11-19T03:03:39Z</cp:lastPrinted>
</cp:coreProperties>
</file>