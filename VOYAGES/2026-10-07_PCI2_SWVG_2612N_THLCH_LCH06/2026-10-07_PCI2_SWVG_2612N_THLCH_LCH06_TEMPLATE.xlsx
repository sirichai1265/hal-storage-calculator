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45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BEAU2989465</t>
        </is>
      </c>
      <c r="B2" s="161" t="inlineStr">
        <is>
          <t>2026-10-07</t>
        </is>
      </c>
      <c r="C2" s="96" t="inlineStr">
        <is>
          <t>SWVG</t>
        </is>
      </c>
      <c r="D2" s="96" t="inlineStr">
        <is>
          <t>2612N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KRPUS</t>
        </is>
      </c>
      <c r="J2" s="96" t="inlineStr">
        <is>
          <t>JPMOJ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LCH06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HASLS22260901582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PCI</t>
        </is>
      </c>
      <c r="U2" s="97" t="n"/>
      <c r="V2" s="96" t="inlineStr">
        <is>
          <t>SHA17L01</t>
        </is>
      </c>
      <c r="W2" s="96" t="inlineStr">
        <is>
          <t>THAI POLYETHYLENE CO.,LTD.</t>
        </is>
      </c>
      <c r="X2" s="96" t="inlineStr">
        <is>
          <t>VFD</t>
        </is>
      </c>
      <c r="Y2" s="96" t="inlineStr">
        <is>
          <t>TOYOTSU CHEMIPLAS CORPORATION,</t>
        </is>
      </c>
      <c r="Z2" s="96" t="inlineStr">
        <is>
          <t>TOYOTSU CHEMIPLAS CORPORATION,</t>
        </is>
      </c>
      <c r="AA2" s="97" t="n">
        <v>15147</v>
      </c>
      <c r="AB2" s="96" t="inlineStr">
        <is>
          <t>LCH06</t>
        </is>
      </c>
      <c r="AC2" s="96" t="inlineStr">
        <is>
          <t>MOJ02</t>
        </is>
      </c>
    </row>
    <row r="3" ht="12" customHeight="1">
      <c r="A3" s="96" t="inlineStr">
        <is>
          <t>BMOU5940421</t>
        </is>
      </c>
      <c r="B3" s="161" t="inlineStr">
        <is>
          <t>2026-10-07</t>
        </is>
      </c>
      <c r="C3" s="96" t="inlineStr">
        <is>
          <t>SWVG</t>
        </is>
      </c>
      <c r="D3" s="96" t="inlineStr">
        <is>
          <t>2612N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CNSHA</t>
        </is>
      </c>
      <c r="J3" s="96" t="inlineStr">
        <is>
          <t>CNSHA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LCH06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HASLS22260901668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PCI</t>
        </is>
      </c>
      <c r="U3" s="97" t="n"/>
      <c r="V3" s="96" t="inlineStr">
        <is>
          <t>SHA15L16</t>
        </is>
      </c>
      <c r="W3" s="96" t="inlineStr">
        <is>
          <t>BARKLAYS LOGISTICS (THAILAND)</t>
        </is>
      </c>
      <c r="X3" s="96" t="inlineStr">
        <is>
          <t>VFD</t>
        </is>
      </c>
      <c r="Y3" s="96" t="inlineStr">
        <is>
          <t>BARKLAYS LOGISTICS (SHANGHAI)</t>
        </is>
      </c>
      <c r="Z3" s="96" t="inlineStr">
        <is>
          <t>BARKLAYS LOGISTICS (SHANGHAI)</t>
        </is>
      </c>
      <c r="AA3" s="97" t="n">
        <v>20510</v>
      </c>
      <c r="AB3" s="96" t="inlineStr">
        <is>
          <t>LCH06</t>
        </is>
      </c>
      <c r="AC3" s="96" t="inlineStr">
        <is>
          <t>SHAW5</t>
        </is>
      </c>
    </row>
    <row r="4" ht="12" customHeight="1">
      <c r="A4" s="96" t="inlineStr">
        <is>
          <t>CRSU9338660</t>
        </is>
      </c>
      <c r="B4" s="161" t="inlineStr">
        <is>
          <t>2026-10-07</t>
        </is>
      </c>
      <c r="C4" s="96" t="inlineStr">
        <is>
          <t>SWVG</t>
        </is>
      </c>
      <c r="D4" s="96" t="inlineStr">
        <is>
          <t>2612N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KRPUS</t>
        </is>
      </c>
      <c r="J4" s="96" t="inlineStr">
        <is>
          <t>JPMYJ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LCH06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HASLS22260802360</t>
        </is>
      </c>
      <c r="R4" s="96" t="inlineStr">
        <is>
          <t>Y</t>
        </is>
      </c>
      <c r="S4" s="96" t="inlineStr">
        <is>
          <t>N</t>
        </is>
      </c>
      <c r="T4" s="96" t="inlineStr">
        <is>
          <t>PCI</t>
        </is>
      </c>
      <c r="U4" s="97" t="n"/>
      <c r="V4" s="96" t="inlineStr">
        <is>
          <t>K0120023</t>
        </is>
      </c>
      <c r="W4" s="96" t="inlineStr">
        <is>
          <t>PTT GLOBAL CHEMICAL PUBLIC COMPANY</t>
        </is>
      </c>
      <c r="X4" s="96" t="inlineStr">
        <is>
          <t>VFD</t>
        </is>
      </c>
      <c r="Y4" s="96" t="inlineStr">
        <is>
          <t>INABATA &amp; CO.,LTD</t>
        </is>
      </c>
      <c r="Z4" s="96" t="inlineStr">
        <is>
          <t>INABATA &amp; CO.,LTD</t>
        </is>
      </c>
      <c r="AA4" s="97" t="n">
        <v>24240</v>
      </c>
      <c r="AB4" s="96" t="inlineStr">
        <is>
          <t>LCH06</t>
        </is>
      </c>
      <c r="AC4" s="96" t="inlineStr">
        <is>
          <t>MYJ01</t>
        </is>
      </c>
    </row>
    <row r="5" ht="12" customHeight="1">
      <c r="A5" s="96" t="inlineStr">
        <is>
          <t>CXDU2308143</t>
        </is>
      </c>
      <c r="B5" s="161" t="inlineStr">
        <is>
          <t>2026-10-07</t>
        </is>
      </c>
      <c r="C5" s="96" t="inlineStr">
        <is>
          <t>SWVG</t>
        </is>
      </c>
      <c r="D5" s="96" t="inlineStr">
        <is>
          <t>2612N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THSRP</t>
        </is>
      </c>
      <c r="H5" s="96" t="inlineStr">
        <is>
          <t>THLCH</t>
        </is>
      </c>
      <c r="I5" s="96" t="inlineStr">
        <is>
          <t>CNSHA</t>
        </is>
      </c>
      <c r="J5" s="96" t="inlineStr">
        <is>
          <t>CNSHA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LCH06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HASLS22260901104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PCI</t>
        </is>
      </c>
      <c r="U5" s="97" t="n"/>
      <c r="V5" s="96" t="inlineStr">
        <is>
          <t>SHA16L01</t>
        </is>
      </c>
      <c r="W5" s="96" t="inlineStr">
        <is>
          <t>RAK SYSCOM (THAILAND) CO., LTD.</t>
        </is>
      </c>
      <c r="X5" s="96" t="inlineStr">
        <is>
          <t>VFD</t>
        </is>
      </c>
      <c r="Y5" s="96" t="inlineStr">
        <is>
          <t>ZHANGJIAGANG FREE TRADE ZONE</t>
        </is>
      </c>
      <c r="Z5" s="96" t="inlineStr">
        <is>
          <t>YAY INTERNATIONAL LIMITED</t>
        </is>
      </c>
      <c r="AA5" s="97" t="n">
        <v>22590</v>
      </c>
      <c r="AB5" s="96" t="inlineStr">
        <is>
          <t>LCH06</t>
        </is>
      </c>
      <c r="AC5" s="96" t="inlineStr">
        <is>
          <t>SHAW5</t>
        </is>
      </c>
    </row>
    <row r="6" ht="12" customHeight="1">
      <c r="A6" s="96" t="inlineStr">
        <is>
          <t>DFSU3096313</t>
        </is>
      </c>
      <c r="B6" s="161" t="inlineStr">
        <is>
          <t>2026-10-07</t>
        </is>
      </c>
      <c r="C6" s="96" t="inlineStr">
        <is>
          <t>SWVG</t>
        </is>
      </c>
      <c r="D6" s="96" t="inlineStr">
        <is>
          <t>2612N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CNSHA</t>
        </is>
      </c>
      <c r="J6" s="96" t="inlineStr">
        <is>
          <t>CNSHA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LCH06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HASLS22260901513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PCI</t>
        </is>
      </c>
      <c r="U6" s="97" t="n"/>
      <c r="V6" s="96" t="inlineStr">
        <is>
          <t>K0120021</t>
        </is>
      </c>
      <c r="W6" s="96" t="inlineStr">
        <is>
          <t>DOUBLE A (1991) PUBLIC COMPANY</t>
        </is>
      </c>
      <c r="X6" s="96" t="inlineStr">
        <is>
          <t>VFD</t>
        </is>
      </c>
      <c r="Y6" s="96" t="inlineStr">
        <is>
          <t>DOUBLE A INTERNATIONAL  TRADING</t>
        </is>
      </c>
      <c r="Z6" s="96" t="inlineStr">
        <is>
          <t>DOUBLE A INTERNATIONAL  TRADING</t>
        </is>
      </c>
      <c r="AA6" s="97" t="n">
        <v>16817</v>
      </c>
      <c r="AB6" s="96" t="inlineStr">
        <is>
          <t>LCH06</t>
        </is>
      </c>
      <c r="AC6" s="96" t="inlineStr">
        <is>
          <t>SHAW5</t>
        </is>
      </c>
    </row>
    <row r="7" ht="12" customHeight="1">
      <c r="A7" s="96" t="inlineStr">
        <is>
          <t>FCIU7289678</t>
        </is>
      </c>
      <c r="B7" s="161" t="inlineStr">
        <is>
          <t>2026-10-07</t>
        </is>
      </c>
      <c r="C7" s="96" t="inlineStr">
        <is>
          <t>SWVG</t>
        </is>
      </c>
      <c r="D7" s="96" t="inlineStr">
        <is>
          <t>2612N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CNSHA</t>
        </is>
      </c>
      <c r="J7" s="96" t="inlineStr">
        <is>
          <t>CNSHA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LCH06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HASLS22260900441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PCI</t>
        </is>
      </c>
      <c r="U7" s="97" t="n"/>
      <c r="V7" s="96" t="inlineStr">
        <is>
          <t>K0120023</t>
        </is>
      </c>
      <c r="W7" s="96" t="inlineStr">
        <is>
          <t>BARKLAYS LOGISTICS (THAILAND)</t>
        </is>
      </c>
      <c r="X7" s="96" t="inlineStr">
        <is>
          <t>ONL</t>
        </is>
      </c>
      <c r="Y7" s="96" t="inlineStr">
        <is>
          <t>BARKLAYS LOGISTICS (SHANGHAI)</t>
        </is>
      </c>
      <c r="Z7" s="96" t="inlineStr">
        <is>
          <t>BARKLAYS LOGISTICS (SHANGHAI)</t>
        </is>
      </c>
      <c r="AA7" s="97" t="n">
        <v>21410</v>
      </c>
      <c r="AB7" s="96" t="inlineStr">
        <is>
          <t>LCH06</t>
        </is>
      </c>
      <c r="AC7" s="96" t="inlineStr">
        <is>
          <t>SHAW5</t>
        </is>
      </c>
    </row>
    <row r="8" ht="12" customHeight="1">
      <c r="A8" s="96" t="inlineStr">
        <is>
          <t>FSCU7114149</t>
        </is>
      </c>
      <c r="B8" s="161" t="inlineStr">
        <is>
          <t>2026-10-07</t>
        </is>
      </c>
      <c r="C8" s="96" t="inlineStr">
        <is>
          <t>SWVG</t>
        </is>
      </c>
      <c r="D8" s="96" t="inlineStr">
        <is>
          <t>2612N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CNSHA</t>
        </is>
      </c>
      <c r="J8" s="96" t="inlineStr">
        <is>
          <t>CNSHA</t>
        </is>
      </c>
      <c r="K8" s="96" t="inlineStr">
        <is>
          <t>F</t>
        </is>
      </c>
      <c r="L8" s="96" t="inlineStr">
        <is>
          <t>L/T</t>
        </is>
      </c>
      <c r="M8" s="96" t="inlineStr">
        <is>
          <t>VFL</t>
        </is>
      </c>
      <c r="N8" s="96" t="inlineStr">
        <is>
          <t>LCH06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HASLS22260901668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PCI</t>
        </is>
      </c>
      <c r="U8" s="97" t="n"/>
      <c r="V8" s="96" t="inlineStr">
        <is>
          <t>SHA18L01</t>
        </is>
      </c>
      <c r="W8" s="96" t="inlineStr">
        <is>
          <t>BARKLAYS LOGISTICS (THAILAND)</t>
        </is>
      </c>
      <c r="X8" s="96" t="inlineStr">
        <is>
          <t>RTN</t>
        </is>
      </c>
      <c r="Y8" s="96" t="inlineStr">
        <is>
          <t>BARKLAYS LOGISTICS (SHANGHAI)</t>
        </is>
      </c>
      <c r="Z8" s="96" t="inlineStr">
        <is>
          <t>BARKLAYS LOGISTICS (SHANGHAI)</t>
        </is>
      </c>
      <c r="AA8" s="97" t="n">
        <v>23530</v>
      </c>
      <c r="AB8" s="96" t="inlineStr">
        <is>
          <t>LCH06</t>
        </is>
      </c>
      <c r="AC8" s="96" t="inlineStr">
        <is>
          <t>SHAW5</t>
        </is>
      </c>
    </row>
    <row r="9" ht="12" customHeight="1">
      <c r="A9" s="96" t="inlineStr">
        <is>
          <t>GCXU6008948</t>
        </is>
      </c>
      <c r="B9" s="161" t="inlineStr">
        <is>
          <t>2026-10-07</t>
        </is>
      </c>
      <c r="C9" s="96" t="inlineStr">
        <is>
          <t>SWVG</t>
        </is>
      </c>
      <c r="D9" s="96" t="inlineStr">
        <is>
          <t>2612N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CNSHA</t>
        </is>
      </c>
      <c r="J9" s="96" t="inlineStr">
        <is>
          <t>CNSHA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LCH06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HASLS22260901914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PCI</t>
        </is>
      </c>
      <c r="U9" s="97" t="n"/>
      <c r="V9" s="96" t="inlineStr">
        <is>
          <t>K0120023</t>
        </is>
      </c>
      <c r="W9" s="96" t="inlineStr">
        <is>
          <t>MITSUBISHI LOGISTICS (THAILAND)</t>
        </is>
      </c>
      <c r="X9" s="96" t="inlineStr">
        <is>
          <t>VFD</t>
        </is>
      </c>
      <c r="Y9" s="96" t="inlineStr">
        <is>
          <t>SHANGHAI LINGYUN GLOBAL FORWARDING</t>
        </is>
      </c>
      <c r="Z9" s="96" t="inlineStr">
        <is>
          <t>SHANGHAI LINGYUN GLOBAL FORWARDING</t>
        </is>
      </c>
      <c r="AA9" s="97" t="n">
        <v>24642</v>
      </c>
      <c r="AB9" s="96" t="inlineStr">
        <is>
          <t>LCH06</t>
        </is>
      </c>
      <c r="AC9" s="96" t="inlineStr">
        <is>
          <t>SHAW5</t>
        </is>
      </c>
    </row>
    <row r="10" ht="12" customHeight="1">
      <c r="A10" s="96" t="inlineStr">
        <is>
          <t>GCXU6306808</t>
        </is>
      </c>
      <c r="B10" s="161" t="inlineStr">
        <is>
          <t>2026-10-07</t>
        </is>
      </c>
      <c r="C10" s="96" t="inlineStr">
        <is>
          <t>SWVG</t>
        </is>
      </c>
      <c r="D10" s="96" t="inlineStr">
        <is>
          <t>2612N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CNSHA</t>
        </is>
      </c>
      <c r="J10" s="96" t="inlineStr">
        <is>
          <t>CNSHA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LCH06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HASLS22260802388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PCI</t>
        </is>
      </c>
      <c r="U10" s="97" t="n"/>
      <c r="V10" s="96" t="inlineStr">
        <is>
          <t>K0120023</t>
        </is>
      </c>
      <c r="W10" s="96" t="inlineStr">
        <is>
          <t>THAI POLYETHYLENE CO.,LTD.</t>
        </is>
      </c>
      <c r="X10" s="96" t="inlineStr">
        <is>
          <t>VFD</t>
        </is>
      </c>
      <c r="Y10" s="96" t="inlineStr">
        <is>
          <t>SHANGHAI ZHONGXUAN BUSINESS CO.,LTD</t>
        </is>
      </c>
      <c r="Z10" s="96" t="inlineStr">
        <is>
          <t>SHANGHAI ZHONGXUAN BUSINESS CO.,LTD</t>
        </is>
      </c>
      <c r="AA10" s="97" t="n">
        <v>26135.2</v>
      </c>
      <c r="AB10" s="96" t="inlineStr">
        <is>
          <t>LCH06</t>
        </is>
      </c>
      <c r="AC10" s="96" t="inlineStr">
        <is>
          <t>SHAW5</t>
        </is>
      </c>
    </row>
    <row r="11" ht="12" customHeight="1">
      <c r="A11" s="96" t="inlineStr">
        <is>
          <t>HALU2057900</t>
        </is>
      </c>
      <c r="B11" s="161" t="inlineStr">
        <is>
          <t>2026-10-07</t>
        </is>
      </c>
      <c r="C11" s="96" t="inlineStr">
        <is>
          <t>SWVG</t>
        </is>
      </c>
      <c r="D11" s="96" t="inlineStr">
        <is>
          <t>2612N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KRPUS</t>
        </is>
      </c>
      <c r="J11" s="96" t="inlineStr">
        <is>
          <t>JPHKT</t>
        </is>
      </c>
      <c r="K11" s="96" t="inlineStr">
        <is>
          <t>F</t>
        </is>
      </c>
      <c r="L11" s="96" t="inlineStr">
        <is>
          <t>L/T</t>
        </is>
      </c>
      <c r="M11" s="96" t="inlineStr">
        <is>
          <t>VFL</t>
        </is>
      </c>
      <c r="N11" s="96" t="inlineStr">
        <is>
          <t>LCH06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HASLS22260900048</t>
        </is>
      </c>
      <c r="R11" s="96" t="inlineStr">
        <is>
          <t>Y</t>
        </is>
      </c>
      <c r="S11" s="96" t="inlineStr">
        <is>
          <t>N</t>
        </is>
      </c>
      <c r="T11" s="96" t="inlineStr">
        <is>
          <t>PCI</t>
        </is>
      </c>
      <c r="U11" s="97" t="n"/>
      <c r="V11" s="96" t="inlineStr">
        <is>
          <t>TXG19006</t>
        </is>
      </c>
      <c r="W11" s="96" t="inlineStr">
        <is>
          <t>PTT GLOBAL CHEMICAL PUBLIC COMPANY</t>
        </is>
      </c>
      <c r="X11" s="96" t="inlineStr">
        <is>
          <t>VFD</t>
        </is>
      </c>
      <c r="Y11" s="96" t="inlineStr">
        <is>
          <t>MITSUBISHI CORPORATION PLASTICS</t>
        </is>
      </c>
      <c r="Z11" s="96" t="inlineStr">
        <is>
          <t>MITSUBISHI CORPORATION PLASTICS</t>
        </is>
      </c>
      <c r="AA11" s="97" t="n">
        <v>16160</v>
      </c>
      <c r="AB11" s="96" t="inlineStr">
        <is>
          <t>LCH06</t>
        </is>
      </c>
      <c r="AC11" s="96" t="inlineStr">
        <is>
          <t>HKT02</t>
        </is>
      </c>
    </row>
    <row r="12" ht="12" customHeight="1">
      <c r="A12" s="96" t="inlineStr">
        <is>
          <t>HALU2063312</t>
        </is>
      </c>
      <c r="B12" s="161" t="inlineStr">
        <is>
          <t>2026-10-07</t>
        </is>
      </c>
      <c r="C12" s="96" t="inlineStr">
        <is>
          <t>SWVG</t>
        </is>
      </c>
      <c r="D12" s="96" t="inlineStr">
        <is>
          <t>2612N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THSRP</t>
        </is>
      </c>
      <c r="H12" s="96" t="inlineStr">
        <is>
          <t>THLCH</t>
        </is>
      </c>
      <c r="I12" s="96" t="inlineStr">
        <is>
          <t>CNSHA</t>
        </is>
      </c>
      <c r="J12" s="96" t="inlineStr">
        <is>
          <t>CNSHA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LCH06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HASLS22260901104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PCI</t>
        </is>
      </c>
      <c r="U12" s="97" t="n"/>
      <c r="V12" s="96" t="inlineStr">
        <is>
          <t>K0120021</t>
        </is>
      </c>
      <c r="W12" s="96" t="inlineStr">
        <is>
          <t>RAK SYSCOM (THAILAND) CO., LTD.</t>
        </is>
      </c>
      <c r="X12" s="96" t="inlineStr">
        <is>
          <t>VFD</t>
        </is>
      </c>
      <c r="Y12" s="96" t="inlineStr">
        <is>
          <t>ZHANGJIAGANG FREE TRADE ZONE</t>
        </is>
      </c>
      <c r="Z12" s="96" t="inlineStr">
        <is>
          <t>YAY INTERNATIONAL LIMITED</t>
        </is>
      </c>
      <c r="AA12" s="97" t="n">
        <v>22630</v>
      </c>
      <c r="AB12" s="96" t="inlineStr">
        <is>
          <t>LCH06</t>
        </is>
      </c>
      <c r="AC12" s="96" t="inlineStr">
        <is>
          <t>SHAW5</t>
        </is>
      </c>
    </row>
    <row r="13" ht="12" customHeight="1">
      <c r="A13" s="96" t="inlineStr">
        <is>
          <t>HALU2063760</t>
        </is>
      </c>
      <c r="B13" s="161" t="inlineStr">
        <is>
          <t>2026-10-07</t>
        </is>
      </c>
      <c r="C13" s="96" t="inlineStr">
        <is>
          <t>SWVG</t>
        </is>
      </c>
      <c r="D13" s="96" t="inlineStr">
        <is>
          <t>2612N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CNSHA</t>
        </is>
      </c>
      <c r="J13" s="96" t="inlineStr">
        <is>
          <t>CNSHA</t>
        </is>
      </c>
      <c r="K13" s="96" t="inlineStr">
        <is>
          <t>F</t>
        </is>
      </c>
      <c r="L13" s="96" t="inlineStr">
        <is>
          <t>L/T</t>
        </is>
      </c>
      <c r="M13" s="96" t="inlineStr">
        <is>
          <t>VFL</t>
        </is>
      </c>
      <c r="N13" s="96" t="inlineStr">
        <is>
          <t>LCH06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HASLS22260901779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PCI</t>
        </is>
      </c>
      <c r="U13" s="97" t="n"/>
      <c r="V13" s="96" t="inlineStr">
        <is>
          <t>TXG19004</t>
        </is>
      </c>
      <c r="W13" s="96" t="inlineStr">
        <is>
          <t>EXPEDITORS THAILAND LTD.</t>
        </is>
      </c>
      <c r="X13" s="96" t="inlineStr">
        <is>
          <t>VED</t>
        </is>
      </c>
      <c r="Y13" s="96" t="inlineStr">
        <is>
          <t>BEIJING KANG JIE KONG INTERNATIONAL</t>
        </is>
      </c>
      <c r="Z13" s="96" t="inlineStr">
        <is>
          <t>BEIJING KANG JIE KONG INTERNATIONAL</t>
        </is>
      </c>
      <c r="AA13" s="97" t="n">
        <v>5943</v>
      </c>
      <c r="AB13" s="96" t="inlineStr">
        <is>
          <t>LCH06</t>
        </is>
      </c>
      <c r="AC13" s="96" t="inlineStr">
        <is>
          <t>SHAW5</t>
        </is>
      </c>
    </row>
    <row r="14" ht="12" customHeight="1">
      <c r="A14" s="96" t="inlineStr">
        <is>
          <t>HALU2071278</t>
        </is>
      </c>
      <c r="B14" s="161" t="inlineStr">
        <is>
          <t>2026-10-07</t>
        </is>
      </c>
      <c r="C14" s="96" t="inlineStr">
        <is>
          <t>SWVG</t>
        </is>
      </c>
      <c r="D14" s="96" t="inlineStr">
        <is>
          <t>2612N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CNSHA</t>
        </is>
      </c>
      <c r="J14" s="96" t="inlineStr">
        <is>
          <t>CNSHA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LCH06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HASLS22260901276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PCI</t>
        </is>
      </c>
      <c r="U14" s="97" t="n"/>
      <c r="V14" s="96" t="inlineStr">
        <is>
          <t>K0120021</t>
        </is>
      </c>
      <c r="W14" s="96" t="inlineStr">
        <is>
          <t>MITSUBISHI LOGISTICS (THAILAND)</t>
        </is>
      </c>
      <c r="X14" s="96" t="inlineStr">
        <is>
          <t>VED</t>
        </is>
      </c>
      <c r="Y14" s="96" t="inlineStr">
        <is>
          <t>SHANGHAI LINGYUN GLOBAL FORWARDING</t>
        </is>
      </c>
      <c r="Z14" s="96" t="inlineStr">
        <is>
          <t>SHANGHAI LINGYUN GLOBAL FORWARDING</t>
        </is>
      </c>
      <c r="AA14" s="97" t="n">
        <v>17190</v>
      </c>
      <c r="AB14" s="96" t="inlineStr">
        <is>
          <t>LCH06</t>
        </is>
      </c>
      <c r="AC14" s="96" t="inlineStr">
        <is>
          <t>SHAW5</t>
        </is>
      </c>
    </row>
    <row r="15" ht="12" customHeight="1">
      <c r="A15" s="96" t="inlineStr">
        <is>
          <t>HALU2083659</t>
        </is>
      </c>
      <c r="B15" s="161" t="inlineStr">
        <is>
          <t>2026-10-07</t>
        </is>
      </c>
      <c r="C15" s="96" t="inlineStr">
        <is>
          <t>SWVG</t>
        </is>
      </c>
      <c r="D15" s="96" t="inlineStr">
        <is>
          <t>2612N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CNSHA</t>
        </is>
      </c>
      <c r="J15" s="96" t="inlineStr">
        <is>
          <t>CNSHA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LCH06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HASLS22260902053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PCI</t>
        </is>
      </c>
      <c r="U15" s="97" t="n"/>
      <c r="V15" s="96" t="inlineStr">
        <is>
          <t>TXG15006</t>
        </is>
      </c>
      <c r="W15" s="96" t="inlineStr">
        <is>
          <t>PTT GLOBAL CHEMICAL PUBLIC COMPANY</t>
        </is>
      </c>
      <c r="X15" s="96" t="inlineStr">
        <is>
          <t>VFD</t>
        </is>
      </c>
      <c r="Y15" s="96" t="inlineStr">
        <is>
          <t>VIANT MEDICAL SUZHOU EPZ CO. LTD</t>
        </is>
      </c>
      <c r="Z15" s="96" t="inlineStr">
        <is>
          <t>VIANT MEDICAL SUZHOU EPZ CO. LTD</t>
        </is>
      </c>
      <c r="AA15" s="97" t="n">
        <v>11066</v>
      </c>
      <c r="AB15" s="96" t="inlineStr">
        <is>
          <t>LCH06</t>
        </is>
      </c>
      <c r="AC15" s="96" t="inlineStr">
        <is>
          <t>SHAW5</t>
        </is>
      </c>
    </row>
    <row r="16" ht="12" customHeight="1">
      <c r="A16" s="96" t="inlineStr">
        <is>
          <t>HALU2325048</t>
        </is>
      </c>
      <c r="B16" s="161" t="inlineStr">
        <is>
          <t>2026-10-07</t>
        </is>
      </c>
      <c r="C16" s="96" t="inlineStr">
        <is>
          <t>SWVG</t>
        </is>
      </c>
      <c r="D16" s="96" t="inlineStr">
        <is>
          <t>2612N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THSRP</t>
        </is>
      </c>
      <c r="H16" s="96" t="inlineStr">
        <is>
          <t>THLCH</t>
        </is>
      </c>
      <c r="I16" s="96" t="inlineStr">
        <is>
          <t>CNSHA</t>
        </is>
      </c>
      <c r="J16" s="96" t="inlineStr">
        <is>
          <t>CNSHA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LCH06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HASLS22260901104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PCI</t>
        </is>
      </c>
      <c r="U16" s="97" t="n"/>
      <c r="V16" s="96" t="inlineStr">
        <is>
          <t>C7T23001</t>
        </is>
      </c>
      <c r="W16" s="96" t="inlineStr">
        <is>
          <t>RAK SYSCOM (THAILAND) CO., LTD.</t>
        </is>
      </c>
      <c r="X16" s="96" t="inlineStr">
        <is>
          <t>VFD</t>
        </is>
      </c>
      <c r="Y16" s="96" t="inlineStr">
        <is>
          <t>ZHANGJIAGANG FREE TRADE ZONE</t>
        </is>
      </c>
      <c r="Z16" s="96" t="inlineStr">
        <is>
          <t>YAY INTERNATIONAL LIMITED</t>
        </is>
      </c>
      <c r="AA16" s="97" t="n">
        <v>22620</v>
      </c>
      <c r="AB16" s="96" t="inlineStr">
        <is>
          <t>LCH06</t>
        </is>
      </c>
      <c r="AC16" s="96" t="inlineStr">
        <is>
          <t>SHAW5</t>
        </is>
      </c>
    </row>
    <row r="17" ht="12" customHeight="1">
      <c r="A17" s="96" t="inlineStr">
        <is>
          <t>HALU2344496</t>
        </is>
      </c>
      <c r="B17" s="161" t="inlineStr">
        <is>
          <t>2026-10-07</t>
        </is>
      </c>
      <c r="C17" s="96" t="inlineStr">
        <is>
          <t>SWVG</t>
        </is>
      </c>
      <c r="D17" s="96" t="inlineStr">
        <is>
          <t>2612N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KRPUS</t>
        </is>
      </c>
      <c r="J17" s="96" t="inlineStr">
        <is>
          <t>KRPUS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LCH06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HASLS22260901570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PCI</t>
        </is>
      </c>
      <c r="U17" s="97" t="n"/>
      <c r="V17" s="96" t="inlineStr">
        <is>
          <t>C0123011</t>
        </is>
      </c>
      <c r="W17" s="96" t="inlineStr">
        <is>
          <t>LEO GLOBAL LOGISTICS PUBLIC COMPANY</t>
        </is>
      </c>
      <c r="X17" s="96" t="inlineStr">
        <is>
          <t>VED</t>
        </is>
      </c>
      <c r="Y17" s="96" t="inlineStr">
        <is>
          <t>KOR-STAR LOGISTICS CO., LTD.</t>
        </is>
      </c>
      <c r="Z17" s="96" t="inlineStr">
        <is>
          <t>KOR-STAR LOGISTICS CO., LTD.</t>
        </is>
      </c>
      <c r="AA17" s="97" t="n">
        <v>16760</v>
      </c>
      <c r="AB17" s="96" t="inlineStr">
        <is>
          <t>LCH06</t>
        </is>
      </c>
      <c r="AC17" s="96" t="inlineStr">
        <is>
          <t>PUS05</t>
        </is>
      </c>
    </row>
    <row r="18" ht="12" customHeight="1">
      <c r="A18" s="96" t="inlineStr">
        <is>
          <t>HALU2351448</t>
        </is>
      </c>
      <c r="B18" s="161" t="inlineStr">
        <is>
          <t>2026-10-07</t>
        </is>
      </c>
      <c r="C18" s="96" t="inlineStr">
        <is>
          <t>SWVG</t>
        </is>
      </c>
      <c r="D18" s="96" t="inlineStr">
        <is>
          <t>2612N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CNSHA</t>
        </is>
      </c>
      <c r="J18" s="96" t="inlineStr">
        <is>
          <t>CNSHA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LCH06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HASLS22260901193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PCI</t>
        </is>
      </c>
      <c r="U18" s="97" t="n"/>
      <c r="V18" s="96" t="inlineStr">
        <is>
          <t>C0223008</t>
        </is>
      </c>
      <c r="W18" s="96" t="inlineStr">
        <is>
          <t>YUSEN LOGISTICS (THAILAND) CO., LTD</t>
        </is>
      </c>
      <c r="X18" s="96" t="inlineStr">
        <is>
          <t>VFD</t>
        </is>
      </c>
      <c r="Y18" s="96" t="inlineStr">
        <is>
          <t>YUSEN LOGISTICS (CHINA) CO., LTD</t>
        </is>
      </c>
      <c r="Z18" s="96" t="inlineStr">
        <is>
          <t>YUSEN LOGISTICS (CHINA) CO., LTD</t>
        </is>
      </c>
      <c r="AA18" s="97" t="n">
        <v>2522.8</v>
      </c>
      <c r="AB18" s="96" t="inlineStr">
        <is>
          <t>LCH06</t>
        </is>
      </c>
      <c r="AC18" s="96" t="inlineStr">
        <is>
          <t>SHAW5</t>
        </is>
      </c>
    </row>
    <row r="19" ht="12" customHeight="1">
      <c r="A19" s="96" t="inlineStr">
        <is>
          <t>HALU2363752</t>
        </is>
      </c>
      <c r="B19" s="161" t="inlineStr">
        <is>
          <t>2026-10-07</t>
        </is>
      </c>
      <c r="C19" s="96" t="inlineStr">
        <is>
          <t>SWVG</t>
        </is>
      </c>
      <c r="D19" s="96" t="inlineStr">
        <is>
          <t>2612N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THSRP</t>
        </is>
      </c>
      <c r="H19" s="96" t="inlineStr">
        <is>
          <t>THLCH</t>
        </is>
      </c>
      <c r="I19" s="96" t="inlineStr">
        <is>
          <t>CNSHA</t>
        </is>
      </c>
      <c r="J19" s="96" t="inlineStr">
        <is>
          <t>CNSHA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LCH06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HASLS22260901104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PCI</t>
        </is>
      </c>
      <c r="U19" s="97" t="n"/>
      <c r="V19" s="96" t="inlineStr">
        <is>
          <t>C0324003</t>
        </is>
      </c>
      <c r="W19" s="96" t="inlineStr">
        <is>
          <t>RAK SYSCOM (THAILAND) CO., LTD.</t>
        </is>
      </c>
      <c r="X19" s="96" t="inlineStr">
        <is>
          <t>VFD</t>
        </is>
      </c>
      <c r="Y19" s="96" t="inlineStr">
        <is>
          <t>ZHANGJIAGANG FREE TRADE ZONE</t>
        </is>
      </c>
      <c r="Z19" s="96" t="inlineStr">
        <is>
          <t>YAY INTERNATIONAL LIMITED</t>
        </is>
      </c>
      <c r="AA19" s="97" t="n">
        <v>22660</v>
      </c>
      <c r="AB19" s="96" t="inlineStr">
        <is>
          <t>LCH06</t>
        </is>
      </c>
      <c r="AC19" s="96" t="inlineStr">
        <is>
          <t>SHAW5</t>
        </is>
      </c>
    </row>
    <row r="20" ht="12" customHeight="1">
      <c r="A20" s="96" t="inlineStr">
        <is>
          <t>HALU2405879</t>
        </is>
      </c>
      <c r="B20" s="161" t="inlineStr">
        <is>
          <t>2026-10-07</t>
        </is>
      </c>
      <c r="C20" s="96" t="inlineStr">
        <is>
          <t>SWVG</t>
        </is>
      </c>
      <c r="D20" s="96" t="inlineStr">
        <is>
          <t>2612N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KRPUS</t>
        </is>
      </c>
      <c r="J20" s="96" t="inlineStr">
        <is>
          <t>JPMIZ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LCH06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HASLS22260902058</t>
        </is>
      </c>
      <c r="R20" s="96" t="inlineStr">
        <is>
          <t>Y</t>
        </is>
      </c>
      <c r="S20" s="96" t="inlineStr">
        <is>
          <t>N</t>
        </is>
      </c>
      <c r="T20" s="96" t="inlineStr">
        <is>
          <t>PCI</t>
        </is>
      </c>
      <c r="U20" s="97" t="n"/>
      <c r="V20" s="96" t="inlineStr">
        <is>
          <t>C0124002</t>
        </is>
      </c>
      <c r="W20" s="96" t="inlineStr">
        <is>
          <t>THAI POLYETHYLENE CO., LTD.</t>
        </is>
      </c>
      <c r="X20" s="96" t="inlineStr">
        <is>
          <t>VED</t>
        </is>
      </c>
      <c r="Y20" s="96" t="inlineStr">
        <is>
          <t>MITSUBISHI CORPORATION PLASTICS LTD</t>
        </is>
      </c>
      <c r="Z20" s="96" t="inlineStr">
        <is>
          <t>MITSUBISHI CORPORATION PLASTICS LTD</t>
        </is>
      </c>
      <c r="AA20" s="97" t="n">
        <v>15147</v>
      </c>
      <c r="AB20" s="96" t="inlineStr">
        <is>
          <t>LCH06</t>
        </is>
      </c>
      <c r="AC20" s="96" t="inlineStr">
        <is>
          <t>MIZ01</t>
        </is>
      </c>
    </row>
    <row r="21" ht="12" customHeight="1">
      <c r="A21" s="96" t="inlineStr">
        <is>
          <t>HALU2531429</t>
        </is>
      </c>
      <c r="B21" s="161" t="inlineStr">
        <is>
          <t>2026-10-07</t>
        </is>
      </c>
      <c r="C21" s="96" t="inlineStr">
        <is>
          <t>SWVG</t>
        </is>
      </c>
      <c r="D21" s="96" t="inlineStr">
        <is>
          <t>2612N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CNSHA</t>
        </is>
      </c>
      <c r="J21" s="96" t="inlineStr">
        <is>
          <t>CNSHA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LCH06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HASLS22260802505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PCI</t>
        </is>
      </c>
      <c r="U21" s="97" t="n"/>
      <c r="V21" s="96" t="inlineStr">
        <is>
          <t>C0125002</t>
        </is>
      </c>
      <c r="W21" s="96" t="inlineStr">
        <is>
          <t>PTT GLOBAL CHEMICAL PUBLIC COMPANY</t>
        </is>
      </c>
      <c r="X21" s="96" t="inlineStr">
        <is>
          <t>VFD</t>
        </is>
      </c>
      <c r="Y21" s="96" t="inlineStr">
        <is>
          <t>CSI CLOSURE SYSTEMS (HANGZHOU)</t>
        </is>
      </c>
      <c r="Z21" s="96" t="inlineStr">
        <is>
          <t>CSI CLOSURE SYSTEMS (HANGZHOU)</t>
        </is>
      </c>
      <c r="AA21" s="97" t="n">
        <v>16096</v>
      </c>
      <c r="AB21" s="96" t="inlineStr">
        <is>
          <t>LCH06</t>
        </is>
      </c>
      <c r="AC21" s="96" t="inlineStr">
        <is>
          <t>SHAW5</t>
        </is>
      </c>
    </row>
    <row r="22" ht="12" customHeight="1">
      <c r="A22" s="96" t="inlineStr">
        <is>
          <t>HALU2537659</t>
        </is>
      </c>
      <c r="B22" s="161" t="inlineStr">
        <is>
          <t>2026-10-07</t>
        </is>
      </c>
      <c r="C22" s="96" t="inlineStr">
        <is>
          <t>SWVG</t>
        </is>
      </c>
      <c r="D22" s="96" t="inlineStr">
        <is>
          <t>2612N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CNSHA</t>
        </is>
      </c>
      <c r="J22" s="96" t="inlineStr">
        <is>
          <t>CNSHA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LCH06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HASLS22260802504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PCI</t>
        </is>
      </c>
      <c r="U22" s="97" t="n"/>
      <c r="V22" s="96" t="inlineStr">
        <is>
          <t>C0125002</t>
        </is>
      </c>
      <c r="W22" s="96" t="inlineStr">
        <is>
          <t>PTT GLOBAL CHEMICAL PUBLIC COMPANY</t>
        </is>
      </c>
      <c r="X22" s="96" t="inlineStr">
        <is>
          <t>VED</t>
        </is>
      </c>
      <c r="Y22" s="96" t="inlineStr">
        <is>
          <t>CSI CLOSURE SYSTEMS (HANGZHOU)</t>
        </is>
      </c>
      <c r="Z22" s="96" t="inlineStr">
        <is>
          <t>CSI CLOSURE SYSTEMS (HANGZHOU)</t>
        </is>
      </c>
      <c r="AA22" s="97" t="n">
        <v>16096</v>
      </c>
      <c r="AB22" s="96" t="inlineStr">
        <is>
          <t>LCH06</t>
        </is>
      </c>
      <c r="AC22" s="96" t="inlineStr">
        <is>
          <t>SHAW5</t>
        </is>
      </c>
    </row>
    <row r="23" ht="12" customHeight="1">
      <c r="A23" s="96" t="inlineStr">
        <is>
          <t>HALU2542660</t>
        </is>
      </c>
      <c r="B23" s="161" t="inlineStr">
        <is>
          <t>2026-10-07</t>
        </is>
      </c>
      <c r="C23" s="96" t="inlineStr">
        <is>
          <t>SWVG</t>
        </is>
      </c>
      <c r="D23" s="96" t="inlineStr">
        <is>
          <t>2612N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KRPUS</t>
        </is>
      </c>
      <c r="J23" s="96" t="inlineStr">
        <is>
          <t>JPSMZ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LCH06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HASLS22260901675</t>
        </is>
      </c>
      <c r="R23" s="96" t="inlineStr">
        <is>
          <t>Y</t>
        </is>
      </c>
      <c r="S23" s="96" t="inlineStr">
        <is>
          <t>N</t>
        </is>
      </c>
      <c r="T23" s="96" t="inlineStr">
        <is>
          <t>PCI</t>
        </is>
      </c>
      <c r="U23" s="97" t="n"/>
      <c r="V23" s="96" t="inlineStr">
        <is>
          <t>C0125002</t>
        </is>
      </c>
      <c r="W23" s="96" t="inlineStr">
        <is>
          <t>PTT GLOBAL CHEMICAL PUBLIC COMPANY</t>
        </is>
      </c>
      <c r="X23" s="96" t="inlineStr">
        <is>
          <t>VFD</t>
        </is>
      </c>
      <c r="Y23" s="96" t="inlineStr">
        <is>
          <t>MARUBENI INNOVEXIS CORPORATION</t>
        </is>
      </c>
      <c r="Z23" s="96" t="inlineStr">
        <is>
          <t>MARUBENI INNOVEXIS CORPORATION</t>
        </is>
      </c>
      <c r="AA23" s="97" t="n">
        <v>16160</v>
      </c>
      <c r="AB23" s="96" t="inlineStr">
        <is>
          <t>LCH06</t>
        </is>
      </c>
      <c r="AC23" s="96" t="inlineStr">
        <is>
          <t>SMZ01</t>
        </is>
      </c>
    </row>
    <row r="24" ht="12" customHeight="1">
      <c r="A24" s="96" t="inlineStr">
        <is>
          <t>HALU2548910</t>
        </is>
      </c>
      <c r="B24" s="161" t="inlineStr">
        <is>
          <t>2026-10-07</t>
        </is>
      </c>
      <c r="C24" s="96" t="inlineStr">
        <is>
          <t>SWVG</t>
        </is>
      </c>
      <c r="D24" s="96" t="inlineStr">
        <is>
          <t>2612N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KRPUS</t>
        </is>
      </c>
      <c r="J24" s="96" t="inlineStr">
        <is>
          <t>JPSMZ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LCH06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HASLS22260901675</t>
        </is>
      </c>
      <c r="R24" s="96" t="inlineStr">
        <is>
          <t>Y</t>
        </is>
      </c>
      <c r="S24" s="96" t="inlineStr">
        <is>
          <t>N</t>
        </is>
      </c>
      <c r="T24" s="96" t="inlineStr">
        <is>
          <t>PCI</t>
        </is>
      </c>
      <c r="U24" s="97" t="n"/>
      <c r="V24" s="96" t="inlineStr">
        <is>
          <t>C0125002</t>
        </is>
      </c>
      <c r="W24" s="96" t="inlineStr">
        <is>
          <t>PTT GLOBAL CHEMICAL PUBLIC COMPANY</t>
        </is>
      </c>
      <c r="X24" s="96" t="inlineStr">
        <is>
          <t>VED</t>
        </is>
      </c>
      <c r="Y24" s="96" t="inlineStr">
        <is>
          <t>MARUBENI INNOVEXIS CORPORATION</t>
        </is>
      </c>
      <c r="Z24" s="96" t="inlineStr">
        <is>
          <t>MARUBENI INNOVEXIS CORPORATION</t>
        </is>
      </c>
      <c r="AA24" s="97" t="n">
        <v>16160</v>
      </c>
      <c r="AB24" s="96" t="inlineStr">
        <is>
          <t>LCH06</t>
        </is>
      </c>
      <c r="AC24" s="96" t="inlineStr">
        <is>
          <t>SMZ01</t>
        </is>
      </c>
    </row>
    <row r="25" ht="12" customHeight="1">
      <c r="A25" s="96" t="inlineStr">
        <is>
          <t>HALU2587979</t>
        </is>
      </c>
      <c r="B25" s="161" t="inlineStr">
        <is>
          <t>2026-10-07</t>
        </is>
      </c>
      <c r="C25" s="96" t="inlineStr">
        <is>
          <t>SWVG</t>
        </is>
      </c>
      <c r="D25" s="96" t="inlineStr">
        <is>
          <t>2612N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KRPUS</t>
        </is>
      </c>
      <c r="J25" s="96" t="inlineStr">
        <is>
          <t>JPTYO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LCH06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HASLS22260900127</t>
        </is>
      </c>
      <c r="R25" s="96" t="inlineStr">
        <is>
          <t>Y</t>
        </is>
      </c>
      <c r="S25" s="96" t="inlineStr">
        <is>
          <t>N</t>
        </is>
      </c>
      <c r="T25" s="96" t="inlineStr">
        <is>
          <t>PCI</t>
        </is>
      </c>
      <c r="U25" s="97" t="n"/>
      <c r="V25" s="96" t="inlineStr">
        <is>
          <t>C0426001</t>
        </is>
      </c>
      <c r="W25" s="96" t="inlineStr">
        <is>
          <t>PTT GLOBAL CHEMICAL PUBLIC COMPANY</t>
        </is>
      </c>
      <c r="X25" s="96" t="inlineStr">
        <is>
          <t>VFD</t>
        </is>
      </c>
      <c r="Y25" s="96" t="inlineStr">
        <is>
          <t>MITSUBISHI CORPORATION PLASTICS</t>
        </is>
      </c>
      <c r="Z25" s="96" t="inlineStr">
        <is>
          <t>MITSUBISHI CORPORATION PLASTICS</t>
        </is>
      </c>
      <c r="AA25" s="97" t="n">
        <v>16096</v>
      </c>
      <c r="AB25" s="96" t="inlineStr">
        <is>
          <t>LCH06</t>
        </is>
      </c>
      <c r="AC25" s="96" t="inlineStr">
        <is>
          <t>TYO02</t>
        </is>
      </c>
    </row>
    <row r="26" ht="12" customHeight="1">
      <c r="A26" s="96" t="inlineStr">
        <is>
          <t>HALU2588614</t>
        </is>
      </c>
      <c r="B26" s="161" t="inlineStr">
        <is>
          <t>2026-10-07</t>
        </is>
      </c>
      <c r="C26" s="96" t="inlineStr">
        <is>
          <t>SWVG</t>
        </is>
      </c>
      <c r="D26" s="96" t="inlineStr">
        <is>
          <t>2612N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JPTYO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LCH06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HASLS22260900127</t>
        </is>
      </c>
      <c r="R26" s="96" t="inlineStr">
        <is>
          <t>Y</t>
        </is>
      </c>
      <c r="S26" s="96" t="inlineStr">
        <is>
          <t>N</t>
        </is>
      </c>
      <c r="T26" s="96" t="inlineStr">
        <is>
          <t>PCI</t>
        </is>
      </c>
      <c r="U26" s="97" t="n"/>
      <c r="V26" s="96" t="inlineStr">
        <is>
          <t>C0426001</t>
        </is>
      </c>
      <c r="W26" s="96" t="inlineStr">
        <is>
          <t>PTT GLOBAL CHEMICAL PUBLIC COMPANY</t>
        </is>
      </c>
      <c r="X26" s="96" t="inlineStr">
        <is>
          <t>VFD</t>
        </is>
      </c>
      <c r="Y26" s="96" t="inlineStr">
        <is>
          <t>MITSUBISHI CORPORATION PLASTICS</t>
        </is>
      </c>
      <c r="Z26" s="96" t="inlineStr">
        <is>
          <t>MITSUBISHI CORPORATION PLASTICS</t>
        </is>
      </c>
      <c r="AA26" s="97" t="n">
        <v>16096</v>
      </c>
      <c r="AB26" s="96" t="inlineStr">
        <is>
          <t>LCH06</t>
        </is>
      </c>
      <c r="AC26" s="96" t="inlineStr">
        <is>
          <t>TYO02</t>
        </is>
      </c>
    </row>
    <row r="27" ht="12" customHeight="1">
      <c r="A27" s="96" t="inlineStr">
        <is>
          <t>HALU5641142</t>
        </is>
      </c>
      <c r="B27" s="161" t="inlineStr">
        <is>
          <t>2026-10-07</t>
        </is>
      </c>
      <c r="C27" s="96" t="inlineStr">
        <is>
          <t>SWVG</t>
        </is>
      </c>
      <c r="D27" s="96" t="inlineStr">
        <is>
          <t>2612N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KRPUS</t>
        </is>
      </c>
      <c r="J27" s="96" t="inlineStr">
        <is>
          <t>JPMYJ</t>
        </is>
      </c>
      <c r="K27" s="96" t="inlineStr">
        <is>
          <t>F</t>
        </is>
      </c>
      <c r="L27" s="96" t="inlineStr">
        <is>
          <t>OWN</t>
        </is>
      </c>
      <c r="M27" s="96" t="inlineStr">
        <is>
          <t>VFL</t>
        </is>
      </c>
      <c r="N27" s="96" t="inlineStr">
        <is>
          <t>LCH06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HASLS22260802391</t>
        </is>
      </c>
      <c r="R27" s="96" t="inlineStr">
        <is>
          <t>Y</t>
        </is>
      </c>
      <c r="S27" s="96" t="inlineStr">
        <is>
          <t>N</t>
        </is>
      </c>
      <c r="T27" s="96" t="inlineStr">
        <is>
          <t>PCI</t>
        </is>
      </c>
      <c r="U27" s="97" t="n"/>
      <c r="V27" s="96" t="inlineStr">
        <is>
          <t>SHK14003</t>
        </is>
      </c>
      <c r="W27" s="96" t="inlineStr">
        <is>
          <t>PTT GLOBAL CHEMICAL PUBLIC COMPANY</t>
        </is>
      </c>
      <c r="X27" s="96" t="inlineStr">
        <is>
          <t>RTN</t>
        </is>
      </c>
      <c r="Y27" s="96" t="inlineStr">
        <is>
          <t>INABATA &amp; CO.,LTD</t>
        </is>
      </c>
      <c r="Z27" s="96" t="inlineStr">
        <is>
          <t>INABATA &amp; CO.,LTD</t>
        </is>
      </c>
      <c r="AA27" s="97" t="n">
        <v>24240</v>
      </c>
      <c r="AB27" s="96" t="inlineStr">
        <is>
          <t>LCH06</t>
        </is>
      </c>
      <c r="AC27" s="96" t="inlineStr">
        <is>
          <t>MYJ01</t>
        </is>
      </c>
    </row>
    <row r="28" ht="12" customHeight="1">
      <c r="A28" s="96" t="inlineStr">
        <is>
          <t>HLHU6410647</t>
        </is>
      </c>
      <c r="B28" s="161" t="inlineStr">
        <is>
          <t>2026-10-07</t>
        </is>
      </c>
      <c r="C28" s="96" t="inlineStr">
        <is>
          <t>SWVG</t>
        </is>
      </c>
      <c r="D28" s="96" t="inlineStr">
        <is>
          <t>2612N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CNSHA</t>
        </is>
      </c>
      <c r="J28" s="96" t="inlineStr">
        <is>
          <t>CNSHA</t>
        </is>
      </c>
      <c r="K28" s="96" t="inlineStr">
        <is>
          <t>F</t>
        </is>
      </c>
      <c r="L28" s="96" t="inlineStr">
        <is>
          <t>OWN</t>
        </is>
      </c>
      <c r="M28" s="96" t="inlineStr">
        <is>
          <t>VFL</t>
        </is>
      </c>
      <c r="N28" s="96" t="inlineStr">
        <is>
          <t>LCH06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HASLS22260901914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PCI</t>
        </is>
      </c>
      <c r="U28" s="97" t="n"/>
      <c r="V28" s="96" t="inlineStr">
        <is>
          <t>C0724001</t>
        </is>
      </c>
      <c r="W28" s="96" t="inlineStr">
        <is>
          <t>MITSUBISHI LOGISTICS (THAILAND)</t>
        </is>
      </c>
      <c r="X28" s="96" t="inlineStr">
        <is>
          <t>VFD</t>
        </is>
      </c>
      <c r="Y28" s="96" t="inlineStr">
        <is>
          <t>SHANGHAI LINGYUN GLOBAL FORWARDING</t>
        </is>
      </c>
      <c r="Z28" s="96" t="inlineStr">
        <is>
          <t>SHANGHAI LINGYUN GLOBAL FORWARDING</t>
        </is>
      </c>
      <c r="AA28" s="97" t="n">
        <v>24642</v>
      </c>
      <c r="AB28" s="96" t="inlineStr">
        <is>
          <t>LCH06</t>
        </is>
      </c>
      <c r="AC28" s="96" t="inlineStr">
        <is>
          <t>SHAW5</t>
        </is>
      </c>
    </row>
    <row r="29" ht="12" customHeight="1">
      <c r="A29" s="96" t="inlineStr">
        <is>
          <t>HLHU6417678</t>
        </is>
      </c>
      <c r="B29" s="161" t="inlineStr">
        <is>
          <t>2026-10-07</t>
        </is>
      </c>
      <c r="C29" s="96" t="inlineStr">
        <is>
          <t>SWVG</t>
        </is>
      </c>
      <c r="D29" s="96" t="inlineStr">
        <is>
          <t>2612N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CNSHA</t>
        </is>
      </c>
      <c r="J29" s="96" t="inlineStr">
        <is>
          <t>CNSHA</t>
        </is>
      </c>
      <c r="K29" s="96" t="inlineStr">
        <is>
          <t>F</t>
        </is>
      </c>
      <c r="L29" s="96" t="inlineStr">
        <is>
          <t>OWN</t>
        </is>
      </c>
      <c r="M29" s="96" t="inlineStr">
        <is>
          <t>VFL</t>
        </is>
      </c>
      <c r="N29" s="96" t="inlineStr">
        <is>
          <t>LCH06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HASLS22260902494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PCI</t>
        </is>
      </c>
      <c r="U29" s="97" t="n"/>
      <c r="V29" s="96" t="inlineStr">
        <is>
          <t>C0724001</t>
        </is>
      </c>
      <c r="W29" s="96" t="inlineStr">
        <is>
          <t>THAI POLYETHYLENE CO.,LTD</t>
        </is>
      </c>
      <c r="X29" s="96" t="inlineStr">
        <is>
          <t>RTN</t>
        </is>
      </c>
      <c r="Y29" s="96" t="inlineStr">
        <is>
          <t>TO ORDER</t>
        </is>
      </c>
      <c r="Z29" s="96" t="inlineStr">
        <is>
          <t>NANJING GUANHUA TRADE CO.,LTD</t>
        </is>
      </c>
      <c r="AA29" s="97" t="n">
        <v>26135.2</v>
      </c>
      <c r="AB29" s="96" t="inlineStr">
        <is>
          <t>LCH06</t>
        </is>
      </c>
      <c r="AC29" s="96" t="inlineStr">
        <is>
          <t>SHAW5</t>
        </is>
      </c>
    </row>
    <row r="30" ht="12" customHeight="1">
      <c r="A30" s="96" t="inlineStr">
        <is>
          <t>HLHU6418967</t>
        </is>
      </c>
      <c r="B30" s="161" t="inlineStr">
        <is>
          <t>2026-10-07</t>
        </is>
      </c>
      <c r="C30" s="96" t="inlineStr">
        <is>
          <t>SWVG</t>
        </is>
      </c>
      <c r="D30" s="96" t="inlineStr">
        <is>
          <t>2612N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CNSHA</t>
        </is>
      </c>
      <c r="J30" s="96" t="inlineStr">
        <is>
          <t>CNSHA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LCH06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HASLS22260901668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PCI</t>
        </is>
      </c>
      <c r="U30" s="97" t="n"/>
      <c r="V30" s="96" t="inlineStr">
        <is>
          <t>C0724001</t>
        </is>
      </c>
      <c r="W30" s="96" t="inlineStr">
        <is>
          <t>BARKLAYS LOGISTICS (THAILAND)</t>
        </is>
      </c>
      <c r="X30" s="96" t="inlineStr">
        <is>
          <t>VFD</t>
        </is>
      </c>
      <c r="Y30" s="96" t="inlineStr">
        <is>
          <t>BARKLAYS LOGISTICS (SHANGHAI)</t>
        </is>
      </c>
      <c r="Z30" s="96" t="inlineStr">
        <is>
          <t>BARKLAYS LOGISTICS (SHANGHAI)</t>
        </is>
      </c>
      <c r="AA30" s="97" t="n">
        <v>24910</v>
      </c>
      <c r="AB30" s="96" t="inlineStr">
        <is>
          <t>LCH06</t>
        </is>
      </c>
      <c r="AC30" s="96" t="inlineStr">
        <is>
          <t>SHAW5</t>
        </is>
      </c>
    </row>
    <row r="31" ht="12" customHeight="1">
      <c r="A31" s="96" t="inlineStr">
        <is>
          <t>HLHU6419006</t>
        </is>
      </c>
      <c r="B31" s="161" t="inlineStr">
        <is>
          <t>2026-10-07</t>
        </is>
      </c>
      <c r="C31" s="96" t="inlineStr">
        <is>
          <t>SWVG</t>
        </is>
      </c>
      <c r="D31" s="96" t="inlineStr">
        <is>
          <t>2612N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CNSHA</t>
        </is>
      </c>
      <c r="J31" s="96" t="inlineStr">
        <is>
          <t>CNSHA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LCH06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HASLS22260801240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PCI</t>
        </is>
      </c>
      <c r="U31" s="97" t="n"/>
      <c r="V31" s="96" t="inlineStr">
        <is>
          <t>C0724001</t>
        </is>
      </c>
      <c r="W31" s="96" t="inlineStr">
        <is>
          <t>PTT GLOBAL CHEMICAL PUBLIC COMPANY</t>
        </is>
      </c>
      <c r="X31" s="96" t="inlineStr">
        <is>
          <t>VFD</t>
        </is>
      </c>
      <c r="Y31" s="96" t="inlineStr">
        <is>
          <t>GC MARKETING SOLUTIONS (SHANGHAI)</t>
        </is>
      </c>
      <c r="Z31" s="96" t="inlineStr">
        <is>
          <t>GC MARKETING SOLUTIONS (SHANGHAI)</t>
        </is>
      </c>
      <c r="AA31" s="97" t="n">
        <v>24997.5</v>
      </c>
      <c r="AB31" s="96" t="inlineStr">
        <is>
          <t>LCH06</t>
        </is>
      </c>
      <c r="AC31" s="96" t="inlineStr">
        <is>
          <t>SHAW5</t>
        </is>
      </c>
    </row>
    <row r="32" ht="12" customHeight="1">
      <c r="A32" s="96" t="inlineStr">
        <is>
          <t>HLHU8101122</t>
        </is>
      </c>
      <c r="B32" s="161" t="inlineStr">
        <is>
          <t>2026-10-07</t>
        </is>
      </c>
      <c r="C32" s="96" t="inlineStr">
        <is>
          <t>SWVG</t>
        </is>
      </c>
      <c r="D32" s="96" t="inlineStr">
        <is>
          <t>2612N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CNSHA</t>
        </is>
      </c>
      <c r="J32" s="96" t="inlineStr">
        <is>
          <t>CNSHA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LCH06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HASLS22260900441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PCI</t>
        </is>
      </c>
      <c r="U32" s="97" t="n"/>
      <c r="V32" s="96" t="inlineStr">
        <is>
          <t>C0121003</t>
        </is>
      </c>
      <c r="W32" s="96" t="inlineStr">
        <is>
          <t>BARKLAYS LOGISTICS (THAILAND)</t>
        </is>
      </c>
      <c r="X32" s="96" t="inlineStr">
        <is>
          <t>VFD</t>
        </is>
      </c>
      <c r="Y32" s="96" t="inlineStr">
        <is>
          <t>BARKLAYS LOGISTICS (SHANGHAI)</t>
        </is>
      </c>
      <c r="Z32" s="96" t="inlineStr">
        <is>
          <t>BARKLAYS LOGISTICS (SHANGHAI)</t>
        </is>
      </c>
      <c r="AA32" s="97" t="n">
        <v>22520</v>
      </c>
      <c r="AB32" s="96" t="inlineStr">
        <is>
          <t>LCH06</t>
        </is>
      </c>
      <c r="AC32" s="96" t="inlineStr">
        <is>
          <t>SHAW5</t>
        </is>
      </c>
    </row>
    <row r="33" ht="12" customHeight="1">
      <c r="A33" s="96" t="inlineStr">
        <is>
          <t>HLHU8203253</t>
        </is>
      </c>
      <c r="B33" s="161" t="inlineStr">
        <is>
          <t>2026-10-07</t>
        </is>
      </c>
      <c r="C33" s="96" t="inlineStr">
        <is>
          <t>SWVG</t>
        </is>
      </c>
      <c r="D33" s="96" t="inlineStr">
        <is>
          <t>2612N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KRPUS</t>
        </is>
      </c>
      <c r="J33" s="96" t="inlineStr">
        <is>
          <t>RUVVO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LCH06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HASLS22260902351</t>
        </is>
      </c>
      <c r="R33" s="96" t="inlineStr">
        <is>
          <t>Y</t>
        </is>
      </c>
      <c r="S33" s="96" t="inlineStr">
        <is>
          <t>N</t>
        </is>
      </c>
      <c r="T33" s="96" t="inlineStr">
        <is>
          <t>PCI</t>
        </is>
      </c>
      <c r="U33" s="97" t="n"/>
      <c r="V33" s="96" t="inlineStr">
        <is>
          <t>C0722004</t>
        </is>
      </c>
      <c r="W33" s="96" t="inlineStr">
        <is>
          <t>YOKOHAMA TIRE MANUFACTURING</t>
        </is>
      </c>
      <c r="X33" s="96" t="inlineStr">
        <is>
          <t>VFD</t>
        </is>
      </c>
      <c r="Y33" s="96" t="inlineStr">
        <is>
          <t>YOKOHAMA RUSSIA LLC</t>
        </is>
      </c>
      <c r="Z33" s="96" t="inlineStr">
        <is>
          <t>YOKOHAMA RUSSIA LLC</t>
        </is>
      </c>
      <c r="AA33" s="97" t="n">
        <v>11019.571</v>
      </c>
      <c r="AB33" s="96" t="inlineStr">
        <is>
          <t>LCH06</t>
        </is>
      </c>
      <c r="AC33" s="96" t="inlineStr">
        <is>
          <t>VVO01</t>
        </is>
      </c>
    </row>
    <row r="34" ht="12" customHeight="1">
      <c r="A34" s="96" t="inlineStr">
        <is>
          <t>HLHU8300778</t>
        </is>
      </c>
      <c r="B34" s="161" t="inlineStr">
        <is>
          <t>2026-10-07</t>
        </is>
      </c>
      <c r="C34" s="96" t="inlineStr">
        <is>
          <t>SWVG</t>
        </is>
      </c>
      <c r="D34" s="96" t="inlineStr">
        <is>
          <t>2612N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CNSHA</t>
        </is>
      </c>
      <c r="J34" s="96" t="inlineStr">
        <is>
          <t>CNSHA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LCH06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HASLS22260902494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PCI</t>
        </is>
      </c>
      <c r="U34" s="97" t="n"/>
      <c r="V34" s="96" t="inlineStr">
        <is>
          <t>C0123003</t>
        </is>
      </c>
      <c r="W34" s="96" t="inlineStr">
        <is>
          <t>THAI POLYETHYLENE CO.,LTD</t>
        </is>
      </c>
      <c r="X34" s="96" t="inlineStr">
        <is>
          <t>RTN</t>
        </is>
      </c>
      <c r="Y34" s="96" t="inlineStr">
        <is>
          <t>TO ORDER</t>
        </is>
      </c>
      <c r="Z34" s="96" t="inlineStr">
        <is>
          <t>NANJING GUANHUA TRADE CO.,LTD</t>
        </is>
      </c>
      <c r="AA34" s="97" t="n">
        <v>26135.2</v>
      </c>
      <c r="AB34" s="96" t="inlineStr">
        <is>
          <t>LCH06</t>
        </is>
      </c>
      <c r="AC34" s="96" t="inlineStr">
        <is>
          <t>SHAW5</t>
        </is>
      </c>
    </row>
    <row r="35" ht="12" customHeight="1">
      <c r="A35" s="96" t="inlineStr">
        <is>
          <t>HLHU8316250</t>
        </is>
      </c>
      <c r="B35" s="161" t="inlineStr">
        <is>
          <t>2026-10-07</t>
        </is>
      </c>
      <c r="C35" s="96" t="inlineStr">
        <is>
          <t>SWVG</t>
        </is>
      </c>
      <c r="D35" s="96" t="inlineStr">
        <is>
          <t>2612N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CNSHA</t>
        </is>
      </c>
      <c r="J35" s="96" t="inlineStr">
        <is>
          <t>CNSHA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LCH06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HASLS22260900441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PCI</t>
        </is>
      </c>
      <c r="U35" s="97" t="n"/>
      <c r="V35" s="96" t="inlineStr">
        <is>
          <t>C5623001</t>
        </is>
      </c>
      <c r="W35" s="96" t="inlineStr">
        <is>
          <t>BARKLAYS LOGISTICS (THAILAND)</t>
        </is>
      </c>
      <c r="X35" s="96" t="inlineStr">
        <is>
          <t>VFD</t>
        </is>
      </c>
      <c r="Y35" s="96" t="inlineStr">
        <is>
          <t>BARKLAYS LOGISTICS (SHANGHAI)</t>
        </is>
      </c>
      <c r="Z35" s="96" t="inlineStr">
        <is>
          <t>BARKLAYS LOGISTICS (SHANGHAI)</t>
        </is>
      </c>
      <c r="AA35" s="97" t="n">
        <v>21190</v>
      </c>
      <c r="AB35" s="96" t="inlineStr">
        <is>
          <t>LCH06</t>
        </is>
      </c>
      <c r="AC35" s="96" t="inlineStr">
        <is>
          <t>SHAW5</t>
        </is>
      </c>
    </row>
    <row r="36" ht="12" customHeight="1">
      <c r="A36" s="96" t="inlineStr">
        <is>
          <t>HLHU8321404</t>
        </is>
      </c>
      <c r="B36" s="161" t="inlineStr">
        <is>
          <t>2026-10-07</t>
        </is>
      </c>
      <c r="C36" s="96" t="inlineStr">
        <is>
          <t>SWVG</t>
        </is>
      </c>
      <c r="D36" s="96" t="inlineStr">
        <is>
          <t>2612N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KRPUS</t>
        </is>
      </c>
      <c r="J36" s="96" t="inlineStr">
        <is>
          <t>JPMYJ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LCH06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HASLS22260802360</t>
        </is>
      </c>
      <c r="R36" s="96" t="inlineStr">
        <is>
          <t>Y</t>
        </is>
      </c>
      <c r="S36" s="96" t="inlineStr">
        <is>
          <t>N</t>
        </is>
      </c>
      <c r="T36" s="96" t="inlineStr">
        <is>
          <t>PCI</t>
        </is>
      </c>
      <c r="U36" s="97" t="n"/>
      <c r="V36" s="96" t="inlineStr">
        <is>
          <t>C0723001</t>
        </is>
      </c>
      <c r="W36" s="96" t="inlineStr">
        <is>
          <t>PTT GLOBAL CHEMICAL PUBLIC COMPANY</t>
        </is>
      </c>
      <c r="X36" s="96" t="inlineStr">
        <is>
          <t>VFD</t>
        </is>
      </c>
      <c r="Y36" s="96" t="inlineStr">
        <is>
          <t>INABATA &amp; CO.,LTD</t>
        </is>
      </c>
      <c r="Z36" s="96" t="inlineStr">
        <is>
          <t>INABATA &amp; CO.,LTD</t>
        </is>
      </c>
      <c r="AA36" s="97" t="n">
        <v>24240</v>
      </c>
      <c r="AB36" s="96" t="inlineStr">
        <is>
          <t>LCH06</t>
        </is>
      </c>
      <c r="AC36" s="96" t="inlineStr">
        <is>
          <t>MYJ01</t>
        </is>
      </c>
    </row>
    <row r="37" ht="12" customHeight="1">
      <c r="A37" s="96" t="inlineStr">
        <is>
          <t>HLHU8331742</t>
        </is>
      </c>
      <c r="B37" s="161" t="inlineStr">
        <is>
          <t>2026-10-07</t>
        </is>
      </c>
      <c r="C37" s="96" t="inlineStr">
        <is>
          <t>SWVG</t>
        </is>
      </c>
      <c r="D37" s="96" t="inlineStr">
        <is>
          <t>2612N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CNSHA</t>
        </is>
      </c>
      <c r="J37" s="96" t="inlineStr">
        <is>
          <t>CNSHA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LCH06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HASLS22260901309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PCI</t>
        </is>
      </c>
      <c r="U37" s="97" t="n"/>
      <c r="V37" s="96" t="inlineStr">
        <is>
          <t>C0523001</t>
        </is>
      </c>
      <c r="W37" s="96" t="inlineStr">
        <is>
          <t>PTT GLOBAL CHEMICAL PUBLIC COMPANY</t>
        </is>
      </c>
      <c r="X37" s="96" t="inlineStr">
        <is>
          <t>VFD</t>
        </is>
      </c>
      <c r="Y37" s="96" t="inlineStr">
        <is>
          <t>GC MARKETING SOLUTIONS (SHANGHAI)</t>
        </is>
      </c>
      <c r="Z37" s="96" t="inlineStr">
        <is>
          <t>GC MARKETING SOLUTIONS (SHANGHAI)</t>
        </is>
      </c>
      <c r="AA37" s="97" t="n">
        <v>24144</v>
      </c>
      <c r="AB37" s="96" t="inlineStr">
        <is>
          <t>LCH06</t>
        </is>
      </c>
      <c r="AC37" s="96" t="inlineStr">
        <is>
          <t>SHAW5</t>
        </is>
      </c>
    </row>
    <row r="38" ht="12" customHeight="1">
      <c r="A38" s="96" t="inlineStr">
        <is>
          <t>HLHU8332203</t>
        </is>
      </c>
      <c r="B38" s="161" t="inlineStr">
        <is>
          <t>2026-10-07</t>
        </is>
      </c>
      <c r="C38" s="96" t="inlineStr">
        <is>
          <t>SWVG</t>
        </is>
      </c>
      <c r="D38" s="96" t="inlineStr">
        <is>
          <t>2612N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KRPUS</t>
        </is>
      </c>
      <c r="J38" s="96" t="inlineStr">
        <is>
          <t>JPMYJ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LCH06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HASLS22260802391</t>
        </is>
      </c>
      <c r="R38" s="96" t="inlineStr">
        <is>
          <t>Y</t>
        </is>
      </c>
      <c r="S38" s="96" t="inlineStr">
        <is>
          <t>N</t>
        </is>
      </c>
      <c r="T38" s="96" t="inlineStr">
        <is>
          <t>PCI</t>
        </is>
      </c>
      <c r="U38" s="97" t="n"/>
      <c r="V38" s="96" t="inlineStr">
        <is>
          <t>C0523001</t>
        </is>
      </c>
      <c r="W38" s="96" t="inlineStr">
        <is>
          <t>PTT GLOBAL CHEMICAL PUBLIC COMPANY</t>
        </is>
      </c>
      <c r="X38" s="96" t="inlineStr">
        <is>
          <t>VED</t>
        </is>
      </c>
      <c r="Y38" s="96" t="inlineStr">
        <is>
          <t>INABATA &amp; CO.,LTD</t>
        </is>
      </c>
      <c r="Z38" s="96" t="inlineStr">
        <is>
          <t>INABATA &amp; CO.,LTD</t>
        </is>
      </c>
      <c r="AA38" s="97" t="n">
        <v>24240</v>
      </c>
      <c r="AB38" s="96" t="inlineStr">
        <is>
          <t>LCH06</t>
        </is>
      </c>
      <c r="AC38" s="96" t="inlineStr">
        <is>
          <t>MYJ01</t>
        </is>
      </c>
    </row>
    <row r="39" ht="12" customHeight="1">
      <c r="A39" s="96" t="inlineStr">
        <is>
          <t>HLHU8342897</t>
        </is>
      </c>
      <c r="B39" s="161" t="inlineStr">
        <is>
          <t>2026-10-07</t>
        </is>
      </c>
      <c r="C39" s="96" t="inlineStr">
        <is>
          <t>SWVG</t>
        </is>
      </c>
      <c r="D39" s="96" t="inlineStr">
        <is>
          <t>2612N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CNSHA</t>
        </is>
      </c>
      <c r="J39" s="96" t="inlineStr">
        <is>
          <t>CNSHA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LCH06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HASLS22260801240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PCI</t>
        </is>
      </c>
      <c r="U39" s="97" t="n"/>
      <c r="V39" s="96" t="inlineStr">
        <is>
          <t>C0723003</t>
        </is>
      </c>
      <c r="W39" s="96" t="inlineStr">
        <is>
          <t>PTT GLOBAL CHEMICAL PUBLIC COMPANY</t>
        </is>
      </c>
      <c r="X39" s="96" t="inlineStr">
        <is>
          <t>VFD</t>
        </is>
      </c>
      <c r="Y39" s="96" t="inlineStr">
        <is>
          <t>GC MARKETING SOLUTIONS (SHANGHAI)</t>
        </is>
      </c>
      <c r="Z39" s="96" t="inlineStr">
        <is>
          <t>GC MARKETING SOLUTIONS (SHANGHAI)</t>
        </is>
      </c>
      <c r="AA39" s="97" t="n">
        <v>24997.5</v>
      </c>
      <c r="AB39" s="96" t="inlineStr">
        <is>
          <t>LCH06</t>
        </is>
      </c>
      <c r="AC39" s="96" t="inlineStr">
        <is>
          <t>SHAW5</t>
        </is>
      </c>
    </row>
    <row r="40" ht="12" customHeight="1">
      <c r="A40" s="96" t="inlineStr">
        <is>
          <t>HLHU8356632</t>
        </is>
      </c>
      <c r="B40" s="161" t="inlineStr">
        <is>
          <t>2026-10-07</t>
        </is>
      </c>
      <c r="C40" s="96" t="inlineStr">
        <is>
          <t>SWVG</t>
        </is>
      </c>
      <c r="D40" s="96" t="inlineStr">
        <is>
          <t>2612N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CNSHA</t>
        </is>
      </c>
      <c r="J40" s="96" t="inlineStr">
        <is>
          <t>CNSHA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LCH06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HASLS22260802507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PCI</t>
        </is>
      </c>
      <c r="U40" s="97" t="n"/>
      <c r="V40" s="96" t="inlineStr">
        <is>
          <t>C0123007</t>
        </is>
      </c>
      <c r="W40" s="96" t="inlineStr">
        <is>
          <t>PTT GLOBAL CHEMICAL PUBLIC COMPANY</t>
        </is>
      </c>
      <c r="X40" s="96" t="inlineStr">
        <is>
          <t>VFD</t>
        </is>
      </c>
      <c r="Y40" s="96" t="inlineStr">
        <is>
          <t>GC MARKETING SOLUTIONS (SHANGHAI)</t>
        </is>
      </c>
      <c r="Z40" s="96" t="inlineStr">
        <is>
          <t>GC MARKETING SOLUTIONS (SHANGHAI)</t>
        </is>
      </c>
      <c r="AA40" s="97" t="n">
        <v>24240</v>
      </c>
      <c r="AB40" s="96" t="inlineStr">
        <is>
          <t>LCH06</t>
        </is>
      </c>
      <c r="AC40" s="96" t="inlineStr">
        <is>
          <t>SHAW5</t>
        </is>
      </c>
    </row>
    <row r="41" ht="12" customHeight="1">
      <c r="A41" s="96" t="inlineStr">
        <is>
          <t>HLHU8376393</t>
        </is>
      </c>
      <c r="B41" s="161" t="inlineStr">
        <is>
          <t>2026-10-07</t>
        </is>
      </c>
      <c r="C41" s="96" t="inlineStr">
        <is>
          <t>SWVG</t>
        </is>
      </c>
      <c r="D41" s="96" t="inlineStr">
        <is>
          <t>2612N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CNSHA</t>
        </is>
      </c>
      <c r="J41" s="96" t="inlineStr">
        <is>
          <t>CNSHA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LCH06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HASLS22260902495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PCI</t>
        </is>
      </c>
      <c r="U41" s="97" t="n"/>
      <c r="V41" s="96" t="inlineStr">
        <is>
          <t>C0523003</t>
        </is>
      </c>
      <c r="W41" s="96" t="inlineStr">
        <is>
          <t>THAI POLYETHYLENE CO.,LTD.</t>
        </is>
      </c>
      <c r="X41" s="96" t="inlineStr">
        <is>
          <t>VFD</t>
        </is>
      </c>
      <c r="Y41" s="96" t="inlineStr">
        <is>
          <t>SHANGHAI ZHONGXUAN BUSINESS CO.,LTD</t>
        </is>
      </c>
      <c r="Z41" s="96" t="inlineStr">
        <is>
          <t>SHANGHAI ZHONGXUAN BUSINESS CO.,LTD</t>
        </is>
      </c>
      <c r="AA41" s="97" t="n">
        <v>26135.2</v>
      </c>
      <c r="AB41" s="96" t="inlineStr">
        <is>
          <t>LCH06</t>
        </is>
      </c>
      <c r="AC41" s="96" t="inlineStr">
        <is>
          <t>SHAW5</t>
        </is>
      </c>
    </row>
    <row r="42" ht="12" customHeight="1">
      <c r="A42" s="96" t="inlineStr">
        <is>
          <t>HLHU8377050</t>
        </is>
      </c>
      <c r="B42" s="161" t="inlineStr">
        <is>
          <t>2026-10-07</t>
        </is>
      </c>
      <c r="C42" s="96" t="inlineStr">
        <is>
          <t>SWVG</t>
        </is>
      </c>
      <c r="D42" s="96" t="inlineStr">
        <is>
          <t>2612N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CNSHA</t>
        </is>
      </c>
      <c r="J42" s="96" t="inlineStr">
        <is>
          <t>CNSHA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LCH06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HASLS22260801240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PCI</t>
        </is>
      </c>
      <c r="U42" s="97" t="n"/>
      <c r="V42" s="96" t="inlineStr">
        <is>
          <t>C0523003</t>
        </is>
      </c>
      <c r="W42" s="96" t="inlineStr">
        <is>
          <t>PTT GLOBAL CHEMICAL PUBLIC COMPANY</t>
        </is>
      </c>
      <c r="X42" s="96" t="inlineStr">
        <is>
          <t>VFD</t>
        </is>
      </c>
      <c r="Y42" s="96" t="inlineStr">
        <is>
          <t>GC MARKETING SOLUTIONS (SHANGHAI)</t>
        </is>
      </c>
      <c r="Z42" s="96" t="inlineStr">
        <is>
          <t>GC MARKETING SOLUTIONS (SHANGHAI)</t>
        </is>
      </c>
      <c r="AA42" s="97" t="n">
        <v>24997.5</v>
      </c>
      <c r="AB42" s="96" t="inlineStr">
        <is>
          <t>LCH06</t>
        </is>
      </c>
      <c r="AC42" s="96" t="inlineStr">
        <is>
          <t>SHAW5</t>
        </is>
      </c>
    </row>
    <row r="43" ht="12" customHeight="1">
      <c r="A43" s="96" t="inlineStr">
        <is>
          <t>HLHU8415967</t>
        </is>
      </c>
      <c r="B43" s="161" t="inlineStr">
        <is>
          <t>2026-10-07</t>
        </is>
      </c>
      <c r="C43" s="96" t="inlineStr">
        <is>
          <t>SWVG</t>
        </is>
      </c>
      <c r="D43" s="96" t="inlineStr">
        <is>
          <t>2612N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CNSHA</t>
        </is>
      </c>
      <c r="J43" s="96" t="inlineStr">
        <is>
          <t>CNSHA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LCH06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HASLS22260902494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PCI</t>
        </is>
      </c>
      <c r="U43" s="97" t="n"/>
      <c r="V43" s="96" t="inlineStr">
        <is>
          <t>C0124001</t>
        </is>
      </c>
      <c r="W43" s="96" t="inlineStr">
        <is>
          <t>THAI POLYETHYLENE CO.,LTD</t>
        </is>
      </c>
      <c r="X43" s="96" t="inlineStr">
        <is>
          <t>VFD</t>
        </is>
      </c>
      <c r="Y43" s="96" t="inlineStr">
        <is>
          <t>TO ORDER</t>
        </is>
      </c>
      <c r="Z43" s="96" t="inlineStr">
        <is>
          <t>NANJING GUANHUA TRADE CO.,LTD</t>
        </is>
      </c>
      <c r="AA43" s="97" t="n">
        <v>26135.2</v>
      </c>
      <c r="AB43" s="96" t="inlineStr">
        <is>
          <t>LCH06</t>
        </is>
      </c>
      <c r="AC43" s="96" t="inlineStr">
        <is>
          <t>SHAW5</t>
        </is>
      </c>
    </row>
    <row r="44" ht="12" customHeight="1">
      <c r="A44" s="96" t="inlineStr">
        <is>
          <t>HLHU8452087</t>
        </is>
      </c>
      <c r="B44" s="161" t="inlineStr">
        <is>
          <t>2026-10-07</t>
        </is>
      </c>
      <c r="C44" s="96" t="inlineStr">
        <is>
          <t>SWVG</t>
        </is>
      </c>
      <c r="D44" s="96" t="inlineStr">
        <is>
          <t>2612N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CNSHA</t>
        </is>
      </c>
      <c r="J44" s="96" t="inlineStr">
        <is>
          <t>CNSHA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LCH06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HASLS22260802507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PCI</t>
        </is>
      </c>
      <c r="U44" s="97" t="n"/>
      <c r="V44" s="96" t="inlineStr">
        <is>
          <t>C5624002</t>
        </is>
      </c>
      <c r="W44" s="96" t="inlineStr">
        <is>
          <t>PTT GLOBAL CHEMICAL PUBLIC COMPANY</t>
        </is>
      </c>
      <c r="X44" s="96" t="inlineStr">
        <is>
          <t>VFD</t>
        </is>
      </c>
      <c r="Y44" s="96" t="inlineStr">
        <is>
          <t>GC MARKETING SOLUTIONS (SHANGHAI)</t>
        </is>
      </c>
      <c r="Z44" s="96" t="inlineStr">
        <is>
          <t>GC MARKETING SOLUTIONS (SHANGHAI)</t>
        </is>
      </c>
      <c r="AA44" s="97" t="n">
        <v>24240</v>
      </c>
      <c r="AB44" s="96" t="inlineStr">
        <is>
          <t>LCH06</t>
        </is>
      </c>
      <c r="AC44" s="96" t="inlineStr">
        <is>
          <t>SHAW5</t>
        </is>
      </c>
    </row>
    <row r="45" ht="12" customHeight="1">
      <c r="A45" s="96" t="inlineStr">
        <is>
          <t>HLHU8455065</t>
        </is>
      </c>
      <c r="B45" s="161" t="inlineStr">
        <is>
          <t>2026-10-07</t>
        </is>
      </c>
      <c r="C45" s="96" t="inlineStr">
        <is>
          <t>SWVG</t>
        </is>
      </c>
      <c r="D45" s="96" t="inlineStr">
        <is>
          <t>2612N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CNSHA</t>
        </is>
      </c>
      <c r="J45" s="96" t="inlineStr">
        <is>
          <t>CNSHA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LCH06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HASLS22260900977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PCI</t>
        </is>
      </c>
      <c r="U45" s="97" t="n"/>
      <c r="V45" s="96" t="inlineStr">
        <is>
          <t>C5624002</t>
        </is>
      </c>
      <c r="W45" s="96" t="inlineStr">
        <is>
          <t>L.A.1 CO.,LTD.</t>
        </is>
      </c>
      <c r="X45" s="96" t="inlineStr">
        <is>
          <t>VFD</t>
        </is>
      </c>
      <c r="Y45" s="96" t="inlineStr">
        <is>
          <t>SHANGHAI TOP STAR EXPRESS CO.,LTD.</t>
        </is>
      </c>
      <c r="Z45" s="96" t="inlineStr">
        <is>
          <t>SHANGHAI TOP STAR EXPRESS CO.,LTD.</t>
        </is>
      </c>
      <c r="AA45" s="97" t="n">
        <v>26226.3</v>
      </c>
      <c r="AB45" s="96" t="inlineStr">
        <is>
          <t>LCH06</t>
        </is>
      </c>
      <c r="AC45" s="96" t="inlineStr">
        <is>
          <t>SHAW5</t>
        </is>
      </c>
    </row>
    <row r="46" ht="12" customHeight="1">
      <c r="A46" s="96" t="inlineStr">
        <is>
          <t>HLHU8462531</t>
        </is>
      </c>
      <c r="B46" s="161" t="inlineStr">
        <is>
          <t>2026-10-07</t>
        </is>
      </c>
      <c r="C46" s="96" t="inlineStr">
        <is>
          <t>SWVG</t>
        </is>
      </c>
      <c r="D46" s="96" t="inlineStr">
        <is>
          <t>2612N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CNSHA</t>
        </is>
      </c>
      <c r="J46" s="96" t="inlineStr">
        <is>
          <t>CNSHA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LCH06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HASLS22260900441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PCI</t>
        </is>
      </c>
      <c r="U46" s="97" t="n"/>
      <c r="V46" s="96" t="inlineStr">
        <is>
          <t>C5624002</t>
        </is>
      </c>
      <c r="W46" s="96" t="inlineStr">
        <is>
          <t>BARKLAYS LOGISTICS (THAILAND)</t>
        </is>
      </c>
      <c r="X46" s="96" t="inlineStr">
        <is>
          <t>VFD</t>
        </is>
      </c>
      <c r="Y46" s="96" t="inlineStr">
        <is>
          <t>BARKLAYS LOGISTICS (SHANGHAI)</t>
        </is>
      </c>
      <c r="Z46" s="96" t="inlineStr">
        <is>
          <t>BARKLAYS LOGISTICS (SHANGHAI)</t>
        </is>
      </c>
      <c r="AA46" s="97" t="n">
        <v>25700</v>
      </c>
      <c r="AB46" s="96" t="inlineStr">
        <is>
          <t>LCH06</t>
        </is>
      </c>
      <c r="AC46" s="96" t="inlineStr">
        <is>
          <t>SHAW5</t>
        </is>
      </c>
    </row>
    <row r="47" ht="12" customHeight="1">
      <c r="A47" s="96" t="inlineStr">
        <is>
          <t>HLHU8470033</t>
        </is>
      </c>
      <c r="B47" s="161" t="inlineStr">
        <is>
          <t>2026-10-07</t>
        </is>
      </c>
      <c r="C47" s="96" t="inlineStr">
        <is>
          <t>SWVG</t>
        </is>
      </c>
      <c r="D47" s="96" t="inlineStr">
        <is>
          <t>2612N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KRPUS</t>
        </is>
      </c>
      <c r="J47" s="96" t="inlineStr">
        <is>
          <t>JPISS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LCH06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HASLS22260902062</t>
        </is>
      </c>
      <c r="R47" s="96" t="inlineStr">
        <is>
          <t>Y</t>
        </is>
      </c>
      <c r="S47" s="96" t="inlineStr">
        <is>
          <t>N</t>
        </is>
      </c>
      <c r="T47" s="96" t="inlineStr">
        <is>
          <t>PCI</t>
        </is>
      </c>
      <c r="U47" s="97" t="n"/>
      <c r="V47" s="96" t="inlineStr">
        <is>
          <t>C0324008</t>
        </is>
      </c>
      <c r="W47" s="96" t="inlineStr">
        <is>
          <t>THAI POLYETHYLENE CO.,LTD.</t>
        </is>
      </c>
      <c r="X47" s="96" t="inlineStr">
        <is>
          <t>VFD</t>
        </is>
      </c>
      <c r="Y47" s="96" t="inlineStr">
        <is>
          <t>MITSUI &amp; CO. PLASTICS LTD.</t>
        </is>
      </c>
      <c r="Z47" s="96" t="inlineStr">
        <is>
          <t>MITSUI &amp; CO. PLASTICS LTD.</t>
        </is>
      </c>
      <c r="AA47" s="97" t="n">
        <v>25757.4</v>
      </c>
      <c r="AB47" s="96" t="inlineStr">
        <is>
          <t>LCH06</t>
        </is>
      </c>
      <c r="AC47" s="96" t="inlineStr">
        <is>
          <t>ISS02</t>
        </is>
      </c>
    </row>
    <row r="48" ht="12" customHeight="1">
      <c r="A48" s="96" t="inlineStr">
        <is>
          <t>HLHU8472951</t>
        </is>
      </c>
      <c r="B48" s="161" t="inlineStr">
        <is>
          <t>2026-10-07</t>
        </is>
      </c>
      <c r="C48" s="96" t="inlineStr">
        <is>
          <t>SWVG</t>
        </is>
      </c>
      <c r="D48" s="96" t="inlineStr">
        <is>
          <t>2612N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CNSHA</t>
        </is>
      </c>
      <c r="J48" s="96" t="inlineStr">
        <is>
          <t>CNSHA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LCH06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HASLS22260801240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PCI</t>
        </is>
      </c>
      <c r="U48" s="97" t="n"/>
      <c r="V48" s="96" t="inlineStr">
        <is>
          <t>C0624001</t>
        </is>
      </c>
      <c r="W48" s="96" t="inlineStr">
        <is>
          <t>PTT GLOBAL CHEMICAL PUBLIC COMPANY</t>
        </is>
      </c>
      <c r="X48" s="96" t="inlineStr">
        <is>
          <t>VFD</t>
        </is>
      </c>
      <c r="Y48" s="96" t="inlineStr">
        <is>
          <t>GC MARKETING SOLUTIONS (SHANGHAI)</t>
        </is>
      </c>
      <c r="Z48" s="96" t="inlineStr">
        <is>
          <t>GC MARKETING SOLUTIONS (SHANGHAI)</t>
        </is>
      </c>
      <c r="AA48" s="97" t="n">
        <v>24997.5</v>
      </c>
      <c r="AB48" s="96" t="inlineStr">
        <is>
          <t>LCH06</t>
        </is>
      </c>
      <c r="AC48" s="96" t="inlineStr">
        <is>
          <t>SHAW5</t>
        </is>
      </c>
    </row>
    <row r="49" ht="12" customHeight="1">
      <c r="A49" s="96" t="inlineStr">
        <is>
          <t>HLHU8474039</t>
        </is>
      </c>
      <c r="B49" s="161" t="inlineStr">
        <is>
          <t>2026-10-07</t>
        </is>
      </c>
      <c r="C49" s="96" t="inlineStr">
        <is>
          <t>SWVG</t>
        </is>
      </c>
      <c r="D49" s="96" t="inlineStr">
        <is>
          <t>2612N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CNSHA</t>
        </is>
      </c>
      <c r="J49" s="96" t="inlineStr">
        <is>
          <t>CNSHA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LCH06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HASLS22260802507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PCI</t>
        </is>
      </c>
      <c r="U49" s="97" t="n"/>
      <c r="V49" s="96" t="inlineStr">
        <is>
          <t>C0624001</t>
        </is>
      </c>
      <c r="W49" s="96" t="inlineStr">
        <is>
          <t>PTT GLOBAL CHEMICAL PUBLIC COMPANY</t>
        </is>
      </c>
      <c r="X49" s="96" t="inlineStr">
        <is>
          <t>VFD</t>
        </is>
      </c>
      <c r="Y49" s="96" t="inlineStr">
        <is>
          <t>GC MARKETING SOLUTIONS (SHANGHAI)</t>
        </is>
      </c>
      <c r="Z49" s="96" t="inlineStr">
        <is>
          <t>GC MARKETING SOLUTIONS (SHANGHAI)</t>
        </is>
      </c>
      <c r="AA49" s="97" t="n">
        <v>24240</v>
      </c>
      <c r="AB49" s="96" t="inlineStr">
        <is>
          <t>LCH06</t>
        </is>
      </c>
      <c r="AC49" s="96" t="inlineStr">
        <is>
          <t>SHAW5</t>
        </is>
      </c>
    </row>
    <row r="50" ht="12" customHeight="1">
      <c r="A50" s="96" t="inlineStr">
        <is>
          <t>HLHU8477146</t>
        </is>
      </c>
      <c r="B50" s="161" t="inlineStr">
        <is>
          <t>2026-10-07</t>
        </is>
      </c>
      <c r="C50" s="96" t="inlineStr">
        <is>
          <t>SWVG</t>
        </is>
      </c>
      <c r="D50" s="96" t="inlineStr">
        <is>
          <t>2612N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CNSHA</t>
        </is>
      </c>
      <c r="J50" s="96" t="inlineStr">
        <is>
          <t>CNSHA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LCH06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HASLS22260802507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PCI</t>
        </is>
      </c>
      <c r="U50" s="97" t="n"/>
      <c r="V50" s="96" t="inlineStr">
        <is>
          <t>C0624001</t>
        </is>
      </c>
      <c r="W50" s="96" t="inlineStr">
        <is>
          <t>PTT GLOBAL CHEMICAL PUBLIC COMPANY</t>
        </is>
      </c>
      <c r="X50" s="96" t="inlineStr">
        <is>
          <t>RTN</t>
        </is>
      </c>
      <c r="Y50" s="96" t="inlineStr">
        <is>
          <t>GC MARKETING SOLUTIONS (SHANGHAI)</t>
        </is>
      </c>
      <c r="Z50" s="96" t="inlineStr">
        <is>
          <t>GC MARKETING SOLUTIONS (SHANGHAI)</t>
        </is>
      </c>
      <c r="AA50" s="97" t="n">
        <v>24240</v>
      </c>
      <c r="AB50" s="96" t="inlineStr">
        <is>
          <t>LCH06</t>
        </is>
      </c>
      <c r="AC50" s="96" t="inlineStr">
        <is>
          <t>SHAW5</t>
        </is>
      </c>
    </row>
    <row r="51" ht="12" customHeight="1">
      <c r="A51" s="96" t="inlineStr">
        <is>
          <t>HLHU8485732</t>
        </is>
      </c>
      <c r="B51" s="161" t="inlineStr">
        <is>
          <t>2026-10-07</t>
        </is>
      </c>
      <c r="C51" s="96" t="inlineStr">
        <is>
          <t>SWVG</t>
        </is>
      </c>
      <c r="D51" s="96" t="inlineStr">
        <is>
          <t>2612N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CNSHA</t>
        </is>
      </c>
      <c r="J51" s="96" t="inlineStr">
        <is>
          <t>CNSHA</t>
        </is>
      </c>
      <c r="K51" s="96" t="inlineStr">
        <is>
          <t>F</t>
        </is>
      </c>
      <c r="L51" s="96" t="inlineStr">
        <is>
          <t>OWN</t>
        </is>
      </c>
      <c r="M51" s="96" t="inlineStr">
        <is>
          <t>VFL</t>
        </is>
      </c>
      <c r="N51" s="96" t="inlineStr">
        <is>
          <t>LCH06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HASLS22260900977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PCI</t>
        </is>
      </c>
      <c r="U51" s="97" t="n"/>
      <c r="V51" s="96" t="inlineStr">
        <is>
          <t>C0524001</t>
        </is>
      </c>
      <c r="W51" s="96" t="inlineStr">
        <is>
          <t>L.A.1 CO.,LTD.</t>
        </is>
      </c>
      <c r="X51" s="96" t="inlineStr">
        <is>
          <t>VFD</t>
        </is>
      </c>
      <c r="Y51" s="96" t="inlineStr">
        <is>
          <t>SHANGHAI TOP STAR EXPRESS CO.,LTD.</t>
        </is>
      </c>
      <c r="Z51" s="96" t="inlineStr">
        <is>
          <t>SHANGHAI TOP STAR EXPRESS CO.,LTD.</t>
        </is>
      </c>
      <c r="AA51" s="97" t="n">
        <v>26500</v>
      </c>
      <c r="AB51" s="96" t="inlineStr">
        <is>
          <t>LCH06</t>
        </is>
      </c>
      <c r="AC51" s="96" t="inlineStr">
        <is>
          <t>SHAW5</t>
        </is>
      </c>
    </row>
    <row r="52" ht="12" customHeight="1">
      <c r="A52" s="96" t="inlineStr">
        <is>
          <t>HLHU8492388</t>
        </is>
      </c>
      <c r="B52" s="161" t="inlineStr">
        <is>
          <t>2026-10-07</t>
        </is>
      </c>
      <c r="C52" s="96" t="inlineStr">
        <is>
          <t>SWVG</t>
        </is>
      </c>
      <c r="D52" s="96" t="inlineStr">
        <is>
          <t>2612N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CNSHA</t>
        </is>
      </c>
      <c r="J52" s="96" t="inlineStr">
        <is>
          <t>CNSHA</t>
        </is>
      </c>
      <c r="K52" s="96" t="inlineStr">
        <is>
          <t>F</t>
        </is>
      </c>
      <c r="L52" s="96" t="inlineStr">
        <is>
          <t>OWN</t>
        </is>
      </c>
      <c r="M52" s="96" t="inlineStr">
        <is>
          <t>VFL</t>
        </is>
      </c>
      <c r="N52" s="96" t="inlineStr">
        <is>
          <t>LCH06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HASLS22260901260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PCI</t>
        </is>
      </c>
      <c r="U52" s="97" t="n"/>
      <c r="V52" s="96" t="inlineStr">
        <is>
          <t>C0524001</t>
        </is>
      </c>
      <c r="W52" s="96" t="inlineStr">
        <is>
          <t>PTT GLOBAL CHEMICAL PUBLIC COMPANY</t>
        </is>
      </c>
      <c r="X52" s="96" t="inlineStr">
        <is>
          <t>VFD</t>
        </is>
      </c>
      <c r="Y52" s="96" t="inlineStr">
        <is>
          <t>GC MARKETING SOLUTIONS (SHANGHAI)</t>
        </is>
      </c>
      <c r="Z52" s="96" t="inlineStr">
        <is>
          <t>GC MARKETING SOLUTIONS (SHANGHAI)</t>
        </is>
      </c>
      <c r="AA52" s="97" t="n">
        <v>25100</v>
      </c>
      <c r="AB52" s="96" t="inlineStr">
        <is>
          <t>LCH06</t>
        </is>
      </c>
      <c r="AC52" s="96" t="inlineStr">
        <is>
          <t>SHAW5</t>
        </is>
      </c>
    </row>
    <row r="53" ht="12" customHeight="1">
      <c r="A53" s="96" t="inlineStr">
        <is>
          <t>HLHU8503944</t>
        </is>
      </c>
      <c r="B53" s="161" t="inlineStr">
        <is>
          <t>2026-10-07</t>
        </is>
      </c>
      <c r="C53" s="96" t="inlineStr">
        <is>
          <t>SWVG</t>
        </is>
      </c>
      <c r="D53" s="96" t="inlineStr">
        <is>
          <t>2612N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CNSHA</t>
        </is>
      </c>
      <c r="J53" s="96" t="inlineStr">
        <is>
          <t>CNSHA</t>
        </is>
      </c>
      <c r="K53" s="96" t="inlineStr">
        <is>
          <t>F</t>
        </is>
      </c>
      <c r="L53" s="96" t="inlineStr">
        <is>
          <t>OWN</t>
        </is>
      </c>
      <c r="M53" s="96" t="inlineStr">
        <is>
          <t>VFL</t>
        </is>
      </c>
      <c r="N53" s="96" t="inlineStr">
        <is>
          <t>LCH06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HASLS22260801240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PCI</t>
        </is>
      </c>
      <c r="U53" s="97" t="n"/>
      <c r="V53" s="96" t="inlineStr">
        <is>
          <t>C0125003</t>
        </is>
      </c>
      <c r="W53" s="96" t="inlineStr">
        <is>
          <t>PTT GLOBAL CHEMICAL PUBLIC COMPANY</t>
        </is>
      </c>
      <c r="X53" s="96" t="inlineStr">
        <is>
          <t>VFD</t>
        </is>
      </c>
      <c r="Y53" s="96" t="inlineStr">
        <is>
          <t>GC MARKETING SOLUTIONS (SHANGHAI)</t>
        </is>
      </c>
      <c r="Z53" s="96" t="inlineStr">
        <is>
          <t>GC MARKETING SOLUTIONS (SHANGHAI)</t>
        </is>
      </c>
      <c r="AA53" s="97" t="n">
        <v>24997.5</v>
      </c>
      <c r="AB53" s="96" t="inlineStr">
        <is>
          <t>LCH06</t>
        </is>
      </c>
      <c r="AC53" s="96" t="inlineStr">
        <is>
          <t>SHAW5</t>
        </is>
      </c>
    </row>
    <row r="54" ht="12" customHeight="1">
      <c r="A54" s="96" t="inlineStr">
        <is>
          <t>HLHU8516366</t>
        </is>
      </c>
      <c r="B54" s="161" t="inlineStr">
        <is>
          <t>2026-10-07</t>
        </is>
      </c>
      <c r="C54" s="96" t="inlineStr">
        <is>
          <t>SWVG</t>
        </is>
      </c>
      <c r="D54" s="96" t="inlineStr">
        <is>
          <t>2612N</t>
        </is>
      </c>
      <c r="E54" s="96" t="inlineStr">
        <is>
          <t>45GP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CNSHA</t>
        </is>
      </c>
      <c r="J54" s="96" t="inlineStr">
        <is>
          <t>CNSHA</t>
        </is>
      </c>
      <c r="K54" s="96" t="inlineStr">
        <is>
          <t>F</t>
        </is>
      </c>
      <c r="L54" s="96" t="inlineStr">
        <is>
          <t>OWN</t>
        </is>
      </c>
      <c r="M54" s="96" t="inlineStr">
        <is>
          <t>VFL</t>
        </is>
      </c>
      <c r="N54" s="96" t="inlineStr">
        <is>
          <t>LCH06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HASLS22260901432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PCI</t>
        </is>
      </c>
      <c r="U54" s="97" t="n"/>
      <c r="V54" s="96" t="inlineStr">
        <is>
          <t>C0125003</t>
        </is>
      </c>
      <c r="W54" s="96" t="inlineStr">
        <is>
          <t>AGC VINYTHAI PUBLIC COMPANY LIMITED</t>
        </is>
      </c>
      <c r="X54" s="96" t="inlineStr">
        <is>
          <t>VED</t>
        </is>
      </c>
      <c r="Y54" s="96" t="inlineStr">
        <is>
          <t>SHENZHEN COMFLEX INDUSTRY LIMITED</t>
        </is>
      </c>
      <c r="Z54" s="96" t="inlineStr">
        <is>
          <t>SHENZHEN COMFLEX INDUSTRY LIMITED</t>
        </is>
      </c>
      <c r="AA54" s="97" t="n">
        <v>22440</v>
      </c>
      <c r="AB54" s="96" t="inlineStr">
        <is>
          <t>LCH06</t>
        </is>
      </c>
      <c r="AC54" s="96" t="inlineStr">
        <is>
          <t>SHAW5</t>
        </is>
      </c>
    </row>
    <row r="55" ht="12" customHeight="1">
      <c r="A55" s="96" t="inlineStr">
        <is>
          <t>HLHU8524680</t>
        </is>
      </c>
      <c r="B55" s="161" t="inlineStr">
        <is>
          <t>2026-10-07</t>
        </is>
      </c>
      <c r="C55" s="96" t="inlineStr">
        <is>
          <t>SWVG</t>
        </is>
      </c>
      <c r="D55" s="96" t="inlineStr">
        <is>
          <t>2612N</t>
        </is>
      </c>
      <c r="E55" s="96" t="inlineStr">
        <is>
          <t>45GP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CNSHA</t>
        </is>
      </c>
      <c r="J55" s="96" t="inlineStr">
        <is>
          <t>CNSHA</t>
        </is>
      </c>
      <c r="K55" s="96" t="inlineStr">
        <is>
          <t>F</t>
        </is>
      </c>
      <c r="L55" s="96" t="inlineStr">
        <is>
          <t>OWN</t>
        </is>
      </c>
      <c r="M55" s="96" t="inlineStr">
        <is>
          <t>VFL</t>
        </is>
      </c>
      <c r="N55" s="96" t="inlineStr">
        <is>
          <t>LCH06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HASLS22260900441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PCI</t>
        </is>
      </c>
      <c r="U55" s="97" t="n"/>
      <c r="V55" s="96" t="inlineStr">
        <is>
          <t>C0125003</t>
        </is>
      </c>
      <c r="W55" s="96" t="inlineStr">
        <is>
          <t>BARKLAYS LOGISTICS (THAILAND)</t>
        </is>
      </c>
      <c r="X55" s="96" t="inlineStr">
        <is>
          <t>VFD</t>
        </is>
      </c>
      <c r="Y55" s="96" t="inlineStr">
        <is>
          <t>BARKLAYS LOGISTICS (SHANGHAI)</t>
        </is>
      </c>
      <c r="Z55" s="96" t="inlineStr">
        <is>
          <t>BARKLAYS LOGISTICS (SHANGHAI)</t>
        </is>
      </c>
      <c r="AA55" s="97" t="n">
        <v>21500</v>
      </c>
      <c r="AB55" s="96" t="inlineStr">
        <is>
          <t>LCH06</t>
        </is>
      </c>
      <c r="AC55" s="96" t="inlineStr">
        <is>
          <t>SHAW5</t>
        </is>
      </c>
    </row>
    <row r="56" ht="12" customHeight="1">
      <c r="A56" s="96" t="inlineStr">
        <is>
          <t>HLHU8528515</t>
        </is>
      </c>
      <c r="B56" s="161" t="inlineStr">
        <is>
          <t>2026-10-07</t>
        </is>
      </c>
      <c r="C56" s="96" t="inlineStr">
        <is>
          <t>SWVG</t>
        </is>
      </c>
      <c r="D56" s="96" t="inlineStr">
        <is>
          <t>2612N</t>
        </is>
      </c>
      <c r="E56" s="96" t="inlineStr">
        <is>
          <t>45GP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CNSHA</t>
        </is>
      </c>
      <c r="J56" s="96" t="inlineStr">
        <is>
          <t>CNSHA</t>
        </is>
      </c>
      <c r="K56" s="96" t="inlineStr">
        <is>
          <t>F</t>
        </is>
      </c>
      <c r="L56" s="96" t="inlineStr">
        <is>
          <t>OWN</t>
        </is>
      </c>
      <c r="M56" s="96" t="inlineStr">
        <is>
          <t>VFL</t>
        </is>
      </c>
      <c r="N56" s="96" t="inlineStr">
        <is>
          <t>LCH06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HASLS22260901746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PCI</t>
        </is>
      </c>
      <c r="U56" s="97" t="n"/>
      <c r="V56" s="96" t="inlineStr">
        <is>
          <t>C0125003</t>
        </is>
      </c>
      <c r="W56" s="96" t="inlineStr">
        <is>
          <t>PTT GLOBAL CHEMICAL PUBLIC COMPANY</t>
        </is>
      </c>
      <c r="X56" s="96" t="inlineStr">
        <is>
          <t>VED</t>
        </is>
      </c>
      <c r="Y56" s="96" t="inlineStr">
        <is>
          <t>GC MARKETING SOLUTIONS (SHANGHAI)</t>
        </is>
      </c>
      <c r="Z56" s="96" t="inlineStr">
        <is>
          <t>GC MARKETING SOLUTIONS (SHANGHAI)</t>
        </is>
      </c>
      <c r="AA56" s="97" t="n">
        <v>25100</v>
      </c>
      <c r="AB56" s="96" t="inlineStr">
        <is>
          <t>LCH06</t>
        </is>
      </c>
      <c r="AC56" s="96" t="inlineStr">
        <is>
          <t>SHAW5</t>
        </is>
      </c>
    </row>
    <row r="57" ht="12" customHeight="1">
      <c r="A57" s="96" t="inlineStr">
        <is>
          <t>HLHU8532069</t>
        </is>
      </c>
      <c r="B57" s="161" t="inlineStr">
        <is>
          <t>2026-10-07</t>
        </is>
      </c>
      <c r="C57" s="96" t="inlineStr">
        <is>
          <t>SWVG</t>
        </is>
      </c>
      <c r="D57" s="96" t="inlineStr">
        <is>
          <t>2612N</t>
        </is>
      </c>
      <c r="E57" s="96" t="inlineStr">
        <is>
          <t>45GP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CNSHA</t>
        </is>
      </c>
      <c r="J57" s="96" t="inlineStr">
        <is>
          <t>CNSHA</t>
        </is>
      </c>
      <c r="K57" s="96" t="inlineStr">
        <is>
          <t>F</t>
        </is>
      </c>
      <c r="L57" s="96" t="inlineStr">
        <is>
          <t>OWN</t>
        </is>
      </c>
      <c r="M57" s="96" t="inlineStr">
        <is>
          <t>VFL</t>
        </is>
      </c>
      <c r="N57" s="96" t="inlineStr">
        <is>
          <t>LCH06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HASLS22260801240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PCI</t>
        </is>
      </c>
      <c r="U57" s="97" t="n"/>
      <c r="V57" s="96" t="inlineStr">
        <is>
          <t>C0125003</t>
        </is>
      </c>
      <c r="W57" s="96" t="inlineStr">
        <is>
          <t>PTT GLOBAL CHEMICAL PUBLIC COMPANY</t>
        </is>
      </c>
      <c r="X57" s="96" t="inlineStr">
        <is>
          <t>VFD</t>
        </is>
      </c>
      <c r="Y57" s="96" t="inlineStr">
        <is>
          <t>GC MARKETING SOLUTIONS (SHANGHAI)</t>
        </is>
      </c>
      <c r="Z57" s="96" t="inlineStr">
        <is>
          <t>GC MARKETING SOLUTIONS (SHANGHAI)</t>
        </is>
      </c>
      <c r="AA57" s="97" t="n">
        <v>24997.5</v>
      </c>
      <c r="AB57" s="96" t="inlineStr">
        <is>
          <t>LCH06</t>
        </is>
      </c>
      <c r="AC57" s="96" t="inlineStr">
        <is>
          <t>SHAW5</t>
        </is>
      </c>
    </row>
    <row r="58" ht="12" customHeight="1">
      <c r="A58" s="96" t="inlineStr">
        <is>
          <t>HLHU8539926</t>
        </is>
      </c>
      <c r="B58" s="161" t="inlineStr">
        <is>
          <t>2026-10-07</t>
        </is>
      </c>
      <c r="C58" s="96" t="inlineStr">
        <is>
          <t>SWVG</t>
        </is>
      </c>
      <c r="D58" s="96" t="inlineStr">
        <is>
          <t>2612N</t>
        </is>
      </c>
      <c r="E58" s="96" t="inlineStr">
        <is>
          <t>45GP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KRPUS</t>
        </is>
      </c>
      <c r="J58" s="96" t="inlineStr">
        <is>
          <t>JPMYJ</t>
        </is>
      </c>
      <c r="K58" s="96" t="inlineStr">
        <is>
          <t>F</t>
        </is>
      </c>
      <c r="L58" s="96" t="inlineStr">
        <is>
          <t>OWN</t>
        </is>
      </c>
      <c r="M58" s="96" t="inlineStr">
        <is>
          <t>VFL</t>
        </is>
      </c>
      <c r="N58" s="96" t="inlineStr">
        <is>
          <t>LCH06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HASLS22260802360</t>
        </is>
      </c>
      <c r="R58" s="96" t="inlineStr">
        <is>
          <t>Y</t>
        </is>
      </c>
      <c r="S58" s="96" t="inlineStr">
        <is>
          <t>N</t>
        </is>
      </c>
      <c r="T58" s="96" t="inlineStr">
        <is>
          <t>PCI</t>
        </is>
      </c>
      <c r="U58" s="97" t="n"/>
      <c r="V58" s="96" t="inlineStr">
        <is>
          <t>C0125003</t>
        </is>
      </c>
      <c r="W58" s="96" t="inlineStr">
        <is>
          <t>PTT GLOBAL CHEMICAL PUBLIC COMPANY</t>
        </is>
      </c>
      <c r="X58" s="96" t="inlineStr">
        <is>
          <t>VFD</t>
        </is>
      </c>
      <c r="Y58" s="96" t="inlineStr">
        <is>
          <t>INABATA &amp; CO.,LTD</t>
        </is>
      </c>
      <c r="Z58" s="96" t="inlineStr">
        <is>
          <t>INABATA &amp; CO.,LTD</t>
        </is>
      </c>
      <c r="AA58" s="97" t="n">
        <v>24240</v>
      </c>
      <c r="AB58" s="96" t="inlineStr">
        <is>
          <t>LCH06</t>
        </is>
      </c>
      <c r="AC58" s="96" t="inlineStr">
        <is>
          <t>MYJ01</t>
        </is>
      </c>
    </row>
    <row r="59" ht="12" customHeight="1">
      <c r="A59" s="96" t="inlineStr">
        <is>
          <t>HLHU8540362</t>
        </is>
      </c>
      <c r="B59" s="161" t="inlineStr">
        <is>
          <t>2026-10-07</t>
        </is>
      </c>
      <c r="C59" s="96" t="inlineStr">
        <is>
          <t>SWVG</t>
        </is>
      </c>
      <c r="D59" s="96" t="inlineStr">
        <is>
          <t>2612N</t>
        </is>
      </c>
      <c r="E59" s="96" t="inlineStr">
        <is>
          <t>45GP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KRPUS</t>
        </is>
      </c>
      <c r="J59" s="96" t="inlineStr">
        <is>
          <t>JPMYJ</t>
        </is>
      </c>
      <c r="K59" s="96" t="inlineStr">
        <is>
          <t>F</t>
        </is>
      </c>
      <c r="L59" s="96" t="inlineStr">
        <is>
          <t>OWN</t>
        </is>
      </c>
      <c r="M59" s="96" t="inlineStr">
        <is>
          <t>VFL</t>
        </is>
      </c>
      <c r="N59" s="96" t="inlineStr">
        <is>
          <t>LCH06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HASLS22260802391</t>
        </is>
      </c>
      <c r="R59" s="96" t="inlineStr">
        <is>
          <t>Y</t>
        </is>
      </c>
      <c r="S59" s="96" t="inlineStr">
        <is>
          <t>N</t>
        </is>
      </c>
      <c r="T59" s="96" t="inlineStr">
        <is>
          <t>PCI</t>
        </is>
      </c>
      <c r="U59" s="97" t="n"/>
      <c r="V59" s="96" t="inlineStr">
        <is>
          <t>C0125003</t>
        </is>
      </c>
      <c r="W59" s="96" t="inlineStr">
        <is>
          <t>PTT GLOBAL CHEMICAL PUBLIC COMPANY</t>
        </is>
      </c>
      <c r="X59" s="96" t="inlineStr">
        <is>
          <t>VFD</t>
        </is>
      </c>
      <c r="Y59" s="96" t="inlineStr">
        <is>
          <t>INABATA &amp; CO.,LTD</t>
        </is>
      </c>
      <c r="Z59" s="96" t="inlineStr">
        <is>
          <t>INABATA &amp; CO.,LTD</t>
        </is>
      </c>
      <c r="AA59" s="97" t="n">
        <v>24240</v>
      </c>
      <c r="AB59" s="96" t="inlineStr">
        <is>
          <t>LCH06</t>
        </is>
      </c>
      <c r="AC59" s="96" t="inlineStr">
        <is>
          <t>MYJ01</t>
        </is>
      </c>
    </row>
    <row r="60" ht="12" customHeight="1">
      <c r="A60" s="96" t="inlineStr">
        <is>
          <t>HLHU8547006</t>
        </is>
      </c>
      <c r="B60" s="161" t="inlineStr">
        <is>
          <t>2026-10-07</t>
        </is>
      </c>
      <c r="C60" s="96" t="inlineStr">
        <is>
          <t>SWVG</t>
        </is>
      </c>
      <c r="D60" s="96" t="inlineStr">
        <is>
          <t>2612N</t>
        </is>
      </c>
      <c r="E60" s="96" t="inlineStr">
        <is>
          <t>45GP</t>
        </is>
      </c>
      <c r="F60" s="96" t="inlineStr">
        <is>
          <t>SD</t>
        </is>
      </c>
      <c r="G60" s="96" t="inlineStr">
        <is>
          <t>THLCH</t>
        </is>
      </c>
      <c r="H60" s="96" t="inlineStr">
        <is>
          <t>THLCH</t>
        </is>
      </c>
      <c r="I60" s="96" t="inlineStr">
        <is>
          <t>CNSHA</t>
        </is>
      </c>
      <c r="J60" s="96" t="inlineStr">
        <is>
          <t>CNSHA</t>
        </is>
      </c>
      <c r="K60" s="96" t="inlineStr">
        <is>
          <t>F</t>
        </is>
      </c>
      <c r="L60" s="96" t="inlineStr">
        <is>
          <t>OWN</t>
        </is>
      </c>
      <c r="M60" s="96" t="inlineStr">
        <is>
          <t>VFL</t>
        </is>
      </c>
      <c r="N60" s="96" t="inlineStr">
        <is>
          <t>LCH06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HASLS22260801240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PCI</t>
        </is>
      </c>
      <c r="U60" s="97" t="n"/>
      <c r="V60" s="96" t="inlineStr">
        <is>
          <t>C0125003</t>
        </is>
      </c>
      <c r="W60" s="96" t="inlineStr">
        <is>
          <t>PTT GLOBAL CHEMICAL PUBLIC COMPANY</t>
        </is>
      </c>
      <c r="X60" s="96" t="inlineStr">
        <is>
          <t>VFD</t>
        </is>
      </c>
      <c r="Y60" s="96" t="inlineStr">
        <is>
          <t>GC MARKETING SOLUTIONS (SHANGHAI)</t>
        </is>
      </c>
      <c r="Z60" s="96" t="inlineStr">
        <is>
          <t>GC MARKETING SOLUTIONS (SHANGHAI)</t>
        </is>
      </c>
      <c r="AA60" s="97" t="n">
        <v>24997.5</v>
      </c>
      <c r="AB60" s="96" t="inlineStr">
        <is>
          <t>LCH06</t>
        </is>
      </c>
      <c r="AC60" s="96" t="inlineStr">
        <is>
          <t>SHAW5</t>
        </is>
      </c>
    </row>
    <row r="61" ht="12" customHeight="1">
      <c r="A61" s="96" t="inlineStr">
        <is>
          <t>HLHU8571039</t>
        </is>
      </c>
      <c r="B61" s="161" t="inlineStr">
        <is>
          <t>2026-10-07</t>
        </is>
      </c>
      <c r="C61" s="96" t="inlineStr">
        <is>
          <t>SWVG</t>
        </is>
      </c>
      <c r="D61" s="96" t="inlineStr">
        <is>
          <t>2612N</t>
        </is>
      </c>
      <c r="E61" s="96" t="inlineStr">
        <is>
          <t>45GP</t>
        </is>
      </c>
      <c r="F61" s="96" t="inlineStr">
        <is>
          <t>SD</t>
        </is>
      </c>
      <c r="G61" s="96" t="inlineStr">
        <is>
          <t>THLCH</t>
        </is>
      </c>
      <c r="H61" s="96" t="inlineStr">
        <is>
          <t>THLCH</t>
        </is>
      </c>
      <c r="I61" s="96" t="inlineStr">
        <is>
          <t>CNSHA</t>
        </is>
      </c>
      <c r="J61" s="96" t="inlineStr">
        <is>
          <t>CNSHA</t>
        </is>
      </c>
      <c r="K61" s="96" t="inlineStr">
        <is>
          <t>F</t>
        </is>
      </c>
      <c r="L61" s="96" t="inlineStr">
        <is>
          <t>OWN</t>
        </is>
      </c>
      <c r="M61" s="96" t="inlineStr">
        <is>
          <t>VFL</t>
        </is>
      </c>
      <c r="N61" s="96" t="inlineStr">
        <is>
          <t>LCH06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HASLS22260901747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PCI</t>
        </is>
      </c>
      <c r="U61" s="97" t="n"/>
      <c r="V61" s="96" t="inlineStr">
        <is>
          <t>C0725001</t>
        </is>
      </c>
      <c r="W61" s="96" t="inlineStr">
        <is>
          <t>PTT GLOBAL CHEMICAL PUBLIC COMPANY</t>
        </is>
      </c>
      <c r="X61" s="96" t="inlineStr">
        <is>
          <t>VFD</t>
        </is>
      </c>
      <c r="Y61" s="96" t="inlineStr">
        <is>
          <t>GC MARKETING SOLUTIONS (SHANGHAI)</t>
        </is>
      </c>
      <c r="Z61" s="96" t="inlineStr">
        <is>
          <t>GC MARKETING SOLUTIONS (SHANGHAI)</t>
        </is>
      </c>
      <c r="AA61" s="97" t="n">
        <v>24997.5</v>
      </c>
      <c r="AB61" s="96" t="inlineStr">
        <is>
          <t>LCH06</t>
        </is>
      </c>
      <c r="AC61" s="96" t="inlineStr">
        <is>
          <t>SHAW5</t>
        </is>
      </c>
    </row>
    <row r="62" ht="12" customHeight="1">
      <c r="A62" s="96" t="inlineStr">
        <is>
          <t>HLHU8571065</t>
        </is>
      </c>
      <c r="B62" s="161" t="inlineStr">
        <is>
          <t>2026-10-07</t>
        </is>
      </c>
      <c r="C62" s="96" t="inlineStr">
        <is>
          <t>SWVG</t>
        </is>
      </c>
      <c r="D62" s="96" t="inlineStr">
        <is>
          <t>2612N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CNSHA</t>
        </is>
      </c>
      <c r="J62" s="96" t="inlineStr">
        <is>
          <t>CNSHA</t>
        </is>
      </c>
      <c r="K62" s="96" t="inlineStr">
        <is>
          <t>F</t>
        </is>
      </c>
      <c r="L62" s="96" t="inlineStr">
        <is>
          <t>OWN</t>
        </is>
      </c>
      <c r="M62" s="96" t="inlineStr">
        <is>
          <t>VFL</t>
        </is>
      </c>
      <c r="N62" s="96" t="inlineStr">
        <is>
          <t>LCH06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HASLS22260900441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PCI</t>
        </is>
      </c>
      <c r="U62" s="97" t="n"/>
      <c r="V62" s="96" t="inlineStr">
        <is>
          <t>C0725001</t>
        </is>
      </c>
      <c r="W62" s="96" t="inlineStr">
        <is>
          <t>BARKLAYS LOGISTICS (THAILAND)</t>
        </is>
      </c>
      <c r="X62" s="96" t="inlineStr">
        <is>
          <t>VFD</t>
        </is>
      </c>
      <c r="Y62" s="96" t="inlineStr">
        <is>
          <t>BARKLAYS LOGISTICS (SHANGHAI)</t>
        </is>
      </c>
      <c r="Z62" s="96" t="inlineStr">
        <is>
          <t>BARKLAYS LOGISTICS (SHANGHAI)</t>
        </is>
      </c>
      <c r="AA62" s="97" t="n">
        <v>24630</v>
      </c>
      <c r="AB62" s="96" t="inlineStr">
        <is>
          <t>LCH06</t>
        </is>
      </c>
      <c r="AC62" s="96" t="inlineStr">
        <is>
          <t>SHAW5</t>
        </is>
      </c>
    </row>
    <row r="63" ht="12" customHeight="1">
      <c r="A63" s="96" t="inlineStr">
        <is>
          <t>HLHU8597202</t>
        </is>
      </c>
      <c r="B63" s="161" t="inlineStr">
        <is>
          <t>2026-10-07</t>
        </is>
      </c>
      <c r="C63" s="96" t="inlineStr">
        <is>
          <t>SWVG</t>
        </is>
      </c>
      <c r="D63" s="96" t="inlineStr">
        <is>
          <t>2612N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CNSHA</t>
        </is>
      </c>
      <c r="J63" s="96" t="inlineStr">
        <is>
          <t>CNSHA</t>
        </is>
      </c>
      <c r="K63" s="96" t="inlineStr">
        <is>
          <t>F</t>
        </is>
      </c>
      <c r="L63" s="96" t="inlineStr">
        <is>
          <t>OWN</t>
        </is>
      </c>
      <c r="M63" s="96" t="inlineStr">
        <is>
          <t>VFL</t>
        </is>
      </c>
      <c r="N63" s="96" t="inlineStr">
        <is>
          <t>LCH06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HASLS22260900441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PCI</t>
        </is>
      </c>
      <c r="U63" s="97" t="n"/>
      <c r="V63" s="96" t="inlineStr">
        <is>
          <t>C0725001</t>
        </is>
      </c>
      <c r="W63" s="96" t="inlineStr">
        <is>
          <t>BARKLAYS LOGISTICS (THAILAND)</t>
        </is>
      </c>
      <c r="X63" s="96" t="inlineStr">
        <is>
          <t>VFD</t>
        </is>
      </c>
      <c r="Y63" s="96" t="inlineStr">
        <is>
          <t>BARKLAYS LOGISTICS (SHANGHAI)</t>
        </is>
      </c>
      <c r="Z63" s="96" t="inlineStr">
        <is>
          <t>BARKLAYS LOGISTICS (SHANGHAI)</t>
        </is>
      </c>
      <c r="AA63" s="97" t="n">
        <v>20780</v>
      </c>
      <c r="AB63" s="96" t="inlineStr">
        <is>
          <t>LCH06</t>
        </is>
      </c>
      <c r="AC63" s="96" t="inlineStr">
        <is>
          <t>SHAW5</t>
        </is>
      </c>
    </row>
    <row r="64" ht="12" customHeight="1">
      <c r="A64" s="96" t="inlineStr">
        <is>
          <t>SEGU1754869</t>
        </is>
      </c>
      <c r="B64" s="161" t="inlineStr">
        <is>
          <t>2026-10-07</t>
        </is>
      </c>
      <c r="C64" s="96" t="inlineStr">
        <is>
          <t>SWVG</t>
        </is>
      </c>
      <c r="D64" s="96" t="inlineStr">
        <is>
          <t>2612N</t>
        </is>
      </c>
      <c r="E64" s="96" t="inlineStr">
        <is>
          <t>22GP</t>
        </is>
      </c>
      <c r="F64" s="96" t="inlineStr">
        <is>
          <t>SD</t>
        </is>
      </c>
      <c r="G64" s="96" t="inlineStr">
        <is>
          <t>THLCH</t>
        </is>
      </c>
      <c r="H64" s="96" t="inlineStr">
        <is>
          <t>THLCH</t>
        </is>
      </c>
      <c r="I64" s="96" t="inlineStr">
        <is>
          <t>KRPUS</t>
        </is>
      </c>
      <c r="J64" s="96" t="inlineStr">
        <is>
          <t>JPSMZ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LCH06</t>
        </is>
      </c>
      <c r="O64" s="96" t="inlineStr">
        <is>
          <t>LCH</t>
        </is>
      </c>
      <c r="P64" s="96" t="inlineStr">
        <is>
          <t>TH</t>
        </is>
      </c>
      <c r="Q64" s="96" t="inlineStr">
        <is>
          <t>HASLS22260901674</t>
        </is>
      </c>
      <c r="R64" s="96" t="inlineStr">
        <is>
          <t>Y</t>
        </is>
      </c>
      <c r="S64" s="96" t="inlineStr">
        <is>
          <t>N</t>
        </is>
      </c>
      <c r="T64" s="96" t="inlineStr">
        <is>
          <t>PCI</t>
        </is>
      </c>
      <c r="U64" s="97" t="n"/>
      <c r="V64" s="96" t="inlineStr">
        <is>
          <t>K0120021</t>
        </is>
      </c>
      <c r="W64" s="96" t="inlineStr">
        <is>
          <t>PTT GLOBAL CHEMICAL PUBLIC COMPANY</t>
        </is>
      </c>
      <c r="X64" s="96" t="inlineStr">
        <is>
          <t>VFD</t>
        </is>
      </c>
      <c r="Y64" s="96" t="inlineStr">
        <is>
          <t>MARUBENI INNOVEXIS CORPORATION</t>
        </is>
      </c>
      <c r="Z64" s="96" t="inlineStr">
        <is>
          <t>MARUBENI INNOVEXIS CORPORATION</t>
        </is>
      </c>
      <c r="AA64" s="97" t="n">
        <v>16160</v>
      </c>
      <c r="AB64" s="96" t="inlineStr">
        <is>
          <t>LCH06</t>
        </is>
      </c>
      <c r="AC64" s="96" t="inlineStr">
        <is>
          <t>SMZ01</t>
        </is>
      </c>
    </row>
    <row r="65" ht="12" customHeight="1">
      <c r="A65" s="96" t="inlineStr">
        <is>
          <t>SEKU4434992</t>
        </is>
      </c>
      <c r="B65" s="161" t="inlineStr">
        <is>
          <t>2026-10-07</t>
        </is>
      </c>
      <c r="C65" s="96" t="inlineStr">
        <is>
          <t>SWVG</t>
        </is>
      </c>
      <c r="D65" s="96" t="inlineStr">
        <is>
          <t>2612N</t>
        </is>
      </c>
      <c r="E65" s="96" t="inlineStr">
        <is>
          <t>45GP</t>
        </is>
      </c>
      <c r="F65" s="96" t="inlineStr">
        <is>
          <t>SD</t>
        </is>
      </c>
      <c r="G65" s="96" t="inlineStr">
        <is>
          <t>THLCH</t>
        </is>
      </c>
      <c r="H65" s="96" t="inlineStr">
        <is>
          <t>THLCH</t>
        </is>
      </c>
      <c r="I65" s="96" t="inlineStr">
        <is>
          <t>CNSHA</t>
        </is>
      </c>
      <c r="J65" s="96" t="inlineStr">
        <is>
          <t>CNSHA</t>
        </is>
      </c>
      <c r="K65" s="96" t="inlineStr">
        <is>
          <t>F</t>
        </is>
      </c>
      <c r="L65" s="96" t="inlineStr">
        <is>
          <t>ONE</t>
        </is>
      </c>
      <c r="M65" s="96" t="inlineStr">
        <is>
          <t>VFL</t>
        </is>
      </c>
      <c r="N65" s="96" t="inlineStr">
        <is>
          <t>LCH06</t>
        </is>
      </c>
      <c r="O65" s="96" t="inlineStr">
        <is>
          <t>LCH</t>
        </is>
      </c>
      <c r="P65" s="96" t="inlineStr">
        <is>
          <t>TH</t>
        </is>
      </c>
      <c r="Q65" s="96" t="inlineStr">
        <is>
          <t>HASLS22260900441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PCI</t>
        </is>
      </c>
      <c r="U65" s="97" t="n"/>
      <c r="V65" s="96" t="inlineStr">
        <is>
          <t>K0120023</t>
        </is>
      </c>
      <c r="W65" s="96" t="inlineStr">
        <is>
          <t>BARKLAYS LOGISTICS (THAILAND)</t>
        </is>
      </c>
      <c r="X65" s="96" t="inlineStr">
        <is>
          <t>VFD</t>
        </is>
      </c>
      <c r="Y65" s="96" t="inlineStr">
        <is>
          <t>BARKLAYS LOGISTICS (SHANGHAI)</t>
        </is>
      </c>
      <c r="Z65" s="96" t="inlineStr">
        <is>
          <t>BARKLAYS LOGISTICS (SHANGHAI)</t>
        </is>
      </c>
      <c r="AA65" s="97" t="n">
        <v>20520</v>
      </c>
      <c r="AB65" s="96" t="inlineStr">
        <is>
          <t>LCH06</t>
        </is>
      </c>
      <c r="AC65" s="96" t="inlineStr">
        <is>
          <t>SHAW5</t>
        </is>
      </c>
    </row>
    <row r="66" ht="12" customHeight="1">
      <c r="A66" s="96" t="inlineStr">
        <is>
          <t>SEKU4980822</t>
        </is>
      </c>
      <c r="B66" s="161" t="inlineStr">
        <is>
          <t>2026-10-07</t>
        </is>
      </c>
      <c r="C66" s="96" t="inlineStr">
        <is>
          <t>SWVG</t>
        </is>
      </c>
      <c r="D66" s="96" t="inlineStr">
        <is>
          <t>2612N</t>
        </is>
      </c>
      <c r="E66" s="96" t="inlineStr">
        <is>
          <t>45GP</t>
        </is>
      </c>
      <c r="F66" s="96" t="inlineStr">
        <is>
          <t>SD</t>
        </is>
      </c>
      <c r="G66" s="96" t="inlineStr">
        <is>
          <t>THLCH</t>
        </is>
      </c>
      <c r="H66" s="96" t="inlineStr">
        <is>
          <t>THLCH</t>
        </is>
      </c>
      <c r="I66" s="96" t="inlineStr">
        <is>
          <t>CNSHA</t>
        </is>
      </c>
      <c r="J66" s="96" t="inlineStr">
        <is>
          <t>CNSHA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LCH06</t>
        </is>
      </c>
      <c r="O66" s="96" t="inlineStr">
        <is>
          <t>LCH</t>
        </is>
      </c>
      <c r="P66" s="96" t="inlineStr">
        <is>
          <t>TH</t>
        </is>
      </c>
      <c r="Q66" s="96" t="inlineStr">
        <is>
          <t>HASLS22260901309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PCI</t>
        </is>
      </c>
      <c r="U66" s="97" t="n"/>
      <c r="V66" s="96" t="inlineStr">
        <is>
          <t>K0120023</t>
        </is>
      </c>
      <c r="W66" s="96" t="inlineStr">
        <is>
          <t>PTT GLOBAL CHEMICAL PUBLIC COMPANY</t>
        </is>
      </c>
      <c r="X66" s="96" t="inlineStr">
        <is>
          <t>VFD</t>
        </is>
      </c>
      <c r="Y66" s="96" t="inlineStr">
        <is>
          <t>GC MARKETING SOLUTIONS (SHANGHAI)</t>
        </is>
      </c>
      <c r="Z66" s="96" t="inlineStr">
        <is>
          <t>GC MARKETING SOLUTIONS (SHANGHAI)</t>
        </is>
      </c>
      <c r="AA66" s="97" t="n">
        <v>24144</v>
      </c>
      <c r="AB66" s="96" t="inlineStr">
        <is>
          <t>LCH06</t>
        </is>
      </c>
      <c r="AC66" s="96" t="inlineStr">
        <is>
          <t>SHAW5</t>
        </is>
      </c>
    </row>
    <row r="67" ht="12" customHeight="1">
      <c r="A67" s="96" t="inlineStr">
        <is>
          <t>SKHU6206076</t>
        </is>
      </c>
      <c r="B67" s="161" t="inlineStr">
        <is>
          <t>2026-10-07</t>
        </is>
      </c>
      <c r="C67" s="96" t="inlineStr">
        <is>
          <t>SWVG</t>
        </is>
      </c>
      <c r="D67" s="96" t="inlineStr">
        <is>
          <t>2612N</t>
        </is>
      </c>
      <c r="E67" s="96" t="inlineStr">
        <is>
          <t>45GP</t>
        </is>
      </c>
      <c r="F67" s="96" t="inlineStr">
        <is>
          <t>SD</t>
        </is>
      </c>
      <c r="G67" s="96" t="inlineStr">
        <is>
          <t>THLCH</t>
        </is>
      </c>
      <c r="H67" s="96" t="inlineStr">
        <is>
          <t>THLCH</t>
        </is>
      </c>
      <c r="I67" s="96" t="inlineStr">
        <is>
          <t>CNSHA</t>
        </is>
      </c>
      <c r="J67" s="96" t="inlineStr">
        <is>
          <t>CNSHA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LCH06</t>
        </is>
      </c>
      <c r="O67" s="96" t="inlineStr">
        <is>
          <t>LCH</t>
        </is>
      </c>
      <c r="P67" s="96" t="inlineStr">
        <is>
          <t>TH</t>
        </is>
      </c>
      <c r="Q67" s="96" t="inlineStr">
        <is>
          <t>HASLS22260901309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PCI</t>
        </is>
      </c>
      <c r="U67" s="97" t="n"/>
      <c r="V67" s="96" t="inlineStr">
        <is>
          <t>K0120023</t>
        </is>
      </c>
      <c r="W67" s="96" t="inlineStr">
        <is>
          <t>PTT GLOBAL CHEMICAL PUBLIC COMPANY</t>
        </is>
      </c>
      <c r="X67" s="96" t="inlineStr">
        <is>
          <t>VFD</t>
        </is>
      </c>
      <c r="Y67" s="96" t="inlineStr">
        <is>
          <t>GC MARKETING SOLUTIONS (SHANGHAI)</t>
        </is>
      </c>
      <c r="Z67" s="96" t="inlineStr">
        <is>
          <t>GC MARKETING SOLUTIONS (SHANGHAI)</t>
        </is>
      </c>
      <c r="AA67" s="97" t="n">
        <v>24144</v>
      </c>
      <c r="AB67" s="96" t="inlineStr">
        <is>
          <t>LCH06</t>
        </is>
      </c>
      <c r="AC67" s="96" t="inlineStr">
        <is>
          <t>SHAW5</t>
        </is>
      </c>
    </row>
    <row r="68" ht="12" customHeight="1">
      <c r="A68" s="96" t="inlineStr">
        <is>
          <t>SKHU6206420</t>
        </is>
      </c>
      <c r="B68" s="161" t="inlineStr">
        <is>
          <t>2026-10-07</t>
        </is>
      </c>
      <c r="C68" s="96" t="inlineStr">
        <is>
          <t>SWVG</t>
        </is>
      </c>
      <c r="D68" s="96" t="inlineStr">
        <is>
          <t>2612N</t>
        </is>
      </c>
      <c r="E68" s="96" t="inlineStr">
        <is>
          <t>45GP</t>
        </is>
      </c>
      <c r="F68" s="96" t="inlineStr">
        <is>
          <t>SD</t>
        </is>
      </c>
      <c r="G68" s="96" t="inlineStr">
        <is>
          <t>THLCH</t>
        </is>
      </c>
      <c r="H68" s="96" t="inlineStr">
        <is>
          <t>THLCH</t>
        </is>
      </c>
      <c r="I68" s="96" t="inlineStr">
        <is>
          <t>CNSHA</t>
        </is>
      </c>
      <c r="J68" s="96" t="inlineStr">
        <is>
          <t>CNSHA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LCH06</t>
        </is>
      </c>
      <c r="O68" s="96" t="inlineStr">
        <is>
          <t>LCH</t>
        </is>
      </c>
      <c r="P68" s="96" t="inlineStr">
        <is>
          <t>TH</t>
        </is>
      </c>
      <c r="Q68" s="96" t="inlineStr">
        <is>
          <t>HASLS22260900408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PCI</t>
        </is>
      </c>
      <c r="U68" s="97" t="n"/>
      <c r="V68" s="96" t="inlineStr">
        <is>
          <t>K0120023</t>
        </is>
      </c>
      <c r="W68" s="96" t="inlineStr">
        <is>
          <t>RHENUS LOGISTICS CO., LTD.</t>
        </is>
      </c>
      <c r="X68" s="96" t="inlineStr">
        <is>
          <t>VFD</t>
        </is>
      </c>
      <c r="Y68" s="96" t="inlineStr">
        <is>
          <t>RHENUS LOGISTICS CHINA LTD.</t>
        </is>
      </c>
      <c r="Z68" s="96" t="inlineStr">
        <is>
          <t>RHENUS LOGISTICS CHINA LTD.</t>
        </is>
      </c>
      <c r="AA68" s="97" t="n">
        <v>8578.82</v>
      </c>
      <c r="AB68" s="96" t="inlineStr">
        <is>
          <t>LCH06</t>
        </is>
      </c>
      <c r="AC68" s="96" t="inlineStr">
        <is>
          <t>SHAW5</t>
        </is>
      </c>
    </row>
    <row r="69" ht="12" customHeight="1">
      <c r="A69" s="96" t="inlineStr">
        <is>
          <t>SKHU6309623</t>
        </is>
      </c>
      <c r="B69" s="161" t="inlineStr">
        <is>
          <t>2026-10-07</t>
        </is>
      </c>
      <c r="C69" s="96" t="inlineStr">
        <is>
          <t>SWVG</t>
        </is>
      </c>
      <c r="D69" s="96" t="inlineStr">
        <is>
          <t>2612N</t>
        </is>
      </c>
      <c r="E69" s="96" t="inlineStr">
        <is>
          <t>45GP</t>
        </is>
      </c>
      <c r="F69" s="96" t="inlineStr">
        <is>
          <t>SD</t>
        </is>
      </c>
      <c r="G69" s="96" t="inlineStr">
        <is>
          <t>THLCH</t>
        </is>
      </c>
      <c r="H69" s="96" t="inlineStr">
        <is>
          <t>THLCH</t>
        </is>
      </c>
      <c r="I69" s="96" t="inlineStr">
        <is>
          <t>CNSHA</t>
        </is>
      </c>
      <c r="J69" s="96" t="inlineStr">
        <is>
          <t>CNSHA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LCH06</t>
        </is>
      </c>
      <c r="O69" s="96" t="inlineStr">
        <is>
          <t>LCH</t>
        </is>
      </c>
      <c r="P69" s="96" t="inlineStr">
        <is>
          <t>TH</t>
        </is>
      </c>
      <c r="Q69" s="96" t="inlineStr">
        <is>
          <t>HASLS22260802507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PCI</t>
        </is>
      </c>
      <c r="U69" s="97" t="n"/>
      <c r="V69" s="96" t="inlineStr">
        <is>
          <t>K0120023</t>
        </is>
      </c>
      <c r="W69" s="96" t="inlineStr">
        <is>
          <t>PTT GLOBAL CHEMICAL PUBLIC COMPANY</t>
        </is>
      </c>
      <c r="X69" s="96" t="inlineStr">
        <is>
          <t>VFD</t>
        </is>
      </c>
      <c r="Y69" s="96" t="inlineStr">
        <is>
          <t>GC MARKETING SOLUTIONS (SHANGHAI)</t>
        </is>
      </c>
      <c r="Z69" s="96" t="inlineStr">
        <is>
          <t>GC MARKETING SOLUTIONS (SHANGHAI)</t>
        </is>
      </c>
      <c r="AA69" s="97" t="n">
        <v>24240</v>
      </c>
      <c r="AB69" s="96" t="inlineStr">
        <is>
          <t>LCH06</t>
        </is>
      </c>
      <c r="AC69" s="96" t="inlineStr">
        <is>
          <t>SHAW5</t>
        </is>
      </c>
    </row>
    <row r="70" ht="12" customHeight="1">
      <c r="A70" s="96" t="inlineStr">
        <is>
          <t>SKHU6310521</t>
        </is>
      </c>
      <c r="B70" s="161" t="inlineStr">
        <is>
          <t>2026-10-07</t>
        </is>
      </c>
      <c r="C70" s="96" t="inlineStr">
        <is>
          <t>SWVG</t>
        </is>
      </c>
      <c r="D70" s="96" t="inlineStr">
        <is>
          <t>2612N</t>
        </is>
      </c>
      <c r="E70" s="96" t="inlineStr">
        <is>
          <t>45GP</t>
        </is>
      </c>
      <c r="F70" s="96" t="inlineStr">
        <is>
          <t>SD</t>
        </is>
      </c>
      <c r="G70" s="96" t="inlineStr">
        <is>
          <t>THLCH</t>
        </is>
      </c>
      <c r="H70" s="96" t="inlineStr">
        <is>
          <t>THLCH</t>
        </is>
      </c>
      <c r="I70" s="96" t="inlineStr">
        <is>
          <t>CNSHA</t>
        </is>
      </c>
      <c r="J70" s="96" t="inlineStr">
        <is>
          <t>CNSHA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LCH06</t>
        </is>
      </c>
      <c r="O70" s="96" t="inlineStr">
        <is>
          <t>LCH</t>
        </is>
      </c>
      <c r="P70" s="96" t="inlineStr">
        <is>
          <t>TH</t>
        </is>
      </c>
      <c r="Q70" s="96" t="inlineStr">
        <is>
          <t>HASLS22260802388</t>
        </is>
      </c>
      <c r="R70" s="96" t="inlineStr">
        <is>
          <t>N</t>
        </is>
      </c>
      <c r="S70" s="96" t="inlineStr">
        <is>
          <t>N</t>
        </is>
      </c>
      <c r="T70" s="96" t="inlineStr">
        <is>
          <t>PCI</t>
        </is>
      </c>
      <c r="U70" s="97" t="n"/>
      <c r="V70" s="96" t="inlineStr">
        <is>
          <t>K0120023</t>
        </is>
      </c>
      <c r="W70" s="96" t="inlineStr">
        <is>
          <t>THAI POLYETHYLENE CO.,LTD.</t>
        </is>
      </c>
      <c r="X70" s="96" t="inlineStr">
        <is>
          <t>VFD</t>
        </is>
      </c>
      <c r="Y70" s="96" t="inlineStr">
        <is>
          <t>SHANGHAI ZHONGXUAN BUSINESS CO.,LTD</t>
        </is>
      </c>
      <c r="Z70" s="96" t="inlineStr">
        <is>
          <t>SHANGHAI ZHONGXUAN BUSINESS CO.,LTD</t>
        </is>
      </c>
      <c r="AA70" s="97" t="n">
        <v>26135.2</v>
      </c>
      <c r="AB70" s="96" t="inlineStr">
        <is>
          <t>LCH06</t>
        </is>
      </c>
      <c r="AC70" s="96" t="inlineStr">
        <is>
          <t>SHAW5</t>
        </is>
      </c>
    </row>
    <row r="71" ht="12" customHeight="1">
      <c r="A71" s="96" t="inlineStr">
        <is>
          <t>SKHU6341121</t>
        </is>
      </c>
      <c r="B71" s="161" t="inlineStr">
        <is>
          <t>2026-10-07</t>
        </is>
      </c>
      <c r="C71" s="96" t="inlineStr">
        <is>
          <t>SWVG</t>
        </is>
      </c>
      <c r="D71" s="96" t="inlineStr">
        <is>
          <t>2612N</t>
        </is>
      </c>
      <c r="E71" s="96" t="inlineStr">
        <is>
          <t>45GP</t>
        </is>
      </c>
      <c r="F71" s="96" t="inlineStr">
        <is>
          <t>SD</t>
        </is>
      </c>
      <c r="G71" s="96" t="inlineStr">
        <is>
          <t>THLCH</t>
        </is>
      </c>
      <c r="H71" s="96" t="inlineStr">
        <is>
          <t>THLCH</t>
        </is>
      </c>
      <c r="I71" s="96" t="inlineStr">
        <is>
          <t>CNSHA</t>
        </is>
      </c>
      <c r="J71" s="96" t="inlineStr">
        <is>
          <t>CNSHA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LCH06</t>
        </is>
      </c>
      <c r="O71" s="96" t="inlineStr">
        <is>
          <t>LCH</t>
        </is>
      </c>
      <c r="P71" s="96" t="inlineStr">
        <is>
          <t>TH</t>
        </is>
      </c>
      <c r="Q71" s="96" t="inlineStr">
        <is>
          <t>HASLS22260901668</t>
        </is>
      </c>
      <c r="R71" s="96" t="inlineStr">
        <is>
          <t>N</t>
        </is>
      </c>
      <c r="S71" s="96" t="inlineStr">
        <is>
          <t>N</t>
        </is>
      </c>
      <c r="T71" s="96" t="inlineStr">
        <is>
          <t>PCI</t>
        </is>
      </c>
      <c r="U71" s="97" t="n"/>
      <c r="V71" s="96" t="inlineStr">
        <is>
          <t>K0120023</t>
        </is>
      </c>
      <c r="W71" s="96" t="inlineStr">
        <is>
          <t>BARKLAYS LOGISTICS (THAILAND)</t>
        </is>
      </c>
      <c r="X71" s="96" t="inlineStr">
        <is>
          <t>VFD</t>
        </is>
      </c>
      <c r="Y71" s="96" t="inlineStr">
        <is>
          <t>BARKLAYS LOGISTICS (SHANGHAI)</t>
        </is>
      </c>
      <c r="Z71" s="96" t="inlineStr">
        <is>
          <t>BARKLAYS LOGISTICS (SHANGHAI)</t>
        </is>
      </c>
      <c r="AA71" s="97" t="n">
        <v>25560</v>
      </c>
      <c r="AB71" s="96" t="inlineStr">
        <is>
          <t>LCH06</t>
        </is>
      </c>
      <c r="AC71" s="96" t="inlineStr">
        <is>
          <t>SHAW5</t>
        </is>
      </c>
    </row>
    <row r="72" ht="12" customHeight="1">
      <c r="A72" s="96" t="inlineStr">
        <is>
          <t>SKHU6369936</t>
        </is>
      </c>
      <c r="B72" s="161" t="inlineStr">
        <is>
          <t>2026-10-07</t>
        </is>
      </c>
      <c r="C72" s="96" t="inlineStr">
        <is>
          <t>SWVG</t>
        </is>
      </c>
      <c r="D72" s="96" t="inlineStr">
        <is>
          <t>2612N</t>
        </is>
      </c>
      <c r="E72" s="96" t="inlineStr">
        <is>
          <t>45GP</t>
        </is>
      </c>
      <c r="F72" s="96" t="inlineStr">
        <is>
          <t>SD</t>
        </is>
      </c>
      <c r="G72" s="96" t="inlineStr">
        <is>
          <t>THLCH</t>
        </is>
      </c>
      <c r="H72" s="96" t="inlineStr">
        <is>
          <t>THLCH</t>
        </is>
      </c>
      <c r="I72" s="96" t="inlineStr">
        <is>
          <t>CNSHA</t>
        </is>
      </c>
      <c r="J72" s="96" t="inlineStr">
        <is>
          <t>CNSHA</t>
        </is>
      </c>
      <c r="K72" s="96" t="inlineStr">
        <is>
          <t>F</t>
        </is>
      </c>
      <c r="L72" s="96" t="inlineStr">
        <is>
          <t>ONE</t>
        </is>
      </c>
      <c r="M72" s="96" t="inlineStr">
        <is>
          <t>VFL</t>
        </is>
      </c>
      <c r="N72" s="96" t="inlineStr">
        <is>
          <t>LCH06</t>
        </is>
      </c>
      <c r="O72" s="96" t="inlineStr">
        <is>
          <t>LCH</t>
        </is>
      </c>
      <c r="P72" s="96" t="inlineStr">
        <is>
          <t>TH</t>
        </is>
      </c>
      <c r="Q72" s="96" t="inlineStr">
        <is>
          <t>HASLS22260802507</t>
        </is>
      </c>
      <c r="R72" s="96" t="inlineStr">
        <is>
          <t>N</t>
        </is>
      </c>
      <c r="S72" s="96" t="inlineStr">
        <is>
          <t>N</t>
        </is>
      </c>
      <c r="T72" s="96" t="inlineStr">
        <is>
          <t>PCI</t>
        </is>
      </c>
      <c r="U72" s="97" t="n"/>
      <c r="V72" s="96" t="inlineStr">
        <is>
          <t>K0120023</t>
        </is>
      </c>
      <c r="W72" s="96" t="inlineStr">
        <is>
          <t>PTT GLOBAL CHEMICAL PUBLIC COMPANY</t>
        </is>
      </c>
      <c r="X72" s="96" t="inlineStr">
        <is>
          <t>VED</t>
        </is>
      </c>
      <c r="Y72" s="96" t="inlineStr">
        <is>
          <t>GC MARKETING SOLUTIONS (SHANGHAI)</t>
        </is>
      </c>
      <c r="Z72" s="96" t="inlineStr">
        <is>
          <t>GC MARKETING SOLUTIONS (SHANGHAI)</t>
        </is>
      </c>
      <c r="AA72" s="97" t="n">
        <v>24240</v>
      </c>
      <c r="AB72" s="96" t="inlineStr">
        <is>
          <t>LCH06</t>
        </is>
      </c>
      <c r="AC72" s="96" t="inlineStr">
        <is>
          <t>SHAW5</t>
        </is>
      </c>
    </row>
    <row r="73" ht="12" customHeight="1">
      <c r="A73" s="96" t="inlineStr">
        <is>
          <t>SKHU6384740</t>
        </is>
      </c>
      <c r="B73" s="161" t="inlineStr">
        <is>
          <t>2026-10-07</t>
        </is>
      </c>
      <c r="C73" s="96" t="inlineStr">
        <is>
          <t>SWVG</t>
        </is>
      </c>
      <c r="D73" s="96" t="inlineStr">
        <is>
          <t>2612N</t>
        </is>
      </c>
      <c r="E73" s="96" t="inlineStr">
        <is>
          <t>45GP</t>
        </is>
      </c>
      <c r="F73" s="96" t="inlineStr">
        <is>
          <t>SD</t>
        </is>
      </c>
      <c r="G73" s="96" t="inlineStr">
        <is>
          <t>THLCH</t>
        </is>
      </c>
      <c r="H73" s="96" t="inlineStr">
        <is>
          <t>THLCH</t>
        </is>
      </c>
      <c r="I73" s="96" t="inlineStr">
        <is>
          <t>CNSHA</t>
        </is>
      </c>
      <c r="J73" s="96" t="inlineStr">
        <is>
          <t>CNSHA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LCH06</t>
        </is>
      </c>
      <c r="O73" s="96" t="inlineStr">
        <is>
          <t>LCH</t>
        </is>
      </c>
      <c r="P73" s="96" t="inlineStr">
        <is>
          <t>TH</t>
        </is>
      </c>
      <c r="Q73" s="96" t="inlineStr">
        <is>
          <t>HASLS22260900441</t>
        </is>
      </c>
      <c r="R73" s="96" t="inlineStr">
        <is>
          <t>N</t>
        </is>
      </c>
      <c r="S73" s="96" t="inlineStr">
        <is>
          <t>N</t>
        </is>
      </c>
      <c r="T73" s="96" t="inlineStr">
        <is>
          <t>PCI</t>
        </is>
      </c>
      <c r="U73" s="97" t="n"/>
      <c r="V73" s="96" t="inlineStr">
        <is>
          <t>K0120023</t>
        </is>
      </c>
      <c r="W73" s="96" t="inlineStr">
        <is>
          <t>BARKLAYS LOGISTICS (THAILAND)</t>
        </is>
      </c>
      <c r="X73" s="96" t="inlineStr">
        <is>
          <t>VFD</t>
        </is>
      </c>
      <c r="Y73" s="96" t="inlineStr">
        <is>
          <t>BARKLAYS LOGISTICS (SHANGHAI)</t>
        </is>
      </c>
      <c r="Z73" s="96" t="inlineStr">
        <is>
          <t>BARKLAYS LOGISTICS (SHANGHAI)</t>
        </is>
      </c>
      <c r="AA73" s="97" t="n">
        <v>25320</v>
      </c>
      <c r="AB73" s="96" t="inlineStr">
        <is>
          <t>LCH06</t>
        </is>
      </c>
      <c r="AC73" s="96" t="inlineStr">
        <is>
          <t>SHAW5</t>
        </is>
      </c>
    </row>
    <row r="74" ht="12" customHeight="1">
      <c r="A74" s="96" t="inlineStr">
        <is>
          <t>SKHU6387945</t>
        </is>
      </c>
      <c r="B74" s="161" t="inlineStr">
        <is>
          <t>2026-10-07</t>
        </is>
      </c>
      <c r="C74" s="96" t="inlineStr">
        <is>
          <t>SWVG</t>
        </is>
      </c>
      <c r="D74" s="96" t="inlineStr">
        <is>
          <t>2612N</t>
        </is>
      </c>
      <c r="E74" s="96" t="inlineStr">
        <is>
          <t>45GP</t>
        </is>
      </c>
      <c r="F74" s="96" t="inlineStr">
        <is>
          <t>SD</t>
        </is>
      </c>
      <c r="G74" s="96" t="inlineStr">
        <is>
          <t>THLCH</t>
        </is>
      </c>
      <c r="H74" s="96" t="inlineStr">
        <is>
          <t>THLCH</t>
        </is>
      </c>
      <c r="I74" s="96" t="inlineStr">
        <is>
          <t>KRPUS</t>
        </is>
      </c>
      <c r="J74" s="96" t="inlineStr">
        <is>
          <t>JPMYJ</t>
        </is>
      </c>
      <c r="K74" s="96" t="inlineStr">
        <is>
          <t>F</t>
        </is>
      </c>
      <c r="L74" s="96" t="inlineStr">
        <is>
          <t>ONE</t>
        </is>
      </c>
      <c r="M74" s="96" t="inlineStr">
        <is>
          <t>VFL</t>
        </is>
      </c>
      <c r="N74" s="96" t="inlineStr">
        <is>
          <t>LCH06</t>
        </is>
      </c>
      <c r="O74" s="96" t="inlineStr">
        <is>
          <t>LCH</t>
        </is>
      </c>
      <c r="P74" s="96" t="inlineStr">
        <is>
          <t>TH</t>
        </is>
      </c>
      <c r="Q74" s="96" t="inlineStr">
        <is>
          <t>HASLS22260802360</t>
        </is>
      </c>
      <c r="R74" s="96" t="inlineStr">
        <is>
          <t>Y</t>
        </is>
      </c>
      <c r="S74" s="96" t="inlineStr">
        <is>
          <t>N</t>
        </is>
      </c>
      <c r="T74" s="96" t="inlineStr">
        <is>
          <t>PCI</t>
        </is>
      </c>
      <c r="U74" s="97" t="n"/>
      <c r="V74" s="96" t="inlineStr">
        <is>
          <t>K0120023</t>
        </is>
      </c>
      <c r="W74" s="96" t="inlineStr">
        <is>
          <t>PTT GLOBAL CHEMICAL PUBLIC COMPANY</t>
        </is>
      </c>
      <c r="X74" s="96" t="inlineStr">
        <is>
          <t>VFD</t>
        </is>
      </c>
      <c r="Y74" s="96" t="inlineStr">
        <is>
          <t>INABATA &amp; CO.,LTD</t>
        </is>
      </c>
      <c r="Z74" s="96" t="inlineStr">
        <is>
          <t>INABATA &amp; CO.,LTD</t>
        </is>
      </c>
      <c r="AA74" s="97" t="n">
        <v>24240</v>
      </c>
      <c r="AB74" s="96" t="inlineStr">
        <is>
          <t>LCH06</t>
        </is>
      </c>
      <c r="AC74" s="96" t="inlineStr">
        <is>
          <t>MYJ01</t>
        </is>
      </c>
    </row>
    <row r="75" ht="12" customHeight="1">
      <c r="A75" s="96" t="inlineStr">
        <is>
          <t>SKHU6394013</t>
        </is>
      </c>
      <c r="B75" s="161" t="inlineStr">
        <is>
          <t>2026-10-07</t>
        </is>
      </c>
      <c r="C75" s="96" t="inlineStr">
        <is>
          <t>SWVG</t>
        </is>
      </c>
      <c r="D75" s="96" t="inlineStr">
        <is>
          <t>2612N</t>
        </is>
      </c>
      <c r="E75" s="96" t="inlineStr">
        <is>
          <t>45GP</t>
        </is>
      </c>
      <c r="F75" s="96" t="inlineStr">
        <is>
          <t>SD</t>
        </is>
      </c>
      <c r="G75" s="96" t="inlineStr">
        <is>
          <t>THLCH</t>
        </is>
      </c>
      <c r="H75" s="96" t="inlineStr">
        <is>
          <t>THLCH</t>
        </is>
      </c>
      <c r="I75" s="96" t="inlineStr">
        <is>
          <t>CNSHA</t>
        </is>
      </c>
      <c r="J75" s="96" t="inlineStr">
        <is>
          <t>CNSHA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LCH06</t>
        </is>
      </c>
      <c r="O75" s="96" t="inlineStr">
        <is>
          <t>LCH</t>
        </is>
      </c>
      <c r="P75" s="96" t="inlineStr">
        <is>
          <t>TH</t>
        </is>
      </c>
      <c r="Q75" s="96" t="inlineStr">
        <is>
          <t>HASLS22260901260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PCI</t>
        </is>
      </c>
      <c r="U75" s="97" t="n"/>
      <c r="V75" s="96" t="inlineStr">
        <is>
          <t>K0120023</t>
        </is>
      </c>
      <c r="W75" s="96" t="inlineStr">
        <is>
          <t>PTT GLOBAL CHEMICAL PUBLIC COMPANY</t>
        </is>
      </c>
      <c r="X75" s="96" t="inlineStr">
        <is>
          <t>VFD</t>
        </is>
      </c>
      <c r="Y75" s="96" t="inlineStr">
        <is>
          <t>GC MARKETING SOLUTIONS (SHANGHAI)</t>
        </is>
      </c>
      <c r="Z75" s="96" t="inlineStr">
        <is>
          <t>GC MARKETING SOLUTIONS (SHANGHAI)</t>
        </is>
      </c>
      <c r="AA75" s="97" t="n">
        <v>24999.6</v>
      </c>
      <c r="AB75" s="96" t="inlineStr">
        <is>
          <t>LCH06</t>
        </is>
      </c>
      <c r="AC75" s="96" t="inlineStr">
        <is>
          <t>SHAW5</t>
        </is>
      </c>
    </row>
    <row r="76" ht="12" customHeight="1">
      <c r="A76" s="96" t="inlineStr">
        <is>
          <t>SKHU6394939</t>
        </is>
      </c>
      <c r="B76" s="161" t="inlineStr">
        <is>
          <t>2026-10-07</t>
        </is>
      </c>
      <c r="C76" s="96" t="inlineStr">
        <is>
          <t>SWVG</t>
        </is>
      </c>
      <c r="D76" s="96" t="inlineStr">
        <is>
          <t>2612N</t>
        </is>
      </c>
      <c r="E76" s="96" t="inlineStr">
        <is>
          <t>45GP</t>
        </is>
      </c>
      <c r="F76" s="96" t="inlineStr">
        <is>
          <t>SD</t>
        </is>
      </c>
      <c r="G76" s="96" t="inlineStr">
        <is>
          <t>THLCH</t>
        </is>
      </c>
      <c r="H76" s="96" t="inlineStr">
        <is>
          <t>THLCH</t>
        </is>
      </c>
      <c r="I76" s="96" t="inlineStr">
        <is>
          <t>CNSHA</t>
        </is>
      </c>
      <c r="J76" s="96" t="inlineStr">
        <is>
          <t>CNSHA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LCH06</t>
        </is>
      </c>
      <c r="O76" s="96" t="inlineStr">
        <is>
          <t>LCH</t>
        </is>
      </c>
      <c r="P76" s="96" t="inlineStr">
        <is>
          <t>TH</t>
        </is>
      </c>
      <c r="Q76" s="96" t="inlineStr">
        <is>
          <t>HASLS22260802388</t>
        </is>
      </c>
      <c r="R76" s="96" t="inlineStr">
        <is>
          <t>N</t>
        </is>
      </c>
      <c r="S76" s="96" t="inlineStr">
        <is>
          <t>N</t>
        </is>
      </c>
      <c r="T76" s="96" t="inlineStr">
        <is>
          <t>PCI</t>
        </is>
      </c>
      <c r="U76" s="97" t="n"/>
      <c r="V76" s="96" t="inlineStr">
        <is>
          <t>K0120023</t>
        </is>
      </c>
      <c r="W76" s="96" t="inlineStr">
        <is>
          <t>THAI POLYETHYLENE CO.,LTD.</t>
        </is>
      </c>
      <c r="X76" s="96" t="inlineStr">
        <is>
          <t>VED</t>
        </is>
      </c>
      <c r="Y76" s="96" t="inlineStr">
        <is>
          <t>SHANGHAI ZHONGXUAN BUSINESS CO.,LTD</t>
        </is>
      </c>
      <c r="Z76" s="96" t="inlineStr">
        <is>
          <t>SHANGHAI ZHONGXUAN BUSINESS CO.,LTD</t>
        </is>
      </c>
      <c r="AA76" s="97" t="n">
        <v>26135.2</v>
      </c>
      <c r="AB76" s="96" t="inlineStr">
        <is>
          <t>LCH06</t>
        </is>
      </c>
      <c r="AC76" s="96" t="inlineStr">
        <is>
          <t>SHAW5</t>
        </is>
      </c>
    </row>
    <row r="77" ht="12" customHeight="1">
      <c r="A77" s="96" t="inlineStr">
        <is>
          <t>SKHU6414568</t>
        </is>
      </c>
      <c r="B77" s="161" t="inlineStr">
        <is>
          <t>2026-10-07</t>
        </is>
      </c>
      <c r="C77" s="96" t="inlineStr">
        <is>
          <t>SWVG</t>
        </is>
      </c>
      <c r="D77" s="96" t="inlineStr">
        <is>
          <t>2612N</t>
        </is>
      </c>
      <c r="E77" s="96" t="inlineStr">
        <is>
          <t>45GP</t>
        </is>
      </c>
      <c r="F77" s="96" t="inlineStr">
        <is>
          <t>SD</t>
        </is>
      </c>
      <c r="G77" s="96" t="inlineStr">
        <is>
          <t>THLCH</t>
        </is>
      </c>
      <c r="H77" s="96" t="inlineStr">
        <is>
          <t>THLCH</t>
        </is>
      </c>
      <c r="I77" s="96" t="inlineStr">
        <is>
          <t>CNSHA</t>
        </is>
      </c>
      <c r="J77" s="96" t="inlineStr">
        <is>
          <t>CNSHA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LCH06</t>
        </is>
      </c>
      <c r="O77" s="96" t="inlineStr">
        <is>
          <t>LCH</t>
        </is>
      </c>
      <c r="P77" s="96" t="inlineStr">
        <is>
          <t>TH</t>
        </is>
      </c>
      <c r="Q77" s="96" t="inlineStr">
        <is>
          <t>HASLS22260901309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PCI</t>
        </is>
      </c>
      <c r="U77" s="97" t="n"/>
      <c r="V77" s="96" t="inlineStr">
        <is>
          <t>K0120023</t>
        </is>
      </c>
      <c r="W77" s="96" t="inlineStr">
        <is>
          <t>PTT GLOBAL CHEMICAL PUBLIC COMPANY</t>
        </is>
      </c>
      <c r="X77" s="96" t="inlineStr">
        <is>
          <t>VFD</t>
        </is>
      </c>
      <c r="Y77" s="96" t="inlineStr">
        <is>
          <t>GC MARKETING SOLUTIONS (SHANGHAI)</t>
        </is>
      </c>
      <c r="Z77" s="96" t="inlineStr">
        <is>
          <t>GC MARKETING SOLUTIONS (SHANGHAI)</t>
        </is>
      </c>
      <c r="AA77" s="97" t="n">
        <v>24144</v>
      </c>
      <c r="AB77" s="96" t="inlineStr">
        <is>
          <t>LCH06</t>
        </is>
      </c>
      <c r="AC77" s="96" t="inlineStr">
        <is>
          <t>SHAW5</t>
        </is>
      </c>
    </row>
    <row r="78" ht="12" customHeight="1">
      <c r="A78" s="96" t="inlineStr">
        <is>
          <t>SKHU6425048</t>
        </is>
      </c>
      <c r="B78" s="161" t="inlineStr">
        <is>
          <t>2026-10-07</t>
        </is>
      </c>
      <c r="C78" s="96" t="inlineStr">
        <is>
          <t>SWVG</t>
        </is>
      </c>
      <c r="D78" s="96" t="inlineStr">
        <is>
          <t>2612N</t>
        </is>
      </c>
      <c r="E78" s="96" t="inlineStr">
        <is>
          <t>45GP</t>
        </is>
      </c>
      <c r="F78" s="96" t="inlineStr">
        <is>
          <t>SD</t>
        </is>
      </c>
      <c r="G78" s="96" t="inlineStr">
        <is>
          <t>THLCH</t>
        </is>
      </c>
      <c r="H78" s="96" t="inlineStr">
        <is>
          <t>THLCH</t>
        </is>
      </c>
      <c r="I78" s="96" t="inlineStr">
        <is>
          <t>CNSHA</t>
        </is>
      </c>
      <c r="J78" s="96" t="inlineStr">
        <is>
          <t>CNSHA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LCH06</t>
        </is>
      </c>
      <c r="O78" s="96" t="inlineStr">
        <is>
          <t>LCH</t>
        </is>
      </c>
      <c r="P78" s="96" t="inlineStr">
        <is>
          <t>TH</t>
        </is>
      </c>
      <c r="Q78" s="96" t="inlineStr">
        <is>
          <t>HASLS22260902495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PCI</t>
        </is>
      </c>
      <c r="U78" s="97" t="n"/>
      <c r="V78" s="96" t="inlineStr">
        <is>
          <t>K0120023</t>
        </is>
      </c>
      <c r="W78" s="96" t="inlineStr">
        <is>
          <t>THAI POLYETHYLENE CO.,LTD.</t>
        </is>
      </c>
      <c r="X78" s="96" t="inlineStr">
        <is>
          <t>VFD</t>
        </is>
      </c>
      <c r="Y78" s="96" t="inlineStr">
        <is>
          <t>SHANGHAI ZHONGXUAN BUSINESS CO.,LTD</t>
        </is>
      </c>
      <c r="Z78" s="96" t="inlineStr">
        <is>
          <t>SHANGHAI ZHONGXUAN BUSINESS CO.,LTD</t>
        </is>
      </c>
      <c r="AA78" s="97" t="n">
        <v>26135.2</v>
      </c>
      <c r="AB78" s="96" t="inlineStr">
        <is>
          <t>LCH06</t>
        </is>
      </c>
      <c r="AC78" s="96" t="inlineStr">
        <is>
          <t>SHAW5</t>
        </is>
      </c>
    </row>
    <row r="79" ht="12" customHeight="1">
      <c r="A79" s="96" t="inlineStr">
        <is>
          <t>SKHU6442087</t>
        </is>
      </c>
      <c r="B79" s="161" t="inlineStr">
        <is>
          <t>2026-10-07</t>
        </is>
      </c>
      <c r="C79" s="96" t="inlineStr">
        <is>
          <t>SWVG</t>
        </is>
      </c>
      <c r="D79" s="96" t="inlineStr">
        <is>
          <t>2612N</t>
        </is>
      </c>
      <c r="E79" s="96" t="inlineStr">
        <is>
          <t>45GP</t>
        </is>
      </c>
      <c r="F79" s="96" t="inlineStr">
        <is>
          <t>SD</t>
        </is>
      </c>
      <c r="G79" s="96" t="inlineStr">
        <is>
          <t>THLCH</t>
        </is>
      </c>
      <c r="H79" s="96" t="inlineStr">
        <is>
          <t>THLCH</t>
        </is>
      </c>
      <c r="I79" s="96" t="inlineStr">
        <is>
          <t>CNSHA</t>
        </is>
      </c>
      <c r="J79" s="96" t="inlineStr">
        <is>
          <t>CNSHA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LCH06</t>
        </is>
      </c>
      <c r="O79" s="96" t="inlineStr">
        <is>
          <t>LCH</t>
        </is>
      </c>
      <c r="P79" s="96" t="inlineStr">
        <is>
          <t>TH</t>
        </is>
      </c>
      <c r="Q79" s="96" t="inlineStr">
        <is>
          <t>HASLS22260900441</t>
        </is>
      </c>
      <c r="R79" s="96" t="inlineStr">
        <is>
          <t>N</t>
        </is>
      </c>
      <c r="S79" s="96" t="inlineStr">
        <is>
          <t>N</t>
        </is>
      </c>
      <c r="T79" s="96" t="inlineStr">
        <is>
          <t>PCI</t>
        </is>
      </c>
      <c r="U79" s="97" t="n"/>
      <c r="V79" s="96" t="inlineStr">
        <is>
          <t>K0120023</t>
        </is>
      </c>
      <c r="W79" s="96" t="inlineStr">
        <is>
          <t>BARKLAYS LOGISTICS (THAILAND)</t>
        </is>
      </c>
      <c r="X79" s="96" t="inlineStr">
        <is>
          <t>VED</t>
        </is>
      </c>
      <c r="Y79" s="96" t="inlineStr">
        <is>
          <t>BARKLAYS LOGISTICS (SHANGHAI)</t>
        </is>
      </c>
      <c r="Z79" s="96" t="inlineStr">
        <is>
          <t>BARKLAYS LOGISTICS (SHANGHAI)</t>
        </is>
      </c>
      <c r="AA79" s="97" t="n">
        <v>23620</v>
      </c>
      <c r="AB79" s="96" t="inlineStr">
        <is>
          <t>LCH06</t>
        </is>
      </c>
      <c r="AC79" s="96" t="inlineStr">
        <is>
          <t>SHAW5</t>
        </is>
      </c>
    </row>
    <row r="80" ht="12" customHeight="1">
      <c r="A80" s="96" t="inlineStr">
        <is>
          <t>SKHU6445342</t>
        </is>
      </c>
      <c r="B80" s="161" t="inlineStr">
        <is>
          <t>2026-10-07</t>
        </is>
      </c>
      <c r="C80" s="96" t="inlineStr">
        <is>
          <t>SWVG</t>
        </is>
      </c>
      <c r="D80" s="96" t="inlineStr">
        <is>
          <t>2612N</t>
        </is>
      </c>
      <c r="E80" s="96" t="inlineStr">
        <is>
          <t>45GP</t>
        </is>
      </c>
      <c r="F80" s="96" t="inlineStr">
        <is>
          <t>SD</t>
        </is>
      </c>
      <c r="G80" s="96" t="inlineStr">
        <is>
          <t>THLCH</t>
        </is>
      </c>
      <c r="H80" s="96" t="inlineStr">
        <is>
          <t>THLCH</t>
        </is>
      </c>
      <c r="I80" s="96" t="inlineStr">
        <is>
          <t>CNSHA</t>
        </is>
      </c>
      <c r="J80" s="96" t="inlineStr">
        <is>
          <t>CNSHA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LCH06</t>
        </is>
      </c>
      <c r="O80" s="96" t="inlineStr">
        <is>
          <t>LCH</t>
        </is>
      </c>
      <c r="P80" s="96" t="inlineStr">
        <is>
          <t>TH</t>
        </is>
      </c>
      <c r="Q80" s="96" t="inlineStr">
        <is>
          <t>HASLS22260901668</t>
        </is>
      </c>
      <c r="R80" s="96" t="inlineStr">
        <is>
          <t>N</t>
        </is>
      </c>
      <c r="S80" s="96" t="inlineStr">
        <is>
          <t>N</t>
        </is>
      </c>
      <c r="T80" s="96" t="inlineStr">
        <is>
          <t>PCI</t>
        </is>
      </c>
      <c r="U80" s="97" t="n"/>
      <c r="V80" s="96" t="inlineStr">
        <is>
          <t>K0120023</t>
        </is>
      </c>
      <c r="W80" s="96" t="inlineStr">
        <is>
          <t>BARKLAYS LOGISTICS (THAILAND)</t>
        </is>
      </c>
      <c r="X80" s="96" t="inlineStr">
        <is>
          <t>VFD</t>
        </is>
      </c>
      <c r="Y80" s="96" t="inlineStr">
        <is>
          <t>BARKLAYS LOGISTICS (SHANGHAI)</t>
        </is>
      </c>
      <c r="Z80" s="96" t="inlineStr">
        <is>
          <t>BARKLAYS LOGISTICS (SHANGHAI)</t>
        </is>
      </c>
      <c r="AA80" s="97" t="n">
        <v>25510</v>
      </c>
      <c r="AB80" s="96" t="inlineStr">
        <is>
          <t>LCH06</t>
        </is>
      </c>
      <c r="AC80" s="96" t="inlineStr">
        <is>
          <t>SHAW5</t>
        </is>
      </c>
    </row>
    <row r="81" ht="12" customHeight="1">
      <c r="A81" s="96" t="inlineStr">
        <is>
          <t>SKHU6445569</t>
        </is>
      </c>
      <c r="B81" s="161" t="inlineStr">
        <is>
          <t>2026-10-07</t>
        </is>
      </c>
      <c r="C81" s="96" t="inlineStr">
        <is>
          <t>SWVG</t>
        </is>
      </c>
      <c r="D81" s="96" t="inlineStr">
        <is>
          <t>2612N</t>
        </is>
      </c>
      <c r="E81" s="96" t="inlineStr">
        <is>
          <t>45GP</t>
        </is>
      </c>
      <c r="F81" s="96" t="inlineStr">
        <is>
          <t>SD</t>
        </is>
      </c>
      <c r="G81" s="96" t="inlineStr">
        <is>
          <t>THLCH</t>
        </is>
      </c>
      <c r="H81" s="96" t="inlineStr">
        <is>
          <t>THLCH</t>
        </is>
      </c>
      <c r="I81" s="96" t="inlineStr">
        <is>
          <t>CNSHA</t>
        </is>
      </c>
      <c r="J81" s="96" t="inlineStr">
        <is>
          <t>CNSHA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LCH06</t>
        </is>
      </c>
      <c r="O81" s="96" t="inlineStr">
        <is>
          <t>LCH</t>
        </is>
      </c>
      <c r="P81" s="96" t="inlineStr">
        <is>
          <t>TH</t>
        </is>
      </c>
      <c r="Q81" s="96" t="inlineStr">
        <is>
          <t>HASLS22260902494</t>
        </is>
      </c>
      <c r="R81" s="96" t="inlineStr">
        <is>
          <t>N</t>
        </is>
      </c>
      <c r="S81" s="96" t="inlineStr">
        <is>
          <t>N</t>
        </is>
      </c>
      <c r="T81" s="96" t="inlineStr">
        <is>
          <t>PCI</t>
        </is>
      </c>
      <c r="U81" s="97" t="n"/>
      <c r="V81" s="96" t="inlineStr">
        <is>
          <t>K0120023</t>
        </is>
      </c>
      <c r="W81" s="96" t="inlineStr">
        <is>
          <t>THAI POLYETHYLENE CO.,LTD</t>
        </is>
      </c>
      <c r="X81" s="96" t="inlineStr">
        <is>
          <t>VFD</t>
        </is>
      </c>
      <c r="Y81" s="96" t="inlineStr">
        <is>
          <t>TO ORDER</t>
        </is>
      </c>
      <c r="Z81" s="96" t="inlineStr">
        <is>
          <t>NANJING GUANHUA TRADE CO.,LTD</t>
        </is>
      </c>
      <c r="AA81" s="97" t="n">
        <v>26135.2</v>
      </c>
      <c r="AB81" s="96" t="inlineStr">
        <is>
          <t>LCH06</t>
        </is>
      </c>
      <c r="AC81" s="96" t="inlineStr">
        <is>
          <t>SHAW5</t>
        </is>
      </c>
    </row>
    <row r="82" ht="12" customHeight="1">
      <c r="A82" s="96" t="inlineStr">
        <is>
          <t>SKHU6447880</t>
        </is>
      </c>
      <c r="B82" s="161" t="inlineStr">
        <is>
          <t>2026-10-07</t>
        </is>
      </c>
      <c r="C82" s="96" t="inlineStr">
        <is>
          <t>SWVG</t>
        </is>
      </c>
      <c r="D82" s="96" t="inlineStr">
        <is>
          <t>2612N</t>
        </is>
      </c>
      <c r="E82" s="96" t="inlineStr">
        <is>
          <t>45GP</t>
        </is>
      </c>
      <c r="F82" s="96" t="inlineStr">
        <is>
          <t>SD</t>
        </is>
      </c>
      <c r="G82" s="96" t="inlineStr">
        <is>
          <t>THLCH</t>
        </is>
      </c>
      <c r="H82" s="96" t="inlineStr">
        <is>
          <t>THLCH</t>
        </is>
      </c>
      <c r="I82" s="96" t="inlineStr">
        <is>
          <t>CNSHA</t>
        </is>
      </c>
      <c r="J82" s="96" t="inlineStr">
        <is>
          <t>CNSHA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LCH06</t>
        </is>
      </c>
      <c r="O82" s="96" t="inlineStr">
        <is>
          <t>LCH</t>
        </is>
      </c>
      <c r="P82" s="96" t="inlineStr">
        <is>
          <t>TH</t>
        </is>
      </c>
      <c r="Q82" s="96" t="inlineStr">
        <is>
          <t>HASLS22260801240</t>
        </is>
      </c>
      <c r="R82" s="96" t="inlineStr">
        <is>
          <t>N</t>
        </is>
      </c>
      <c r="S82" s="96" t="inlineStr">
        <is>
          <t>N</t>
        </is>
      </c>
      <c r="T82" s="96" t="inlineStr">
        <is>
          <t>PCI</t>
        </is>
      </c>
      <c r="U82" s="97" t="n"/>
      <c r="V82" s="96" t="inlineStr">
        <is>
          <t>K0120023</t>
        </is>
      </c>
      <c r="W82" s="96" t="inlineStr">
        <is>
          <t>PTT GLOBAL CHEMICAL PUBLIC COMPANY</t>
        </is>
      </c>
      <c r="X82" s="96" t="inlineStr">
        <is>
          <t>VFD</t>
        </is>
      </c>
      <c r="Y82" s="96" t="inlineStr">
        <is>
          <t>GC MARKETING SOLUTIONS (SHANGHAI)</t>
        </is>
      </c>
      <c r="Z82" s="96" t="inlineStr">
        <is>
          <t>GC MARKETING SOLUTIONS (SHANGHAI)</t>
        </is>
      </c>
      <c r="AA82" s="97" t="n">
        <v>24997.5</v>
      </c>
      <c r="AB82" s="96" t="inlineStr">
        <is>
          <t>LCH06</t>
        </is>
      </c>
      <c r="AC82" s="96" t="inlineStr">
        <is>
          <t>SHAW5</t>
        </is>
      </c>
    </row>
    <row r="83" ht="12" customHeight="1">
      <c r="A83" s="96" t="inlineStr">
        <is>
          <t>SKHU6448927</t>
        </is>
      </c>
      <c r="B83" s="161" t="inlineStr">
        <is>
          <t>2026-10-07</t>
        </is>
      </c>
      <c r="C83" s="96" t="inlineStr">
        <is>
          <t>SWVG</t>
        </is>
      </c>
      <c r="D83" s="96" t="inlineStr">
        <is>
          <t>2612N</t>
        </is>
      </c>
      <c r="E83" s="96" t="inlineStr">
        <is>
          <t>45GP</t>
        </is>
      </c>
      <c r="F83" s="96" t="inlineStr">
        <is>
          <t>SD</t>
        </is>
      </c>
      <c r="G83" s="96" t="inlineStr">
        <is>
          <t>THLCH</t>
        </is>
      </c>
      <c r="H83" s="96" t="inlineStr">
        <is>
          <t>THLCH</t>
        </is>
      </c>
      <c r="I83" s="96" t="inlineStr">
        <is>
          <t>CNSHA</t>
        </is>
      </c>
      <c r="J83" s="96" t="inlineStr">
        <is>
          <t>CNSHA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LCH06</t>
        </is>
      </c>
      <c r="O83" s="96" t="inlineStr">
        <is>
          <t>LCH</t>
        </is>
      </c>
      <c r="P83" s="96" t="inlineStr">
        <is>
          <t>TH</t>
        </is>
      </c>
      <c r="Q83" s="96" t="inlineStr">
        <is>
          <t>HASLS22260901309</t>
        </is>
      </c>
      <c r="R83" s="96" t="inlineStr">
        <is>
          <t>N</t>
        </is>
      </c>
      <c r="S83" s="96" t="inlineStr">
        <is>
          <t>N</t>
        </is>
      </c>
      <c r="T83" s="96" t="inlineStr">
        <is>
          <t>PCI</t>
        </is>
      </c>
      <c r="U83" s="97" t="n"/>
      <c r="V83" s="96" t="inlineStr">
        <is>
          <t>K0120023</t>
        </is>
      </c>
      <c r="W83" s="96" t="inlineStr">
        <is>
          <t>PTT GLOBAL CHEMICAL PUBLIC COMPANY</t>
        </is>
      </c>
      <c r="X83" s="96" t="inlineStr">
        <is>
          <t>ONL</t>
        </is>
      </c>
      <c r="Y83" s="96" t="inlineStr">
        <is>
          <t>GC MARKETING SOLUTIONS (SHANGHAI)</t>
        </is>
      </c>
      <c r="Z83" s="96" t="inlineStr">
        <is>
          <t>GC MARKETING SOLUTIONS (SHANGHAI)</t>
        </is>
      </c>
      <c r="AA83" s="97" t="n">
        <v>24144</v>
      </c>
      <c r="AB83" s="96" t="inlineStr">
        <is>
          <t>LCH06</t>
        </is>
      </c>
      <c r="AC83" s="96" t="inlineStr">
        <is>
          <t>SHAW5</t>
        </is>
      </c>
    </row>
    <row r="84" ht="12" customHeight="1">
      <c r="A84" s="96" t="inlineStr">
        <is>
          <t>SKHU6514546</t>
        </is>
      </c>
      <c r="B84" s="161" t="inlineStr">
        <is>
          <t>2026-10-07</t>
        </is>
      </c>
      <c r="C84" s="96" t="inlineStr">
        <is>
          <t>SWVG</t>
        </is>
      </c>
      <c r="D84" s="96" t="inlineStr">
        <is>
          <t>2612N</t>
        </is>
      </c>
      <c r="E84" s="96" t="inlineStr">
        <is>
          <t>45GP</t>
        </is>
      </c>
      <c r="F84" s="96" t="inlineStr">
        <is>
          <t>SD</t>
        </is>
      </c>
      <c r="G84" s="96" t="inlineStr">
        <is>
          <t>THLCH</t>
        </is>
      </c>
      <c r="H84" s="96" t="inlineStr">
        <is>
          <t>THLCH</t>
        </is>
      </c>
      <c r="I84" s="96" t="inlineStr">
        <is>
          <t>CNSHA</t>
        </is>
      </c>
      <c r="J84" s="96" t="inlineStr">
        <is>
          <t>CNSHA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LCH06</t>
        </is>
      </c>
      <c r="O84" s="96" t="inlineStr">
        <is>
          <t>LCH</t>
        </is>
      </c>
      <c r="P84" s="96" t="inlineStr">
        <is>
          <t>TH</t>
        </is>
      </c>
      <c r="Q84" s="96" t="inlineStr">
        <is>
          <t>HASLS22260902495</t>
        </is>
      </c>
      <c r="R84" s="96" t="inlineStr">
        <is>
          <t>N</t>
        </is>
      </c>
      <c r="S84" s="96" t="inlineStr">
        <is>
          <t>N</t>
        </is>
      </c>
      <c r="T84" s="96" t="inlineStr">
        <is>
          <t>PCI</t>
        </is>
      </c>
      <c r="U84" s="97" t="n"/>
      <c r="V84" s="96" t="inlineStr">
        <is>
          <t>K0120023</t>
        </is>
      </c>
      <c r="W84" s="96" t="inlineStr">
        <is>
          <t>THAI POLYETHYLENE CO.,LTD.</t>
        </is>
      </c>
      <c r="X84" s="96" t="inlineStr">
        <is>
          <t>VFD</t>
        </is>
      </c>
      <c r="Y84" s="96" t="inlineStr">
        <is>
          <t>SHANGHAI ZHONGXUAN BUSINESS CO.,LTD</t>
        </is>
      </c>
      <c r="Z84" s="96" t="inlineStr">
        <is>
          <t>SHANGHAI ZHONGXUAN BUSINESS CO.,LTD</t>
        </is>
      </c>
      <c r="AA84" s="97" t="n">
        <v>26135.2</v>
      </c>
      <c r="AB84" s="96" t="inlineStr">
        <is>
          <t>LCH06</t>
        </is>
      </c>
      <c r="AC84" s="96" t="inlineStr">
        <is>
          <t>SHAW5</t>
        </is>
      </c>
    </row>
    <row r="85" ht="12" customHeight="1">
      <c r="A85" s="96" t="inlineStr">
        <is>
          <t>SKHU6519039</t>
        </is>
      </c>
      <c r="B85" s="161" t="inlineStr">
        <is>
          <t>2026-10-07</t>
        </is>
      </c>
      <c r="C85" s="96" t="inlineStr">
        <is>
          <t>SWVG</t>
        </is>
      </c>
      <c r="D85" s="96" t="inlineStr">
        <is>
          <t>2612N</t>
        </is>
      </c>
      <c r="E85" s="96" t="inlineStr">
        <is>
          <t>45GP</t>
        </is>
      </c>
      <c r="F85" s="96" t="inlineStr">
        <is>
          <t>SD</t>
        </is>
      </c>
      <c r="G85" s="96" t="inlineStr">
        <is>
          <t>THLCH</t>
        </is>
      </c>
      <c r="H85" s="96" t="inlineStr">
        <is>
          <t>THLCH</t>
        </is>
      </c>
      <c r="I85" s="96" t="inlineStr">
        <is>
          <t>CNSHA</t>
        </is>
      </c>
      <c r="J85" s="96" t="inlineStr">
        <is>
          <t>CNSHA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LCH06</t>
        </is>
      </c>
      <c r="O85" s="96" t="inlineStr">
        <is>
          <t>LCH</t>
        </is>
      </c>
      <c r="P85" s="96" t="inlineStr">
        <is>
          <t>TH</t>
        </is>
      </c>
      <c r="Q85" s="96" t="inlineStr">
        <is>
          <t>HASLS22260802388</t>
        </is>
      </c>
      <c r="R85" s="96" t="inlineStr">
        <is>
          <t>N</t>
        </is>
      </c>
      <c r="S85" s="96" t="inlineStr">
        <is>
          <t>N</t>
        </is>
      </c>
      <c r="T85" s="96" t="inlineStr">
        <is>
          <t>PCI</t>
        </is>
      </c>
      <c r="U85" s="97" t="n"/>
      <c r="V85" s="96" t="inlineStr">
        <is>
          <t>K0120023</t>
        </is>
      </c>
      <c r="W85" s="96" t="inlineStr">
        <is>
          <t>THAI POLYETHYLENE CO.,LTD.</t>
        </is>
      </c>
      <c r="X85" s="96" t="inlineStr">
        <is>
          <t>ONL</t>
        </is>
      </c>
      <c r="Y85" s="96" t="inlineStr">
        <is>
          <t>SHANGHAI ZHONGXUAN BUSINESS CO.,LTD</t>
        </is>
      </c>
      <c r="Z85" s="96" t="inlineStr">
        <is>
          <t>SHANGHAI ZHONGXUAN BUSINESS CO.,LTD</t>
        </is>
      </c>
      <c r="AA85" s="97" t="n">
        <v>26135.2</v>
      </c>
      <c r="AB85" s="96" t="inlineStr">
        <is>
          <t>LCH06</t>
        </is>
      </c>
      <c r="AC85" s="96" t="inlineStr">
        <is>
          <t>SHAW5</t>
        </is>
      </c>
    </row>
    <row r="86" ht="12" customHeight="1">
      <c r="A86" s="96" t="inlineStr">
        <is>
          <t>SKHU6525432</t>
        </is>
      </c>
      <c r="B86" s="161" t="inlineStr">
        <is>
          <t>2026-10-07</t>
        </is>
      </c>
      <c r="C86" s="96" t="inlineStr">
        <is>
          <t>SWVG</t>
        </is>
      </c>
      <c r="D86" s="96" t="inlineStr">
        <is>
          <t>2612N</t>
        </is>
      </c>
      <c r="E86" s="96" t="inlineStr">
        <is>
          <t>45GP</t>
        </is>
      </c>
      <c r="F86" s="96" t="inlineStr">
        <is>
          <t>SD</t>
        </is>
      </c>
      <c r="G86" s="96" t="inlineStr">
        <is>
          <t>THLCH</t>
        </is>
      </c>
      <c r="H86" s="96" t="inlineStr">
        <is>
          <t>THLCH</t>
        </is>
      </c>
      <c r="I86" s="96" t="inlineStr">
        <is>
          <t>CNSHA</t>
        </is>
      </c>
      <c r="J86" s="96" t="inlineStr">
        <is>
          <t>CNSHA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LCH06</t>
        </is>
      </c>
      <c r="O86" s="96" t="inlineStr">
        <is>
          <t>LCH</t>
        </is>
      </c>
      <c r="P86" s="96" t="inlineStr">
        <is>
          <t>TH</t>
        </is>
      </c>
      <c r="Q86" s="96" t="inlineStr">
        <is>
          <t>HASLS22260900441</t>
        </is>
      </c>
      <c r="R86" s="96" t="inlineStr">
        <is>
          <t>N</t>
        </is>
      </c>
      <c r="S86" s="96" t="inlineStr">
        <is>
          <t>N</t>
        </is>
      </c>
      <c r="T86" s="96" t="inlineStr">
        <is>
          <t>PCI</t>
        </is>
      </c>
      <c r="U86" s="97" t="n"/>
      <c r="V86" s="96" t="inlineStr">
        <is>
          <t>K0120023</t>
        </is>
      </c>
      <c r="W86" s="96" t="inlineStr">
        <is>
          <t>BARKLAYS LOGISTICS (THAILAND)</t>
        </is>
      </c>
      <c r="X86" s="96" t="inlineStr">
        <is>
          <t>VFD</t>
        </is>
      </c>
      <c r="Y86" s="96" t="inlineStr">
        <is>
          <t>BARKLAYS LOGISTICS (SHANGHAI)</t>
        </is>
      </c>
      <c r="Z86" s="96" t="inlineStr">
        <is>
          <t>BARKLAYS LOGISTICS (SHANGHAI)</t>
        </is>
      </c>
      <c r="AA86" s="97" t="n">
        <v>21300</v>
      </c>
      <c r="AB86" s="96" t="inlineStr">
        <is>
          <t>LCH06</t>
        </is>
      </c>
      <c r="AC86" s="96" t="inlineStr">
        <is>
          <t>SHAW5</t>
        </is>
      </c>
    </row>
    <row r="87" ht="12" customHeight="1">
      <c r="A87" s="96" t="inlineStr">
        <is>
          <t>SKHU6548654</t>
        </is>
      </c>
      <c r="B87" s="161" t="inlineStr">
        <is>
          <t>2026-10-07</t>
        </is>
      </c>
      <c r="C87" s="96" t="inlineStr">
        <is>
          <t>SWVG</t>
        </is>
      </c>
      <c r="D87" s="96" t="inlineStr">
        <is>
          <t>2612N</t>
        </is>
      </c>
      <c r="E87" s="96" t="inlineStr">
        <is>
          <t>45GP</t>
        </is>
      </c>
      <c r="F87" s="96" t="inlineStr">
        <is>
          <t>SD</t>
        </is>
      </c>
      <c r="G87" s="96" t="inlineStr">
        <is>
          <t>THLCH</t>
        </is>
      </c>
      <c r="H87" s="96" t="inlineStr">
        <is>
          <t>THLCH</t>
        </is>
      </c>
      <c r="I87" s="96" t="inlineStr">
        <is>
          <t>CNSHA</t>
        </is>
      </c>
      <c r="J87" s="96" t="inlineStr">
        <is>
          <t>CNSHA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LCH06</t>
        </is>
      </c>
      <c r="O87" s="96" t="inlineStr">
        <is>
          <t>LCH</t>
        </is>
      </c>
      <c r="P87" s="96" t="inlineStr">
        <is>
          <t>TH</t>
        </is>
      </c>
      <c r="Q87" s="96" t="inlineStr">
        <is>
          <t>HASLS22260802507</t>
        </is>
      </c>
      <c r="R87" s="96" t="inlineStr">
        <is>
          <t>N</t>
        </is>
      </c>
      <c r="S87" s="96" t="inlineStr">
        <is>
          <t>N</t>
        </is>
      </c>
      <c r="T87" s="96" t="inlineStr">
        <is>
          <t>PCI</t>
        </is>
      </c>
      <c r="U87" s="97" t="n"/>
      <c r="V87" s="96" t="inlineStr">
        <is>
          <t>K0120023</t>
        </is>
      </c>
      <c r="W87" s="96" t="inlineStr">
        <is>
          <t>PTT GLOBAL CHEMICAL PUBLIC COMPANY</t>
        </is>
      </c>
      <c r="X87" s="96" t="inlineStr">
        <is>
          <t>VED</t>
        </is>
      </c>
      <c r="Y87" s="96" t="inlineStr">
        <is>
          <t>GC MARKETING SOLUTIONS (SHANGHAI)</t>
        </is>
      </c>
      <c r="Z87" s="96" t="inlineStr">
        <is>
          <t>GC MARKETING SOLUTIONS (SHANGHAI)</t>
        </is>
      </c>
      <c r="AA87" s="97" t="n">
        <v>24240</v>
      </c>
      <c r="AB87" s="96" t="inlineStr">
        <is>
          <t>LCH06</t>
        </is>
      </c>
      <c r="AC87" s="96" t="inlineStr">
        <is>
          <t>SHAW5</t>
        </is>
      </c>
    </row>
    <row r="88" ht="12" customHeight="1">
      <c r="A88" s="96" t="inlineStr">
        <is>
          <t>SKHU6559010</t>
        </is>
      </c>
      <c r="B88" s="161" t="inlineStr">
        <is>
          <t>2026-10-07</t>
        </is>
      </c>
      <c r="C88" s="96" t="inlineStr">
        <is>
          <t>SWVG</t>
        </is>
      </c>
      <c r="D88" s="96" t="inlineStr">
        <is>
          <t>2612N</t>
        </is>
      </c>
      <c r="E88" s="96" t="inlineStr">
        <is>
          <t>45GP</t>
        </is>
      </c>
      <c r="F88" s="96" t="inlineStr">
        <is>
          <t>SD</t>
        </is>
      </c>
      <c r="G88" s="96" t="inlineStr">
        <is>
          <t>THLCH</t>
        </is>
      </c>
      <c r="H88" s="96" t="inlineStr">
        <is>
          <t>THLCH</t>
        </is>
      </c>
      <c r="I88" s="96" t="inlineStr">
        <is>
          <t>CNSHA</t>
        </is>
      </c>
      <c r="J88" s="96" t="inlineStr">
        <is>
          <t>CNSHA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LCH06</t>
        </is>
      </c>
      <c r="O88" s="96" t="inlineStr">
        <is>
          <t>LCH</t>
        </is>
      </c>
      <c r="P88" s="96" t="inlineStr">
        <is>
          <t>TH</t>
        </is>
      </c>
      <c r="Q88" s="96" t="inlineStr">
        <is>
          <t>HASLS22260901668</t>
        </is>
      </c>
      <c r="R88" s="96" t="inlineStr">
        <is>
          <t>N</t>
        </is>
      </c>
      <c r="S88" s="96" t="inlineStr">
        <is>
          <t>N</t>
        </is>
      </c>
      <c r="T88" s="96" t="inlineStr">
        <is>
          <t>PCI</t>
        </is>
      </c>
      <c r="U88" s="97" t="n"/>
      <c r="V88" s="96" t="inlineStr">
        <is>
          <t>K0120023</t>
        </is>
      </c>
      <c r="W88" s="96" t="inlineStr">
        <is>
          <t>BARKLAYS LOGISTICS (THAILAND)</t>
        </is>
      </c>
      <c r="X88" s="96" t="inlineStr">
        <is>
          <t>ONL</t>
        </is>
      </c>
      <c r="Y88" s="96" t="inlineStr">
        <is>
          <t>BARKLAYS LOGISTICS (SHANGHAI)</t>
        </is>
      </c>
      <c r="Z88" s="96" t="inlineStr">
        <is>
          <t>BARKLAYS LOGISTICS (SHANGHAI)</t>
        </is>
      </c>
      <c r="AA88" s="97" t="n">
        <v>24460</v>
      </c>
      <c r="AB88" s="96" t="inlineStr">
        <is>
          <t>LCH06</t>
        </is>
      </c>
      <c r="AC88" s="96" t="inlineStr">
        <is>
          <t>SHAW5</t>
        </is>
      </c>
    </row>
    <row r="89" ht="12" customHeight="1">
      <c r="A89" s="96" t="inlineStr">
        <is>
          <t>SKHU6565142</t>
        </is>
      </c>
      <c r="B89" s="161" t="inlineStr">
        <is>
          <t>2026-10-07</t>
        </is>
      </c>
      <c r="C89" s="96" t="inlineStr">
        <is>
          <t>SWVG</t>
        </is>
      </c>
      <c r="D89" s="96" t="inlineStr">
        <is>
          <t>2612N</t>
        </is>
      </c>
      <c r="E89" s="96" t="inlineStr">
        <is>
          <t>45GP</t>
        </is>
      </c>
      <c r="F89" s="96" t="inlineStr">
        <is>
          <t>SD</t>
        </is>
      </c>
      <c r="G89" s="96" t="inlineStr">
        <is>
          <t>THLCH</t>
        </is>
      </c>
      <c r="H89" s="96" t="inlineStr">
        <is>
          <t>THLCH</t>
        </is>
      </c>
      <c r="I89" s="96" t="inlineStr">
        <is>
          <t>CNSHA</t>
        </is>
      </c>
      <c r="J89" s="96" t="inlineStr">
        <is>
          <t>CNSHA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LCH06</t>
        </is>
      </c>
      <c r="O89" s="96" t="inlineStr">
        <is>
          <t>LCH</t>
        </is>
      </c>
      <c r="P89" s="96" t="inlineStr">
        <is>
          <t>TH</t>
        </is>
      </c>
      <c r="Q89" s="96" t="inlineStr">
        <is>
          <t>HASLS22260801240</t>
        </is>
      </c>
      <c r="R89" s="96" t="inlineStr">
        <is>
          <t>N</t>
        </is>
      </c>
      <c r="S89" s="96" t="inlineStr">
        <is>
          <t>N</t>
        </is>
      </c>
      <c r="T89" s="96" t="inlineStr">
        <is>
          <t>PCI</t>
        </is>
      </c>
      <c r="U89" s="97" t="n"/>
      <c r="V89" s="96" t="inlineStr">
        <is>
          <t>K0120023</t>
        </is>
      </c>
      <c r="W89" s="96" t="inlineStr">
        <is>
          <t>PTT GLOBAL CHEMICAL PUBLIC COMPANY</t>
        </is>
      </c>
      <c r="X89" s="96" t="inlineStr">
        <is>
          <t>VFD</t>
        </is>
      </c>
      <c r="Y89" s="96" t="inlineStr">
        <is>
          <t>GC MARKETING SOLUTIONS (SHANGHAI)</t>
        </is>
      </c>
      <c r="Z89" s="96" t="inlineStr">
        <is>
          <t>GC MARKETING SOLUTIONS (SHANGHAI)</t>
        </is>
      </c>
      <c r="AA89" s="97" t="n">
        <v>24997.5</v>
      </c>
      <c r="AB89" s="96" t="inlineStr">
        <is>
          <t>LCH06</t>
        </is>
      </c>
      <c r="AC89" s="96" t="inlineStr">
        <is>
          <t>SHAW5</t>
        </is>
      </c>
    </row>
    <row r="90" ht="12" customHeight="1">
      <c r="A90" s="96" t="inlineStr">
        <is>
          <t>SKHU6591748</t>
        </is>
      </c>
      <c r="B90" s="161" t="inlineStr">
        <is>
          <t>2026-10-07</t>
        </is>
      </c>
      <c r="C90" s="96" t="inlineStr">
        <is>
          <t>SWVG</t>
        </is>
      </c>
      <c r="D90" s="96" t="inlineStr">
        <is>
          <t>2612N</t>
        </is>
      </c>
      <c r="E90" s="96" t="inlineStr">
        <is>
          <t>45GP</t>
        </is>
      </c>
      <c r="F90" s="96" t="inlineStr">
        <is>
          <t>SD</t>
        </is>
      </c>
      <c r="G90" s="96" t="inlineStr">
        <is>
          <t>THLCH</t>
        </is>
      </c>
      <c r="H90" s="96" t="inlineStr">
        <is>
          <t>THLCH</t>
        </is>
      </c>
      <c r="I90" s="96" t="inlineStr">
        <is>
          <t>CNSHA</t>
        </is>
      </c>
      <c r="J90" s="96" t="inlineStr">
        <is>
          <t>CNSHA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LCH06</t>
        </is>
      </c>
      <c r="O90" s="96" t="inlineStr">
        <is>
          <t>LCH</t>
        </is>
      </c>
      <c r="P90" s="96" t="inlineStr">
        <is>
          <t>TH</t>
        </is>
      </c>
      <c r="Q90" s="96" t="inlineStr">
        <is>
          <t>HASLS22260900441</t>
        </is>
      </c>
      <c r="R90" s="96" t="inlineStr">
        <is>
          <t>N</t>
        </is>
      </c>
      <c r="S90" s="96" t="inlineStr">
        <is>
          <t>N</t>
        </is>
      </c>
      <c r="T90" s="96" t="inlineStr">
        <is>
          <t>PCI</t>
        </is>
      </c>
      <c r="U90" s="97" t="n"/>
      <c r="V90" s="96" t="inlineStr">
        <is>
          <t>K0120023</t>
        </is>
      </c>
      <c r="W90" s="96" t="inlineStr">
        <is>
          <t>BARKLAYS LOGISTICS (THAILAND)</t>
        </is>
      </c>
      <c r="X90" s="96" t="inlineStr">
        <is>
          <t>VFD</t>
        </is>
      </c>
      <c r="Y90" s="96" t="inlineStr">
        <is>
          <t>BARKLAYS LOGISTICS (SHANGHAI)</t>
        </is>
      </c>
      <c r="Z90" s="96" t="inlineStr">
        <is>
          <t>BARKLAYS LOGISTICS (SHANGHAI)</t>
        </is>
      </c>
      <c r="AA90" s="97" t="n">
        <v>22670</v>
      </c>
      <c r="AB90" s="96" t="inlineStr">
        <is>
          <t>LCH06</t>
        </is>
      </c>
      <c r="AC90" s="96" t="inlineStr">
        <is>
          <t>SHAW5</t>
        </is>
      </c>
    </row>
    <row r="91" ht="12" customHeight="1">
      <c r="A91" s="96" t="inlineStr">
        <is>
          <t>SKHU6596251</t>
        </is>
      </c>
      <c r="B91" s="161" t="inlineStr">
        <is>
          <t>2026-10-07</t>
        </is>
      </c>
      <c r="C91" s="96" t="inlineStr">
        <is>
          <t>SWVG</t>
        </is>
      </c>
      <c r="D91" s="96" t="inlineStr">
        <is>
          <t>2612N</t>
        </is>
      </c>
      <c r="E91" s="96" t="inlineStr">
        <is>
          <t>45GP</t>
        </is>
      </c>
      <c r="F91" s="96" t="inlineStr">
        <is>
          <t>SD</t>
        </is>
      </c>
      <c r="G91" s="96" t="inlineStr">
        <is>
          <t>THLCH</t>
        </is>
      </c>
      <c r="H91" s="96" t="inlineStr">
        <is>
          <t>THLCH</t>
        </is>
      </c>
      <c r="I91" s="96" t="inlineStr">
        <is>
          <t>CNSHA</t>
        </is>
      </c>
      <c r="J91" s="96" t="inlineStr">
        <is>
          <t>CNSHA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LCH06</t>
        </is>
      </c>
      <c r="O91" s="96" t="inlineStr">
        <is>
          <t>LCH</t>
        </is>
      </c>
      <c r="P91" s="96" t="inlineStr">
        <is>
          <t>TH</t>
        </is>
      </c>
      <c r="Q91" s="96" t="inlineStr">
        <is>
          <t>HASLS22260901668</t>
        </is>
      </c>
      <c r="R91" s="96" t="inlineStr">
        <is>
          <t>N</t>
        </is>
      </c>
      <c r="S91" s="96" t="inlineStr">
        <is>
          <t>N</t>
        </is>
      </c>
      <c r="T91" s="96" t="inlineStr">
        <is>
          <t>PCI</t>
        </is>
      </c>
      <c r="U91" s="97" t="n"/>
      <c r="V91" s="96" t="inlineStr">
        <is>
          <t>K0120023</t>
        </is>
      </c>
      <c r="W91" s="96" t="inlineStr">
        <is>
          <t>BARKLAYS LOGISTICS (THAILAND)</t>
        </is>
      </c>
      <c r="X91" s="96" t="inlineStr">
        <is>
          <t>ONL</t>
        </is>
      </c>
      <c r="Y91" s="96" t="inlineStr">
        <is>
          <t>BARKLAYS LOGISTICS (SHANGHAI)</t>
        </is>
      </c>
      <c r="Z91" s="96" t="inlineStr">
        <is>
          <t>BARKLAYS LOGISTICS (SHANGHAI)</t>
        </is>
      </c>
      <c r="AA91" s="97" t="n">
        <v>22380</v>
      </c>
      <c r="AB91" s="96" t="inlineStr">
        <is>
          <t>LCH06</t>
        </is>
      </c>
      <c r="AC91" s="96" t="inlineStr">
        <is>
          <t>SHAW5</t>
        </is>
      </c>
    </row>
    <row r="92" ht="12" customHeight="1">
      <c r="A92" s="96" t="inlineStr">
        <is>
          <t>SKHU6621673</t>
        </is>
      </c>
      <c r="B92" s="161" t="inlineStr">
        <is>
          <t>2026-10-07</t>
        </is>
      </c>
      <c r="C92" s="96" t="inlineStr">
        <is>
          <t>SWVG</t>
        </is>
      </c>
      <c r="D92" s="96" t="inlineStr">
        <is>
          <t>2612N</t>
        </is>
      </c>
      <c r="E92" s="96" t="inlineStr">
        <is>
          <t>45GP</t>
        </is>
      </c>
      <c r="F92" s="96" t="inlineStr">
        <is>
          <t>SD</t>
        </is>
      </c>
      <c r="G92" s="96" t="inlineStr">
        <is>
          <t>THLCH</t>
        </is>
      </c>
      <c r="H92" s="96" t="inlineStr">
        <is>
          <t>THLCH</t>
        </is>
      </c>
      <c r="I92" s="96" t="inlineStr">
        <is>
          <t>CNSHA</t>
        </is>
      </c>
      <c r="J92" s="96" t="inlineStr">
        <is>
          <t>CNSHA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LCH06</t>
        </is>
      </c>
      <c r="O92" s="96" t="inlineStr">
        <is>
          <t>LCH</t>
        </is>
      </c>
      <c r="P92" s="96" t="inlineStr">
        <is>
          <t>TH</t>
        </is>
      </c>
      <c r="Q92" s="96" t="inlineStr">
        <is>
          <t>HASLS22260902495</t>
        </is>
      </c>
      <c r="R92" s="96" t="inlineStr">
        <is>
          <t>N</t>
        </is>
      </c>
      <c r="S92" s="96" t="inlineStr">
        <is>
          <t>N</t>
        </is>
      </c>
      <c r="T92" s="96" t="inlineStr">
        <is>
          <t>PCI</t>
        </is>
      </c>
      <c r="U92" s="97" t="n"/>
      <c r="V92" s="96" t="inlineStr">
        <is>
          <t>K0120023</t>
        </is>
      </c>
      <c r="W92" s="96" t="inlineStr">
        <is>
          <t>THAI POLYETHYLENE CO.,LTD.</t>
        </is>
      </c>
      <c r="X92" s="96" t="inlineStr">
        <is>
          <t>VFD</t>
        </is>
      </c>
      <c r="Y92" s="96" t="inlineStr">
        <is>
          <t>SHANGHAI ZHONGXUAN BUSINESS CO.,LTD</t>
        </is>
      </c>
      <c r="Z92" s="96" t="inlineStr">
        <is>
          <t>SHANGHAI ZHONGXUAN BUSINESS CO.,LTD</t>
        </is>
      </c>
      <c r="AA92" s="97" t="n">
        <v>26135.2</v>
      </c>
      <c r="AB92" s="96" t="inlineStr">
        <is>
          <t>LCH06</t>
        </is>
      </c>
      <c r="AC92" s="96" t="inlineStr">
        <is>
          <t>SHAW5</t>
        </is>
      </c>
    </row>
    <row r="93" ht="12" customHeight="1">
      <c r="A93" s="96" t="inlineStr">
        <is>
          <t>SKHU8418496</t>
        </is>
      </c>
      <c r="B93" s="161" t="inlineStr">
        <is>
          <t>2026-10-07</t>
        </is>
      </c>
      <c r="C93" s="96" t="inlineStr">
        <is>
          <t>SWVG</t>
        </is>
      </c>
      <c r="D93" s="96" t="inlineStr">
        <is>
          <t>2612N</t>
        </is>
      </c>
      <c r="E93" s="96" t="inlineStr">
        <is>
          <t>45GP</t>
        </is>
      </c>
      <c r="F93" s="96" t="inlineStr">
        <is>
          <t>SD</t>
        </is>
      </c>
      <c r="G93" s="96" t="inlineStr">
        <is>
          <t>THLCH</t>
        </is>
      </c>
      <c r="H93" s="96" t="inlineStr">
        <is>
          <t>THLCH</t>
        </is>
      </c>
      <c r="I93" s="96" t="inlineStr">
        <is>
          <t>CNSHA</t>
        </is>
      </c>
      <c r="J93" s="96" t="inlineStr">
        <is>
          <t>CNSHA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LCH06</t>
        </is>
      </c>
      <c r="O93" s="96" t="inlineStr">
        <is>
          <t>LCH</t>
        </is>
      </c>
      <c r="P93" s="96" t="inlineStr">
        <is>
          <t>TH</t>
        </is>
      </c>
      <c r="Q93" s="96" t="inlineStr">
        <is>
          <t>HASLS22260901668</t>
        </is>
      </c>
      <c r="R93" s="96" t="inlineStr">
        <is>
          <t>N</t>
        </is>
      </c>
      <c r="S93" s="96" t="inlineStr">
        <is>
          <t>N</t>
        </is>
      </c>
      <c r="T93" s="96" t="inlineStr">
        <is>
          <t>PCI</t>
        </is>
      </c>
      <c r="U93" s="97" t="n"/>
      <c r="V93" s="96" t="inlineStr">
        <is>
          <t>K0120023</t>
        </is>
      </c>
      <c r="W93" s="96" t="inlineStr">
        <is>
          <t>BARKLAYS LOGISTICS (THAILAND)</t>
        </is>
      </c>
      <c r="X93" s="96" t="inlineStr">
        <is>
          <t>VFD</t>
        </is>
      </c>
      <c r="Y93" s="96" t="inlineStr">
        <is>
          <t>BARKLAYS LOGISTICS (SHANGHAI)</t>
        </is>
      </c>
      <c r="Z93" s="96" t="inlineStr">
        <is>
          <t>BARKLAYS LOGISTICS (SHANGHAI)</t>
        </is>
      </c>
      <c r="AA93" s="97" t="n">
        <v>24570</v>
      </c>
      <c r="AB93" s="96" t="inlineStr">
        <is>
          <t>LCH06</t>
        </is>
      </c>
      <c r="AC93" s="96" t="inlineStr">
        <is>
          <t>SHAW5</t>
        </is>
      </c>
    </row>
    <row r="94" ht="12" customHeight="1">
      <c r="A94" s="96" t="inlineStr">
        <is>
          <t>SKHU8426017</t>
        </is>
      </c>
      <c r="B94" s="161" t="inlineStr">
        <is>
          <t>2026-10-07</t>
        </is>
      </c>
      <c r="C94" s="96" t="inlineStr">
        <is>
          <t>SWVG</t>
        </is>
      </c>
      <c r="D94" s="96" t="inlineStr">
        <is>
          <t>2612N</t>
        </is>
      </c>
      <c r="E94" s="96" t="inlineStr">
        <is>
          <t>45GP</t>
        </is>
      </c>
      <c r="F94" s="96" t="inlineStr">
        <is>
          <t>SD</t>
        </is>
      </c>
      <c r="G94" s="96" t="inlineStr">
        <is>
          <t>THLCH</t>
        </is>
      </c>
      <c r="H94" s="96" t="inlineStr">
        <is>
          <t>THLCH</t>
        </is>
      </c>
      <c r="I94" s="96" t="inlineStr">
        <is>
          <t>CNSHA</t>
        </is>
      </c>
      <c r="J94" s="96" t="inlineStr">
        <is>
          <t>CNSHA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LCH06</t>
        </is>
      </c>
      <c r="O94" s="96" t="inlineStr">
        <is>
          <t>LCH</t>
        </is>
      </c>
      <c r="P94" s="96" t="inlineStr">
        <is>
          <t>TH</t>
        </is>
      </c>
      <c r="Q94" s="96" t="inlineStr">
        <is>
          <t>HASLS22260900441</t>
        </is>
      </c>
      <c r="R94" s="96" t="inlineStr">
        <is>
          <t>N</t>
        </is>
      </c>
      <c r="S94" s="96" t="inlineStr">
        <is>
          <t>N</t>
        </is>
      </c>
      <c r="T94" s="96" t="inlineStr">
        <is>
          <t>PCI</t>
        </is>
      </c>
      <c r="U94" s="97" t="n"/>
      <c r="V94" s="96" t="inlineStr">
        <is>
          <t>K0120023</t>
        </is>
      </c>
      <c r="W94" s="96" t="inlineStr">
        <is>
          <t>BARKLAYS LOGISTICS (THAILAND)</t>
        </is>
      </c>
      <c r="X94" s="96" t="inlineStr">
        <is>
          <t>VFD</t>
        </is>
      </c>
      <c r="Y94" s="96" t="inlineStr">
        <is>
          <t>BARKLAYS LOGISTICS (SHANGHAI)</t>
        </is>
      </c>
      <c r="Z94" s="96" t="inlineStr">
        <is>
          <t>BARKLAYS LOGISTICS (SHANGHAI)</t>
        </is>
      </c>
      <c r="AA94" s="97" t="n">
        <v>20730</v>
      </c>
      <c r="AB94" s="96" t="inlineStr">
        <is>
          <t>LCH06</t>
        </is>
      </c>
      <c r="AC94" s="96" t="inlineStr">
        <is>
          <t>SHAW5</t>
        </is>
      </c>
    </row>
    <row r="95" ht="12" customHeight="1">
      <c r="A95" s="96" t="inlineStr">
        <is>
          <t>SKHU8717537</t>
        </is>
      </c>
      <c r="B95" s="161" t="inlineStr">
        <is>
          <t>2026-10-07</t>
        </is>
      </c>
      <c r="C95" s="96" t="inlineStr">
        <is>
          <t>SWVG</t>
        </is>
      </c>
      <c r="D95" s="96" t="inlineStr">
        <is>
          <t>2612N</t>
        </is>
      </c>
      <c r="E95" s="96" t="inlineStr">
        <is>
          <t>45GP</t>
        </is>
      </c>
      <c r="F95" s="96" t="inlineStr">
        <is>
          <t>SD</t>
        </is>
      </c>
      <c r="G95" s="96" t="inlineStr">
        <is>
          <t>THLCH</t>
        </is>
      </c>
      <c r="H95" s="96" t="inlineStr">
        <is>
          <t>THLCH</t>
        </is>
      </c>
      <c r="I95" s="96" t="inlineStr">
        <is>
          <t>CNSHA</t>
        </is>
      </c>
      <c r="J95" s="96" t="inlineStr">
        <is>
          <t>CNSHA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LCH06</t>
        </is>
      </c>
      <c r="O95" s="96" t="inlineStr">
        <is>
          <t>LCH</t>
        </is>
      </c>
      <c r="P95" s="96" t="inlineStr">
        <is>
          <t>TH</t>
        </is>
      </c>
      <c r="Q95" s="96" t="inlineStr">
        <is>
          <t>HASLS22260901513</t>
        </is>
      </c>
      <c r="R95" s="96" t="inlineStr">
        <is>
          <t>N</t>
        </is>
      </c>
      <c r="S95" s="96" t="inlineStr">
        <is>
          <t>N</t>
        </is>
      </c>
      <c r="T95" s="96" t="inlineStr">
        <is>
          <t>PCI</t>
        </is>
      </c>
      <c r="U95" s="97" t="n"/>
      <c r="V95" s="96" t="inlineStr">
        <is>
          <t>K0120023</t>
        </is>
      </c>
      <c r="W95" s="96" t="inlineStr">
        <is>
          <t>DOUBLE A (1991) PUBLIC COMPANY</t>
        </is>
      </c>
      <c r="X95" s="96" t="inlineStr">
        <is>
          <t>VFD</t>
        </is>
      </c>
      <c r="Y95" s="96" t="inlineStr">
        <is>
          <t>DOUBLE A INTERNATIONAL  TRADING</t>
        </is>
      </c>
      <c r="Z95" s="96" t="inlineStr">
        <is>
          <t>DOUBLE A INTERNATIONAL  TRADING</t>
        </is>
      </c>
      <c r="AA95" s="97" t="n">
        <v>25040</v>
      </c>
      <c r="AB95" s="96" t="inlineStr">
        <is>
          <t>LCH06</t>
        </is>
      </c>
      <c r="AC95" s="96" t="inlineStr">
        <is>
          <t>SHAW5</t>
        </is>
      </c>
    </row>
    <row r="96" ht="12" customHeight="1">
      <c r="A96" s="96" t="inlineStr">
        <is>
          <t>SKHU8930516</t>
        </is>
      </c>
      <c r="B96" s="161" t="inlineStr">
        <is>
          <t>2026-10-07</t>
        </is>
      </c>
      <c r="C96" s="96" t="inlineStr">
        <is>
          <t>SWVG</t>
        </is>
      </c>
      <c r="D96" s="96" t="inlineStr">
        <is>
          <t>2612N</t>
        </is>
      </c>
      <c r="E96" s="96" t="inlineStr">
        <is>
          <t>45GP</t>
        </is>
      </c>
      <c r="F96" s="96" t="inlineStr">
        <is>
          <t>SD</t>
        </is>
      </c>
      <c r="G96" s="96" t="inlineStr">
        <is>
          <t>THLCH</t>
        </is>
      </c>
      <c r="H96" s="96" t="inlineStr">
        <is>
          <t>THLCH</t>
        </is>
      </c>
      <c r="I96" s="96" t="inlineStr">
        <is>
          <t>CNSHA</t>
        </is>
      </c>
      <c r="J96" s="96" t="inlineStr">
        <is>
          <t>CNSHA</t>
        </is>
      </c>
      <c r="K96" s="96" t="inlineStr">
        <is>
          <t>F</t>
        </is>
      </c>
      <c r="L96" s="96" t="inlineStr">
        <is>
          <t>ONE</t>
        </is>
      </c>
      <c r="M96" s="96" t="inlineStr">
        <is>
          <t>VFL</t>
        </is>
      </c>
      <c r="N96" s="96" t="inlineStr">
        <is>
          <t>LCH06</t>
        </is>
      </c>
      <c r="O96" s="96" t="inlineStr">
        <is>
          <t>LCH</t>
        </is>
      </c>
      <c r="P96" s="96" t="inlineStr">
        <is>
          <t>TH</t>
        </is>
      </c>
      <c r="Q96" s="96" t="inlineStr">
        <is>
          <t>HASLS22260902522</t>
        </is>
      </c>
      <c r="R96" s="96" t="inlineStr">
        <is>
          <t>N</t>
        </is>
      </c>
      <c r="S96" s="96" t="inlineStr">
        <is>
          <t>N</t>
        </is>
      </c>
      <c r="T96" s="96" t="inlineStr">
        <is>
          <t>PCI</t>
        </is>
      </c>
      <c r="U96" s="97" t="n"/>
      <c r="V96" s="96" t="inlineStr">
        <is>
          <t>K0120023</t>
        </is>
      </c>
      <c r="W96" s="96" t="inlineStr">
        <is>
          <t>AWOT GLOBAL LOGISTICS</t>
        </is>
      </c>
      <c r="X96" s="96" t="inlineStr">
        <is>
          <t>ONL</t>
        </is>
      </c>
      <c r="Y96" s="96" t="inlineStr">
        <is>
          <t>AWOT GLOBAL CORPORATION</t>
        </is>
      </c>
      <c r="Z96" s="96" t="inlineStr">
        <is>
          <t>AWOT GLOBAL CORPORATION</t>
        </is>
      </c>
      <c r="AA96" s="97" t="n">
        <v>22360</v>
      </c>
      <c r="AB96" s="96" t="inlineStr">
        <is>
          <t>LCH06</t>
        </is>
      </c>
      <c r="AC96" s="96" t="inlineStr">
        <is>
          <t>SHAW5</t>
        </is>
      </c>
    </row>
    <row r="97" ht="12" customHeight="1">
      <c r="A97" s="96" t="inlineStr">
        <is>
          <t>SKHU9207158</t>
        </is>
      </c>
      <c r="B97" s="161" t="inlineStr">
        <is>
          <t>2026-10-07</t>
        </is>
      </c>
      <c r="C97" s="96" t="inlineStr">
        <is>
          <t>SWVG</t>
        </is>
      </c>
      <c r="D97" s="96" t="inlineStr">
        <is>
          <t>2612N</t>
        </is>
      </c>
      <c r="E97" s="96" t="inlineStr">
        <is>
          <t>45GP</t>
        </is>
      </c>
      <c r="F97" s="96" t="inlineStr">
        <is>
          <t>SD</t>
        </is>
      </c>
      <c r="G97" s="96" t="inlineStr">
        <is>
          <t>THLCH</t>
        </is>
      </c>
      <c r="H97" s="96" t="inlineStr">
        <is>
          <t>THLCH</t>
        </is>
      </c>
      <c r="I97" s="96" t="inlineStr">
        <is>
          <t>CNSHA</t>
        </is>
      </c>
      <c r="J97" s="96" t="inlineStr">
        <is>
          <t>CNSHA</t>
        </is>
      </c>
      <c r="K97" s="96" t="inlineStr">
        <is>
          <t>F</t>
        </is>
      </c>
      <c r="L97" s="96" t="inlineStr">
        <is>
          <t>ONE</t>
        </is>
      </c>
      <c r="M97" s="96" t="inlineStr">
        <is>
          <t>VFL</t>
        </is>
      </c>
      <c r="N97" s="96" t="inlineStr">
        <is>
          <t>LCH06</t>
        </is>
      </c>
      <c r="O97" s="96" t="inlineStr">
        <is>
          <t>LCH</t>
        </is>
      </c>
      <c r="P97" s="96" t="inlineStr">
        <is>
          <t>TH</t>
        </is>
      </c>
      <c r="Q97" s="96" t="inlineStr">
        <is>
          <t>HASLS22260901307</t>
        </is>
      </c>
      <c r="R97" s="96" t="inlineStr">
        <is>
          <t>N</t>
        </is>
      </c>
      <c r="S97" s="96" t="inlineStr">
        <is>
          <t>N</t>
        </is>
      </c>
      <c r="T97" s="96" t="inlineStr">
        <is>
          <t>PCI</t>
        </is>
      </c>
      <c r="U97" s="97" t="n"/>
      <c r="V97" s="96" t="inlineStr">
        <is>
          <t>K0120023</t>
        </is>
      </c>
      <c r="W97" s="96" t="inlineStr">
        <is>
          <t>PTT GLOBAL CHEMICAL PUBLIC COMPANY</t>
        </is>
      </c>
      <c r="X97" s="96" t="inlineStr">
        <is>
          <t>ONL</t>
        </is>
      </c>
      <c r="Y97" s="96" t="inlineStr">
        <is>
          <t>MITSUI CHEMICALS FUNCTIONAL</t>
        </is>
      </c>
      <c r="Z97" s="96" t="inlineStr">
        <is>
          <t>MITSUI CHEMICALS FUNCTIONAL</t>
        </is>
      </c>
      <c r="AA97" s="97" t="n">
        <v>24997.5</v>
      </c>
      <c r="AB97" s="96" t="inlineStr">
        <is>
          <t>LCH06</t>
        </is>
      </c>
      <c r="AC97" s="96" t="inlineStr">
        <is>
          <t>SHAW5</t>
        </is>
      </c>
    </row>
    <row r="98" ht="12" customHeight="1">
      <c r="A98" s="96" t="inlineStr">
        <is>
          <t>SKHU9516624</t>
        </is>
      </c>
      <c r="B98" s="161" t="inlineStr">
        <is>
          <t>2026-10-07</t>
        </is>
      </c>
      <c r="C98" s="96" t="inlineStr">
        <is>
          <t>SWVG</t>
        </is>
      </c>
      <c r="D98" s="96" t="inlineStr">
        <is>
          <t>2612N</t>
        </is>
      </c>
      <c r="E98" s="96" t="inlineStr">
        <is>
          <t>45GP</t>
        </is>
      </c>
      <c r="F98" s="96" t="inlineStr">
        <is>
          <t>SD</t>
        </is>
      </c>
      <c r="G98" s="96" t="inlineStr">
        <is>
          <t>THLCH</t>
        </is>
      </c>
      <c r="H98" s="96" t="inlineStr">
        <is>
          <t>THLCH</t>
        </is>
      </c>
      <c r="I98" s="96" t="inlineStr">
        <is>
          <t>CNSHA</t>
        </is>
      </c>
      <c r="J98" s="96" t="inlineStr">
        <is>
          <t>CNSHA</t>
        </is>
      </c>
      <c r="K98" s="96" t="inlineStr">
        <is>
          <t>F</t>
        </is>
      </c>
      <c r="L98" s="96" t="inlineStr">
        <is>
          <t>ONE</t>
        </is>
      </c>
      <c r="M98" s="96" t="inlineStr">
        <is>
          <t>VFL</t>
        </is>
      </c>
      <c r="N98" s="96" t="inlineStr">
        <is>
          <t>LCH06</t>
        </is>
      </c>
      <c r="O98" s="96" t="inlineStr">
        <is>
          <t>LCH</t>
        </is>
      </c>
      <c r="P98" s="96" t="inlineStr">
        <is>
          <t>TH</t>
        </is>
      </c>
      <c r="Q98" s="96" t="inlineStr">
        <is>
          <t>HASLS22260901915</t>
        </is>
      </c>
      <c r="R98" s="96" t="inlineStr">
        <is>
          <t>N</t>
        </is>
      </c>
      <c r="S98" s="96" t="inlineStr">
        <is>
          <t>N</t>
        </is>
      </c>
      <c r="T98" s="96" t="inlineStr">
        <is>
          <t>PCI</t>
        </is>
      </c>
      <c r="U98" s="97" t="n"/>
      <c r="V98" s="96" t="inlineStr">
        <is>
          <t>K0120023</t>
        </is>
      </c>
      <c r="W98" s="96" t="inlineStr">
        <is>
          <t>MITSUBISHI LOGISTICS (THAILAND)</t>
        </is>
      </c>
      <c r="X98" s="96" t="inlineStr">
        <is>
          <t>VFD</t>
        </is>
      </c>
      <c r="Y98" s="96" t="inlineStr">
        <is>
          <t>SHANGHAI LINGYUN GLOBAL FORWARDING</t>
        </is>
      </c>
      <c r="Z98" s="96" t="inlineStr">
        <is>
          <t>SHANGHAI LINGYUN GLOBAL FORWARDING</t>
        </is>
      </c>
      <c r="AA98" s="97" t="n">
        <v>24642</v>
      </c>
      <c r="AB98" s="96" t="inlineStr">
        <is>
          <t>LCH06</t>
        </is>
      </c>
      <c r="AC98" s="96" t="inlineStr">
        <is>
          <t>SHAW5</t>
        </is>
      </c>
    </row>
    <row r="99" ht="12" customHeight="1">
      <c r="A99" s="96" t="inlineStr">
        <is>
          <t>SKHU9627870</t>
        </is>
      </c>
      <c r="B99" s="161" t="inlineStr">
        <is>
          <t>2026-10-07</t>
        </is>
      </c>
      <c r="C99" s="96" t="inlineStr">
        <is>
          <t>SWVG</t>
        </is>
      </c>
      <c r="D99" s="96" t="inlineStr">
        <is>
          <t>2612N</t>
        </is>
      </c>
      <c r="E99" s="96" t="inlineStr">
        <is>
          <t>45GP</t>
        </is>
      </c>
      <c r="F99" s="96" t="inlineStr">
        <is>
          <t>SD</t>
        </is>
      </c>
      <c r="G99" s="96" t="inlineStr">
        <is>
          <t>THLCH</t>
        </is>
      </c>
      <c r="H99" s="96" t="inlineStr">
        <is>
          <t>THLCH</t>
        </is>
      </c>
      <c r="I99" s="96" t="inlineStr">
        <is>
          <t>CNSHA</t>
        </is>
      </c>
      <c r="J99" s="96" t="inlineStr">
        <is>
          <t>CNSHA</t>
        </is>
      </c>
      <c r="K99" s="96" t="inlineStr">
        <is>
          <t>F</t>
        </is>
      </c>
      <c r="L99" s="96" t="inlineStr">
        <is>
          <t>ONE</t>
        </is>
      </c>
      <c r="M99" s="96" t="inlineStr">
        <is>
          <t>VFL</t>
        </is>
      </c>
      <c r="N99" s="96" t="inlineStr">
        <is>
          <t>LCH06</t>
        </is>
      </c>
      <c r="O99" s="96" t="inlineStr">
        <is>
          <t>LCH</t>
        </is>
      </c>
      <c r="P99" s="96" t="inlineStr">
        <is>
          <t>TH</t>
        </is>
      </c>
      <c r="Q99" s="96" t="inlineStr">
        <is>
          <t>HASLS22260802507</t>
        </is>
      </c>
      <c r="R99" s="96" t="inlineStr">
        <is>
          <t>N</t>
        </is>
      </c>
      <c r="S99" s="96" t="inlineStr">
        <is>
          <t>N</t>
        </is>
      </c>
      <c r="T99" s="96" t="inlineStr">
        <is>
          <t>PCI</t>
        </is>
      </c>
      <c r="U99" s="97" t="n"/>
      <c r="V99" s="96" t="inlineStr">
        <is>
          <t>K0120023</t>
        </is>
      </c>
      <c r="W99" s="96" t="inlineStr">
        <is>
          <t>PTT GLOBAL CHEMICAL PUBLIC COMPANY</t>
        </is>
      </c>
      <c r="X99" s="96" t="inlineStr">
        <is>
          <t>VFD</t>
        </is>
      </c>
      <c r="Y99" s="96" t="inlineStr">
        <is>
          <t>GC MARKETING SOLUTIONS (SHANGHAI)</t>
        </is>
      </c>
      <c r="Z99" s="96" t="inlineStr">
        <is>
          <t>GC MARKETING SOLUTIONS (SHANGHAI)</t>
        </is>
      </c>
      <c r="AA99" s="97" t="n">
        <v>24240</v>
      </c>
      <c r="AB99" s="96" t="inlineStr">
        <is>
          <t>LCH06</t>
        </is>
      </c>
      <c r="AC99" s="96" t="inlineStr">
        <is>
          <t>SHAW5</t>
        </is>
      </c>
    </row>
    <row r="100" ht="12" customHeight="1">
      <c r="A100" s="96" t="inlineStr">
        <is>
          <t>SKHU9827842</t>
        </is>
      </c>
      <c r="B100" s="161" t="inlineStr">
        <is>
          <t>2026-10-07</t>
        </is>
      </c>
      <c r="C100" s="96" t="inlineStr">
        <is>
          <t>SWVG</t>
        </is>
      </c>
      <c r="D100" s="96" t="inlineStr">
        <is>
          <t>2612N</t>
        </is>
      </c>
      <c r="E100" s="96" t="inlineStr">
        <is>
          <t>45GP</t>
        </is>
      </c>
      <c r="F100" s="96" t="inlineStr">
        <is>
          <t>SD</t>
        </is>
      </c>
      <c r="G100" s="96" t="inlineStr">
        <is>
          <t>THLCH</t>
        </is>
      </c>
      <c r="H100" s="96" t="inlineStr">
        <is>
          <t>THLCH</t>
        </is>
      </c>
      <c r="I100" s="96" t="inlineStr">
        <is>
          <t>CNSHA</t>
        </is>
      </c>
      <c r="J100" s="96" t="inlineStr">
        <is>
          <t>CNSHA</t>
        </is>
      </c>
      <c r="K100" s="96" t="inlineStr">
        <is>
          <t>F</t>
        </is>
      </c>
      <c r="L100" s="96" t="inlineStr">
        <is>
          <t>ONE</t>
        </is>
      </c>
      <c r="M100" s="96" t="inlineStr">
        <is>
          <t>VFL</t>
        </is>
      </c>
      <c r="N100" s="96" t="inlineStr">
        <is>
          <t>LCH06</t>
        </is>
      </c>
      <c r="O100" s="96" t="inlineStr">
        <is>
          <t>LCH</t>
        </is>
      </c>
      <c r="P100" s="96" t="inlineStr">
        <is>
          <t>TH</t>
        </is>
      </c>
      <c r="Q100" s="96" t="inlineStr">
        <is>
          <t>HASLS22260802507</t>
        </is>
      </c>
      <c r="R100" s="96" t="inlineStr">
        <is>
          <t>N</t>
        </is>
      </c>
      <c r="S100" s="96" t="inlineStr">
        <is>
          <t>N</t>
        </is>
      </c>
      <c r="T100" s="96" t="inlineStr">
        <is>
          <t>PCI</t>
        </is>
      </c>
      <c r="U100" s="97" t="n"/>
      <c r="V100" s="96" t="inlineStr">
        <is>
          <t>K0120023</t>
        </is>
      </c>
      <c r="W100" s="96" t="inlineStr">
        <is>
          <t>PTT GLOBAL CHEMICAL PUBLIC COMPANY</t>
        </is>
      </c>
      <c r="X100" s="96" t="inlineStr">
        <is>
          <t>VFD</t>
        </is>
      </c>
      <c r="Y100" s="96" t="inlineStr">
        <is>
          <t>GC MARKETING SOLUTIONS (SHANGHAI)</t>
        </is>
      </c>
      <c r="Z100" s="96" t="inlineStr">
        <is>
          <t>GC MARKETING SOLUTIONS (SHANGHAI)</t>
        </is>
      </c>
      <c r="AA100" s="97" t="n">
        <v>24240</v>
      </c>
      <c r="AB100" s="96" t="inlineStr">
        <is>
          <t>LCH06</t>
        </is>
      </c>
      <c r="AC100" s="96" t="inlineStr">
        <is>
          <t>SHAW5</t>
        </is>
      </c>
    </row>
    <row r="101" ht="12" customHeight="1">
      <c r="A101" s="96" t="inlineStr">
        <is>
          <t>SKHU9905122</t>
        </is>
      </c>
      <c r="B101" s="161" t="inlineStr">
        <is>
          <t>2026-10-07</t>
        </is>
      </c>
      <c r="C101" s="96" t="inlineStr">
        <is>
          <t>SWVG</t>
        </is>
      </c>
      <c r="D101" s="96" t="inlineStr">
        <is>
          <t>2612N</t>
        </is>
      </c>
      <c r="E101" s="96" t="inlineStr">
        <is>
          <t>45GP</t>
        </is>
      </c>
      <c r="F101" s="96" t="inlineStr">
        <is>
          <t>SD</t>
        </is>
      </c>
      <c r="G101" s="96" t="inlineStr">
        <is>
          <t>THLCH</t>
        </is>
      </c>
      <c r="H101" s="96" t="inlineStr">
        <is>
          <t>THLCH</t>
        </is>
      </c>
      <c r="I101" s="96" t="inlineStr">
        <is>
          <t>CNSHA</t>
        </is>
      </c>
      <c r="J101" s="96" t="inlineStr">
        <is>
          <t>CNSHA</t>
        </is>
      </c>
      <c r="K101" s="96" t="inlineStr">
        <is>
          <t>F</t>
        </is>
      </c>
      <c r="L101" s="96" t="inlineStr">
        <is>
          <t>ONE</t>
        </is>
      </c>
      <c r="M101" s="96" t="inlineStr">
        <is>
          <t>VFL</t>
        </is>
      </c>
      <c r="N101" s="96" t="inlineStr">
        <is>
          <t>LCH06</t>
        </is>
      </c>
      <c r="O101" s="96" t="inlineStr">
        <is>
          <t>LCH</t>
        </is>
      </c>
      <c r="P101" s="96" t="inlineStr">
        <is>
          <t>TH</t>
        </is>
      </c>
      <c r="Q101" s="96" t="inlineStr">
        <is>
          <t>HASLS22260901309</t>
        </is>
      </c>
      <c r="R101" s="96" t="inlineStr">
        <is>
          <t>N</t>
        </is>
      </c>
      <c r="S101" s="96" t="inlineStr">
        <is>
          <t>N</t>
        </is>
      </c>
      <c r="T101" s="96" t="inlineStr">
        <is>
          <t>PCI</t>
        </is>
      </c>
      <c r="U101" s="97" t="n"/>
      <c r="V101" s="96" t="inlineStr">
        <is>
          <t>K0120023</t>
        </is>
      </c>
      <c r="W101" s="96" t="inlineStr">
        <is>
          <t>PTT GLOBAL CHEMICAL PUBLIC COMPANY</t>
        </is>
      </c>
      <c r="X101" s="96" t="inlineStr">
        <is>
          <t>VFD</t>
        </is>
      </c>
      <c r="Y101" s="96" t="inlineStr">
        <is>
          <t>GC MARKETING SOLUTIONS (SHANGHAI)</t>
        </is>
      </c>
      <c r="Z101" s="96" t="inlineStr">
        <is>
          <t>GC MARKETING SOLUTIONS (SHANGHAI)</t>
        </is>
      </c>
      <c r="AA101" s="97" t="n">
        <v>24144</v>
      </c>
      <c r="AB101" s="96" t="inlineStr">
        <is>
          <t>LCH06</t>
        </is>
      </c>
      <c r="AC101" s="96" t="inlineStr">
        <is>
          <t>SHAW5</t>
        </is>
      </c>
    </row>
    <row r="102" ht="12" customHeight="1">
      <c r="A102" s="96" t="inlineStr">
        <is>
          <t>SKHU9915413</t>
        </is>
      </c>
      <c r="B102" s="161" t="inlineStr">
        <is>
          <t>2026-10-07</t>
        </is>
      </c>
      <c r="C102" s="96" t="inlineStr">
        <is>
          <t>SWVG</t>
        </is>
      </c>
      <c r="D102" s="96" t="inlineStr">
        <is>
          <t>2612N</t>
        </is>
      </c>
      <c r="E102" s="96" t="inlineStr">
        <is>
          <t>45GP</t>
        </is>
      </c>
      <c r="F102" s="96" t="inlineStr">
        <is>
          <t>SD</t>
        </is>
      </c>
      <c r="G102" s="96" t="inlineStr">
        <is>
          <t>THLCH</t>
        </is>
      </c>
      <c r="H102" s="96" t="inlineStr">
        <is>
          <t>THLCH</t>
        </is>
      </c>
      <c r="I102" s="96" t="inlineStr">
        <is>
          <t>CNSHA</t>
        </is>
      </c>
      <c r="J102" s="96" t="inlineStr">
        <is>
          <t>CNSHA</t>
        </is>
      </c>
      <c r="K102" s="96" t="inlineStr">
        <is>
          <t>F</t>
        </is>
      </c>
      <c r="L102" s="96" t="inlineStr">
        <is>
          <t>ONE</t>
        </is>
      </c>
      <c r="M102" s="96" t="inlineStr">
        <is>
          <t>VFL</t>
        </is>
      </c>
      <c r="N102" s="96" t="inlineStr">
        <is>
          <t>LCH06</t>
        </is>
      </c>
      <c r="O102" s="96" t="inlineStr">
        <is>
          <t>LCH</t>
        </is>
      </c>
      <c r="P102" s="96" t="inlineStr">
        <is>
          <t>TH</t>
        </is>
      </c>
      <c r="Q102" s="96" t="inlineStr">
        <is>
          <t>HASLS22260902147</t>
        </is>
      </c>
      <c r="R102" s="96" t="inlineStr">
        <is>
          <t>N</t>
        </is>
      </c>
      <c r="S102" s="96" t="inlineStr">
        <is>
          <t>N</t>
        </is>
      </c>
      <c r="T102" s="96" t="inlineStr">
        <is>
          <t>PCI</t>
        </is>
      </c>
      <c r="U102" s="97" t="n"/>
      <c r="V102" s="96" t="inlineStr">
        <is>
          <t>K0120023</t>
        </is>
      </c>
      <c r="W102" s="96" t="inlineStr">
        <is>
          <t>DOUBLE A (1991) PUBLIC COMPANY</t>
        </is>
      </c>
      <c r="X102" s="96" t="inlineStr">
        <is>
          <t>VFD</t>
        </is>
      </c>
      <c r="Y102" s="96" t="inlineStr">
        <is>
          <t>DOUBLE A INTERNATIONAL TRADING</t>
        </is>
      </c>
      <c r="Z102" s="96" t="inlineStr">
        <is>
          <t>DOUBLE A INTERNATIONAL TRADING</t>
        </is>
      </c>
      <c r="AA102" s="97" t="n">
        <v>25226</v>
      </c>
      <c r="AB102" s="96" t="inlineStr">
        <is>
          <t>LCH06</t>
        </is>
      </c>
      <c r="AC102" s="96" t="inlineStr">
        <is>
          <t>SHAW5</t>
        </is>
      </c>
    </row>
    <row r="103" ht="12" customHeight="1">
      <c r="A103" s="96" t="inlineStr">
        <is>
          <t>SKLU0522579</t>
        </is>
      </c>
      <c r="B103" s="161" t="inlineStr">
        <is>
          <t>2026-10-07</t>
        </is>
      </c>
      <c r="C103" s="96" t="inlineStr">
        <is>
          <t>SWVG</t>
        </is>
      </c>
      <c r="D103" s="96" t="inlineStr">
        <is>
          <t>2612N</t>
        </is>
      </c>
      <c r="E103" s="96" t="inlineStr">
        <is>
          <t>22GP</t>
        </is>
      </c>
      <c r="F103" s="96" t="inlineStr">
        <is>
          <t>SD</t>
        </is>
      </c>
      <c r="G103" s="96" t="inlineStr">
        <is>
          <t>THLCH</t>
        </is>
      </c>
      <c r="H103" s="96" t="inlineStr">
        <is>
          <t>THLCH</t>
        </is>
      </c>
      <c r="I103" s="96" t="inlineStr">
        <is>
          <t>CNSHA</t>
        </is>
      </c>
      <c r="J103" s="96" t="inlineStr">
        <is>
          <t>CNSHA</t>
        </is>
      </c>
      <c r="K103" s="96" t="inlineStr">
        <is>
          <t>F</t>
        </is>
      </c>
      <c r="L103" s="96" t="inlineStr">
        <is>
          <t>ONE</t>
        </is>
      </c>
      <c r="M103" s="96" t="inlineStr">
        <is>
          <t>VFL</t>
        </is>
      </c>
      <c r="N103" s="96" t="inlineStr">
        <is>
          <t>LCH06</t>
        </is>
      </c>
      <c r="O103" s="96" t="inlineStr">
        <is>
          <t>LCH</t>
        </is>
      </c>
      <c r="P103" s="96" t="inlineStr">
        <is>
          <t>TH</t>
        </is>
      </c>
      <c r="Q103" s="96" t="inlineStr">
        <is>
          <t>HASLS22260802504</t>
        </is>
      </c>
      <c r="R103" s="96" t="inlineStr">
        <is>
          <t>N</t>
        </is>
      </c>
      <c r="S103" s="96" t="inlineStr">
        <is>
          <t>N</t>
        </is>
      </c>
      <c r="T103" s="96" t="inlineStr">
        <is>
          <t>PCI</t>
        </is>
      </c>
      <c r="U103" s="97" t="n"/>
      <c r="V103" s="96" t="inlineStr">
        <is>
          <t>K0120021</t>
        </is>
      </c>
      <c r="W103" s="96" t="inlineStr">
        <is>
          <t>PTT GLOBAL CHEMICAL PUBLIC COMPANY</t>
        </is>
      </c>
      <c r="X103" s="96" t="inlineStr">
        <is>
          <t>VED</t>
        </is>
      </c>
      <c r="Y103" s="96" t="inlineStr">
        <is>
          <t>CSI CLOSURE SYSTEMS (HANGZHOU)</t>
        </is>
      </c>
      <c r="Z103" s="96" t="inlineStr">
        <is>
          <t>CSI CLOSURE SYSTEMS (HANGZHOU)</t>
        </is>
      </c>
      <c r="AA103" s="97" t="n">
        <v>16096</v>
      </c>
      <c r="AB103" s="96" t="inlineStr">
        <is>
          <t>LCH06</t>
        </is>
      </c>
      <c r="AC103" s="96" t="inlineStr">
        <is>
          <t>SHAW5</t>
        </is>
      </c>
    </row>
    <row r="104" ht="12" customHeight="1">
      <c r="A104" s="96" t="inlineStr">
        <is>
          <t>SKLU0557981</t>
        </is>
      </c>
      <c r="B104" s="161" t="inlineStr">
        <is>
          <t>2026-10-07</t>
        </is>
      </c>
      <c r="C104" s="96" t="inlineStr">
        <is>
          <t>SWVG</t>
        </is>
      </c>
      <c r="D104" s="96" t="inlineStr">
        <is>
          <t>2612N</t>
        </is>
      </c>
      <c r="E104" s="96" t="inlineStr">
        <is>
          <t>22GP</t>
        </is>
      </c>
      <c r="F104" s="96" t="inlineStr">
        <is>
          <t>SD</t>
        </is>
      </c>
      <c r="G104" s="96" t="inlineStr">
        <is>
          <t>THLCH</t>
        </is>
      </c>
      <c r="H104" s="96" t="inlineStr">
        <is>
          <t>THLCH</t>
        </is>
      </c>
      <c r="I104" s="96" t="inlineStr">
        <is>
          <t>KRPUS</t>
        </is>
      </c>
      <c r="J104" s="96" t="inlineStr">
        <is>
          <t>JPHHE</t>
        </is>
      </c>
      <c r="K104" s="96" t="inlineStr">
        <is>
          <t>F</t>
        </is>
      </c>
      <c r="L104" s="96" t="inlineStr">
        <is>
          <t>ONE</t>
        </is>
      </c>
      <c r="M104" s="96" t="inlineStr">
        <is>
          <t>VFL</t>
        </is>
      </c>
      <c r="N104" s="96" t="inlineStr">
        <is>
          <t>LCH06</t>
        </is>
      </c>
      <c r="O104" s="96" t="inlineStr">
        <is>
          <t>LCH</t>
        </is>
      </c>
      <c r="P104" s="96" t="inlineStr">
        <is>
          <t>TH</t>
        </is>
      </c>
      <c r="Q104" s="96" t="inlineStr">
        <is>
          <t>HASLS22260902059</t>
        </is>
      </c>
      <c r="R104" s="96" t="inlineStr">
        <is>
          <t>Y</t>
        </is>
      </c>
      <c r="S104" s="96" t="inlineStr">
        <is>
          <t>N</t>
        </is>
      </c>
      <c r="T104" s="96" t="inlineStr">
        <is>
          <t>PCI</t>
        </is>
      </c>
      <c r="U104" s="97" t="n"/>
      <c r="V104" s="96" t="inlineStr">
        <is>
          <t>K0120021</t>
        </is>
      </c>
      <c r="W104" s="96" t="inlineStr">
        <is>
          <t>THAI POLYETHYLENE CO.,LTD.</t>
        </is>
      </c>
      <c r="X104" s="96" t="inlineStr">
        <is>
          <t>VED</t>
        </is>
      </c>
      <c r="Y104" s="96" t="inlineStr">
        <is>
          <t>MARUBENI INNOVEXIS CORPORATION</t>
        </is>
      </c>
      <c r="Z104" s="96" t="inlineStr">
        <is>
          <t>MARUBENI INNOVEXIS CORPORATION</t>
        </is>
      </c>
      <c r="AA104" s="97" t="n">
        <v>15147</v>
      </c>
      <c r="AB104" s="96" t="inlineStr">
        <is>
          <t>LCH06</t>
        </is>
      </c>
      <c r="AC104" s="96" t="inlineStr">
        <is>
          <t>HHE01</t>
        </is>
      </c>
    </row>
    <row r="105" ht="12" customHeight="1">
      <c r="A105" s="96" t="inlineStr">
        <is>
          <t>SKLU0708558</t>
        </is>
      </c>
      <c r="B105" s="161" t="inlineStr">
        <is>
          <t>2026-10-07</t>
        </is>
      </c>
      <c r="C105" s="96" t="inlineStr">
        <is>
          <t>SWVG</t>
        </is>
      </c>
      <c r="D105" s="96" t="inlineStr">
        <is>
          <t>2612N</t>
        </is>
      </c>
      <c r="E105" s="96" t="inlineStr">
        <is>
          <t>22GP</t>
        </is>
      </c>
      <c r="F105" s="96" t="inlineStr">
        <is>
          <t>SD</t>
        </is>
      </c>
      <c r="G105" s="96" t="inlineStr">
        <is>
          <t>THLCH</t>
        </is>
      </c>
      <c r="H105" s="96" t="inlineStr">
        <is>
          <t>THLCH</t>
        </is>
      </c>
      <c r="I105" s="96" t="inlineStr">
        <is>
          <t>CNSHA</t>
        </is>
      </c>
      <c r="J105" s="96" t="inlineStr">
        <is>
          <t>CNSHA</t>
        </is>
      </c>
      <c r="K105" s="96" t="inlineStr">
        <is>
          <t>F</t>
        </is>
      </c>
      <c r="L105" s="96" t="inlineStr">
        <is>
          <t>ONE</t>
        </is>
      </c>
      <c r="M105" s="96" t="inlineStr">
        <is>
          <t>VFL</t>
        </is>
      </c>
      <c r="N105" s="96" t="inlineStr">
        <is>
          <t>LCH06</t>
        </is>
      </c>
      <c r="O105" s="96" t="inlineStr">
        <is>
          <t>LCH</t>
        </is>
      </c>
      <c r="P105" s="96" t="inlineStr">
        <is>
          <t>TH</t>
        </is>
      </c>
      <c r="Q105" s="96" t="inlineStr">
        <is>
          <t>HASLS22260901513</t>
        </is>
      </c>
      <c r="R105" s="96" t="inlineStr">
        <is>
          <t>N</t>
        </is>
      </c>
      <c r="S105" s="96" t="inlineStr">
        <is>
          <t>N</t>
        </is>
      </c>
      <c r="T105" s="96" t="inlineStr">
        <is>
          <t>PCI</t>
        </is>
      </c>
      <c r="U105" s="97" t="n"/>
      <c r="V105" s="96" t="inlineStr">
        <is>
          <t>K0120021</t>
        </is>
      </c>
      <c r="W105" s="96" t="inlineStr">
        <is>
          <t>DOUBLE A (1991) PUBLIC COMPANY</t>
        </is>
      </c>
      <c r="X105" s="96" t="inlineStr">
        <is>
          <t>VED</t>
        </is>
      </c>
      <c r="Y105" s="96" t="inlineStr">
        <is>
          <t>DOUBLE A INTERNATIONAL  TRADING</t>
        </is>
      </c>
      <c r="Z105" s="96" t="inlineStr">
        <is>
          <t>DOUBLE A INTERNATIONAL  TRADING</t>
        </is>
      </c>
      <c r="AA105" s="97" t="n">
        <v>16632</v>
      </c>
      <c r="AB105" s="96" t="inlineStr">
        <is>
          <t>LCH06</t>
        </is>
      </c>
      <c r="AC105" s="96" t="inlineStr">
        <is>
          <t>SHAW5</t>
        </is>
      </c>
    </row>
    <row r="106" ht="12" customHeight="1">
      <c r="A106" s="96" t="inlineStr">
        <is>
          <t>SKLU1206106</t>
        </is>
      </c>
      <c r="B106" s="161" t="inlineStr">
        <is>
          <t>2026-10-07</t>
        </is>
      </c>
      <c r="C106" s="96" t="inlineStr">
        <is>
          <t>SWVG</t>
        </is>
      </c>
      <c r="D106" s="96" t="inlineStr">
        <is>
          <t>2612N</t>
        </is>
      </c>
      <c r="E106" s="96" t="inlineStr">
        <is>
          <t>22GP</t>
        </is>
      </c>
      <c r="F106" s="96" t="inlineStr">
        <is>
          <t>SD</t>
        </is>
      </c>
      <c r="G106" s="96" t="inlineStr">
        <is>
          <t>THSRP</t>
        </is>
      </c>
      <c r="H106" s="96" t="inlineStr">
        <is>
          <t>THLCH</t>
        </is>
      </c>
      <c r="I106" s="96" t="inlineStr">
        <is>
          <t>CNSHA</t>
        </is>
      </c>
      <c r="J106" s="96" t="inlineStr">
        <is>
          <t>CNSHA</t>
        </is>
      </c>
      <c r="K106" s="96" t="inlineStr">
        <is>
          <t>F</t>
        </is>
      </c>
      <c r="L106" s="96" t="inlineStr">
        <is>
          <t>ONE</t>
        </is>
      </c>
      <c r="M106" s="96" t="inlineStr">
        <is>
          <t>VFL</t>
        </is>
      </c>
      <c r="N106" s="96" t="inlineStr">
        <is>
          <t>LCH06</t>
        </is>
      </c>
      <c r="O106" s="96" t="inlineStr">
        <is>
          <t>LCH</t>
        </is>
      </c>
      <c r="P106" s="96" t="inlineStr">
        <is>
          <t>TH</t>
        </is>
      </c>
      <c r="Q106" s="96" t="inlineStr">
        <is>
          <t>HASLS22260901104</t>
        </is>
      </c>
      <c r="R106" s="96" t="inlineStr">
        <is>
          <t>N</t>
        </is>
      </c>
      <c r="S106" s="96" t="inlineStr">
        <is>
          <t>N</t>
        </is>
      </c>
      <c r="T106" s="96" t="inlineStr">
        <is>
          <t>PCI</t>
        </is>
      </c>
      <c r="U106" s="97" t="n"/>
      <c r="V106" s="96" t="inlineStr">
        <is>
          <t>K0120021</t>
        </is>
      </c>
      <c r="W106" s="96" t="inlineStr">
        <is>
          <t>RAK SYSCOM (THAILAND) CO., LTD.</t>
        </is>
      </c>
      <c r="X106" s="96" t="inlineStr">
        <is>
          <t>VFD</t>
        </is>
      </c>
      <c r="Y106" s="96" t="inlineStr">
        <is>
          <t>ZHANGJIAGANG FREE TRADE ZONE</t>
        </is>
      </c>
      <c r="Z106" s="96" t="inlineStr">
        <is>
          <t>YAY INTERNATIONAL LIMITED</t>
        </is>
      </c>
      <c r="AA106" s="97" t="n">
        <v>22650</v>
      </c>
      <c r="AB106" s="96" t="inlineStr">
        <is>
          <t>LCH06</t>
        </is>
      </c>
      <c r="AC106" s="96" t="inlineStr">
        <is>
          <t>SHAW5</t>
        </is>
      </c>
    </row>
    <row r="107" ht="12" customHeight="1">
      <c r="A107" s="96" t="inlineStr">
        <is>
          <t>SKLU1309969</t>
        </is>
      </c>
      <c r="B107" s="161" t="inlineStr">
        <is>
          <t>2026-10-07</t>
        </is>
      </c>
      <c r="C107" s="96" t="inlineStr">
        <is>
          <t>SWVG</t>
        </is>
      </c>
      <c r="D107" s="96" t="inlineStr">
        <is>
          <t>2612N</t>
        </is>
      </c>
      <c r="E107" s="96" t="inlineStr">
        <is>
          <t>22GP</t>
        </is>
      </c>
      <c r="F107" s="96" t="inlineStr">
        <is>
          <t>SD</t>
        </is>
      </c>
      <c r="G107" s="96" t="inlineStr">
        <is>
          <t>THLCH</t>
        </is>
      </c>
      <c r="H107" s="96" t="inlineStr">
        <is>
          <t>THLCH</t>
        </is>
      </c>
      <c r="I107" s="96" t="inlineStr">
        <is>
          <t>KRPUS</t>
        </is>
      </c>
      <c r="J107" s="96" t="inlineStr">
        <is>
          <t>JPNGO</t>
        </is>
      </c>
      <c r="K107" s="96" t="inlineStr">
        <is>
          <t>F</t>
        </is>
      </c>
      <c r="L107" s="96" t="inlineStr">
        <is>
          <t>ONE</t>
        </is>
      </c>
      <c r="M107" s="96" t="inlineStr">
        <is>
          <t>VFL</t>
        </is>
      </c>
      <c r="N107" s="96" t="inlineStr">
        <is>
          <t>LCH06</t>
        </is>
      </c>
      <c r="O107" s="96" t="inlineStr">
        <is>
          <t>LCH</t>
        </is>
      </c>
      <c r="P107" s="96" t="inlineStr">
        <is>
          <t>TH</t>
        </is>
      </c>
      <c r="Q107" s="96" t="inlineStr">
        <is>
          <t>HASLS22260901686</t>
        </is>
      </c>
      <c r="R107" s="96" t="inlineStr">
        <is>
          <t>Y</t>
        </is>
      </c>
      <c r="S107" s="96" t="inlineStr">
        <is>
          <t>N</t>
        </is>
      </c>
      <c r="T107" s="96" t="inlineStr">
        <is>
          <t>PCI</t>
        </is>
      </c>
      <c r="U107" s="97" t="n"/>
      <c r="V107" s="96" t="inlineStr">
        <is>
          <t>K0120021</t>
        </is>
      </c>
      <c r="W107" s="96" t="inlineStr">
        <is>
          <t>L.A.1 CO.,LTD.</t>
        </is>
      </c>
      <c r="X107" s="96" t="inlineStr">
        <is>
          <t>VFD</t>
        </is>
      </c>
      <c r="Y107" s="96" t="inlineStr">
        <is>
          <t>FRONTIER UNITED CO., LTD</t>
        </is>
      </c>
      <c r="Z107" s="96" t="inlineStr">
        <is>
          <t>FRONTIER UNITED CO., LTD</t>
        </is>
      </c>
      <c r="AA107" s="97" t="n">
        <v>10358.18</v>
      </c>
      <c r="AB107" s="96" t="inlineStr">
        <is>
          <t>LCH06</t>
        </is>
      </c>
      <c r="AC107" s="96" t="inlineStr">
        <is>
          <t>NGO03</t>
        </is>
      </c>
    </row>
    <row r="108" ht="12" customHeight="1">
      <c r="A108" s="96" t="inlineStr">
        <is>
          <t>SKLU1344912</t>
        </is>
      </c>
      <c r="B108" s="161" t="inlineStr">
        <is>
          <t>2026-10-07</t>
        </is>
      </c>
      <c r="C108" s="96" t="inlineStr">
        <is>
          <t>SWVG</t>
        </is>
      </c>
      <c r="D108" s="96" t="inlineStr">
        <is>
          <t>2612N</t>
        </is>
      </c>
      <c r="E108" s="96" t="inlineStr">
        <is>
          <t>22GP</t>
        </is>
      </c>
      <c r="F108" s="96" t="inlineStr">
        <is>
          <t>SD</t>
        </is>
      </c>
      <c r="G108" s="96" t="inlineStr">
        <is>
          <t>THSRP</t>
        </is>
      </c>
      <c r="H108" s="96" t="inlineStr">
        <is>
          <t>THLCH</t>
        </is>
      </c>
      <c r="I108" s="96" t="inlineStr">
        <is>
          <t>CNSHA</t>
        </is>
      </c>
      <c r="J108" s="96" t="inlineStr">
        <is>
          <t>CNSHA</t>
        </is>
      </c>
      <c r="K108" s="96" t="inlineStr">
        <is>
          <t>F</t>
        </is>
      </c>
      <c r="L108" s="96" t="inlineStr">
        <is>
          <t>ONE</t>
        </is>
      </c>
      <c r="M108" s="96" t="inlineStr">
        <is>
          <t>VFL</t>
        </is>
      </c>
      <c r="N108" s="96" t="inlineStr">
        <is>
          <t>LCH06</t>
        </is>
      </c>
      <c r="O108" s="96" t="inlineStr">
        <is>
          <t>LCH</t>
        </is>
      </c>
      <c r="P108" s="96" t="inlineStr">
        <is>
          <t>TH</t>
        </is>
      </c>
      <c r="Q108" s="96" t="inlineStr">
        <is>
          <t>HASLS22260901104</t>
        </is>
      </c>
      <c r="R108" s="96" t="inlineStr">
        <is>
          <t>N</t>
        </is>
      </c>
      <c r="S108" s="96" t="inlineStr">
        <is>
          <t>N</t>
        </is>
      </c>
      <c r="T108" s="96" t="inlineStr">
        <is>
          <t>PCI</t>
        </is>
      </c>
      <c r="U108" s="97" t="n"/>
      <c r="V108" s="96" t="inlineStr">
        <is>
          <t>K0120021</t>
        </is>
      </c>
      <c r="W108" s="96" t="inlineStr">
        <is>
          <t>RAK SYSCOM (THAILAND) CO., LTD.</t>
        </is>
      </c>
      <c r="X108" s="96" t="inlineStr">
        <is>
          <t>VFD</t>
        </is>
      </c>
      <c r="Y108" s="96" t="inlineStr">
        <is>
          <t>ZHANGJIAGANG FREE TRADE ZONE</t>
        </is>
      </c>
      <c r="Z108" s="96" t="inlineStr">
        <is>
          <t>YAY INTERNATIONAL LIMITED</t>
        </is>
      </c>
      <c r="AA108" s="97" t="n">
        <v>22670</v>
      </c>
      <c r="AB108" s="96" t="inlineStr">
        <is>
          <t>LCH06</t>
        </is>
      </c>
      <c r="AC108" s="96" t="inlineStr">
        <is>
          <t>SHAW5</t>
        </is>
      </c>
    </row>
    <row r="109" ht="12" customHeight="1">
      <c r="A109" s="96" t="inlineStr">
        <is>
          <t>SKLU1417937</t>
        </is>
      </c>
      <c r="B109" s="161" t="inlineStr">
        <is>
          <t>2026-10-07</t>
        </is>
      </c>
      <c r="C109" s="96" t="inlineStr">
        <is>
          <t>SWVG</t>
        </is>
      </c>
      <c r="D109" s="96" t="inlineStr">
        <is>
          <t>2612N</t>
        </is>
      </c>
      <c r="E109" s="96" t="inlineStr">
        <is>
          <t>22GP</t>
        </is>
      </c>
      <c r="F109" s="96" t="inlineStr">
        <is>
          <t>SD</t>
        </is>
      </c>
      <c r="G109" s="96" t="inlineStr">
        <is>
          <t>THLCH</t>
        </is>
      </c>
      <c r="H109" s="96" t="inlineStr">
        <is>
          <t>THLCH</t>
        </is>
      </c>
      <c r="I109" s="96" t="inlineStr">
        <is>
          <t>CNSHA</t>
        </is>
      </c>
      <c r="J109" s="96" t="inlineStr">
        <is>
          <t>CNSHA</t>
        </is>
      </c>
      <c r="K109" s="96" t="inlineStr">
        <is>
          <t>F</t>
        </is>
      </c>
      <c r="L109" s="96" t="inlineStr">
        <is>
          <t>ONE</t>
        </is>
      </c>
      <c r="M109" s="96" t="inlineStr">
        <is>
          <t>VFL</t>
        </is>
      </c>
      <c r="N109" s="96" t="inlineStr">
        <is>
          <t>LCH06</t>
        </is>
      </c>
      <c r="O109" s="96" t="inlineStr">
        <is>
          <t>LCH</t>
        </is>
      </c>
      <c r="P109" s="96" t="inlineStr">
        <is>
          <t>TH</t>
        </is>
      </c>
      <c r="Q109" s="96" t="inlineStr">
        <is>
          <t>HASLS22260901310</t>
        </is>
      </c>
      <c r="R109" s="96" t="inlineStr">
        <is>
          <t>N</t>
        </is>
      </c>
      <c r="S109" s="96" t="inlineStr">
        <is>
          <t>N</t>
        </is>
      </c>
      <c r="T109" s="96" t="inlineStr">
        <is>
          <t>PCI</t>
        </is>
      </c>
      <c r="U109" s="97" t="n"/>
      <c r="V109" s="96" t="inlineStr">
        <is>
          <t>K0120021</t>
        </is>
      </c>
      <c r="W109" s="96" t="inlineStr">
        <is>
          <t>PTT GLOBAL CHEMICAL PUBLIC COMPANY</t>
        </is>
      </c>
      <c r="X109" s="96" t="inlineStr">
        <is>
          <t>VFD</t>
        </is>
      </c>
      <c r="Y109" s="96" t="inlineStr">
        <is>
          <t>GC MARKETING SOLUTIONS (SHANGHAI)</t>
        </is>
      </c>
      <c r="Z109" s="96" t="inlineStr">
        <is>
          <t>GC MARKETING SOLUTIONS (SHANGHAI)</t>
        </is>
      </c>
      <c r="AA109" s="97" t="n">
        <v>16160</v>
      </c>
      <c r="AB109" s="96" t="inlineStr">
        <is>
          <t>LCH06</t>
        </is>
      </c>
      <c r="AC109" s="96" t="inlineStr">
        <is>
          <t>SHAW5</t>
        </is>
      </c>
    </row>
    <row r="110" ht="12" customHeight="1">
      <c r="A110" s="96" t="inlineStr">
        <is>
          <t>SKLU1541470</t>
        </is>
      </c>
      <c r="B110" s="161" t="inlineStr">
        <is>
          <t>2026-10-07</t>
        </is>
      </c>
      <c r="C110" s="96" t="inlineStr">
        <is>
          <t>SWVG</t>
        </is>
      </c>
      <c r="D110" s="96" t="inlineStr">
        <is>
          <t>2612N</t>
        </is>
      </c>
      <c r="E110" s="96" t="inlineStr">
        <is>
          <t>22GP</t>
        </is>
      </c>
      <c r="F110" s="96" t="inlineStr">
        <is>
          <t>SD</t>
        </is>
      </c>
      <c r="G110" s="96" t="inlineStr">
        <is>
          <t>THLCH</t>
        </is>
      </c>
      <c r="H110" s="96" t="inlineStr">
        <is>
          <t>THLCH</t>
        </is>
      </c>
      <c r="I110" s="96" t="inlineStr">
        <is>
          <t>KRPUS</t>
        </is>
      </c>
      <c r="J110" s="96" t="inlineStr">
        <is>
          <t>JPISS</t>
        </is>
      </c>
      <c r="K110" s="96" t="inlineStr">
        <is>
          <t>F</t>
        </is>
      </c>
      <c r="L110" s="96" t="inlineStr">
        <is>
          <t>ONE</t>
        </is>
      </c>
      <c r="M110" s="96" t="inlineStr">
        <is>
          <t>VFL</t>
        </is>
      </c>
      <c r="N110" s="96" t="inlineStr">
        <is>
          <t>LCH06</t>
        </is>
      </c>
      <c r="O110" s="96" t="inlineStr">
        <is>
          <t>LCH</t>
        </is>
      </c>
      <c r="P110" s="96" t="inlineStr">
        <is>
          <t>TH</t>
        </is>
      </c>
      <c r="Q110" s="96" t="inlineStr">
        <is>
          <t>HASLS22260902060</t>
        </is>
      </c>
      <c r="R110" s="96" t="inlineStr">
        <is>
          <t>Y</t>
        </is>
      </c>
      <c r="S110" s="96" t="inlineStr">
        <is>
          <t>N</t>
        </is>
      </c>
      <c r="T110" s="96" t="inlineStr">
        <is>
          <t>PCI</t>
        </is>
      </c>
      <c r="U110" s="97" t="n"/>
      <c r="V110" s="96" t="inlineStr">
        <is>
          <t>K0120021</t>
        </is>
      </c>
      <c r="W110" s="96" t="inlineStr">
        <is>
          <t>THAI POLYETHYLENE CO.,LTD.</t>
        </is>
      </c>
      <c r="X110" s="96" t="inlineStr">
        <is>
          <t>VED</t>
        </is>
      </c>
      <c r="Y110" s="96" t="inlineStr">
        <is>
          <t>ITOCHU CORPORATION</t>
        </is>
      </c>
      <c r="Z110" s="96" t="inlineStr">
        <is>
          <t>ITOCHU CORPORATION</t>
        </is>
      </c>
      <c r="AA110" s="97" t="n">
        <v>15147</v>
      </c>
      <c r="AB110" s="96" t="inlineStr">
        <is>
          <t>LCH06</t>
        </is>
      </c>
      <c r="AC110" s="96" t="inlineStr">
        <is>
          <t>ISS02</t>
        </is>
      </c>
    </row>
    <row r="111" ht="12" customHeight="1">
      <c r="A111" s="96" t="inlineStr">
        <is>
          <t>SKLU1561380</t>
        </is>
      </c>
      <c r="B111" s="161" t="inlineStr">
        <is>
          <t>2026-10-07</t>
        </is>
      </c>
      <c r="C111" s="96" t="inlineStr">
        <is>
          <t>SWVG</t>
        </is>
      </c>
      <c r="D111" s="96" t="inlineStr">
        <is>
          <t>2612N</t>
        </is>
      </c>
      <c r="E111" s="96" t="inlineStr">
        <is>
          <t>22GP</t>
        </is>
      </c>
      <c r="F111" s="96" t="inlineStr">
        <is>
          <t>SD</t>
        </is>
      </c>
      <c r="G111" s="96" t="inlineStr">
        <is>
          <t>THLCH</t>
        </is>
      </c>
      <c r="H111" s="96" t="inlineStr">
        <is>
          <t>THLCH</t>
        </is>
      </c>
      <c r="I111" s="96" t="inlineStr">
        <is>
          <t>CNSHA</t>
        </is>
      </c>
      <c r="J111" s="96" t="inlineStr">
        <is>
          <t>CNSHA</t>
        </is>
      </c>
      <c r="K111" s="96" t="inlineStr">
        <is>
          <t>F</t>
        </is>
      </c>
      <c r="L111" s="96" t="inlineStr">
        <is>
          <t>ONE</t>
        </is>
      </c>
      <c r="M111" s="96" t="inlineStr">
        <is>
          <t>VFL</t>
        </is>
      </c>
      <c r="N111" s="96" t="inlineStr">
        <is>
          <t>LCH06</t>
        </is>
      </c>
      <c r="O111" s="96" t="inlineStr">
        <is>
          <t>LCH</t>
        </is>
      </c>
      <c r="P111" s="96" t="inlineStr">
        <is>
          <t>TH</t>
        </is>
      </c>
      <c r="Q111" s="96" t="inlineStr">
        <is>
          <t>HASLS22260902147</t>
        </is>
      </c>
      <c r="R111" s="96" t="inlineStr">
        <is>
          <t>N</t>
        </is>
      </c>
      <c r="S111" s="96" t="inlineStr">
        <is>
          <t>N</t>
        </is>
      </c>
      <c r="T111" s="96" t="inlineStr">
        <is>
          <t>PCI</t>
        </is>
      </c>
      <c r="U111" s="97" t="n"/>
      <c r="V111" s="96" t="inlineStr">
        <is>
          <t>K0120021</t>
        </is>
      </c>
      <c r="W111" s="96" t="inlineStr">
        <is>
          <t>DOUBLE A (1991) PUBLIC COMPANY</t>
        </is>
      </c>
      <c r="X111" s="96" t="inlineStr">
        <is>
          <t>VED</t>
        </is>
      </c>
      <c r="Y111" s="96" t="inlineStr">
        <is>
          <t>DOUBLE A INTERNATIONAL TRADING</t>
        </is>
      </c>
      <c r="Z111" s="96" t="inlineStr">
        <is>
          <t>DOUBLE A INTERNATIONAL TRADING</t>
        </is>
      </c>
      <c r="AA111" s="97" t="n">
        <v>15736</v>
      </c>
      <c r="AB111" s="96" t="inlineStr">
        <is>
          <t>LCH06</t>
        </is>
      </c>
      <c r="AC111" s="96" t="inlineStr">
        <is>
          <t>SHAW5</t>
        </is>
      </c>
    </row>
    <row r="112" ht="12" customHeight="1">
      <c r="A112" s="96" t="inlineStr">
        <is>
          <t>SKLU1565488</t>
        </is>
      </c>
      <c r="B112" s="161" t="inlineStr">
        <is>
          <t>2026-10-07</t>
        </is>
      </c>
      <c r="C112" s="96" t="inlineStr">
        <is>
          <t>SWVG</t>
        </is>
      </c>
      <c r="D112" s="96" t="inlineStr">
        <is>
          <t>2612N</t>
        </is>
      </c>
      <c r="E112" s="96" t="inlineStr">
        <is>
          <t>22GP</t>
        </is>
      </c>
      <c r="F112" s="96" t="inlineStr">
        <is>
          <t>SD</t>
        </is>
      </c>
      <c r="G112" s="96" t="inlineStr">
        <is>
          <t>THLCH</t>
        </is>
      </c>
      <c r="H112" s="96" t="inlineStr">
        <is>
          <t>THLCH</t>
        </is>
      </c>
      <c r="I112" s="96" t="inlineStr">
        <is>
          <t>CNSHA</t>
        </is>
      </c>
      <c r="J112" s="96" t="inlineStr">
        <is>
          <t>CNSHA</t>
        </is>
      </c>
      <c r="K112" s="96" t="inlineStr">
        <is>
          <t>F</t>
        </is>
      </c>
      <c r="L112" s="96" t="inlineStr">
        <is>
          <t>ONE</t>
        </is>
      </c>
      <c r="M112" s="96" t="inlineStr">
        <is>
          <t>VFL</t>
        </is>
      </c>
      <c r="N112" s="96" t="inlineStr">
        <is>
          <t>LCH06</t>
        </is>
      </c>
      <c r="O112" s="96" t="inlineStr">
        <is>
          <t>LCH</t>
        </is>
      </c>
      <c r="P112" s="96" t="inlineStr">
        <is>
          <t>TH</t>
        </is>
      </c>
      <c r="Q112" s="96" t="inlineStr">
        <is>
          <t>HASLS22260901780</t>
        </is>
      </c>
      <c r="R112" s="96" t="inlineStr">
        <is>
          <t>N</t>
        </is>
      </c>
      <c r="S112" s="96" t="inlineStr">
        <is>
          <t>N</t>
        </is>
      </c>
      <c r="T112" s="96" t="inlineStr">
        <is>
          <t>PCI</t>
        </is>
      </c>
      <c r="U112" s="97" t="n"/>
      <c r="V112" s="96" t="inlineStr">
        <is>
          <t>K0120021</t>
        </is>
      </c>
      <c r="W112" s="96" t="inlineStr">
        <is>
          <t>TFL LEDERTECHNIK GMBH</t>
        </is>
      </c>
      <c r="X112" s="96" t="inlineStr">
        <is>
          <t>VED</t>
        </is>
      </c>
      <c r="Y112" s="96" t="inlineStr">
        <is>
          <t>TFL (CHANGZHOU) CO.,LTD.</t>
        </is>
      </c>
      <c r="Z112" s="96" t="inlineStr">
        <is>
          <t>TFL (CHANGZHOU) CO.,LTD.</t>
        </is>
      </c>
      <c r="AA112" s="97" t="n">
        <v>9631.1</v>
      </c>
      <c r="AB112" s="96" t="inlineStr">
        <is>
          <t>LCH06</t>
        </is>
      </c>
      <c r="AC112" s="96" t="inlineStr">
        <is>
          <t>SHAW5</t>
        </is>
      </c>
    </row>
    <row r="113" ht="12" customHeight="1">
      <c r="A113" s="96" t="inlineStr">
        <is>
          <t>SKLU1604162</t>
        </is>
      </c>
      <c r="B113" s="161" t="inlineStr">
        <is>
          <t>2026-10-07</t>
        </is>
      </c>
      <c r="C113" s="96" t="inlineStr">
        <is>
          <t>SWVG</t>
        </is>
      </c>
      <c r="D113" s="96" t="inlineStr">
        <is>
          <t>2612N</t>
        </is>
      </c>
      <c r="E113" s="96" t="inlineStr">
        <is>
          <t>22GP</t>
        </is>
      </c>
      <c r="F113" s="96" t="inlineStr">
        <is>
          <t>SD</t>
        </is>
      </c>
      <c r="G113" s="96" t="inlineStr">
        <is>
          <t>THLCH</t>
        </is>
      </c>
      <c r="H113" s="96" t="inlineStr">
        <is>
          <t>THLCH</t>
        </is>
      </c>
      <c r="I113" s="96" t="inlineStr">
        <is>
          <t>KRPUS</t>
        </is>
      </c>
      <c r="J113" s="96" t="inlineStr">
        <is>
          <t>JPMOJ</t>
        </is>
      </c>
      <c r="K113" s="96" t="inlineStr">
        <is>
          <t>F</t>
        </is>
      </c>
      <c r="L113" s="96" t="inlineStr">
        <is>
          <t>ONE</t>
        </is>
      </c>
      <c r="M113" s="96" t="inlineStr">
        <is>
          <t>VFL</t>
        </is>
      </c>
      <c r="N113" s="96" t="inlineStr">
        <is>
          <t>LCH06</t>
        </is>
      </c>
      <c r="O113" s="96" t="inlineStr">
        <is>
          <t>LCH</t>
        </is>
      </c>
      <c r="P113" s="96" t="inlineStr">
        <is>
          <t>TH</t>
        </is>
      </c>
      <c r="Q113" s="96" t="inlineStr">
        <is>
          <t>HASLS22260901582</t>
        </is>
      </c>
      <c r="R113" s="96" t="inlineStr">
        <is>
          <t>Y</t>
        </is>
      </c>
      <c r="S113" s="96" t="inlineStr">
        <is>
          <t>N</t>
        </is>
      </c>
      <c r="T113" s="96" t="inlineStr">
        <is>
          <t>PCI</t>
        </is>
      </c>
      <c r="U113" s="97" t="n"/>
      <c r="V113" s="96" t="inlineStr">
        <is>
          <t>K0120021</t>
        </is>
      </c>
      <c r="W113" s="96" t="inlineStr">
        <is>
          <t>THAI POLYETHYLENE CO.,LTD.</t>
        </is>
      </c>
      <c r="X113" s="96" t="inlineStr">
        <is>
          <t>VED</t>
        </is>
      </c>
      <c r="Y113" s="96" t="inlineStr">
        <is>
          <t>TOYOTSU CHEMIPLAS CORPORATION,</t>
        </is>
      </c>
      <c r="Z113" s="96" t="inlineStr">
        <is>
          <t>TOYOTSU CHEMIPLAS CORPORATION,</t>
        </is>
      </c>
      <c r="AA113" s="97" t="n">
        <v>15147</v>
      </c>
      <c r="AB113" s="96" t="inlineStr">
        <is>
          <t>LCH06</t>
        </is>
      </c>
      <c r="AC113" s="96" t="inlineStr">
        <is>
          <t>MOJ02</t>
        </is>
      </c>
    </row>
    <row r="114" ht="12" customHeight="1">
      <c r="A114" s="96" t="inlineStr">
        <is>
          <t>SKLU1607449</t>
        </is>
      </c>
      <c r="B114" s="161" t="inlineStr">
        <is>
          <t>2026-10-07</t>
        </is>
      </c>
      <c r="C114" s="96" t="inlineStr">
        <is>
          <t>SWVG</t>
        </is>
      </c>
      <c r="D114" s="96" t="inlineStr">
        <is>
          <t>2612N</t>
        </is>
      </c>
      <c r="E114" s="96" t="inlineStr">
        <is>
          <t>22GP</t>
        </is>
      </c>
      <c r="F114" s="96" t="inlineStr">
        <is>
          <t>SD</t>
        </is>
      </c>
      <c r="G114" s="96" t="inlineStr">
        <is>
          <t>THSRP</t>
        </is>
      </c>
      <c r="H114" s="96" t="inlineStr">
        <is>
          <t>THLCH</t>
        </is>
      </c>
      <c r="I114" s="96" t="inlineStr">
        <is>
          <t>CNSHA</t>
        </is>
      </c>
      <c r="J114" s="96" t="inlineStr">
        <is>
          <t>CNSHA</t>
        </is>
      </c>
      <c r="K114" s="96" t="inlineStr">
        <is>
          <t>F</t>
        </is>
      </c>
      <c r="L114" s="96" t="inlineStr">
        <is>
          <t>ONE</t>
        </is>
      </c>
      <c r="M114" s="96" t="inlineStr">
        <is>
          <t>VFL</t>
        </is>
      </c>
      <c r="N114" s="96" t="inlineStr">
        <is>
          <t>LCH06</t>
        </is>
      </c>
      <c r="O114" s="96" t="inlineStr">
        <is>
          <t>LCH</t>
        </is>
      </c>
      <c r="P114" s="96" t="inlineStr">
        <is>
          <t>TH</t>
        </is>
      </c>
      <c r="Q114" s="96" t="inlineStr">
        <is>
          <t>HASLS22260901104</t>
        </is>
      </c>
      <c r="R114" s="96" t="inlineStr">
        <is>
          <t>N</t>
        </is>
      </c>
      <c r="S114" s="96" t="inlineStr">
        <is>
          <t>N</t>
        </is>
      </c>
      <c r="T114" s="96" t="inlineStr">
        <is>
          <t>PCI</t>
        </is>
      </c>
      <c r="U114" s="97" t="n"/>
      <c r="V114" s="96" t="inlineStr">
        <is>
          <t>K0120021</t>
        </is>
      </c>
      <c r="W114" s="96" t="inlineStr">
        <is>
          <t>RAK SYSCOM (THAILAND) CO., LTD.</t>
        </is>
      </c>
      <c r="X114" s="96" t="inlineStr">
        <is>
          <t>VFD</t>
        </is>
      </c>
      <c r="Y114" s="96" t="inlineStr">
        <is>
          <t>ZHANGJIAGANG FREE TRADE ZONE</t>
        </is>
      </c>
      <c r="Z114" s="96" t="inlineStr">
        <is>
          <t>YAY INTERNATIONAL LIMITED</t>
        </is>
      </c>
      <c r="AA114" s="97" t="n">
        <v>22660</v>
      </c>
      <c r="AB114" s="96" t="inlineStr">
        <is>
          <t>LCH06</t>
        </is>
      </c>
      <c r="AC114" s="96" t="inlineStr">
        <is>
          <t>SHAW5</t>
        </is>
      </c>
    </row>
    <row r="115" ht="12" customHeight="1">
      <c r="A115" s="96" t="inlineStr">
        <is>
          <t>SKLU1613077</t>
        </is>
      </c>
      <c r="B115" s="161" t="inlineStr">
        <is>
          <t>2026-10-07</t>
        </is>
      </c>
      <c r="C115" s="96" t="inlineStr">
        <is>
          <t>SWVG</t>
        </is>
      </c>
      <c r="D115" s="96" t="inlineStr">
        <is>
          <t>2612N</t>
        </is>
      </c>
      <c r="E115" s="96" t="inlineStr">
        <is>
          <t>22GP</t>
        </is>
      </c>
      <c r="F115" s="96" t="inlineStr">
        <is>
          <t>SD</t>
        </is>
      </c>
      <c r="G115" s="96" t="inlineStr">
        <is>
          <t>THLCH</t>
        </is>
      </c>
      <c r="H115" s="96" t="inlineStr">
        <is>
          <t>THLCH</t>
        </is>
      </c>
      <c r="I115" s="96" t="inlineStr">
        <is>
          <t>KRPUS</t>
        </is>
      </c>
      <c r="J115" s="96" t="inlineStr">
        <is>
          <t>JPMOJ</t>
        </is>
      </c>
      <c r="K115" s="96" t="inlineStr">
        <is>
          <t>F</t>
        </is>
      </c>
      <c r="L115" s="96" t="inlineStr">
        <is>
          <t>ONE</t>
        </is>
      </c>
      <c r="M115" s="96" t="inlineStr">
        <is>
          <t>VFL</t>
        </is>
      </c>
      <c r="N115" s="96" t="inlineStr">
        <is>
          <t>LCH06</t>
        </is>
      </c>
      <c r="O115" s="96" t="inlineStr">
        <is>
          <t>LCH</t>
        </is>
      </c>
      <c r="P115" s="96" t="inlineStr">
        <is>
          <t>TH</t>
        </is>
      </c>
      <c r="Q115" s="96" t="inlineStr">
        <is>
          <t>HASLS22260901582</t>
        </is>
      </c>
      <c r="R115" s="96" t="inlineStr">
        <is>
          <t>Y</t>
        </is>
      </c>
      <c r="S115" s="96" t="inlineStr">
        <is>
          <t>N</t>
        </is>
      </c>
      <c r="T115" s="96" t="inlineStr">
        <is>
          <t>PCI</t>
        </is>
      </c>
      <c r="U115" s="97" t="n"/>
      <c r="V115" s="96" t="inlineStr">
        <is>
          <t>K0120021</t>
        </is>
      </c>
      <c r="W115" s="96" t="inlineStr">
        <is>
          <t>THAI POLYETHYLENE CO.,LTD.</t>
        </is>
      </c>
      <c r="X115" s="96" t="inlineStr">
        <is>
          <t>VFD</t>
        </is>
      </c>
      <c r="Y115" s="96" t="inlineStr">
        <is>
          <t>TOYOTSU CHEMIPLAS CORPORATION,</t>
        </is>
      </c>
      <c r="Z115" s="96" t="inlineStr">
        <is>
          <t>TOYOTSU CHEMIPLAS CORPORATION,</t>
        </is>
      </c>
      <c r="AA115" s="97" t="n">
        <v>15147</v>
      </c>
      <c r="AB115" s="96" t="inlineStr">
        <is>
          <t>LCH06</t>
        </is>
      </c>
      <c r="AC115" s="96" t="inlineStr">
        <is>
          <t>MOJ02</t>
        </is>
      </c>
    </row>
    <row r="116" ht="12" customHeight="1">
      <c r="A116" s="96" t="inlineStr">
        <is>
          <t>SKLU1614448</t>
        </is>
      </c>
      <c r="B116" s="161" t="inlineStr">
        <is>
          <t>2026-10-07</t>
        </is>
      </c>
      <c r="C116" s="96" t="inlineStr">
        <is>
          <t>SWVG</t>
        </is>
      </c>
      <c r="D116" s="96" t="inlineStr">
        <is>
          <t>2612N</t>
        </is>
      </c>
      <c r="E116" s="96" t="inlineStr">
        <is>
          <t>22GP</t>
        </is>
      </c>
      <c r="F116" s="96" t="inlineStr">
        <is>
          <t>SD</t>
        </is>
      </c>
      <c r="G116" s="96" t="inlineStr">
        <is>
          <t>THLCH</t>
        </is>
      </c>
      <c r="H116" s="96" t="inlineStr">
        <is>
          <t>THLCH</t>
        </is>
      </c>
      <c r="I116" s="96" t="inlineStr">
        <is>
          <t>CNSHA</t>
        </is>
      </c>
      <c r="J116" s="96" t="inlineStr">
        <is>
          <t>CNSHA</t>
        </is>
      </c>
      <c r="K116" s="96" t="inlineStr">
        <is>
          <t>F</t>
        </is>
      </c>
      <c r="L116" s="96" t="inlineStr">
        <is>
          <t>ONE</t>
        </is>
      </c>
      <c r="M116" s="96" t="inlineStr">
        <is>
          <t>VFL</t>
        </is>
      </c>
      <c r="N116" s="96" t="inlineStr">
        <is>
          <t>LCH06</t>
        </is>
      </c>
      <c r="O116" s="96" t="inlineStr">
        <is>
          <t>LCH</t>
        </is>
      </c>
      <c r="P116" s="96" t="inlineStr">
        <is>
          <t>TH</t>
        </is>
      </c>
      <c r="Q116" s="96" t="inlineStr">
        <is>
          <t>HASLS22260902243</t>
        </is>
      </c>
      <c r="R116" s="96" t="inlineStr">
        <is>
          <t>N</t>
        </is>
      </c>
      <c r="S116" s="96" t="inlineStr">
        <is>
          <t>N</t>
        </is>
      </c>
      <c r="T116" s="96" t="inlineStr">
        <is>
          <t>PCI</t>
        </is>
      </c>
      <c r="U116" s="97" t="n"/>
      <c r="V116" s="96" t="inlineStr">
        <is>
          <t>K0120021</t>
        </is>
      </c>
      <c r="W116" s="96" t="inlineStr">
        <is>
          <t>MITSUBISHI ELECTRIC SIAM COMPRESSOR</t>
        </is>
      </c>
      <c r="X116" s="96" t="inlineStr">
        <is>
          <t>VED</t>
        </is>
      </c>
      <c r="Y116" s="96" t="inlineStr">
        <is>
          <t>GENERAL AIR CONDITIONING</t>
        </is>
      </c>
      <c r="Z116" s="96" t="inlineStr">
        <is>
          <t>GENERAL AIR CONDITIONING</t>
        </is>
      </c>
      <c r="AA116" s="97" t="n">
        <v>18757.264</v>
      </c>
      <c r="AB116" s="96" t="inlineStr">
        <is>
          <t>LCH06</t>
        </is>
      </c>
      <c r="AC116" s="96" t="inlineStr">
        <is>
          <t>SHAW5</t>
        </is>
      </c>
    </row>
    <row r="117" ht="12" customHeight="1">
      <c r="A117" s="96" t="inlineStr">
        <is>
          <t>SKLU1619666</t>
        </is>
      </c>
      <c r="B117" s="161" t="inlineStr">
        <is>
          <t>2026-10-07</t>
        </is>
      </c>
      <c r="C117" s="96" t="inlineStr">
        <is>
          <t>SWVG</t>
        </is>
      </c>
      <c r="D117" s="96" t="inlineStr">
        <is>
          <t>2612N</t>
        </is>
      </c>
      <c r="E117" s="96" t="inlineStr">
        <is>
          <t>22GP</t>
        </is>
      </c>
      <c r="F117" s="96" t="inlineStr">
        <is>
          <t>SD</t>
        </is>
      </c>
      <c r="G117" s="96" t="inlineStr">
        <is>
          <t>THLCH</t>
        </is>
      </c>
      <c r="H117" s="96" t="inlineStr">
        <is>
          <t>THLCH</t>
        </is>
      </c>
      <c r="I117" s="96" t="inlineStr">
        <is>
          <t>KRPUS</t>
        </is>
      </c>
      <c r="J117" s="96" t="inlineStr">
        <is>
          <t>JPMOJ</t>
        </is>
      </c>
      <c r="K117" s="96" t="inlineStr">
        <is>
          <t>F</t>
        </is>
      </c>
      <c r="L117" s="96" t="inlineStr">
        <is>
          <t>ONE</t>
        </is>
      </c>
      <c r="M117" s="96" t="inlineStr">
        <is>
          <t>VFL</t>
        </is>
      </c>
      <c r="N117" s="96" t="inlineStr">
        <is>
          <t>LCH06</t>
        </is>
      </c>
      <c r="O117" s="96" t="inlineStr">
        <is>
          <t>LCH</t>
        </is>
      </c>
      <c r="P117" s="96" t="inlineStr">
        <is>
          <t>TH</t>
        </is>
      </c>
      <c r="Q117" s="96" t="inlineStr">
        <is>
          <t>HASLS22260901582</t>
        </is>
      </c>
      <c r="R117" s="96" t="inlineStr">
        <is>
          <t>Y</t>
        </is>
      </c>
      <c r="S117" s="96" t="inlineStr">
        <is>
          <t>N</t>
        </is>
      </c>
      <c r="T117" s="96" t="inlineStr">
        <is>
          <t>PCI</t>
        </is>
      </c>
      <c r="U117" s="97" t="n"/>
      <c r="V117" s="96" t="inlineStr">
        <is>
          <t>K0120021</t>
        </is>
      </c>
      <c r="W117" s="96" t="inlineStr">
        <is>
          <t>THAI POLYETHYLENE CO.,LTD.</t>
        </is>
      </c>
      <c r="X117" s="96" t="inlineStr">
        <is>
          <t>VFD</t>
        </is>
      </c>
      <c r="Y117" s="96" t="inlineStr">
        <is>
          <t>TOYOTSU CHEMIPLAS CORPORATION,</t>
        </is>
      </c>
      <c r="Z117" s="96" t="inlineStr">
        <is>
          <t>TOYOTSU CHEMIPLAS CORPORATION,</t>
        </is>
      </c>
      <c r="AA117" s="97" t="n">
        <v>15147</v>
      </c>
      <c r="AB117" s="96" t="inlineStr">
        <is>
          <t>LCH06</t>
        </is>
      </c>
      <c r="AC117" s="96" t="inlineStr">
        <is>
          <t>MOJ02</t>
        </is>
      </c>
    </row>
    <row r="118" ht="12" customHeight="1">
      <c r="A118" s="96" t="inlineStr">
        <is>
          <t>SKLU1822713</t>
        </is>
      </c>
      <c r="B118" s="161" t="inlineStr">
        <is>
          <t>2026-10-07</t>
        </is>
      </c>
      <c r="C118" s="96" t="inlineStr">
        <is>
          <t>SWVG</t>
        </is>
      </c>
      <c r="D118" s="96" t="inlineStr">
        <is>
          <t>2612N</t>
        </is>
      </c>
      <c r="E118" s="96" t="inlineStr">
        <is>
          <t>22GP</t>
        </is>
      </c>
      <c r="F118" s="96" t="inlineStr">
        <is>
          <t>SD</t>
        </is>
      </c>
      <c r="G118" s="96" t="inlineStr">
        <is>
          <t>THLCH</t>
        </is>
      </c>
      <c r="H118" s="96" t="inlineStr">
        <is>
          <t>THLCH</t>
        </is>
      </c>
      <c r="I118" s="96" t="inlineStr">
        <is>
          <t>CNSHA</t>
        </is>
      </c>
      <c r="J118" s="96" t="inlineStr">
        <is>
          <t>CNSHA</t>
        </is>
      </c>
      <c r="K118" s="96" t="inlineStr">
        <is>
          <t>F</t>
        </is>
      </c>
      <c r="L118" s="96" t="inlineStr">
        <is>
          <t>ONE</t>
        </is>
      </c>
      <c r="M118" s="96" t="inlineStr">
        <is>
          <t>VFL</t>
        </is>
      </c>
      <c r="N118" s="96" t="inlineStr">
        <is>
          <t>LCH06</t>
        </is>
      </c>
      <c r="O118" s="96" t="inlineStr">
        <is>
          <t>LCH</t>
        </is>
      </c>
      <c r="P118" s="96" t="inlineStr">
        <is>
          <t>TH</t>
        </is>
      </c>
      <c r="Q118" s="96" t="inlineStr">
        <is>
          <t>HASLS22260901781</t>
        </is>
      </c>
      <c r="R118" s="96" t="inlineStr">
        <is>
          <t>N</t>
        </is>
      </c>
      <c r="S118" s="96" t="inlineStr">
        <is>
          <t>N</t>
        </is>
      </c>
      <c r="T118" s="96" t="inlineStr">
        <is>
          <t>PCI</t>
        </is>
      </c>
      <c r="U118" s="97" t="n"/>
      <c r="V118" s="96" t="inlineStr">
        <is>
          <t>K0120021</t>
        </is>
      </c>
      <c r="W118" s="96" t="inlineStr">
        <is>
          <t>THAI POLYETHYLENE CO., LTD.</t>
        </is>
      </c>
      <c r="X118" s="96" t="inlineStr">
        <is>
          <t>VED</t>
        </is>
      </c>
      <c r="Y118" s="96" t="inlineStr">
        <is>
          <t>SHANGHAI QIZHENG INTERNATIONAL</t>
        </is>
      </c>
      <c r="Z118" s="96" t="inlineStr">
        <is>
          <t>SHANGHAI QIZHENG INTERNATIONAL</t>
        </is>
      </c>
      <c r="AA118" s="97" t="n">
        <v>17088.4</v>
      </c>
      <c r="AB118" s="96" t="inlineStr">
        <is>
          <t>LCH06</t>
        </is>
      </c>
      <c r="AC118" s="96" t="inlineStr">
        <is>
          <t>SHAW5</t>
        </is>
      </c>
    </row>
    <row r="119" ht="12" customHeight="1">
      <c r="A119" s="96" t="inlineStr">
        <is>
          <t>SKLU1914168</t>
        </is>
      </c>
      <c r="B119" s="161" t="inlineStr">
        <is>
          <t>2026-10-07</t>
        </is>
      </c>
      <c r="C119" s="96" t="inlineStr">
        <is>
          <t>SWVG</t>
        </is>
      </c>
      <c r="D119" s="96" t="inlineStr">
        <is>
          <t>2612N</t>
        </is>
      </c>
      <c r="E119" s="96" t="inlineStr">
        <is>
          <t>22GP</t>
        </is>
      </c>
      <c r="F119" s="96" t="inlineStr">
        <is>
          <t>SD</t>
        </is>
      </c>
      <c r="G119" s="96" t="inlineStr">
        <is>
          <t>THSRP</t>
        </is>
      </c>
      <c r="H119" s="96" t="inlineStr">
        <is>
          <t>THLCH</t>
        </is>
      </c>
      <c r="I119" s="96" t="inlineStr">
        <is>
          <t>CNSHA</t>
        </is>
      </c>
      <c r="J119" s="96" t="inlineStr">
        <is>
          <t>CNSHA</t>
        </is>
      </c>
      <c r="K119" s="96" t="inlineStr">
        <is>
          <t>F</t>
        </is>
      </c>
      <c r="L119" s="96" t="inlineStr">
        <is>
          <t>ONE</t>
        </is>
      </c>
      <c r="M119" s="96" t="inlineStr">
        <is>
          <t>VFL</t>
        </is>
      </c>
      <c r="N119" s="96" t="inlineStr">
        <is>
          <t>LCH06</t>
        </is>
      </c>
      <c r="O119" s="96" t="inlineStr">
        <is>
          <t>LCH</t>
        </is>
      </c>
      <c r="P119" s="96" t="inlineStr">
        <is>
          <t>TH</t>
        </is>
      </c>
      <c r="Q119" s="96" t="inlineStr">
        <is>
          <t>HASLS22260901104</t>
        </is>
      </c>
      <c r="R119" s="96" t="inlineStr">
        <is>
          <t>N</t>
        </is>
      </c>
      <c r="S119" s="96" t="inlineStr">
        <is>
          <t>N</t>
        </is>
      </c>
      <c r="T119" s="96" t="inlineStr">
        <is>
          <t>PCI</t>
        </is>
      </c>
      <c r="U119" s="97" t="n"/>
      <c r="V119" s="96" t="inlineStr">
        <is>
          <t>K0120021</t>
        </is>
      </c>
      <c r="W119" s="96" t="inlineStr">
        <is>
          <t>RAK SYSCOM (THAILAND) CO., LTD.</t>
        </is>
      </c>
      <c r="X119" s="96" t="inlineStr">
        <is>
          <t>VFD</t>
        </is>
      </c>
      <c r="Y119" s="96" t="inlineStr">
        <is>
          <t>ZHANGJIAGANG FREE TRADE ZONE</t>
        </is>
      </c>
      <c r="Z119" s="96" t="inlineStr">
        <is>
          <t>YAY INTERNATIONAL LIMITED</t>
        </is>
      </c>
      <c r="AA119" s="97" t="n">
        <v>22660</v>
      </c>
      <c r="AB119" s="96" t="inlineStr">
        <is>
          <t>LCH06</t>
        </is>
      </c>
      <c r="AC119" s="96" t="inlineStr">
        <is>
          <t>SHAW5</t>
        </is>
      </c>
    </row>
    <row r="120" ht="12" customHeight="1">
      <c r="A120" s="96" t="inlineStr">
        <is>
          <t>SKLU1948147</t>
        </is>
      </c>
      <c r="B120" s="161" t="inlineStr">
        <is>
          <t>2026-10-07</t>
        </is>
      </c>
      <c r="C120" s="96" t="inlineStr">
        <is>
          <t>SWVG</t>
        </is>
      </c>
      <c r="D120" s="96" t="inlineStr">
        <is>
          <t>2612N</t>
        </is>
      </c>
      <c r="E120" s="96" t="inlineStr">
        <is>
          <t>22GP</t>
        </is>
      </c>
      <c r="F120" s="96" t="inlineStr">
        <is>
          <t>SD</t>
        </is>
      </c>
      <c r="G120" s="96" t="inlineStr">
        <is>
          <t>THLCH</t>
        </is>
      </c>
      <c r="H120" s="96" t="inlineStr">
        <is>
          <t>THLCH</t>
        </is>
      </c>
      <c r="I120" s="96" t="inlineStr">
        <is>
          <t>CNSHA</t>
        </is>
      </c>
      <c r="J120" s="96" t="inlineStr">
        <is>
          <t>CNSHA</t>
        </is>
      </c>
      <c r="K120" s="96" t="inlineStr">
        <is>
          <t>F</t>
        </is>
      </c>
      <c r="L120" s="96" t="inlineStr">
        <is>
          <t>ONE</t>
        </is>
      </c>
      <c r="M120" s="96" t="inlineStr">
        <is>
          <t>VFL</t>
        </is>
      </c>
      <c r="N120" s="96" t="inlineStr">
        <is>
          <t>LCH06</t>
        </is>
      </c>
      <c r="O120" s="96" t="inlineStr">
        <is>
          <t>LCH</t>
        </is>
      </c>
      <c r="P120" s="96" t="inlineStr">
        <is>
          <t>TH</t>
        </is>
      </c>
      <c r="Q120" s="96" t="inlineStr">
        <is>
          <t>HASLS22260902022</t>
        </is>
      </c>
      <c r="R120" s="96" t="inlineStr">
        <is>
          <t>N</t>
        </is>
      </c>
      <c r="S120" s="96" t="inlineStr">
        <is>
          <t>N</t>
        </is>
      </c>
      <c r="T120" s="96" t="inlineStr">
        <is>
          <t>PCI</t>
        </is>
      </c>
      <c r="U120" s="97" t="n"/>
      <c r="V120" s="96" t="inlineStr">
        <is>
          <t>K0120021</t>
        </is>
      </c>
      <c r="W120" s="96" t="inlineStr">
        <is>
          <t>CHUKYO YUSHI (THAILAND) CO., LTD.</t>
        </is>
      </c>
      <c r="X120" s="96" t="inlineStr">
        <is>
          <t>VED</t>
        </is>
      </c>
      <c r="Y120" s="96" t="inlineStr">
        <is>
          <t>SHANGHAI NET CHEMICAL CO.,LTD.</t>
        </is>
      </c>
      <c r="Z120" s="96" t="inlineStr">
        <is>
          <t>SHANGHAI NET CHEMICAL CO.,LTD.</t>
        </is>
      </c>
      <c r="AA120" s="97" t="n">
        <v>13660</v>
      </c>
      <c r="AB120" s="96" t="inlineStr">
        <is>
          <t>LCH06</t>
        </is>
      </c>
      <c r="AC120" s="96" t="inlineStr">
        <is>
          <t>SHAW5</t>
        </is>
      </c>
    </row>
    <row r="121" ht="12" customHeight="1">
      <c r="A121" s="96" t="inlineStr">
        <is>
          <t>SKLU2075931</t>
        </is>
      </c>
      <c r="B121" s="161" t="inlineStr">
        <is>
          <t>2026-10-07</t>
        </is>
      </c>
      <c r="C121" s="96" t="inlineStr">
        <is>
          <t>SWVG</t>
        </is>
      </c>
      <c r="D121" s="96" t="inlineStr">
        <is>
          <t>2612N</t>
        </is>
      </c>
      <c r="E121" s="96" t="inlineStr">
        <is>
          <t>22GP</t>
        </is>
      </c>
      <c r="F121" s="96" t="inlineStr">
        <is>
          <t>SD</t>
        </is>
      </c>
      <c r="G121" s="96" t="inlineStr">
        <is>
          <t>THSRP</t>
        </is>
      </c>
      <c r="H121" s="96" t="inlineStr">
        <is>
          <t>THLCH</t>
        </is>
      </c>
      <c r="I121" s="96" t="inlineStr">
        <is>
          <t>CNSHA</t>
        </is>
      </c>
      <c r="J121" s="96" t="inlineStr">
        <is>
          <t>CNSHA</t>
        </is>
      </c>
      <c r="K121" s="96" t="inlineStr">
        <is>
          <t>F</t>
        </is>
      </c>
      <c r="L121" s="96" t="inlineStr">
        <is>
          <t>ONE</t>
        </is>
      </c>
      <c r="M121" s="96" t="inlineStr">
        <is>
          <t>VFL</t>
        </is>
      </c>
      <c r="N121" s="96" t="inlineStr">
        <is>
          <t>LCH06</t>
        </is>
      </c>
      <c r="O121" s="96" t="inlineStr">
        <is>
          <t>LCH</t>
        </is>
      </c>
      <c r="P121" s="96" t="inlineStr">
        <is>
          <t>TH</t>
        </is>
      </c>
      <c r="Q121" s="96" t="inlineStr">
        <is>
          <t>HASLS22260901104</t>
        </is>
      </c>
      <c r="R121" s="96" t="inlineStr">
        <is>
          <t>N</t>
        </is>
      </c>
      <c r="S121" s="96" t="inlineStr">
        <is>
          <t>N</t>
        </is>
      </c>
      <c r="T121" s="96" t="inlineStr">
        <is>
          <t>PCI</t>
        </is>
      </c>
      <c r="U121" s="97" t="n"/>
      <c r="V121" s="96" t="inlineStr">
        <is>
          <t>K0120021</t>
        </is>
      </c>
      <c r="W121" s="96" t="inlineStr">
        <is>
          <t>RAK SYSCOM (THAILAND) CO., LTD.</t>
        </is>
      </c>
      <c r="X121" s="96" t="inlineStr">
        <is>
          <t>VFD</t>
        </is>
      </c>
      <c r="Y121" s="96" t="inlineStr">
        <is>
          <t>ZHANGJIAGANG FREE TRADE ZONE</t>
        </is>
      </c>
      <c r="Z121" s="96" t="inlineStr">
        <is>
          <t>YAY INTERNATIONAL LIMITED</t>
        </is>
      </c>
      <c r="AA121" s="97" t="n">
        <v>22590</v>
      </c>
      <c r="AB121" s="96" t="inlineStr">
        <is>
          <t>LCH06</t>
        </is>
      </c>
      <c r="AC121" s="96" t="inlineStr">
        <is>
          <t>SHAW5</t>
        </is>
      </c>
    </row>
    <row r="122" ht="12" customHeight="1">
      <c r="A122" s="96" t="inlineStr">
        <is>
          <t>SKLU2112212</t>
        </is>
      </c>
      <c r="B122" s="161" t="inlineStr">
        <is>
          <t>2026-10-07</t>
        </is>
      </c>
      <c r="C122" s="96" t="inlineStr">
        <is>
          <t>SWVG</t>
        </is>
      </c>
      <c r="D122" s="96" t="inlineStr">
        <is>
          <t>2612N</t>
        </is>
      </c>
      <c r="E122" s="96" t="inlineStr">
        <is>
          <t>22GP</t>
        </is>
      </c>
      <c r="F122" s="96" t="inlineStr">
        <is>
          <t>SD</t>
        </is>
      </c>
      <c r="G122" s="96" t="inlineStr">
        <is>
          <t>THLCH</t>
        </is>
      </c>
      <c r="H122" s="96" t="inlineStr">
        <is>
          <t>THLCH</t>
        </is>
      </c>
      <c r="I122" s="96" t="inlineStr">
        <is>
          <t>CNSHA</t>
        </is>
      </c>
      <c r="J122" s="96" t="inlineStr">
        <is>
          <t>CNSHA</t>
        </is>
      </c>
      <c r="K122" s="96" t="inlineStr">
        <is>
          <t>F</t>
        </is>
      </c>
      <c r="L122" s="96" t="inlineStr">
        <is>
          <t>ONE</t>
        </is>
      </c>
      <c r="M122" s="96" t="inlineStr">
        <is>
          <t>VFL</t>
        </is>
      </c>
      <c r="N122" s="96" t="inlineStr">
        <is>
          <t>LCH06</t>
        </is>
      </c>
      <c r="O122" s="96" t="inlineStr">
        <is>
          <t>LCH</t>
        </is>
      </c>
      <c r="P122" s="96" t="inlineStr">
        <is>
          <t>TH</t>
        </is>
      </c>
      <c r="Q122" s="96" t="inlineStr">
        <is>
          <t>HASLS22260902147</t>
        </is>
      </c>
      <c r="R122" s="96" t="inlineStr">
        <is>
          <t>N</t>
        </is>
      </c>
      <c r="S122" s="96" t="inlineStr">
        <is>
          <t>N</t>
        </is>
      </c>
      <c r="T122" s="96" t="inlineStr">
        <is>
          <t>PCI</t>
        </is>
      </c>
      <c r="U122" s="97" t="n"/>
      <c r="V122" s="96" t="inlineStr">
        <is>
          <t>K0120021</t>
        </is>
      </c>
      <c r="W122" s="96" t="inlineStr">
        <is>
          <t>DOUBLE A (1991) PUBLIC COMPANY</t>
        </is>
      </c>
      <c r="X122" s="96" t="inlineStr">
        <is>
          <t>VFD</t>
        </is>
      </c>
      <c r="Y122" s="96" t="inlineStr">
        <is>
          <t>DOUBLE A INTERNATIONAL TRADING</t>
        </is>
      </c>
      <c r="Z122" s="96" t="inlineStr">
        <is>
          <t>DOUBLE A INTERNATIONAL TRADING</t>
        </is>
      </c>
      <c r="AA122" s="97" t="n">
        <v>16185</v>
      </c>
      <c r="AB122" s="96" t="inlineStr">
        <is>
          <t>LCH06</t>
        </is>
      </c>
      <c r="AC122" s="96" t="inlineStr">
        <is>
          <t>SHAW5</t>
        </is>
      </c>
    </row>
    <row r="123" ht="12" customHeight="1">
      <c r="A123" s="96" t="inlineStr">
        <is>
          <t>SKLU2125992</t>
        </is>
      </c>
      <c r="B123" s="161" t="inlineStr">
        <is>
          <t>2026-10-07</t>
        </is>
      </c>
      <c r="C123" s="96" t="inlineStr">
        <is>
          <t>SWVG</t>
        </is>
      </c>
      <c r="D123" s="96" t="inlineStr">
        <is>
          <t>2612N</t>
        </is>
      </c>
      <c r="E123" s="96" t="inlineStr">
        <is>
          <t>22GP</t>
        </is>
      </c>
      <c r="F123" s="96" t="inlineStr">
        <is>
          <t>SD</t>
        </is>
      </c>
      <c r="G123" s="96" t="inlineStr">
        <is>
          <t>THLCH</t>
        </is>
      </c>
      <c r="H123" s="96" t="inlineStr">
        <is>
          <t>THLCH</t>
        </is>
      </c>
      <c r="I123" s="96" t="inlineStr">
        <is>
          <t>KRPUS</t>
        </is>
      </c>
      <c r="J123" s="96" t="inlineStr">
        <is>
          <t>JPHHE</t>
        </is>
      </c>
      <c r="K123" s="96" t="inlineStr">
        <is>
          <t>F</t>
        </is>
      </c>
      <c r="L123" s="96" t="inlineStr">
        <is>
          <t>ONE</t>
        </is>
      </c>
      <c r="M123" s="96" t="inlineStr">
        <is>
          <t>VFL</t>
        </is>
      </c>
      <c r="N123" s="96" t="inlineStr">
        <is>
          <t>LCH06</t>
        </is>
      </c>
      <c r="O123" s="96" t="inlineStr">
        <is>
          <t>LCH</t>
        </is>
      </c>
      <c r="P123" s="96" t="inlineStr">
        <is>
          <t>TH</t>
        </is>
      </c>
      <c r="Q123" s="96" t="inlineStr">
        <is>
          <t>HASLS22260902059</t>
        </is>
      </c>
      <c r="R123" s="96" t="inlineStr">
        <is>
          <t>Y</t>
        </is>
      </c>
      <c r="S123" s="96" t="inlineStr">
        <is>
          <t>N</t>
        </is>
      </c>
      <c r="T123" s="96" t="inlineStr">
        <is>
          <t>PCI</t>
        </is>
      </c>
      <c r="U123" s="97" t="n"/>
      <c r="V123" s="96" t="inlineStr">
        <is>
          <t>K0120021</t>
        </is>
      </c>
      <c r="W123" s="96" t="inlineStr">
        <is>
          <t>THAI POLYETHYLENE CO.,LTD.</t>
        </is>
      </c>
      <c r="X123" s="96" t="inlineStr">
        <is>
          <t>VED</t>
        </is>
      </c>
      <c r="Y123" s="96" t="inlineStr">
        <is>
          <t>MARUBENI INNOVEXIS CORPORATION</t>
        </is>
      </c>
      <c r="Z123" s="96" t="inlineStr">
        <is>
          <t>MARUBENI INNOVEXIS CORPORATION</t>
        </is>
      </c>
      <c r="AA123" s="97" t="n">
        <v>15147</v>
      </c>
      <c r="AB123" s="96" t="inlineStr">
        <is>
          <t>LCH06</t>
        </is>
      </c>
      <c r="AC123" s="96" t="inlineStr">
        <is>
          <t>HHE01</t>
        </is>
      </c>
    </row>
    <row r="124" ht="12" customHeight="1">
      <c r="A124" s="96" t="inlineStr">
        <is>
          <t>SKLU2303034</t>
        </is>
      </c>
      <c r="B124" s="161" t="inlineStr">
        <is>
          <t>2026-10-07</t>
        </is>
      </c>
      <c r="C124" s="96" t="inlineStr">
        <is>
          <t>SWVG</t>
        </is>
      </c>
      <c r="D124" s="96" t="inlineStr">
        <is>
          <t>2612N</t>
        </is>
      </c>
      <c r="E124" s="96" t="inlineStr">
        <is>
          <t>22GP</t>
        </is>
      </c>
      <c r="F124" s="96" t="inlineStr">
        <is>
          <t>SD</t>
        </is>
      </c>
      <c r="G124" s="96" t="inlineStr">
        <is>
          <t>THLCH</t>
        </is>
      </c>
      <c r="H124" s="96" t="inlineStr">
        <is>
          <t>THLCH</t>
        </is>
      </c>
      <c r="I124" s="96" t="inlineStr">
        <is>
          <t>CNSHA</t>
        </is>
      </c>
      <c r="J124" s="96" t="inlineStr">
        <is>
          <t>CNSHA</t>
        </is>
      </c>
      <c r="K124" s="96" t="inlineStr">
        <is>
          <t>F</t>
        </is>
      </c>
      <c r="L124" s="96" t="inlineStr">
        <is>
          <t>ONE</t>
        </is>
      </c>
      <c r="M124" s="96" t="inlineStr">
        <is>
          <t>VFL</t>
        </is>
      </c>
      <c r="N124" s="96" t="inlineStr">
        <is>
          <t>LCH06</t>
        </is>
      </c>
      <c r="O124" s="96" t="inlineStr">
        <is>
          <t>LCH</t>
        </is>
      </c>
      <c r="P124" s="96" t="inlineStr">
        <is>
          <t>TH</t>
        </is>
      </c>
      <c r="Q124" s="96" t="inlineStr">
        <is>
          <t>HASLS22260900208</t>
        </is>
      </c>
      <c r="R124" s="96" t="inlineStr">
        <is>
          <t>N</t>
        </is>
      </c>
      <c r="S124" s="96" t="inlineStr">
        <is>
          <t>N</t>
        </is>
      </c>
      <c r="T124" s="96" t="inlineStr">
        <is>
          <t>PCI</t>
        </is>
      </c>
      <c r="U124" s="97" t="n"/>
      <c r="V124" s="96" t="inlineStr">
        <is>
          <t>K0120021</t>
        </is>
      </c>
      <c r="W124" s="96" t="inlineStr">
        <is>
          <t>EXPEDITORS THAILAND LTD.</t>
        </is>
      </c>
      <c r="X124" s="96" t="inlineStr">
        <is>
          <t>VED</t>
        </is>
      </c>
      <c r="Y124" s="96" t="inlineStr">
        <is>
          <t>BEIJING KANG JIE KONG INTERNATIONAL</t>
        </is>
      </c>
      <c r="Z124" s="96" t="inlineStr">
        <is>
          <t>BEIJING KANG JIE KONG INTERNATIONAL</t>
        </is>
      </c>
      <c r="AA124" s="97" t="n">
        <v>3076.5</v>
      </c>
      <c r="AB124" s="96" t="inlineStr">
        <is>
          <t>LCH06</t>
        </is>
      </c>
      <c r="AC124" s="96" t="inlineStr">
        <is>
          <t>SHAW5</t>
        </is>
      </c>
    </row>
    <row r="125" ht="12" customHeight="1">
      <c r="A125" s="96" t="inlineStr">
        <is>
          <t>SKLU2361365</t>
        </is>
      </c>
      <c r="B125" s="161" t="inlineStr">
        <is>
          <t>2026-10-07</t>
        </is>
      </c>
      <c r="C125" s="96" t="inlineStr">
        <is>
          <t>SWVG</t>
        </is>
      </c>
      <c r="D125" s="96" t="inlineStr">
        <is>
          <t>2612N</t>
        </is>
      </c>
      <c r="E125" s="96" t="inlineStr">
        <is>
          <t>22GP</t>
        </is>
      </c>
      <c r="F125" s="96" t="inlineStr">
        <is>
          <t>SD</t>
        </is>
      </c>
      <c r="G125" s="96" t="inlineStr">
        <is>
          <t>THLCH</t>
        </is>
      </c>
      <c r="H125" s="96" t="inlineStr">
        <is>
          <t>THLCH</t>
        </is>
      </c>
      <c r="I125" s="96" t="inlineStr">
        <is>
          <t>KRPUS</t>
        </is>
      </c>
      <c r="J125" s="96" t="inlineStr">
        <is>
          <t>JPNGO</t>
        </is>
      </c>
      <c r="K125" s="96" t="inlineStr">
        <is>
          <t>F</t>
        </is>
      </c>
      <c r="L125" s="96" t="inlineStr">
        <is>
          <t>ONE</t>
        </is>
      </c>
      <c r="M125" s="96" t="inlineStr">
        <is>
          <t>VFL</t>
        </is>
      </c>
      <c r="N125" s="96" t="inlineStr">
        <is>
          <t>LCH06</t>
        </is>
      </c>
      <c r="O125" s="96" t="inlineStr">
        <is>
          <t>LCH</t>
        </is>
      </c>
      <c r="P125" s="96" t="inlineStr">
        <is>
          <t>TH</t>
        </is>
      </c>
      <c r="Q125" s="96" t="inlineStr">
        <is>
          <t>HASLS22260900438</t>
        </is>
      </c>
      <c r="R125" s="96" t="inlineStr">
        <is>
          <t>Y</t>
        </is>
      </c>
      <c r="S125" s="96" t="inlineStr">
        <is>
          <t>N</t>
        </is>
      </c>
      <c r="T125" s="96" t="inlineStr">
        <is>
          <t>PCI</t>
        </is>
      </c>
      <c r="U125" s="97" t="n"/>
      <c r="V125" s="96" t="inlineStr">
        <is>
          <t>K0120021</t>
        </is>
      </c>
      <c r="W125" s="96" t="inlineStr">
        <is>
          <t>SIAM POLYETHYLENE CO., LTD.</t>
        </is>
      </c>
      <c r="X125" s="96" t="inlineStr">
        <is>
          <t>ONL</t>
        </is>
      </c>
      <c r="Y125" s="96" t="inlineStr">
        <is>
          <t>DOW CHEMICAL JAPAN LIMITED</t>
        </is>
      </c>
      <c r="Z125" s="96" t="inlineStr">
        <is>
          <t>THE SHIBUSAWA WAREHOUSE CO., LTD.</t>
        </is>
      </c>
      <c r="AA125" s="97" t="n">
        <v>16960</v>
      </c>
      <c r="AB125" s="96" t="inlineStr">
        <is>
          <t>LCH06</t>
        </is>
      </c>
      <c r="AC125" s="96" t="inlineStr">
        <is>
          <t>NGO03</t>
        </is>
      </c>
    </row>
    <row r="126" ht="12" customHeight="1">
      <c r="A126" s="96" t="inlineStr">
        <is>
          <t>SKLU2409216</t>
        </is>
      </c>
      <c r="B126" s="161" t="inlineStr">
        <is>
          <t>2026-10-07</t>
        </is>
      </c>
      <c r="C126" s="96" t="inlineStr">
        <is>
          <t>SWVG</t>
        </is>
      </c>
      <c r="D126" s="96" t="inlineStr">
        <is>
          <t>2612N</t>
        </is>
      </c>
      <c r="E126" s="96" t="inlineStr">
        <is>
          <t>22GP</t>
        </is>
      </c>
      <c r="F126" s="96" t="inlineStr">
        <is>
          <t>SD</t>
        </is>
      </c>
      <c r="G126" s="96" t="inlineStr">
        <is>
          <t>THLCH</t>
        </is>
      </c>
      <c r="H126" s="96" t="inlineStr">
        <is>
          <t>THLCH</t>
        </is>
      </c>
      <c r="I126" s="96" t="inlineStr">
        <is>
          <t>KRPUS</t>
        </is>
      </c>
      <c r="J126" s="96" t="inlineStr">
        <is>
          <t>JPNGO</t>
        </is>
      </c>
      <c r="K126" s="96" t="inlineStr">
        <is>
          <t>F</t>
        </is>
      </c>
      <c r="L126" s="96" t="inlineStr">
        <is>
          <t>ONE</t>
        </is>
      </c>
      <c r="M126" s="96" t="inlineStr">
        <is>
          <t>VFL</t>
        </is>
      </c>
      <c r="N126" s="96" t="inlineStr">
        <is>
          <t>LCH06</t>
        </is>
      </c>
      <c r="O126" s="96" t="inlineStr">
        <is>
          <t>LCH</t>
        </is>
      </c>
      <c r="P126" s="96" t="inlineStr">
        <is>
          <t>TH</t>
        </is>
      </c>
      <c r="Q126" s="96" t="inlineStr">
        <is>
          <t>HASLS22260900437</t>
        </is>
      </c>
      <c r="R126" s="96" t="inlineStr">
        <is>
          <t>Y</t>
        </is>
      </c>
      <c r="S126" s="96" t="inlineStr">
        <is>
          <t>N</t>
        </is>
      </c>
      <c r="T126" s="96" t="inlineStr">
        <is>
          <t>PCI</t>
        </is>
      </c>
      <c r="U126" s="97" t="n"/>
      <c r="V126" s="96" t="inlineStr">
        <is>
          <t>K0120021</t>
        </is>
      </c>
      <c r="W126" s="96" t="inlineStr">
        <is>
          <t>SIAM POLYETHYLENE CO., LTD.</t>
        </is>
      </c>
      <c r="X126" s="96" t="inlineStr">
        <is>
          <t>ONL</t>
        </is>
      </c>
      <c r="Y126" s="96" t="inlineStr">
        <is>
          <t>DOW CHEMICAL JAPAN LIMITED</t>
        </is>
      </c>
      <c r="Z126" s="96" t="inlineStr">
        <is>
          <t>THE SHIBUSAWA WAREHOUSE CO., LTD.</t>
        </is>
      </c>
      <c r="AA126" s="97" t="n">
        <v>16950</v>
      </c>
      <c r="AB126" s="96" t="inlineStr">
        <is>
          <t>LCH06</t>
        </is>
      </c>
      <c r="AC126" s="96" t="inlineStr">
        <is>
          <t>NGO03</t>
        </is>
      </c>
    </row>
    <row r="127" ht="12" customHeight="1">
      <c r="A127" s="96" t="inlineStr">
        <is>
          <t>SKLU2409833</t>
        </is>
      </c>
      <c r="B127" s="161" t="inlineStr">
        <is>
          <t>2026-10-07</t>
        </is>
      </c>
      <c r="C127" s="96" t="inlineStr">
        <is>
          <t>SWVG</t>
        </is>
      </c>
      <c r="D127" s="96" t="inlineStr">
        <is>
          <t>2612N</t>
        </is>
      </c>
      <c r="E127" s="96" t="inlineStr">
        <is>
          <t>22GP</t>
        </is>
      </c>
      <c r="F127" s="96" t="inlineStr">
        <is>
          <t>SD</t>
        </is>
      </c>
      <c r="G127" s="96" t="inlineStr">
        <is>
          <t>THLCH</t>
        </is>
      </c>
      <c r="H127" s="96" t="inlineStr">
        <is>
          <t>THLCH</t>
        </is>
      </c>
      <c r="I127" s="96" t="inlineStr">
        <is>
          <t>KRPUS</t>
        </is>
      </c>
      <c r="J127" s="96" t="inlineStr">
        <is>
          <t>JPMOJ</t>
        </is>
      </c>
      <c r="K127" s="96" t="inlineStr">
        <is>
          <t>F</t>
        </is>
      </c>
      <c r="L127" s="96" t="inlineStr">
        <is>
          <t>ONE</t>
        </is>
      </c>
      <c r="M127" s="96" t="inlineStr">
        <is>
          <t>VFL</t>
        </is>
      </c>
      <c r="N127" s="96" t="inlineStr">
        <is>
          <t>LCH06</t>
        </is>
      </c>
      <c r="O127" s="96" t="inlineStr">
        <is>
          <t>LCH</t>
        </is>
      </c>
      <c r="P127" s="96" t="inlineStr">
        <is>
          <t>TH</t>
        </is>
      </c>
      <c r="Q127" s="96" t="inlineStr">
        <is>
          <t>HASLS22260901582</t>
        </is>
      </c>
      <c r="R127" s="96" t="inlineStr">
        <is>
          <t>Y</t>
        </is>
      </c>
      <c r="S127" s="96" t="inlineStr">
        <is>
          <t>N</t>
        </is>
      </c>
      <c r="T127" s="96" t="inlineStr">
        <is>
          <t>PCI</t>
        </is>
      </c>
      <c r="U127" s="97" t="n"/>
      <c r="V127" s="96" t="inlineStr">
        <is>
          <t>K0120021</t>
        </is>
      </c>
      <c r="W127" s="96" t="inlineStr">
        <is>
          <t>THAI POLYETHYLENE CO.,LTD.</t>
        </is>
      </c>
      <c r="X127" s="96" t="inlineStr">
        <is>
          <t>VFD</t>
        </is>
      </c>
      <c r="Y127" s="96" t="inlineStr">
        <is>
          <t>TOYOTSU CHEMIPLAS CORPORATION,</t>
        </is>
      </c>
      <c r="Z127" s="96" t="inlineStr">
        <is>
          <t>TOYOTSU CHEMIPLAS CORPORATION,</t>
        </is>
      </c>
      <c r="AA127" s="97" t="n">
        <v>15147</v>
      </c>
      <c r="AB127" s="96" t="inlineStr">
        <is>
          <t>LCH06</t>
        </is>
      </c>
      <c r="AC127" s="96" t="inlineStr">
        <is>
          <t>MOJ02</t>
        </is>
      </c>
    </row>
    <row r="128" ht="12" customHeight="1">
      <c r="A128" s="96" t="inlineStr">
        <is>
          <t>SKLU2474000</t>
        </is>
      </c>
      <c r="B128" s="161" t="inlineStr">
        <is>
          <t>2026-10-07</t>
        </is>
      </c>
      <c r="C128" s="96" t="inlineStr">
        <is>
          <t>SWVG</t>
        </is>
      </c>
      <c r="D128" s="96" t="inlineStr">
        <is>
          <t>2612N</t>
        </is>
      </c>
      <c r="E128" s="96" t="inlineStr">
        <is>
          <t>22GP</t>
        </is>
      </c>
      <c r="F128" s="96" t="inlineStr">
        <is>
          <t>SD</t>
        </is>
      </c>
      <c r="G128" s="96" t="inlineStr">
        <is>
          <t>THLCH</t>
        </is>
      </c>
      <c r="H128" s="96" t="inlineStr">
        <is>
          <t>THLCH</t>
        </is>
      </c>
      <c r="I128" s="96" t="inlineStr">
        <is>
          <t>KRPUS</t>
        </is>
      </c>
      <c r="J128" s="96" t="inlineStr">
        <is>
          <t>JPTMK</t>
        </is>
      </c>
      <c r="K128" s="96" t="inlineStr">
        <is>
          <t>F</t>
        </is>
      </c>
      <c r="L128" s="96" t="inlineStr">
        <is>
          <t>ONE</t>
        </is>
      </c>
      <c r="M128" s="96" t="inlineStr">
        <is>
          <t>VFL</t>
        </is>
      </c>
      <c r="N128" s="96" t="inlineStr">
        <is>
          <t>LCH06</t>
        </is>
      </c>
      <c r="O128" s="96" t="inlineStr">
        <is>
          <t>LCH</t>
        </is>
      </c>
      <c r="P128" s="96" t="inlineStr">
        <is>
          <t>TH</t>
        </is>
      </c>
      <c r="Q128" s="96" t="inlineStr">
        <is>
          <t>HASLS22260901331</t>
        </is>
      </c>
      <c r="R128" s="96" t="inlineStr">
        <is>
          <t>Y</t>
        </is>
      </c>
      <c r="S128" s="96" t="inlineStr">
        <is>
          <t>N</t>
        </is>
      </c>
      <c r="T128" s="96" t="inlineStr">
        <is>
          <t>PCI</t>
        </is>
      </c>
      <c r="U128" s="97" t="n"/>
      <c r="V128" s="96" t="inlineStr">
        <is>
          <t>K0120021</t>
        </is>
      </c>
      <c r="W128" s="96" t="inlineStr">
        <is>
          <t>ROJANA DISTRIBUTION CENTER CO.,LTD.</t>
        </is>
      </c>
      <c r="X128" s="96" t="inlineStr">
        <is>
          <t>VED</t>
        </is>
      </c>
      <c r="Y128" s="96" t="inlineStr">
        <is>
          <t>THE SUMITOMO WAREHOUSE CO., LTD.</t>
        </is>
      </c>
      <c r="Z128" s="96" t="inlineStr">
        <is>
          <t>SAME AS CONSIGNEE</t>
        </is>
      </c>
      <c r="AA128" s="97" t="n">
        <v>21111</v>
      </c>
      <c r="AB128" s="96" t="inlineStr">
        <is>
          <t>LCH06</t>
        </is>
      </c>
      <c r="AC128" s="96" t="inlineStr">
        <is>
          <t>TMK03</t>
        </is>
      </c>
    </row>
    <row r="129" ht="12" customHeight="1">
      <c r="A129" s="96" t="inlineStr">
        <is>
          <t>TCLU1829458</t>
        </is>
      </c>
      <c r="B129" s="161" t="inlineStr">
        <is>
          <t>2026-10-07</t>
        </is>
      </c>
      <c r="C129" s="96" t="inlineStr">
        <is>
          <t>SWVG</t>
        </is>
      </c>
      <c r="D129" s="96" t="inlineStr">
        <is>
          <t>2612N</t>
        </is>
      </c>
      <c r="E129" s="96" t="inlineStr">
        <is>
          <t>45GP</t>
        </is>
      </c>
      <c r="F129" s="96" t="inlineStr">
        <is>
          <t>SD</t>
        </is>
      </c>
      <c r="G129" s="96" t="inlineStr">
        <is>
          <t>THLCH</t>
        </is>
      </c>
      <c r="H129" s="96" t="inlineStr">
        <is>
          <t>THLCH</t>
        </is>
      </c>
      <c r="I129" s="96" t="inlineStr">
        <is>
          <t>CNSHA</t>
        </is>
      </c>
      <c r="J129" s="96" t="inlineStr">
        <is>
          <t>CNSHA</t>
        </is>
      </c>
      <c r="K129" s="96" t="inlineStr">
        <is>
          <t>F</t>
        </is>
      </c>
      <c r="L129" s="96" t="inlineStr">
        <is>
          <t>ONE</t>
        </is>
      </c>
      <c r="M129" s="96" t="inlineStr">
        <is>
          <t>VFL</t>
        </is>
      </c>
      <c r="N129" s="96" t="inlineStr">
        <is>
          <t>LCH06</t>
        </is>
      </c>
      <c r="O129" s="96" t="inlineStr">
        <is>
          <t>LCH</t>
        </is>
      </c>
      <c r="P129" s="96" t="inlineStr">
        <is>
          <t>TH</t>
        </is>
      </c>
      <c r="Q129" s="96" t="inlineStr">
        <is>
          <t>HASLS22260802507</t>
        </is>
      </c>
      <c r="R129" s="96" t="inlineStr">
        <is>
          <t>N</t>
        </is>
      </c>
      <c r="S129" s="96" t="inlineStr">
        <is>
          <t>N</t>
        </is>
      </c>
      <c r="T129" s="96" t="inlineStr">
        <is>
          <t>PCI</t>
        </is>
      </c>
      <c r="U129" s="97" t="n"/>
      <c r="V129" s="96" t="inlineStr">
        <is>
          <t>K0120023</t>
        </is>
      </c>
      <c r="W129" s="96" t="inlineStr">
        <is>
          <t>PTT GLOBAL CHEMICAL PUBLIC COMPANY</t>
        </is>
      </c>
      <c r="X129" s="96" t="inlineStr">
        <is>
          <t>VFD</t>
        </is>
      </c>
      <c r="Y129" s="96" t="inlineStr">
        <is>
          <t>GC MARKETING SOLUTIONS (SHANGHAI)</t>
        </is>
      </c>
      <c r="Z129" s="96" t="inlineStr">
        <is>
          <t>GC MARKETING SOLUTIONS (SHANGHAI)</t>
        </is>
      </c>
      <c r="AA129" s="97" t="n">
        <v>24240</v>
      </c>
      <c r="AB129" s="96" t="inlineStr">
        <is>
          <t>LCH06</t>
        </is>
      </c>
      <c r="AC129" s="96" t="inlineStr">
        <is>
          <t>SHAW5</t>
        </is>
      </c>
    </row>
    <row r="130" ht="12" customHeight="1">
      <c r="A130" s="96" t="inlineStr">
        <is>
          <t>TCLU8724124</t>
        </is>
      </c>
      <c r="B130" s="161" t="inlineStr">
        <is>
          <t>2026-10-07</t>
        </is>
      </c>
      <c r="C130" s="96" t="inlineStr">
        <is>
          <t>SWVG</t>
        </is>
      </c>
      <c r="D130" s="96" t="inlineStr">
        <is>
          <t>2612N</t>
        </is>
      </c>
      <c r="E130" s="96" t="inlineStr">
        <is>
          <t>45GP</t>
        </is>
      </c>
      <c r="F130" s="96" t="inlineStr">
        <is>
          <t>SD</t>
        </is>
      </c>
      <c r="G130" s="96" t="inlineStr">
        <is>
          <t>THLCH</t>
        </is>
      </c>
      <c r="H130" s="96" t="inlineStr">
        <is>
          <t>THLCH</t>
        </is>
      </c>
      <c r="I130" s="96" t="inlineStr">
        <is>
          <t>CNSHA</t>
        </is>
      </c>
      <c r="J130" s="96" t="inlineStr">
        <is>
          <t>CNSHA</t>
        </is>
      </c>
      <c r="K130" s="96" t="inlineStr">
        <is>
          <t>F</t>
        </is>
      </c>
      <c r="L130" s="96" t="inlineStr">
        <is>
          <t>ONE</t>
        </is>
      </c>
      <c r="M130" s="96" t="inlineStr">
        <is>
          <t>VFL</t>
        </is>
      </c>
      <c r="N130" s="96" t="inlineStr">
        <is>
          <t>LCH06</t>
        </is>
      </c>
      <c r="O130" s="96" t="inlineStr">
        <is>
          <t>LCH</t>
        </is>
      </c>
      <c r="P130" s="96" t="inlineStr">
        <is>
          <t>TH</t>
        </is>
      </c>
      <c r="Q130" s="96" t="inlineStr">
        <is>
          <t>HASLS22260901668</t>
        </is>
      </c>
      <c r="R130" s="96" t="inlineStr">
        <is>
          <t>N</t>
        </is>
      </c>
      <c r="S130" s="96" t="inlineStr">
        <is>
          <t>N</t>
        </is>
      </c>
      <c r="T130" s="96" t="inlineStr">
        <is>
          <t>PCI</t>
        </is>
      </c>
      <c r="U130" s="97" t="n"/>
      <c r="V130" s="96" t="inlineStr">
        <is>
          <t>K0120023</t>
        </is>
      </c>
      <c r="W130" s="96" t="inlineStr">
        <is>
          <t>BARKLAYS LOGISTICS (THAILAND)</t>
        </is>
      </c>
      <c r="X130" s="96" t="inlineStr">
        <is>
          <t>VFD</t>
        </is>
      </c>
      <c r="Y130" s="96" t="inlineStr">
        <is>
          <t>BARKLAYS LOGISTICS (SHANGHAI)</t>
        </is>
      </c>
      <c r="Z130" s="96" t="inlineStr">
        <is>
          <t>BARKLAYS LOGISTICS (SHANGHAI)</t>
        </is>
      </c>
      <c r="AA130" s="97" t="n">
        <v>24370</v>
      </c>
      <c r="AB130" s="96" t="inlineStr">
        <is>
          <t>LCH06</t>
        </is>
      </c>
      <c r="AC130" s="96" t="inlineStr">
        <is>
          <t>SHAW5</t>
        </is>
      </c>
    </row>
    <row r="131" ht="12" customHeight="1">
      <c r="A131" s="96" t="inlineStr">
        <is>
          <t>TCLU8767342</t>
        </is>
      </c>
      <c r="B131" s="161" t="inlineStr">
        <is>
          <t>2026-10-07</t>
        </is>
      </c>
      <c r="C131" s="96" t="inlineStr">
        <is>
          <t>SWVG</t>
        </is>
      </c>
      <c r="D131" s="96" t="inlineStr">
        <is>
          <t>2612N</t>
        </is>
      </c>
      <c r="E131" s="96" t="inlineStr">
        <is>
          <t>45GP</t>
        </is>
      </c>
      <c r="F131" s="96" t="inlineStr">
        <is>
          <t>SD</t>
        </is>
      </c>
      <c r="G131" s="96" t="inlineStr">
        <is>
          <t>THLCH</t>
        </is>
      </c>
      <c r="H131" s="96" t="inlineStr">
        <is>
          <t>THLCH</t>
        </is>
      </c>
      <c r="I131" s="96" t="inlineStr">
        <is>
          <t>CNSHA</t>
        </is>
      </c>
      <c r="J131" s="96" t="inlineStr">
        <is>
          <t>CNSHA</t>
        </is>
      </c>
      <c r="K131" s="96" t="inlineStr">
        <is>
          <t>F</t>
        </is>
      </c>
      <c r="L131" s="96" t="inlineStr">
        <is>
          <t>ONE</t>
        </is>
      </c>
      <c r="M131" s="96" t="inlineStr">
        <is>
          <t>VFL</t>
        </is>
      </c>
      <c r="N131" s="96" t="inlineStr">
        <is>
          <t>LCH06</t>
        </is>
      </c>
      <c r="O131" s="96" t="inlineStr">
        <is>
          <t>LCH</t>
        </is>
      </c>
      <c r="P131" s="96" t="inlineStr">
        <is>
          <t>TH</t>
        </is>
      </c>
      <c r="Q131" s="96" t="inlineStr">
        <is>
          <t>HASLS22260900441</t>
        </is>
      </c>
      <c r="R131" s="96" t="inlineStr">
        <is>
          <t>N</t>
        </is>
      </c>
      <c r="S131" s="96" t="inlineStr">
        <is>
          <t>N</t>
        </is>
      </c>
      <c r="T131" s="96" t="inlineStr">
        <is>
          <t>PCI</t>
        </is>
      </c>
      <c r="U131" s="97" t="n"/>
      <c r="V131" s="96" t="inlineStr">
        <is>
          <t>K0120023</t>
        </is>
      </c>
      <c r="W131" s="96" t="inlineStr">
        <is>
          <t>BARKLAYS LOGISTICS (THAILAND)</t>
        </is>
      </c>
      <c r="X131" s="96" t="inlineStr">
        <is>
          <t>ONL</t>
        </is>
      </c>
      <c r="Y131" s="96" t="inlineStr">
        <is>
          <t>BARKLAYS LOGISTICS (SHANGHAI)</t>
        </is>
      </c>
      <c r="Z131" s="96" t="inlineStr">
        <is>
          <t>BARKLAYS LOGISTICS (SHANGHAI)</t>
        </is>
      </c>
      <c r="AA131" s="97" t="n">
        <v>23870</v>
      </c>
      <c r="AB131" s="96" t="inlineStr">
        <is>
          <t>LCH06</t>
        </is>
      </c>
      <c r="AC131" s="96" t="inlineStr">
        <is>
          <t>SHAW5</t>
        </is>
      </c>
    </row>
    <row r="132" ht="12" customHeight="1">
      <c r="A132" s="96" t="inlineStr">
        <is>
          <t>TCNU4883212</t>
        </is>
      </c>
      <c r="B132" s="161" t="inlineStr">
        <is>
          <t>2026-10-07</t>
        </is>
      </c>
      <c r="C132" s="96" t="inlineStr">
        <is>
          <t>SWVG</t>
        </is>
      </c>
      <c r="D132" s="96" t="inlineStr">
        <is>
          <t>2612N</t>
        </is>
      </c>
      <c r="E132" s="96" t="inlineStr">
        <is>
          <t>45GP</t>
        </is>
      </c>
      <c r="F132" s="96" t="inlineStr">
        <is>
          <t>SD</t>
        </is>
      </c>
      <c r="G132" s="96" t="inlineStr">
        <is>
          <t>THLCH</t>
        </is>
      </c>
      <c r="H132" s="96" t="inlineStr">
        <is>
          <t>THLCH</t>
        </is>
      </c>
      <c r="I132" s="96" t="inlineStr">
        <is>
          <t>CNSHA</t>
        </is>
      </c>
      <c r="J132" s="96" t="inlineStr">
        <is>
          <t>CNSHA</t>
        </is>
      </c>
      <c r="K132" s="96" t="inlineStr">
        <is>
          <t>F</t>
        </is>
      </c>
      <c r="L132" s="96" t="inlineStr">
        <is>
          <t>ONE</t>
        </is>
      </c>
      <c r="M132" s="96" t="inlineStr">
        <is>
          <t>VFL</t>
        </is>
      </c>
      <c r="N132" s="96" t="inlineStr">
        <is>
          <t>LCH06</t>
        </is>
      </c>
      <c r="O132" s="96" t="inlineStr">
        <is>
          <t>LCH</t>
        </is>
      </c>
      <c r="P132" s="96" t="inlineStr">
        <is>
          <t>TH</t>
        </is>
      </c>
      <c r="Q132" s="96" t="inlineStr">
        <is>
          <t>HASLS22260901668</t>
        </is>
      </c>
      <c r="R132" s="96" t="inlineStr">
        <is>
          <t>N</t>
        </is>
      </c>
      <c r="S132" s="96" t="inlineStr">
        <is>
          <t>N</t>
        </is>
      </c>
      <c r="T132" s="96" t="inlineStr">
        <is>
          <t>PCI</t>
        </is>
      </c>
      <c r="U132" s="97" t="n"/>
      <c r="V132" s="96" t="inlineStr">
        <is>
          <t>K0120023</t>
        </is>
      </c>
      <c r="W132" s="96" t="inlineStr">
        <is>
          <t>BARKLAYS LOGISTICS (THAILAND)</t>
        </is>
      </c>
      <c r="X132" s="96" t="inlineStr">
        <is>
          <t>ONL</t>
        </is>
      </c>
      <c r="Y132" s="96" t="inlineStr">
        <is>
          <t>BARKLAYS LOGISTICS (SHANGHAI)</t>
        </is>
      </c>
      <c r="Z132" s="96" t="inlineStr">
        <is>
          <t>BARKLAYS LOGISTICS (SHANGHAI)</t>
        </is>
      </c>
      <c r="AA132" s="97" t="n">
        <v>24230</v>
      </c>
      <c r="AB132" s="96" t="inlineStr">
        <is>
          <t>LCH06</t>
        </is>
      </c>
      <c r="AC132" s="96" t="inlineStr">
        <is>
          <t>SHAW5</t>
        </is>
      </c>
    </row>
    <row r="133" ht="12" customHeight="1">
      <c r="A133" s="96" t="inlineStr">
        <is>
          <t>TCNU5131098</t>
        </is>
      </c>
      <c r="B133" s="161" t="inlineStr">
        <is>
          <t>2026-10-07</t>
        </is>
      </c>
      <c r="C133" s="96" t="inlineStr">
        <is>
          <t>SWVG</t>
        </is>
      </c>
      <c r="D133" s="96" t="inlineStr">
        <is>
          <t>2612N</t>
        </is>
      </c>
      <c r="E133" s="96" t="inlineStr">
        <is>
          <t>45GP</t>
        </is>
      </c>
      <c r="F133" s="96" t="inlineStr">
        <is>
          <t>SD</t>
        </is>
      </c>
      <c r="G133" s="96" t="inlineStr">
        <is>
          <t>THLCH</t>
        </is>
      </c>
      <c r="H133" s="96" t="inlineStr">
        <is>
          <t>THLCH</t>
        </is>
      </c>
      <c r="I133" s="96" t="inlineStr">
        <is>
          <t>CNSHA</t>
        </is>
      </c>
      <c r="J133" s="96" t="inlineStr">
        <is>
          <t>CNSHA</t>
        </is>
      </c>
      <c r="K133" s="96" t="inlineStr">
        <is>
          <t>F</t>
        </is>
      </c>
      <c r="L133" s="96" t="inlineStr">
        <is>
          <t>ONE</t>
        </is>
      </c>
      <c r="M133" s="96" t="inlineStr">
        <is>
          <t>VFL</t>
        </is>
      </c>
      <c r="N133" s="96" t="inlineStr">
        <is>
          <t>LCH06</t>
        </is>
      </c>
      <c r="O133" s="96" t="inlineStr">
        <is>
          <t>LCH</t>
        </is>
      </c>
      <c r="P133" s="96" t="inlineStr">
        <is>
          <t>TH</t>
        </is>
      </c>
      <c r="Q133" s="96" t="inlineStr">
        <is>
          <t>HASLS22260902522</t>
        </is>
      </c>
      <c r="R133" s="96" t="inlineStr">
        <is>
          <t>N</t>
        </is>
      </c>
      <c r="S133" s="96" t="inlineStr">
        <is>
          <t>N</t>
        </is>
      </c>
      <c r="T133" s="96" t="inlineStr">
        <is>
          <t>PCI</t>
        </is>
      </c>
      <c r="U133" s="97" t="n"/>
      <c r="V133" s="96" t="inlineStr">
        <is>
          <t>K0120023</t>
        </is>
      </c>
      <c r="W133" s="96" t="inlineStr">
        <is>
          <t>AWOT GLOBAL LOGISTICS</t>
        </is>
      </c>
      <c r="X133" s="96" t="inlineStr">
        <is>
          <t>VED</t>
        </is>
      </c>
      <c r="Y133" s="96" t="inlineStr">
        <is>
          <t>AWOT GLOBAL CORPORATION</t>
        </is>
      </c>
      <c r="Z133" s="96" t="inlineStr">
        <is>
          <t>AWOT GLOBAL CORPORATION</t>
        </is>
      </c>
      <c r="AA133" s="97" t="n">
        <v>21940</v>
      </c>
      <c r="AB133" s="96" t="inlineStr">
        <is>
          <t>LCH06</t>
        </is>
      </c>
      <c r="AC133" s="96" t="inlineStr">
        <is>
          <t>SHAW5</t>
        </is>
      </c>
    </row>
    <row r="134" ht="12" customHeight="1">
      <c r="A134" s="96" t="inlineStr">
        <is>
          <t>TCNU6722900</t>
        </is>
      </c>
      <c r="B134" s="161" t="inlineStr">
        <is>
          <t>2026-10-07</t>
        </is>
      </c>
      <c r="C134" s="96" t="inlineStr">
        <is>
          <t>SWVG</t>
        </is>
      </c>
      <c r="D134" s="96" t="inlineStr">
        <is>
          <t>2612N</t>
        </is>
      </c>
      <c r="E134" s="96" t="inlineStr">
        <is>
          <t>45GP</t>
        </is>
      </c>
      <c r="F134" s="96" t="inlineStr">
        <is>
          <t>SD</t>
        </is>
      </c>
      <c r="G134" s="96" t="inlineStr">
        <is>
          <t>THLCH</t>
        </is>
      </c>
      <c r="H134" s="96" t="inlineStr">
        <is>
          <t>THLCH</t>
        </is>
      </c>
      <c r="I134" s="96" t="inlineStr">
        <is>
          <t>CNSHA</t>
        </is>
      </c>
      <c r="J134" s="96" t="inlineStr">
        <is>
          <t>CNSHA</t>
        </is>
      </c>
      <c r="K134" s="96" t="inlineStr">
        <is>
          <t>F</t>
        </is>
      </c>
      <c r="L134" s="96" t="inlineStr">
        <is>
          <t>ONE</t>
        </is>
      </c>
      <c r="M134" s="96" t="inlineStr">
        <is>
          <t>VFL</t>
        </is>
      </c>
      <c r="N134" s="96" t="inlineStr">
        <is>
          <t>LCH06</t>
        </is>
      </c>
      <c r="O134" s="96" t="inlineStr">
        <is>
          <t>LCH</t>
        </is>
      </c>
      <c r="P134" s="96" t="inlineStr">
        <is>
          <t>TH</t>
        </is>
      </c>
      <c r="Q134" s="96" t="inlineStr">
        <is>
          <t>HASLS22260901668</t>
        </is>
      </c>
      <c r="R134" s="96" t="inlineStr">
        <is>
          <t>N</t>
        </is>
      </c>
      <c r="S134" s="96" t="inlineStr">
        <is>
          <t>N</t>
        </is>
      </c>
      <c r="T134" s="96" t="inlineStr">
        <is>
          <t>PCI</t>
        </is>
      </c>
      <c r="U134" s="97" t="n"/>
      <c r="V134" s="96" t="inlineStr">
        <is>
          <t>K0120023</t>
        </is>
      </c>
      <c r="W134" s="96" t="inlineStr">
        <is>
          <t>BARKLAYS LOGISTICS (THAILAND)</t>
        </is>
      </c>
      <c r="X134" s="96" t="inlineStr">
        <is>
          <t>VFD</t>
        </is>
      </c>
      <c r="Y134" s="96" t="inlineStr">
        <is>
          <t>BARKLAYS LOGISTICS (SHANGHAI)</t>
        </is>
      </c>
      <c r="Z134" s="96" t="inlineStr">
        <is>
          <t>BARKLAYS LOGISTICS (SHANGHAI)</t>
        </is>
      </c>
      <c r="AA134" s="97" t="n">
        <v>24410</v>
      </c>
      <c r="AB134" s="96" t="inlineStr">
        <is>
          <t>LCH06</t>
        </is>
      </c>
      <c r="AC134" s="96" t="inlineStr">
        <is>
          <t>SHAW5</t>
        </is>
      </c>
    </row>
    <row r="135" ht="12" customHeight="1">
      <c r="A135" s="96" t="inlineStr">
        <is>
          <t>TCNU8361453</t>
        </is>
      </c>
      <c r="B135" s="161" t="inlineStr">
        <is>
          <t>2026-10-07</t>
        </is>
      </c>
      <c r="C135" s="96" t="inlineStr">
        <is>
          <t>SWVG</t>
        </is>
      </c>
      <c r="D135" s="96" t="inlineStr">
        <is>
          <t>2612N</t>
        </is>
      </c>
      <c r="E135" s="96" t="inlineStr">
        <is>
          <t>45GP</t>
        </is>
      </c>
      <c r="F135" s="96" t="inlineStr">
        <is>
          <t>SD</t>
        </is>
      </c>
      <c r="G135" s="96" t="inlineStr">
        <is>
          <t>THLCH</t>
        </is>
      </c>
      <c r="H135" s="96" t="inlineStr">
        <is>
          <t>THLCH</t>
        </is>
      </c>
      <c r="I135" s="96" t="inlineStr">
        <is>
          <t>CNSHA</t>
        </is>
      </c>
      <c r="J135" s="96" t="inlineStr">
        <is>
          <t>CNSHA</t>
        </is>
      </c>
      <c r="K135" s="96" t="inlineStr">
        <is>
          <t>F</t>
        </is>
      </c>
      <c r="L135" s="96" t="inlineStr">
        <is>
          <t>ONE</t>
        </is>
      </c>
      <c r="M135" s="96" t="inlineStr">
        <is>
          <t>VFL</t>
        </is>
      </c>
      <c r="N135" s="96" t="inlineStr">
        <is>
          <t>LCH06</t>
        </is>
      </c>
      <c r="O135" s="96" t="inlineStr">
        <is>
          <t>LCH</t>
        </is>
      </c>
      <c r="P135" s="96" t="inlineStr">
        <is>
          <t>TH</t>
        </is>
      </c>
      <c r="Q135" s="96" t="inlineStr">
        <is>
          <t>HASLS22260901668</t>
        </is>
      </c>
      <c r="R135" s="96" t="inlineStr">
        <is>
          <t>N</t>
        </is>
      </c>
      <c r="S135" s="96" t="inlineStr">
        <is>
          <t>N</t>
        </is>
      </c>
      <c r="T135" s="96" t="inlineStr">
        <is>
          <t>PCI</t>
        </is>
      </c>
      <c r="U135" s="97" t="n"/>
      <c r="V135" s="96" t="inlineStr">
        <is>
          <t>K0120023</t>
        </is>
      </c>
      <c r="W135" s="96" t="inlineStr">
        <is>
          <t>BARKLAYS LOGISTICS (THAILAND)</t>
        </is>
      </c>
      <c r="X135" s="96" t="inlineStr">
        <is>
          <t>ONL</t>
        </is>
      </c>
      <c r="Y135" s="96" t="inlineStr">
        <is>
          <t>BARKLAYS LOGISTICS (SHANGHAI)</t>
        </is>
      </c>
      <c r="Z135" s="96" t="inlineStr">
        <is>
          <t>BARKLAYS LOGISTICS (SHANGHAI)</t>
        </is>
      </c>
      <c r="AA135" s="97" t="n">
        <v>22780</v>
      </c>
      <c r="AB135" s="96" t="inlineStr">
        <is>
          <t>LCH06</t>
        </is>
      </c>
      <c r="AC135" s="96" t="inlineStr">
        <is>
          <t>SHAW5</t>
        </is>
      </c>
    </row>
    <row r="136" ht="12" customHeight="1">
      <c r="A136" s="96" t="inlineStr">
        <is>
          <t>TGBU4383768</t>
        </is>
      </c>
      <c r="B136" s="161" t="inlineStr">
        <is>
          <t>2026-10-07</t>
        </is>
      </c>
      <c r="C136" s="96" t="inlineStr">
        <is>
          <t>SWVG</t>
        </is>
      </c>
      <c r="D136" s="96" t="inlineStr">
        <is>
          <t>2612N</t>
        </is>
      </c>
      <c r="E136" s="96" t="inlineStr">
        <is>
          <t>45GP</t>
        </is>
      </c>
      <c r="F136" s="96" t="inlineStr">
        <is>
          <t>SD</t>
        </is>
      </c>
      <c r="G136" s="96" t="inlineStr">
        <is>
          <t>THLCH</t>
        </is>
      </c>
      <c r="H136" s="96" t="inlineStr">
        <is>
          <t>THLCH</t>
        </is>
      </c>
      <c r="I136" s="96" t="inlineStr">
        <is>
          <t>CNSHA</t>
        </is>
      </c>
      <c r="J136" s="96" t="inlineStr">
        <is>
          <t>CNSHA</t>
        </is>
      </c>
      <c r="K136" s="96" t="inlineStr">
        <is>
          <t>F</t>
        </is>
      </c>
      <c r="L136" s="96" t="inlineStr">
        <is>
          <t>L/T</t>
        </is>
      </c>
      <c r="M136" s="96" t="inlineStr">
        <is>
          <t>VFL</t>
        </is>
      </c>
      <c r="N136" s="96" t="inlineStr">
        <is>
          <t>LCH06</t>
        </is>
      </c>
      <c r="O136" s="96" t="inlineStr">
        <is>
          <t>LCH</t>
        </is>
      </c>
      <c r="P136" s="96" t="inlineStr">
        <is>
          <t>TH</t>
        </is>
      </c>
      <c r="Q136" s="96" t="inlineStr">
        <is>
          <t>HASLS22260901668</t>
        </is>
      </c>
      <c r="R136" s="96" t="inlineStr">
        <is>
          <t>N</t>
        </is>
      </c>
      <c r="S136" s="96" t="inlineStr">
        <is>
          <t>N</t>
        </is>
      </c>
      <c r="T136" s="96" t="inlineStr">
        <is>
          <t>PCI</t>
        </is>
      </c>
      <c r="U136" s="97" t="n"/>
      <c r="V136" s="96" t="inlineStr">
        <is>
          <t>C0521002</t>
        </is>
      </c>
      <c r="W136" s="96" t="inlineStr">
        <is>
          <t>BARKLAYS LOGISTICS (THAILAND)</t>
        </is>
      </c>
      <c r="X136" s="96" t="inlineStr">
        <is>
          <t>VFD</t>
        </is>
      </c>
      <c r="Y136" s="96" t="inlineStr">
        <is>
          <t>BARKLAYS LOGISTICS (SHANGHAI)</t>
        </is>
      </c>
      <c r="Z136" s="96" t="inlineStr">
        <is>
          <t>BARKLAYS LOGISTICS (SHANGHAI)</t>
        </is>
      </c>
      <c r="AA136" s="97" t="n">
        <v>23660</v>
      </c>
      <c r="AB136" s="96" t="inlineStr">
        <is>
          <t>LCH06</t>
        </is>
      </c>
      <c r="AC136" s="96" t="inlineStr">
        <is>
          <t>SHAW5</t>
        </is>
      </c>
    </row>
    <row r="137" ht="12" customHeight="1">
      <c r="A137" s="96" t="inlineStr">
        <is>
          <t>TGBU5320379</t>
        </is>
      </c>
      <c r="B137" s="161" t="inlineStr">
        <is>
          <t>2026-10-07</t>
        </is>
      </c>
      <c r="C137" s="96" t="inlineStr">
        <is>
          <t>SWVG</t>
        </is>
      </c>
      <c r="D137" s="96" t="inlineStr">
        <is>
          <t>2612N</t>
        </is>
      </c>
      <c r="E137" s="96" t="inlineStr">
        <is>
          <t>45GP</t>
        </is>
      </c>
      <c r="F137" s="96" t="inlineStr">
        <is>
          <t>SD</t>
        </is>
      </c>
      <c r="G137" s="96" t="inlineStr">
        <is>
          <t>THLCH</t>
        </is>
      </c>
      <c r="H137" s="96" t="inlineStr">
        <is>
          <t>THLCH</t>
        </is>
      </c>
      <c r="I137" s="96" t="inlineStr">
        <is>
          <t>CNSHA</t>
        </is>
      </c>
      <c r="J137" s="96" t="inlineStr">
        <is>
          <t>CNSHA</t>
        </is>
      </c>
      <c r="K137" s="96" t="inlineStr">
        <is>
          <t>F</t>
        </is>
      </c>
      <c r="L137" s="96" t="inlineStr">
        <is>
          <t>ONE</t>
        </is>
      </c>
      <c r="M137" s="96" t="inlineStr">
        <is>
          <t>VFL</t>
        </is>
      </c>
      <c r="N137" s="96" t="inlineStr">
        <is>
          <t>LCH06</t>
        </is>
      </c>
      <c r="O137" s="96" t="inlineStr">
        <is>
          <t>LCH</t>
        </is>
      </c>
      <c r="P137" s="96" t="inlineStr">
        <is>
          <t>TH</t>
        </is>
      </c>
      <c r="Q137" s="96" t="inlineStr">
        <is>
          <t>HASLS22260900441</t>
        </is>
      </c>
      <c r="R137" s="96" t="inlineStr">
        <is>
          <t>N</t>
        </is>
      </c>
      <c r="S137" s="96" t="inlineStr">
        <is>
          <t>N</t>
        </is>
      </c>
      <c r="T137" s="96" t="inlineStr">
        <is>
          <t>PCI</t>
        </is>
      </c>
      <c r="U137" s="97" t="n"/>
      <c r="V137" s="96" t="inlineStr">
        <is>
          <t>K0120023</t>
        </is>
      </c>
      <c r="W137" s="96" t="inlineStr">
        <is>
          <t>BARKLAYS LOGISTICS (THAILAND)</t>
        </is>
      </c>
      <c r="X137" s="96" t="inlineStr">
        <is>
          <t>ONL</t>
        </is>
      </c>
      <c r="Y137" s="96" t="inlineStr">
        <is>
          <t>BARKLAYS LOGISTICS (SHANGHAI)</t>
        </is>
      </c>
      <c r="Z137" s="96" t="inlineStr">
        <is>
          <t>BARKLAYS LOGISTICS (SHANGHAI)</t>
        </is>
      </c>
      <c r="AA137" s="97" t="n">
        <v>23590</v>
      </c>
      <c r="AB137" s="96" t="inlineStr">
        <is>
          <t>LCH06</t>
        </is>
      </c>
      <c r="AC137" s="96" t="inlineStr">
        <is>
          <t>SHAW5</t>
        </is>
      </c>
    </row>
    <row r="138" ht="12" customHeight="1">
      <c r="A138" s="96" t="inlineStr">
        <is>
          <t>TGCU2397581</t>
        </is>
      </c>
      <c r="B138" s="161" t="inlineStr">
        <is>
          <t>2026-10-07</t>
        </is>
      </c>
      <c r="C138" s="96" t="inlineStr">
        <is>
          <t>SWVG</t>
        </is>
      </c>
      <c r="D138" s="96" t="inlineStr">
        <is>
          <t>2612N</t>
        </is>
      </c>
      <c r="E138" s="96" t="inlineStr">
        <is>
          <t>22GP</t>
        </is>
      </c>
      <c r="F138" s="96" t="inlineStr">
        <is>
          <t>SD</t>
        </is>
      </c>
      <c r="G138" s="96" t="inlineStr">
        <is>
          <t>THLCH</t>
        </is>
      </c>
      <c r="H138" s="96" t="inlineStr">
        <is>
          <t>THLCH</t>
        </is>
      </c>
      <c r="I138" s="96" t="inlineStr">
        <is>
          <t>KRPUS</t>
        </is>
      </c>
      <c r="J138" s="96" t="inlineStr">
        <is>
          <t>JPFKY</t>
        </is>
      </c>
      <c r="K138" s="96" t="inlineStr">
        <is>
          <t>F</t>
        </is>
      </c>
      <c r="L138" s="96" t="inlineStr">
        <is>
          <t>ONE</t>
        </is>
      </c>
      <c r="M138" s="96" t="inlineStr">
        <is>
          <t>VFL</t>
        </is>
      </c>
      <c r="N138" s="96" t="inlineStr">
        <is>
          <t>LCH06</t>
        </is>
      </c>
      <c r="O138" s="96" t="inlineStr">
        <is>
          <t>LCH</t>
        </is>
      </c>
      <c r="P138" s="96" t="inlineStr">
        <is>
          <t>TH</t>
        </is>
      </c>
      <c r="Q138" s="96" t="inlineStr">
        <is>
          <t>HASLS22260901408</t>
        </is>
      </c>
      <c r="R138" s="96" t="inlineStr">
        <is>
          <t>Y</t>
        </is>
      </c>
      <c r="S138" s="96" t="inlineStr">
        <is>
          <t>N</t>
        </is>
      </c>
      <c r="T138" s="96" t="inlineStr">
        <is>
          <t>PCI</t>
        </is>
      </c>
      <c r="U138" s="97" t="n"/>
      <c r="V138" s="96" t="inlineStr">
        <is>
          <t>K0120021</t>
        </is>
      </c>
      <c r="W138" s="96" t="inlineStr">
        <is>
          <t>ROJANA DISTRIBUTION CENTER CO.,LTD.</t>
        </is>
      </c>
      <c r="X138" s="96" t="inlineStr">
        <is>
          <t>VFD</t>
        </is>
      </c>
      <c r="Y138" s="96" t="inlineStr">
        <is>
          <t>THE SUMITOMO WAREHOUSE CO., LTD.</t>
        </is>
      </c>
      <c r="Z138" s="96" t="inlineStr">
        <is>
          <t>THE SUMITOMO WAREHOUSE CO., LTD.</t>
        </is>
      </c>
      <c r="AA138" s="97" t="n">
        <v>21706</v>
      </c>
      <c r="AB138" s="96" t="inlineStr">
        <is>
          <t>LCH06</t>
        </is>
      </c>
      <c r="AC138" s="96" t="inlineStr">
        <is>
          <t>FKY01</t>
        </is>
      </c>
    </row>
    <row r="139" ht="12" customHeight="1">
      <c r="A139" s="96" t="inlineStr">
        <is>
          <t>TRHU5279710</t>
        </is>
      </c>
      <c r="B139" s="161" t="inlineStr">
        <is>
          <t>2026-10-07</t>
        </is>
      </c>
      <c r="C139" s="96" t="inlineStr">
        <is>
          <t>SWVG</t>
        </is>
      </c>
      <c r="D139" s="96" t="inlineStr">
        <is>
          <t>2612N</t>
        </is>
      </c>
      <c r="E139" s="96" t="inlineStr">
        <is>
          <t>45GP</t>
        </is>
      </c>
      <c r="F139" s="96" t="inlineStr">
        <is>
          <t>SD</t>
        </is>
      </c>
      <c r="G139" s="96" t="inlineStr">
        <is>
          <t>THLCH</t>
        </is>
      </c>
      <c r="H139" s="96" t="inlineStr">
        <is>
          <t>THLCH</t>
        </is>
      </c>
      <c r="I139" s="96" t="inlineStr">
        <is>
          <t>CNSHA</t>
        </is>
      </c>
      <c r="J139" s="96" t="inlineStr">
        <is>
          <t>CNSHA</t>
        </is>
      </c>
      <c r="K139" s="96" t="inlineStr">
        <is>
          <t>F</t>
        </is>
      </c>
      <c r="L139" s="96" t="inlineStr">
        <is>
          <t>ONE</t>
        </is>
      </c>
      <c r="M139" s="96" t="inlineStr">
        <is>
          <t>VFL</t>
        </is>
      </c>
      <c r="N139" s="96" t="inlineStr">
        <is>
          <t>LCH06</t>
        </is>
      </c>
      <c r="O139" s="96" t="inlineStr">
        <is>
          <t>LCH</t>
        </is>
      </c>
      <c r="P139" s="96" t="inlineStr">
        <is>
          <t>TH</t>
        </is>
      </c>
      <c r="Q139" s="96" t="inlineStr">
        <is>
          <t>HASLS22260901513</t>
        </is>
      </c>
      <c r="R139" s="96" t="inlineStr">
        <is>
          <t>N</t>
        </is>
      </c>
      <c r="S139" s="96" t="inlineStr">
        <is>
          <t>N</t>
        </is>
      </c>
      <c r="T139" s="96" t="inlineStr">
        <is>
          <t>PCI</t>
        </is>
      </c>
      <c r="U139" s="97" t="n"/>
      <c r="V139" s="96" t="inlineStr">
        <is>
          <t>K0120023</t>
        </is>
      </c>
      <c r="W139" s="96" t="inlineStr">
        <is>
          <t>DOUBLE A (1991) PUBLIC COMPANY</t>
        </is>
      </c>
      <c r="X139" s="96" t="inlineStr">
        <is>
          <t>VFD</t>
        </is>
      </c>
      <c r="Y139" s="96" t="inlineStr">
        <is>
          <t>DOUBLE A INTERNATIONAL  TRADING</t>
        </is>
      </c>
      <c r="Z139" s="96" t="inlineStr">
        <is>
          <t>DOUBLE A INTERNATIONAL  TRADING</t>
        </is>
      </c>
      <c r="AA139" s="97" t="n">
        <v>25227</v>
      </c>
      <c r="AB139" s="96" t="inlineStr">
        <is>
          <t>LCH06</t>
        </is>
      </c>
      <c r="AC139" s="96" t="inlineStr">
        <is>
          <t>SHAW5</t>
        </is>
      </c>
    </row>
    <row r="140" ht="12" customHeight="1">
      <c r="A140" s="96" t="inlineStr">
        <is>
          <t>TRHU5286339</t>
        </is>
      </c>
      <c r="B140" s="161" t="inlineStr">
        <is>
          <t>2026-10-07</t>
        </is>
      </c>
      <c r="C140" s="96" t="inlineStr">
        <is>
          <t>SWVG</t>
        </is>
      </c>
      <c r="D140" s="96" t="inlineStr">
        <is>
          <t>2612N</t>
        </is>
      </c>
      <c r="E140" s="96" t="inlineStr">
        <is>
          <t>45GP</t>
        </is>
      </c>
      <c r="F140" s="96" t="inlineStr">
        <is>
          <t>SD</t>
        </is>
      </c>
      <c r="G140" s="96" t="inlineStr">
        <is>
          <t>THLCH</t>
        </is>
      </c>
      <c r="H140" s="96" t="inlineStr">
        <is>
          <t>THLCH</t>
        </is>
      </c>
      <c r="I140" s="96" t="inlineStr">
        <is>
          <t>KRPUS</t>
        </is>
      </c>
      <c r="J140" s="96" t="inlineStr">
        <is>
          <t>JPMYJ</t>
        </is>
      </c>
      <c r="K140" s="96" t="inlineStr">
        <is>
          <t>F</t>
        </is>
      </c>
      <c r="L140" s="96" t="inlineStr">
        <is>
          <t>ONE</t>
        </is>
      </c>
      <c r="M140" s="96" t="inlineStr">
        <is>
          <t>VFL</t>
        </is>
      </c>
      <c r="N140" s="96" t="inlineStr">
        <is>
          <t>LCH06</t>
        </is>
      </c>
      <c r="O140" s="96" t="inlineStr">
        <is>
          <t>LCH</t>
        </is>
      </c>
      <c r="P140" s="96" t="inlineStr">
        <is>
          <t>TH</t>
        </is>
      </c>
      <c r="Q140" s="96" t="inlineStr">
        <is>
          <t>HASLS22260802360</t>
        </is>
      </c>
      <c r="R140" s="96" t="inlineStr">
        <is>
          <t>Y</t>
        </is>
      </c>
      <c r="S140" s="96" t="inlineStr">
        <is>
          <t>N</t>
        </is>
      </c>
      <c r="T140" s="96" t="inlineStr">
        <is>
          <t>PCI</t>
        </is>
      </c>
      <c r="U140" s="97" t="n"/>
      <c r="V140" s="96" t="inlineStr">
        <is>
          <t>K0120023</t>
        </is>
      </c>
      <c r="W140" s="96" t="inlineStr">
        <is>
          <t>PTT GLOBAL CHEMICAL PUBLIC COMPANY</t>
        </is>
      </c>
      <c r="X140" s="96" t="inlineStr">
        <is>
          <t>VFD</t>
        </is>
      </c>
      <c r="Y140" s="96" t="inlineStr">
        <is>
          <t>INABATA &amp; CO.,LTD</t>
        </is>
      </c>
      <c r="Z140" s="96" t="inlineStr">
        <is>
          <t>INABATA &amp; CO.,LTD</t>
        </is>
      </c>
      <c r="AA140" s="97" t="n">
        <v>24240</v>
      </c>
      <c r="AB140" s="96" t="inlineStr">
        <is>
          <t>LCH06</t>
        </is>
      </c>
      <c r="AC140" s="96" t="inlineStr">
        <is>
          <t>MYJ01</t>
        </is>
      </c>
    </row>
    <row r="141" ht="12" customHeight="1">
      <c r="A141" s="96" t="inlineStr">
        <is>
          <t>TRHU5288434</t>
        </is>
      </c>
      <c r="B141" s="161" t="inlineStr">
        <is>
          <t>2026-10-07</t>
        </is>
      </c>
      <c r="C141" s="96" t="inlineStr">
        <is>
          <t>SWVG</t>
        </is>
      </c>
      <c r="D141" s="96" t="inlineStr">
        <is>
          <t>2612N</t>
        </is>
      </c>
      <c r="E141" s="96" t="inlineStr">
        <is>
          <t>45GP</t>
        </is>
      </c>
      <c r="F141" s="96" t="inlineStr">
        <is>
          <t>SD</t>
        </is>
      </c>
      <c r="G141" s="96" t="inlineStr">
        <is>
          <t>THLCH</t>
        </is>
      </c>
      <c r="H141" s="96" t="inlineStr">
        <is>
          <t>THLCH</t>
        </is>
      </c>
      <c r="I141" s="96" t="inlineStr">
        <is>
          <t>KRPUS</t>
        </is>
      </c>
      <c r="J141" s="96" t="inlineStr">
        <is>
          <t>JPKMJ</t>
        </is>
      </c>
      <c r="K141" s="96" t="inlineStr">
        <is>
          <t>F</t>
        </is>
      </c>
      <c r="L141" s="96" t="inlineStr">
        <is>
          <t>ONE</t>
        </is>
      </c>
      <c r="M141" s="96" t="inlineStr">
        <is>
          <t>VFL</t>
        </is>
      </c>
      <c r="N141" s="96" t="inlineStr">
        <is>
          <t>LCH06</t>
        </is>
      </c>
      <c r="O141" s="96" t="inlineStr">
        <is>
          <t>LCH</t>
        </is>
      </c>
      <c r="P141" s="96" t="inlineStr">
        <is>
          <t>TH</t>
        </is>
      </c>
      <c r="Q141" s="96" t="inlineStr">
        <is>
          <t>HASLS22260900326</t>
        </is>
      </c>
      <c r="R141" s="96" t="inlineStr">
        <is>
          <t>Y</t>
        </is>
      </c>
      <c r="S141" s="96" t="inlineStr">
        <is>
          <t>N</t>
        </is>
      </c>
      <c r="T141" s="96" t="inlineStr">
        <is>
          <t>PCI</t>
        </is>
      </c>
      <c r="U141" s="97" t="n"/>
      <c r="V141" s="96" t="inlineStr">
        <is>
          <t>K0120023</t>
        </is>
      </c>
      <c r="W141" s="96" t="inlineStr">
        <is>
          <t>PTT GLOBAL CHEMICAL PUBLIC COMPANY</t>
        </is>
      </c>
      <c r="X141" s="96" t="inlineStr">
        <is>
          <t>VFD</t>
        </is>
      </c>
      <c r="Y141" s="96" t="inlineStr">
        <is>
          <t>MITSUBISHI CORPORATION PLASTICS LTD</t>
        </is>
      </c>
      <c r="Z141" s="96" t="inlineStr">
        <is>
          <t>MITSUBISHI CORPORATION PLASTICS LTD</t>
        </is>
      </c>
      <c r="AA141" s="97" t="n">
        <v>24240</v>
      </c>
      <c r="AB141" s="96" t="inlineStr">
        <is>
          <t>LCH06</t>
        </is>
      </c>
      <c r="AC141" s="96" t="inlineStr">
        <is>
          <t>KMJ01</t>
        </is>
      </c>
    </row>
    <row r="142" ht="12" customHeight="1">
      <c r="A142" s="96" t="inlineStr">
        <is>
          <t>TRHU6242886</t>
        </is>
      </c>
      <c r="B142" s="161" t="inlineStr">
        <is>
          <t>2026-10-07</t>
        </is>
      </c>
      <c r="C142" s="96" t="inlineStr">
        <is>
          <t>SWVG</t>
        </is>
      </c>
      <c r="D142" s="96" t="inlineStr">
        <is>
          <t>2612N</t>
        </is>
      </c>
      <c r="E142" s="96" t="inlineStr">
        <is>
          <t>45GP</t>
        </is>
      </c>
      <c r="F142" s="96" t="inlineStr">
        <is>
          <t>SD</t>
        </is>
      </c>
      <c r="G142" s="96" t="inlineStr">
        <is>
          <t>THLCH</t>
        </is>
      </c>
      <c r="H142" s="96" t="inlineStr">
        <is>
          <t>THLCH</t>
        </is>
      </c>
      <c r="I142" s="96" t="inlineStr">
        <is>
          <t>CNSHA</t>
        </is>
      </c>
      <c r="J142" s="96" t="inlineStr">
        <is>
          <t>CNSHA</t>
        </is>
      </c>
      <c r="K142" s="96" t="inlineStr">
        <is>
          <t>F</t>
        </is>
      </c>
      <c r="L142" s="96" t="inlineStr">
        <is>
          <t>ONE</t>
        </is>
      </c>
      <c r="M142" s="96" t="inlineStr">
        <is>
          <t>VFL</t>
        </is>
      </c>
      <c r="N142" s="96" t="inlineStr">
        <is>
          <t>LCH06</t>
        </is>
      </c>
      <c r="O142" s="96" t="inlineStr">
        <is>
          <t>LCH</t>
        </is>
      </c>
      <c r="P142" s="96" t="inlineStr">
        <is>
          <t>TH</t>
        </is>
      </c>
      <c r="Q142" s="96" t="inlineStr">
        <is>
          <t>HASLS22260901668</t>
        </is>
      </c>
      <c r="R142" s="96" t="inlineStr">
        <is>
          <t>N</t>
        </is>
      </c>
      <c r="S142" s="96" t="inlineStr">
        <is>
          <t>N</t>
        </is>
      </c>
      <c r="T142" s="96" t="inlineStr">
        <is>
          <t>PCI</t>
        </is>
      </c>
      <c r="U142" s="97" t="n"/>
      <c r="V142" s="96" t="inlineStr">
        <is>
          <t>K0120023</t>
        </is>
      </c>
      <c r="W142" s="96" t="inlineStr">
        <is>
          <t>BARKLAYS LOGISTICS (THAILAND)</t>
        </is>
      </c>
      <c r="X142" s="96" t="inlineStr">
        <is>
          <t>ONL</t>
        </is>
      </c>
      <c r="Y142" s="96" t="inlineStr">
        <is>
          <t>BARKLAYS LOGISTICS (SHANGHAI)</t>
        </is>
      </c>
      <c r="Z142" s="96" t="inlineStr">
        <is>
          <t>BARKLAYS LOGISTICS (SHANGHAI)</t>
        </is>
      </c>
      <c r="AA142" s="97" t="n">
        <v>25690</v>
      </c>
      <c r="AB142" s="96" t="inlineStr">
        <is>
          <t>LCH06</t>
        </is>
      </c>
      <c r="AC142" s="96" t="inlineStr">
        <is>
          <t>SHAW5</t>
        </is>
      </c>
    </row>
    <row r="143" ht="12" customHeight="1">
      <c r="A143" s="96" t="inlineStr">
        <is>
          <t>TRHU6265768</t>
        </is>
      </c>
      <c r="B143" s="161" t="inlineStr">
        <is>
          <t>2026-10-07</t>
        </is>
      </c>
      <c r="C143" s="96" t="inlineStr">
        <is>
          <t>SWVG</t>
        </is>
      </c>
      <c r="D143" s="96" t="inlineStr">
        <is>
          <t>2612N</t>
        </is>
      </c>
      <c r="E143" s="96" t="inlineStr">
        <is>
          <t>45GP</t>
        </is>
      </c>
      <c r="F143" s="96" t="inlineStr">
        <is>
          <t>SD</t>
        </is>
      </c>
      <c r="G143" s="96" t="inlineStr">
        <is>
          <t>THLCH</t>
        </is>
      </c>
      <c r="H143" s="96" t="inlineStr">
        <is>
          <t>THLCH</t>
        </is>
      </c>
      <c r="I143" s="96" t="inlineStr">
        <is>
          <t>KRPUS</t>
        </is>
      </c>
      <c r="J143" s="96" t="inlineStr">
        <is>
          <t>JPMYJ</t>
        </is>
      </c>
      <c r="K143" s="96" t="inlineStr">
        <is>
          <t>F</t>
        </is>
      </c>
      <c r="L143" s="96" t="inlineStr">
        <is>
          <t>ONE</t>
        </is>
      </c>
      <c r="M143" s="96" t="inlineStr">
        <is>
          <t>VFL</t>
        </is>
      </c>
      <c r="N143" s="96" t="inlineStr">
        <is>
          <t>LCH06</t>
        </is>
      </c>
      <c r="O143" s="96" t="inlineStr">
        <is>
          <t>LCH</t>
        </is>
      </c>
      <c r="P143" s="96" t="inlineStr">
        <is>
          <t>TH</t>
        </is>
      </c>
      <c r="Q143" s="96" t="inlineStr">
        <is>
          <t>HASLS22260802391</t>
        </is>
      </c>
      <c r="R143" s="96" t="inlineStr">
        <is>
          <t>Y</t>
        </is>
      </c>
      <c r="S143" s="96" t="inlineStr">
        <is>
          <t>N</t>
        </is>
      </c>
      <c r="T143" s="96" t="inlineStr">
        <is>
          <t>PCI</t>
        </is>
      </c>
      <c r="U143" s="97" t="n"/>
      <c r="V143" s="96" t="inlineStr">
        <is>
          <t>K0120023</t>
        </is>
      </c>
      <c r="W143" s="96" t="inlineStr">
        <is>
          <t>PTT GLOBAL CHEMICAL PUBLIC COMPANY</t>
        </is>
      </c>
      <c r="X143" s="96" t="inlineStr">
        <is>
          <t>VFD</t>
        </is>
      </c>
      <c r="Y143" s="96" t="inlineStr">
        <is>
          <t>INABATA &amp; CO.,LTD</t>
        </is>
      </c>
      <c r="Z143" s="96" t="inlineStr">
        <is>
          <t>INABATA &amp; CO.,LTD</t>
        </is>
      </c>
      <c r="AA143" s="97" t="n">
        <v>24240</v>
      </c>
      <c r="AB143" s="96" t="inlineStr">
        <is>
          <t>LCH06</t>
        </is>
      </c>
      <c r="AC143" s="96" t="inlineStr">
        <is>
          <t>MYJ01</t>
        </is>
      </c>
    </row>
    <row r="144" ht="12" customHeight="1">
      <c r="A144" s="96" t="inlineStr">
        <is>
          <t>TRHU6267478</t>
        </is>
      </c>
      <c r="B144" s="161" t="inlineStr">
        <is>
          <t>2026-10-07</t>
        </is>
      </c>
      <c r="C144" s="96" t="inlineStr">
        <is>
          <t>SWVG</t>
        </is>
      </c>
      <c r="D144" s="96" t="inlineStr">
        <is>
          <t>2612N</t>
        </is>
      </c>
      <c r="E144" s="96" t="inlineStr">
        <is>
          <t>45GP</t>
        </is>
      </c>
      <c r="F144" s="96" t="inlineStr">
        <is>
          <t>SD</t>
        </is>
      </c>
      <c r="G144" s="96" t="inlineStr">
        <is>
          <t>THLCH</t>
        </is>
      </c>
      <c r="H144" s="96" t="inlineStr">
        <is>
          <t>THLCH</t>
        </is>
      </c>
      <c r="I144" s="96" t="inlineStr">
        <is>
          <t>CNSHA</t>
        </is>
      </c>
      <c r="J144" s="96" t="inlineStr">
        <is>
          <t>CNSHA</t>
        </is>
      </c>
      <c r="K144" s="96" t="inlineStr">
        <is>
          <t>F</t>
        </is>
      </c>
      <c r="L144" s="96" t="inlineStr">
        <is>
          <t>ONE</t>
        </is>
      </c>
      <c r="M144" s="96" t="inlineStr">
        <is>
          <t>VFL</t>
        </is>
      </c>
      <c r="N144" s="96" t="inlineStr">
        <is>
          <t>LCH06</t>
        </is>
      </c>
      <c r="O144" s="96" t="inlineStr">
        <is>
          <t>LCH</t>
        </is>
      </c>
      <c r="P144" s="96" t="inlineStr">
        <is>
          <t>TH</t>
        </is>
      </c>
      <c r="Q144" s="96" t="inlineStr">
        <is>
          <t>HASLS22260901668</t>
        </is>
      </c>
      <c r="R144" s="96" t="inlineStr">
        <is>
          <t>N</t>
        </is>
      </c>
      <c r="S144" s="96" t="inlineStr">
        <is>
          <t>N</t>
        </is>
      </c>
      <c r="T144" s="96" t="inlineStr">
        <is>
          <t>PCI</t>
        </is>
      </c>
      <c r="U144" s="97" t="n"/>
      <c r="V144" s="96" t="inlineStr">
        <is>
          <t>K0120023</t>
        </is>
      </c>
      <c r="W144" s="96" t="inlineStr">
        <is>
          <t>BARKLAYS LOGISTICS (THAILAND)</t>
        </is>
      </c>
      <c r="X144" s="96" t="inlineStr">
        <is>
          <t>VFD</t>
        </is>
      </c>
      <c r="Y144" s="96" t="inlineStr">
        <is>
          <t>BARKLAYS LOGISTICS (SHANGHAI)</t>
        </is>
      </c>
      <c r="Z144" s="96" t="inlineStr">
        <is>
          <t>BARKLAYS LOGISTICS (SHANGHAI)</t>
        </is>
      </c>
      <c r="AA144" s="97" t="n">
        <v>25630</v>
      </c>
      <c r="AB144" s="96" t="inlineStr">
        <is>
          <t>LCH06</t>
        </is>
      </c>
      <c r="AC144" s="96" t="inlineStr">
        <is>
          <t>SHAW5</t>
        </is>
      </c>
    </row>
    <row r="145" ht="12" customHeight="1">
      <c r="A145" s="96" t="n"/>
      <c r="B145" s="161" t="n"/>
      <c r="C145" s="96" t="n"/>
      <c r="D145" s="96" t="n"/>
      <c r="E145" s="96" t="n"/>
      <c r="F145" s="96" t="n"/>
      <c r="G145" s="96" t="n"/>
      <c r="H145" s="96" t="n"/>
      <c r="I145" s="96" t="n"/>
      <c r="J145" s="96" t="n"/>
      <c r="K145" s="96" t="n"/>
      <c r="L145" s="96" t="n"/>
      <c r="M145" s="96" t="n"/>
      <c r="N145" s="96" t="n"/>
      <c r="O145" s="96" t="n"/>
      <c r="P145" s="96" t="n"/>
      <c r="Q145" s="96" t="n"/>
      <c r="R145" s="96" t="n"/>
      <c r="S145" s="96" t="n"/>
      <c r="T145" s="96" t="n"/>
      <c r="U145" s="97" t="n"/>
      <c r="V145" s="96" t="n"/>
      <c r="W145" s="96" t="n"/>
      <c r="X145" s="96" t="n"/>
      <c r="Y145" s="96" t="n"/>
      <c r="Z145" s="96" t="n"/>
      <c r="AA145" s="97" t="n">
        <v>3078732.835</v>
      </c>
      <c r="AB145" s="96" t="n"/>
      <c r="AC145" s="96" t="n"/>
    </row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8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HASLS22260901781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PCI2</t>
        </is>
      </c>
      <c r="M2" s="96" t="inlineStr">
        <is>
          <t>SWVG</t>
        </is>
      </c>
      <c r="N2" s="96" t="inlineStr">
        <is>
          <t>2612N</t>
        </is>
      </c>
      <c r="O2" s="96" t="inlineStr">
        <is>
          <t>THLCH</t>
        </is>
      </c>
      <c r="P2" s="96" t="inlineStr">
        <is>
          <t>LCH06</t>
        </is>
      </c>
      <c r="Q2" s="96" t="inlineStr">
        <is>
          <t>IA</t>
        </is>
      </c>
      <c r="R2" s="161" t="inlineStr">
        <is>
          <t>2026-10-07</t>
        </is>
      </c>
      <c r="S2" s="96" t="inlineStr">
        <is>
          <t>CNSHA</t>
        </is>
      </c>
      <c r="T2" s="96" t="inlineStr">
        <is>
          <t>SHAW5</t>
        </is>
      </c>
      <c r="U2" s="96" t="inlineStr">
        <is>
          <t>CNSHA</t>
        </is>
      </c>
      <c r="V2" s="161" t="inlineStr">
        <is>
          <t>2026-10-13</t>
        </is>
      </c>
      <c r="W2" s="96" t="inlineStr">
        <is>
          <t>CN</t>
        </is>
      </c>
      <c r="X2" s="97" t="n"/>
      <c r="Y2" s="97" t="n"/>
      <c r="Z2" s="97" t="n"/>
      <c r="AA2" s="96" t="inlineStr">
        <is>
          <t>SCGJWD LOGISTICS PUBLIC COMPANY LIMITED</t>
        </is>
      </c>
      <c r="AB2" s="96" t="inlineStr">
        <is>
          <t>THAI POLYETHYLENE CO., LTD.</t>
        </is>
      </c>
      <c r="AC2" s="163" t="n">
        <v>17088.4</v>
      </c>
      <c r="AD2" s="163" t="n">
        <v>19288.4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POLYPROPYLENE RESIN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CY-RTN 26-29/09/26 (INV.3031062142)</t>
        </is>
      </c>
      <c r="BA2" s="97" t="inlineStr">
        <is>
          <t>FM 9X40'HC DD.21/09</t>
        </is>
      </c>
      <c r="BB2" s="96" t="inlineStr">
        <is>
          <t>P</t>
        </is>
      </c>
      <c r="BC2" s="161" t="inlineStr">
        <is>
          <t>2026-09-21</t>
        </is>
      </c>
      <c r="BD2" s="161" t="inlineStr">
        <is>
          <t>2026-10-01</t>
        </is>
      </c>
      <c r="BE2" s="96" t="inlineStr">
        <is>
          <t>Y</t>
        </is>
      </c>
      <c r="BF2" s="96" t="inlineStr">
        <is>
          <t>RESIN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2026-09-26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LCH06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pornnariv@scgjwd.com</t>
        </is>
      </c>
      <c r="CJ2" s="96" t="inlineStr">
        <is>
          <t>THAI POLYETHYLENE CO., LTD.</t>
        </is>
      </c>
      <c r="CK2" s="96" t="inlineStr">
        <is>
          <t>SHANGHAI QIZHENG INTERNATIONAL</t>
        </is>
      </c>
      <c r="CL2" s="96" t="inlineStr">
        <is>
          <t>SHANGHAI QIZHENG INTERNATIONAL</t>
        </is>
      </c>
      <c r="CM2" s="97" t="inlineStr">
        <is>
          <t>CLOSED</t>
        </is>
      </c>
      <c r="CN2" s="96" t="inlineStr">
        <is>
          <t>202610021500</t>
        </is>
      </c>
      <c r="CO2" s="96" t="inlineStr">
        <is>
          <t>202610051200</t>
        </is>
      </c>
      <c r="CP2" s="97" t="n"/>
      <c r="CQ2" s="96" t="inlineStr">
        <is>
          <t>S19-2308041</t>
        </is>
      </c>
      <c r="CR2" s="96" t="inlineStr">
        <is>
          <t>TH0235</t>
        </is>
      </c>
      <c r="CS2" s="96" t="inlineStr">
        <is>
          <t>SCGJWD LOGISTICS PUBLIC COMPANY LIMITED</t>
        </is>
      </c>
      <c r="CT2" s="96" t="inlineStr">
        <is>
          <t>N</t>
        </is>
      </c>
      <c r="CU2" s="97" t="n"/>
      <c r="CV2" s="97" t="n"/>
      <c r="CW2" s="161" t="inlineStr">
        <is>
          <t>2026-10-06</t>
        </is>
      </c>
      <c r="CX2" s="97" t="inlineStr">
        <is>
          <t>390210</t>
        </is>
      </c>
      <c r="CY2" s="156" t="n"/>
    </row>
    <row r="3" ht="12" customHeight="1">
      <c r="A3" s="116" t="inlineStr">
        <is>
          <t>HASLS22260901780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PCI2</t>
        </is>
      </c>
      <c r="M3" s="96" t="inlineStr">
        <is>
          <t>SWVG</t>
        </is>
      </c>
      <c r="N3" s="96" t="inlineStr">
        <is>
          <t>2612N</t>
        </is>
      </c>
      <c r="O3" s="96" t="inlineStr">
        <is>
          <t>THLCH</t>
        </is>
      </c>
      <c r="P3" s="96" t="inlineStr">
        <is>
          <t>LCH06</t>
        </is>
      </c>
      <c r="Q3" s="96" t="inlineStr">
        <is>
          <t>IA</t>
        </is>
      </c>
      <c r="R3" s="161" t="inlineStr">
        <is>
          <t>2026-10-07</t>
        </is>
      </c>
      <c r="S3" s="96" t="inlineStr">
        <is>
          <t>CNSHA</t>
        </is>
      </c>
      <c r="T3" s="96" t="inlineStr">
        <is>
          <t>SHAW5</t>
        </is>
      </c>
      <c r="U3" s="96" t="inlineStr">
        <is>
          <t>CNSHA</t>
        </is>
      </c>
      <c r="V3" s="161" t="inlineStr">
        <is>
          <t>2026-10-13</t>
        </is>
      </c>
      <c r="W3" s="96" t="inlineStr">
        <is>
          <t>CN</t>
        </is>
      </c>
      <c r="X3" s="97" t="n"/>
      <c r="Y3" s="97" t="n"/>
      <c r="Z3" s="97" t="n"/>
      <c r="AA3" s="96" t="inlineStr">
        <is>
          <t>TRANS-MAKER CO., LTD.</t>
        </is>
      </c>
      <c r="AB3" s="96" t="inlineStr">
        <is>
          <t>TFL LEDERTECHNIK GMBH</t>
        </is>
      </c>
      <c r="AC3" s="163" t="n">
        <v>9631.1</v>
      </c>
      <c r="AD3" s="163" t="n">
        <v>11831.1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TBKK55</t>
        </is>
      </c>
      <c r="AN3" s="96" t="inlineStr">
        <is>
          <t>Vilaiporn</t>
        </is>
      </c>
      <c r="AO3" s="96" t="inlineStr">
        <is>
          <t>LEATHER CHEMICALS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2026-10-01, Return : 2026-10-03</t>
        </is>
      </c>
      <c r="BA3" s="97" t="n"/>
      <c r="BB3" s="96" t="inlineStr">
        <is>
          <t>P</t>
        </is>
      </c>
      <c r="BC3" s="161" t="inlineStr">
        <is>
          <t>2026-09-21</t>
        </is>
      </c>
      <c r="BD3" s="161" t="inlineStr">
        <is>
          <t>2026-09-29</t>
        </is>
      </c>
      <c r="BE3" s="96" t="inlineStr">
        <is>
          <t>Y</t>
        </is>
      </c>
      <c r="BF3" s="96" t="inlineStr">
        <is>
          <t>LEATHER CHEMICALS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2026-10-01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LCH06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tmkcusexp@trans-maker.com</t>
        </is>
      </c>
      <c r="CJ3" s="96" t="inlineStr">
        <is>
          <t>TFL LEDERTECHNIK GMBH</t>
        </is>
      </c>
      <c r="CK3" s="96" t="inlineStr">
        <is>
          <t>TFL (CHANGZHOU) CO.,LTD.</t>
        </is>
      </c>
      <c r="CL3" s="96" t="inlineStr">
        <is>
          <t>TFL (CHANGZHOU) CO.,LTD.</t>
        </is>
      </c>
      <c r="CM3" s="97" t="inlineStr">
        <is>
          <t>CLOSED</t>
        </is>
      </c>
      <c r="CN3" s="96" t="inlineStr">
        <is>
          <t>202610021500</t>
        </is>
      </c>
      <c r="CO3" s="96" t="inlineStr">
        <is>
          <t>202610051200</t>
        </is>
      </c>
      <c r="CP3" s="97" t="n"/>
      <c r="CQ3" s="96" t="inlineStr">
        <is>
          <t>S19-2011020</t>
        </is>
      </c>
      <c r="CR3" s="96" t="inlineStr">
        <is>
          <t>TH01GM</t>
        </is>
      </c>
      <c r="CS3" s="96" t="inlineStr">
        <is>
          <t>TRANS-MAKER CO., LTD.</t>
        </is>
      </c>
      <c r="CT3" s="96" t="inlineStr">
        <is>
          <t>N</t>
        </is>
      </c>
      <c r="CU3" s="97" t="n"/>
      <c r="CV3" s="97" t="n"/>
      <c r="CW3" s="161" t="inlineStr">
        <is>
          <t>2026-10-06</t>
        </is>
      </c>
      <c r="CX3" s="97" t="inlineStr">
        <is>
          <t>320412</t>
        </is>
      </c>
      <c r="CY3" s="183" t="n"/>
    </row>
    <row r="4" ht="12" customHeight="1">
      <c r="A4" s="116" t="inlineStr">
        <is>
          <t>HASLS22260900208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PCI2</t>
        </is>
      </c>
      <c r="M4" s="96" t="inlineStr">
        <is>
          <t>SWVG</t>
        </is>
      </c>
      <c r="N4" s="96" t="inlineStr">
        <is>
          <t>2612N</t>
        </is>
      </c>
      <c r="O4" s="96" t="inlineStr">
        <is>
          <t>THLCH</t>
        </is>
      </c>
      <c r="P4" s="96" t="inlineStr">
        <is>
          <t>LCH06</t>
        </is>
      </c>
      <c r="Q4" s="96" t="inlineStr">
        <is>
          <t>IA</t>
        </is>
      </c>
      <c r="R4" s="161" t="inlineStr">
        <is>
          <t>2026-10-07</t>
        </is>
      </c>
      <c r="S4" s="96" t="inlineStr">
        <is>
          <t>CNSHA</t>
        </is>
      </c>
      <c r="T4" s="96" t="inlineStr">
        <is>
          <t>SHAW5</t>
        </is>
      </c>
      <c r="U4" s="96" t="inlineStr">
        <is>
          <t>CNSHA</t>
        </is>
      </c>
      <c r="V4" s="161" t="inlineStr">
        <is>
          <t>2026-10-13</t>
        </is>
      </c>
      <c r="W4" s="96" t="inlineStr">
        <is>
          <t>CN</t>
        </is>
      </c>
      <c r="X4" s="97" t="n"/>
      <c r="Y4" s="97" t="n"/>
      <c r="Z4" s="97" t="n"/>
      <c r="AA4" s="96" t="inlineStr">
        <is>
          <t>EXPEDITORS (THAILAND) LTD.</t>
        </is>
      </c>
      <c r="AB4" s="96" t="inlineStr">
        <is>
          <t>SCGJWD LOGISTICS PUBLIC COMPANY LIMITED</t>
        </is>
      </c>
      <c r="AC4" s="163" t="n">
        <v>3076.5</v>
      </c>
      <c r="AD4" s="163" t="n">
        <v>5276.5</v>
      </c>
      <c r="AE4" s="96" t="inlineStr">
        <is>
          <t>OK</t>
        </is>
      </c>
      <c r="AF4" s="96" t="n"/>
      <c r="AG4" s="97" t="n"/>
      <c r="AH4" s="96" t="inlineStr">
        <is>
          <t>CON</t>
        </is>
      </c>
      <c r="AI4" s="97" t="n"/>
      <c r="AJ4" s="97" t="n"/>
      <c r="AK4" s="97" t="n"/>
      <c r="AL4" s="97" t="n"/>
      <c r="AM4" s="96" t="inlineStr">
        <is>
          <t>TBKK19</t>
        </is>
      </c>
      <c r="AN4" s="96" t="inlineStr">
        <is>
          <t>Kanokporn</t>
        </is>
      </c>
      <c r="AO4" s="96" t="inlineStr">
        <is>
          <t>CICLO 102 MASTERBATCH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2026-10-03, Return : 2026-10-05</t>
        </is>
      </c>
      <c r="BA4" s="97" t="inlineStr">
        <is>
          <t>SI DD.5/10/26
FM SHRP :  COPELAND (THAILAND) LIMITED</t>
        </is>
      </c>
      <c r="BB4" s="96" t="inlineStr">
        <is>
          <t>P</t>
        </is>
      </c>
      <c r="BC4" s="161" t="inlineStr">
        <is>
          <t>2026-09-02</t>
        </is>
      </c>
      <c r="BD4" s="161" t="inlineStr">
        <is>
          <t>2026-10-05</t>
        </is>
      </c>
      <c r="BE4" s="96" t="inlineStr">
        <is>
          <t>Y</t>
        </is>
      </c>
      <c r="BF4" s="96" t="inlineStr">
        <is>
          <t>POLY(ETHYLENE TEREPHTHALATE)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LCH27</t>
        </is>
      </c>
      <c r="BL4" s="161" t="inlineStr">
        <is>
          <t>2026-10-03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LCH06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alina.jantieng@expeditors.com</t>
        </is>
      </c>
      <c r="CJ4" s="96" t="inlineStr">
        <is>
          <t>EXPEDITORS THAILAND LTD.</t>
        </is>
      </c>
      <c r="CK4" s="96" t="inlineStr">
        <is>
          <t>BEIJING KANG JIE KONG INTERNATIONAL</t>
        </is>
      </c>
      <c r="CL4" s="96" t="inlineStr">
        <is>
          <t>BEIJING KANG JIE KONG INTERNATIONAL</t>
        </is>
      </c>
      <c r="CM4" s="97" t="n"/>
      <c r="CN4" s="96" t="inlineStr">
        <is>
          <t>202610021500</t>
        </is>
      </c>
      <c r="CO4" s="96" t="inlineStr">
        <is>
          <t>202610051200</t>
        </is>
      </c>
      <c r="CP4" s="97" t="n"/>
      <c r="CQ4" s="96" t="inlineStr">
        <is>
          <t>S22-2408021</t>
        </is>
      </c>
      <c r="CR4" s="96" t="inlineStr">
        <is>
          <t>BB0038</t>
        </is>
      </c>
      <c r="CS4" s="96" t="inlineStr">
        <is>
          <t>EXPEDITORS (THAILAND) LTD.</t>
        </is>
      </c>
      <c r="CT4" s="96" t="inlineStr">
        <is>
          <t>N</t>
        </is>
      </c>
      <c r="CU4" s="97" t="n"/>
      <c r="CV4" s="97" t="n"/>
      <c r="CW4" s="161" t="inlineStr">
        <is>
          <t>2026-10-07</t>
        </is>
      </c>
      <c r="CX4" s="97" t="n"/>
      <c r="CY4" s="183" t="n"/>
    </row>
    <row r="5" ht="12" customHeight="1">
      <c r="A5" s="116" t="inlineStr">
        <is>
          <t>HASLS22260901674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PCI2</t>
        </is>
      </c>
      <c r="M5" s="96" t="inlineStr">
        <is>
          <t>SWVG</t>
        </is>
      </c>
      <c r="N5" s="96" t="inlineStr">
        <is>
          <t>2612N</t>
        </is>
      </c>
      <c r="O5" s="96" t="inlineStr">
        <is>
          <t>THLCH</t>
        </is>
      </c>
      <c r="P5" s="96" t="inlineStr">
        <is>
          <t>LCH06</t>
        </is>
      </c>
      <c r="Q5" s="96" t="inlineStr">
        <is>
          <t>IA</t>
        </is>
      </c>
      <c r="R5" s="161" t="inlineStr">
        <is>
          <t>2026-10-07</t>
        </is>
      </c>
      <c r="S5" s="96" t="inlineStr">
        <is>
          <t>JPSMZ</t>
        </is>
      </c>
      <c r="T5" s="96" t="inlineStr">
        <is>
          <t>SMZ01</t>
        </is>
      </c>
      <c r="U5" s="96" t="inlineStr">
        <is>
          <t>JPSMZ</t>
        </is>
      </c>
      <c r="V5" s="161" t="inlineStr">
        <is>
          <t>2026-10-22</t>
        </is>
      </c>
      <c r="W5" s="96" t="inlineStr">
        <is>
          <t>JP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WHA GC LOGISTICS COMPANY LIMITED</t>
        </is>
      </c>
      <c r="AB5" s="96" t="inlineStr">
        <is>
          <t>PTT GLOBAL CHEMICAL PUBLIC COMPANY LIMITED</t>
        </is>
      </c>
      <c r="AC5" s="163" t="n">
        <v>16160</v>
      </c>
      <c r="AD5" s="163" t="n">
        <v>18360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TBKK13</t>
        </is>
      </c>
      <c r="AN5" s="96" t="inlineStr">
        <is>
          <t>Dharaporn</t>
        </is>
      </c>
      <c r="AO5" s="96" t="inlineStr">
        <is>
          <t>LLDPE LL7410D2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CY-RTN 23-26/09/26 (PR2610001741 )</t>
        </is>
      </c>
      <c r="BA5" s="97" t="inlineStr">
        <is>
          <t>SI DD.28/9/26</t>
        </is>
      </c>
      <c r="BB5" s="96" t="inlineStr">
        <is>
          <t>P</t>
        </is>
      </c>
      <c r="BC5" s="161" t="inlineStr">
        <is>
          <t>2026-09-18</t>
        </is>
      </c>
      <c r="BD5" s="161" t="inlineStr">
        <is>
          <t>2026-10-02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2026-09-23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5</v>
      </c>
      <c r="CA5" s="96" t="n"/>
      <c r="CB5" s="97" t="n"/>
      <c r="CC5" s="96" t="inlineStr">
        <is>
          <t>LCH06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THLCH [SWVG/2612N]; T/S(1st): KRPUS [PCSS/2634E]; POD: JPSMZ [/]</t>
        </is>
      </c>
      <c r="CI5" s="96" t="inlineStr">
        <is>
          <t>kotchakorn.w@wha-gc.com</t>
        </is>
      </c>
      <c r="CJ5" s="96" t="inlineStr">
        <is>
          <t>PTT GLOBAL CHEMICAL PUBLIC COMPANY</t>
        </is>
      </c>
      <c r="CK5" s="96" t="inlineStr">
        <is>
          <t>MARUBENI INNOVEXIS CORPORATION</t>
        </is>
      </c>
      <c r="CL5" s="96" t="inlineStr">
        <is>
          <t>MARUBENI INNOVEXIS CORPORATION</t>
        </is>
      </c>
      <c r="CM5" s="97" t="inlineStr">
        <is>
          <t>CLOSED</t>
        </is>
      </c>
      <c r="CN5" s="96" t="inlineStr">
        <is>
          <t>202610021500</t>
        </is>
      </c>
      <c r="CO5" s="96" t="inlineStr">
        <is>
          <t>202610051200</t>
        </is>
      </c>
      <c r="CP5" s="97" t="n"/>
      <c r="CQ5" s="96" t="inlineStr">
        <is>
          <t>S19-2309008</t>
        </is>
      </c>
      <c r="CR5" s="96" t="inlineStr">
        <is>
          <t>TH02GR</t>
        </is>
      </c>
      <c r="CS5" s="96" t="inlineStr">
        <is>
          <t>WHA GC LOGISTICS COMPANY LIMITED</t>
        </is>
      </c>
      <c r="CT5" s="96" t="inlineStr">
        <is>
          <t>N</t>
        </is>
      </c>
      <c r="CU5" s="97" t="n"/>
      <c r="CV5" s="97" t="n"/>
      <c r="CW5" s="161" t="inlineStr">
        <is>
          <t>2026-10-03</t>
        </is>
      </c>
      <c r="CX5" s="97" t="inlineStr">
        <is>
          <t>390140</t>
        </is>
      </c>
      <c r="CY5" s="183" t="n"/>
    </row>
    <row r="6" ht="12" customHeight="1">
      <c r="A6" s="116" t="inlineStr">
        <is>
          <t>HASLS22260901408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PCI2</t>
        </is>
      </c>
      <c r="M6" s="96" t="inlineStr">
        <is>
          <t>SWVG</t>
        </is>
      </c>
      <c r="N6" s="96" t="inlineStr">
        <is>
          <t>2612N</t>
        </is>
      </c>
      <c r="O6" s="96" t="inlineStr">
        <is>
          <t>THLCH</t>
        </is>
      </c>
      <c r="P6" s="96" t="inlineStr">
        <is>
          <t>LCH06</t>
        </is>
      </c>
      <c r="Q6" s="96" t="inlineStr">
        <is>
          <t>IA</t>
        </is>
      </c>
      <c r="R6" s="161" t="inlineStr">
        <is>
          <t>2026-10-07</t>
        </is>
      </c>
      <c r="S6" s="96" t="inlineStr">
        <is>
          <t>JPFKY</t>
        </is>
      </c>
      <c r="T6" s="96" t="inlineStr">
        <is>
          <t>FKY01</t>
        </is>
      </c>
      <c r="U6" s="96" t="inlineStr">
        <is>
          <t>JPFKY</t>
        </is>
      </c>
      <c r="V6" s="161" t="inlineStr">
        <is>
          <t>2026-10-19</t>
        </is>
      </c>
      <c r="W6" s="96" t="inlineStr">
        <is>
          <t>JP</t>
        </is>
      </c>
      <c r="X6" s="97" t="n"/>
      <c r="Y6" s="97" t="inlineStr">
        <is>
          <t>PUS05</t>
        </is>
      </c>
      <c r="Z6" s="97" t="inlineStr">
        <is>
          <t>KRPUS</t>
        </is>
      </c>
      <c r="AA6" s="96" t="inlineStr">
        <is>
          <t>ROJANA DISTRIBUTION CENTER CO., LTD.</t>
        </is>
      </c>
      <c r="AB6" s="96" t="inlineStr">
        <is>
          <t>NIPPON STEEL WELDING (THAILAND) CO., LTD.</t>
        </is>
      </c>
      <c r="AC6" s="163" t="n">
        <v>21706</v>
      </c>
      <c r="AD6" s="163" t="n">
        <v>23906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n"/>
      <c r="AJ6" s="97" t="n"/>
      <c r="AK6" s="97" t="n"/>
      <c r="AL6" s="97" t="n"/>
      <c r="AM6" s="96" t="inlineStr">
        <is>
          <t>TBKK13</t>
        </is>
      </c>
      <c r="AN6" s="96" t="inlineStr">
        <is>
          <t>Dharaporn</t>
        </is>
      </c>
      <c r="AO6" s="96" t="inlineStr">
        <is>
          <t>WELDING WIRE</t>
        </is>
      </c>
      <c r="AP6" s="96" t="inlineStr">
        <is>
          <t>T/S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2026-10-02, Return : 2026-10-05</t>
        </is>
      </c>
      <c r="BA6" s="97" t="inlineStr">
        <is>
          <t>FM SWSP 2609N 18/09</t>
        </is>
      </c>
      <c r="BB6" s="96" t="inlineStr">
        <is>
          <t>P</t>
        </is>
      </c>
      <c r="BC6" s="161" t="inlineStr">
        <is>
          <t>2026-09-16</t>
        </is>
      </c>
      <c r="BD6" s="161" t="inlineStr">
        <is>
          <t>2026-10-06</t>
        </is>
      </c>
      <c r="BE6" s="96" t="inlineStr">
        <is>
          <t>Y</t>
        </is>
      </c>
      <c r="BF6" s="96" t="inlineStr">
        <is>
          <t>WELDING WIRE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LCH27</t>
        </is>
      </c>
      <c r="BL6" s="161" t="inlineStr">
        <is>
          <t>2026-10-02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>
        <v>2</v>
      </c>
      <c r="CA6" s="96" t="inlineStr">
        <is>
          <t>Y</t>
        </is>
      </c>
      <c r="CB6" s="97" t="n"/>
      <c r="CC6" s="96" t="inlineStr">
        <is>
          <t>LCH06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inlineStr">
        <is>
          <t>POL: THLCH [SWVG/2612N]; T/S(1st): KRPUS [PCBS/2642E]; POD: JPFKY [/]</t>
        </is>
      </c>
      <c r="CI6" s="96" t="inlineStr">
        <is>
          <t>exportlcb@rdc.co.th</t>
        </is>
      </c>
      <c r="CJ6" s="96" t="inlineStr">
        <is>
          <t>ROJANA DISTRIBUTION CENTER CO.,LTD.</t>
        </is>
      </c>
      <c r="CK6" s="96" t="inlineStr">
        <is>
          <t>THE SUMITOMO WAREHOUSE CO., LTD.</t>
        </is>
      </c>
      <c r="CL6" s="96" t="inlineStr">
        <is>
          <t>THE SUMITOMO WAREHOUSE CO., LTD.</t>
        </is>
      </c>
      <c r="CM6" s="97" t="n"/>
      <c r="CN6" s="96" t="inlineStr">
        <is>
          <t>202610021500</t>
        </is>
      </c>
      <c r="CO6" s="96" t="inlineStr">
        <is>
          <t>202610051200</t>
        </is>
      </c>
      <c r="CP6" s="97" t="n"/>
      <c r="CQ6" s="96" t="inlineStr">
        <is>
          <t>S22-2312022</t>
        </is>
      </c>
      <c r="CR6" s="96" t="inlineStr">
        <is>
          <t>TH05M9</t>
        </is>
      </c>
      <c r="CS6" s="96" t="inlineStr">
        <is>
          <t>ROJANA DISTRIBUTION CENTER CO., LTD.</t>
        </is>
      </c>
      <c r="CT6" s="96" t="inlineStr">
        <is>
          <t>N</t>
        </is>
      </c>
      <c r="CU6" s="97" t="n"/>
      <c r="CV6" s="97" t="n"/>
      <c r="CW6" s="161" t="inlineStr">
        <is>
          <t>2026-10-08</t>
        </is>
      </c>
      <c r="CX6" s="97" t="inlineStr">
        <is>
          <t>831190</t>
        </is>
      </c>
      <c r="CY6" s="183" t="n"/>
    </row>
    <row r="7" ht="12" customHeight="1">
      <c r="A7" s="116" t="inlineStr">
        <is>
          <t>HASLS22260901331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PCI2</t>
        </is>
      </c>
      <c r="M7" s="96" t="inlineStr">
        <is>
          <t>SWVG</t>
        </is>
      </c>
      <c r="N7" s="96" t="inlineStr">
        <is>
          <t>2612N</t>
        </is>
      </c>
      <c r="O7" s="96" t="inlineStr">
        <is>
          <t>THLCH</t>
        </is>
      </c>
      <c r="P7" s="96" t="inlineStr">
        <is>
          <t>LCH06</t>
        </is>
      </c>
      <c r="Q7" s="96" t="inlineStr">
        <is>
          <t>IA</t>
        </is>
      </c>
      <c r="R7" s="161" t="inlineStr">
        <is>
          <t>2026-10-07</t>
        </is>
      </c>
      <c r="S7" s="96" t="inlineStr">
        <is>
          <t>JPTMK</t>
        </is>
      </c>
      <c r="T7" s="96" t="inlineStr">
        <is>
          <t>TMK03</t>
        </is>
      </c>
      <c r="U7" s="96" t="inlineStr">
        <is>
          <t>JPTMK</t>
        </is>
      </c>
      <c r="V7" s="161" t="inlineStr">
        <is>
          <t>2026-11-03</t>
        </is>
      </c>
      <c r="W7" s="96" t="inlineStr">
        <is>
          <t>JP</t>
        </is>
      </c>
      <c r="X7" s="97" t="n"/>
      <c r="Y7" s="97" t="inlineStr">
        <is>
          <t>PUS05</t>
        </is>
      </c>
      <c r="Z7" s="97" t="inlineStr">
        <is>
          <t>KRPUS</t>
        </is>
      </c>
      <c r="AA7" s="96" t="inlineStr">
        <is>
          <t>ROJANA DISTRIBUTION CENTER CO., LTD.</t>
        </is>
      </c>
      <c r="AB7" s="96" t="inlineStr">
        <is>
          <t>NIPPON STEEL WELDING (THAILAND) CO., LTD.</t>
        </is>
      </c>
      <c r="AC7" s="163" t="n">
        <v>21111</v>
      </c>
      <c r="AD7" s="163" t="n">
        <v>23311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n"/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WELDING WIRE</t>
        </is>
      </c>
      <c r="AP7" s="96" t="inlineStr">
        <is>
          <t>T/S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[FIX]Pickup : 2026-10-02, Return : 2026-10-05</t>
        </is>
      </c>
      <c r="BA7" s="97" t="inlineStr">
        <is>
          <t>FM KMBK 2611N 18/09</t>
        </is>
      </c>
      <c r="BB7" s="96" t="inlineStr">
        <is>
          <t>P</t>
        </is>
      </c>
      <c r="BC7" s="161" t="inlineStr">
        <is>
          <t>2026-09-16</t>
        </is>
      </c>
      <c r="BD7" s="161" t="inlineStr">
        <is>
          <t>2026-10-05</t>
        </is>
      </c>
      <c r="BE7" s="96" t="inlineStr">
        <is>
          <t>Y</t>
        </is>
      </c>
      <c r="BF7" s="96" t="inlineStr">
        <is>
          <t>WELDING WIRE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LCH27</t>
        </is>
      </c>
      <c r="BL7" s="161" t="inlineStr">
        <is>
          <t>2026-10-02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>
        <v>17</v>
      </c>
      <c r="CA7" s="96" t="inlineStr">
        <is>
          <t>Y</t>
        </is>
      </c>
      <c r="CB7" s="97" t="n"/>
      <c r="CC7" s="96" t="inlineStr">
        <is>
          <t>LCH06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inlineStr">
        <is>
          <t>POL: THLCH [SWVG/2612N]; T/S(1st): KRPUS [TYTR/2641E]; POD: JPTMK [/]</t>
        </is>
      </c>
      <c r="CI7" s="96" t="inlineStr">
        <is>
          <t>exportlcb@rdc.co.th</t>
        </is>
      </c>
      <c r="CJ7" s="96" t="inlineStr">
        <is>
          <t>ROJANA DISTRIBUTION CENTER CO.,LTD.</t>
        </is>
      </c>
      <c r="CK7" s="96" t="inlineStr">
        <is>
          <t>THE SUMITOMO WAREHOUSE CO., LTD.</t>
        </is>
      </c>
      <c r="CL7" s="96" t="inlineStr">
        <is>
          <t>SAME AS CONSIGNEE</t>
        </is>
      </c>
      <c r="CM7" s="97" t="n"/>
      <c r="CN7" s="96" t="inlineStr">
        <is>
          <t>202610021500</t>
        </is>
      </c>
      <c r="CO7" s="96" t="inlineStr">
        <is>
          <t>202610051200</t>
        </is>
      </c>
      <c r="CP7" s="97" t="n"/>
      <c r="CQ7" s="96" t="inlineStr">
        <is>
          <t>S22-2312022</t>
        </is>
      </c>
      <c r="CR7" s="96" t="inlineStr">
        <is>
          <t>TH05M9</t>
        </is>
      </c>
      <c r="CS7" s="96" t="inlineStr">
        <is>
          <t>ROJANA DISTRIBUTION CENTER CO., LTD.</t>
        </is>
      </c>
      <c r="CT7" s="96" t="inlineStr">
        <is>
          <t>N</t>
        </is>
      </c>
      <c r="CU7" s="97" t="n"/>
      <c r="CV7" s="97" t="n"/>
      <c r="CW7" s="161" t="inlineStr">
        <is>
          <t>2026-10-08</t>
        </is>
      </c>
      <c r="CX7" s="97" t="inlineStr">
        <is>
          <t>831190</t>
        </is>
      </c>
      <c r="CY7" s="183" t="n"/>
    </row>
    <row r="8" ht="12" customHeight="1">
      <c r="A8" s="116" t="inlineStr">
        <is>
          <t>HASLS22260900048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PCI2</t>
        </is>
      </c>
      <c r="M8" s="96" t="inlineStr">
        <is>
          <t>SWVG</t>
        </is>
      </c>
      <c r="N8" s="96" t="inlineStr">
        <is>
          <t>2612N</t>
        </is>
      </c>
      <c r="O8" s="96" t="inlineStr">
        <is>
          <t>THLCH</t>
        </is>
      </c>
      <c r="P8" s="96" t="inlineStr">
        <is>
          <t>LCH06</t>
        </is>
      </c>
      <c r="Q8" s="96" t="inlineStr">
        <is>
          <t>IA</t>
        </is>
      </c>
      <c r="R8" s="161" t="inlineStr">
        <is>
          <t>2026-10-07</t>
        </is>
      </c>
      <c r="S8" s="96" t="inlineStr">
        <is>
          <t>JPHKT</t>
        </is>
      </c>
      <c r="T8" s="96" t="inlineStr">
        <is>
          <t>HKT02</t>
        </is>
      </c>
      <c r="U8" s="96" t="inlineStr">
        <is>
          <t>JPHKT</t>
        </is>
      </c>
      <c r="V8" s="161" t="inlineStr">
        <is>
          <t>2026-10-21</t>
        </is>
      </c>
      <c r="W8" s="96" t="inlineStr">
        <is>
          <t>JP</t>
        </is>
      </c>
      <c r="X8" s="97" t="n"/>
      <c r="Y8" s="97" t="inlineStr">
        <is>
          <t>PUS05</t>
        </is>
      </c>
      <c r="Z8" s="97" t="inlineStr">
        <is>
          <t>KRPUS</t>
        </is>
      </c>
      <c r="AA8" s="96" t="inlineStr">
        <is>
          <t>WHA GC LOGISTICS COMPANY LIMITED</t>
        </is>
      </c>
      <c r="AB8" s="96" t="inlineStr">
        <is>
          <t>PTT GLOBAL CHEMICAL PUBLIC COMPANY LIMITED</t>
        </is>
      </c>
      <c r="AC8" s="163" t="n">
        <v>16160</v>
      </c>
      <c r="AD8" s="163" t="n">
        <v>18360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TBKK13</t>
        </is>
      </c>
      <c r="AN8" s="96" t="inlineStr">
        <is>
          <t>Dharaporn</t>
        </is>
      </c>
      <c r="AO8" s="96" t="inlineStr">
        <is>
          <t>HIGH DENSITY POLYETHYLENE HD6600B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CY-RTN 26-29/09/26 (PR2610001572)</t>
        </is>
      </c>
      <c r="BA8" s="97" t="inlineStr">
        <is>
          <t>SI DD.25/9/26
FM SWIC 2610N BY K'NOOK DD.104/09/2026</t>
        </is>
      </c>
      <c r="BB8" s="96" t="inlineStr">
        <is>
          <t>P</t>
        </is>
      </c>
      <c r="BC8" s="161" t="inlineStr">
        <is>
          <t>2026-09-01</t>
        </is>
      </c>
      <c r="BD8" s="161" t="inlineStr">
        <is>
          <t>2026-10-05</t>
        </is>
      </c>
      <c r="BE8" s="96" t="inlineStr">
        <is>
          <t>Y</t>
        </is>
      </c>
      <c r="BF8" s="96" t="inlineStr">
        <is>
          <t>RESIN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2026-09-26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>
        <v>4</v>
      </c>
      <c r="CA8" s="96" t="n"/>
      <c r="CB8" s="97" t="n"/>
      <c r="CC8" s="96" t="inlineStr">
        <is>
          <t>LCH06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inlineStr">
        <is>
          <t>POL: THLCH [SWVG/2612N]; T/S(1st): KRPUS [HKEP/2683E]; POD: JPHKT [/]</t>
        </is>
      </c>
      <c r="CI8" s="96" t="inlineStr">
        <is>
          <t>natchaya.ki@pttgcgroup.com</t>
        </is>
      </c>
      <c r="CJ8" s="96" t="inlineStr">
        <is>
          <t>PTT GLOBAL CHEMICAL PUBLIC COMPANY</t>
        </is>
      </c>
      <c r="CK8" s="96" t="inlineStr">
        <is>
          <t>MITSUBISHI CORPORATION PLASTICS</t>
        </is>
      </c>
      <c r="CL8" s="96" t="inlineStr">
        <is>
          <t>MITSUBISHI CORPORATION PLASTICS</t>
        </is>
      </c>
      <c r="CM8" s="97" t="inlineStr">
        <is>
          <t>CLOSED</t>
        </is>
      </c>
      <c r="CN8" s="96" t="inlineStr">
        <is>
          <t>202610021500</t>
        </is>
      </c>
      <c r="CO8" s="96" t="inlineStr">
        <is>
          <t>202610051200</t>
        </is>
      </c>
      <c r="CP8" s="97" t="n"/>
      <c r="CQ8" s="96" t="inlineStr">
        <is>
          <t>S19-2309008</t>
        </is>
      </c>
      <c r="CR8" s="96" t="inlineStr">
        <is>
          <t>TH02GR</t>
        </is>
      </c>
      <c r="CS8" s="96" t="inlineStr">
        <is>
          <t>WHA GC LOGISTICS COMPANY LIMITED</t>
        </is>
      </c>
      <c r="CT8" s="96" t="inlineStr">
        <is>
          <t>N</t>
        </is>
      </c>
      <c r="CU8" s="97" t="n"/>
      <c r="CV8" s="97" t="n"/>
      <c r="CW8" s="161" t="inlineStr">
        <is>
          <t>2026-10-03</t>
        </is>
      </c>
      <c r="CX8" s="97" t="inlineStr">
        <is>
          <t>390120</t>
        </is>
      </c>
      <c r="CY8" s="183" t="n"/>
    </row>
    <row r="9" ht="12" customHeight="1">
      <c r="A9" s="116" t="inlineStr">
        <is>
          <t>HASLS22260901276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PCI2</t>
        </is>
      </c>
      <c r="M9" s="96" t="inlineStr">
        <is>
          <t>SWVG</t>
        </is>
      </c>
      <c r="N9" s="96" t="inlineStr">
        <is>
          <t>2612N</t>
        </is>
      </c>
      <c r="O9" s="96" t="inlineStr">
        <is>
          <t>THLCH</t>
        </is>
      </c>
      <c r="P9" s="96" t="inlineStr">
        <is>
          <t>LCH06</t>
        </is>
      </c>
      <c r="Q9" s="96" t="inlineStr">
        <is>
          <t>IA</t>
        </is>
      </c>
      <c r="R9" s="161" t="inlineStr">
        <is>
          <t>2026-10-07</t>
        </is>
      </c>
      <c r="S9" s="96" t="inlineStr">
        <is>
          <t>CNSHA</t>
        </is>
      </c>
      <c r="T9" s="96" t="inlineStr">
        <is>
          <t>SHAW5</t>
        </is>
      </c>
      <c r="U9" s="96" t="inlineStr">
        <is>
          <t>CNSHA</t>
        </is>
      </c>
      <c r="V9" s="161" t="inlineStr">
        <is>
          <t>2026-10-13</t>
        </is>
      </c>
      <c r="W9" s="96" t="inlineStr">
        <is>
          <t>CN</t>
        </is>
      </c>
      <c r="X9" s="97" t="n"/>
      <c r="Y9" s="97" t="n"/>
      <c r="Z9" s="97" t="n"/>
      <c r="AA9" s="96" t="inlineStr">
        <is>
          <t>MITSUBISHI LOGISTICS (THAILAND) CO., LTD.</t>
        </is>
      </c>
      <c r="AB9" s="96" t="inlineStr">
        <is>
          <t>SHIN-ETSU SILICONES (THAILAND) LIMITED</t>
        </is>
      </c>
      <c r="AC9" s="163" t="n">
        <v>17190</v>
      </c>
      <c r="AD9" s="163" t="n">
        <v>19390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TH0031</t>
        </is>
      </c>
      <c r="AN9" s="96" t="inlineStr">
        <is>
          <t>Pattarapong Saengthong</t>
        </is>
      </c>
      <c r="AO9" s="96" t="inlineStr">
        <is>
          <t>SILICONE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Pickup : 2026-10-01, Return : 2026-10-02</t>
        </is>
      </c>
      <c r="BA9" s="97" t="inlineStr">
        <is>
          <t>FM HAB 2611N 15/09</t>
        </is>
      </c>
      <c r="BB9" s="96" t="inlineStr">
        <is>
          <t>P</t>
        </is>
      </c>
      <c r="BC9" s="161" t="inlineStr">
        <is>
          <t>2026-09-15</t>
        </is>
      </c>
      <c r="BD9" s="161" t="inlineStr">
        <is>
          <t>2026-10-05</t>
        </is>
      </c>
      <c r="BE9" s="96" t="inlineStr">
        <is>
          <t>Y</t>
        </is>
      </c>
      <c r="BF9" s="96" t="inlineStr">
        <is>
          <t>SILICONE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2026-10-01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LCH06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aungkana.w@mitsubishi-logistics.co.th</t>
        </is>
      </c>
      <c r="CJ9" s="96" t="inlineStr">
        <is>
          <t>MITSUBISHI LOGISTICS (THAILAND)</t>
        </is>
      </c>
      <c r="CK9" s="96" t="inlineStr">
        <is>
          <t>SHANGHAI LINGYUN GLOBAL FORWARDING</t>
        </is>
      </c>
      <c r="CL9" s="96" t="inlineStr">
        <is>
          <t>SHANGHAI LINGYUN GLOBAL FORWARDING</t>
        </is>
      </c>
      <c r="CM9" s="97" t="inlineStr">
        <is>
          <t>CLOSED</t>
        </is>
      </c>
      <c r="CN9" s="96" t="inlineStr">
        <is>
          <t>202610021500</t>
        </is>
      </c>
      <c r="CO9" s="96" t="inlineStr">
        <is>
          <t>202610051200</t>
        </is>
      </c>
      <c r="CP9" s="97" t="n"/>
      <c r="CQ9" s="96" t="inlineStr">
        <is>
          <t>S22-2603004</t>
        </is>
      </c>
      <c r="CR9" s="96" t="inlineStr">
        <is>
          <t>BB0214</t>
        </is>
      </c>
      <c r="CS9" s="96" t="inlineStr">
        <is>
          <t>MITSUBISHI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2026-10-07</t>
        </is>
      </c>
      <c r="CX9" s="97" t="inlineStr">
        <is>
          <t>391000</t>
        </is>
      </c>
      <c r="CY9" s="183" t="n"/>
    </row>
    <row r="10" ht="12" customHeight="1">
      <c r="A10" s="116" t="inlineStr">
        <is>
          <t>HASLS22260900438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PCI2</t>
        </is>
      </c>
      <c r="M10" s="96" t="inlineStr">
        <is>
          <t>SWVG</t>
        </is>
      </c>
      <c r="N10" s="96" t="inlineStr">
        <is>
          <t>2612N</t>
        </is>
      </c>
      <c r="O10" s="96" t="inlineStr">
        <is>
          <t>THLCH</t>
        </is>
      </c>
      <c r="P10" s="96" t="inlineStr">
        <is>
          <t>LCH06</t>
        </is>
      </c>
      <c r="Q10" s="96" t="inlineStr">
        <is>
          <t>IA</t>
        </is>
      </c>
      <c r="R10" s="161" t="inlineStr">
        <is>
          <t>2026-10-07</t>
        </is>
      </c>
      <c r="S10" s="96" t="inlineStr">
        <is>
          <t>JPNGO</t>
        </is>
      </c>
      <c r="T10" s="96" t="inlineStr">
        <is>
          <t>NGO03</t>
        </is>
      </c>
      <c r="U10" s="96" t="inlineStr">
        <is>
          <t>JPNGO</t>
        </is>
      </c>
      <c r="V10" s="161" t="inlineStr">
        <is>
          <t>2026-10-22</t>
        </is>
      </c>
      <c r="W10" s="96" t="inlineStr">
        <is>
          <t>JP</t>
        </is>
      </c>
      <c r="X10" s="97" t="n"/>
      <c r="Y10" s="97" t="inlineStr">
        <is>
          <t>PUS05</t>
        </is>
      </c>
      <c r="Z10" s="97" t="inlineStr">
        <is>
          <t>KRPUS</t>
        </is>
      </c>
      <c r="AA10" s="96" t="inlineStr">
        <is>
          <t>DOW CHEMICAL THAILAND LTD.</t>
        </is>
      </c>
      <c r="AB10" s="96" t="inlineStr">
        <is>
          <t>SIAM POLYETHYLENE CO., LTD.</t>
        </is>
      </c>
      <c r="AC10" s="163" t="n">
        <v>16960</v>
      </c>
      <c r="AD10" s="163" t="n">
        <v>19160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B0004</t>
        </is>
      </c>
      <c r="AN10" s="96" t="inlineStr">
        <is>
          <t>SEO JI YEONG</t>
        </is>
      </c>
      <c r="AO10" s="96" t="inlineStr">
        <is>
          <t>ELITE TM 5220LC ENHANCED POLYETHYLENE RESIN BULK</t>
        </is>
      </c>
      <c r="AP10" s="96" t="inlineStr">
        <is>
          <t>T/S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2026-09-21, Return : 2026-09-26</t>
        </is>
      </c>
      <c r="BA10" s="97" t="inlineStr">
        <is>
          <t>SKLU2361365 / 143306 MOVE FM AGENT SKR</t>
        </is>
      </c>
      <c r="BB10" s="96" t="inlineStr">
        <is>
          <t>P</t>
        </is>
      </c>
      <c r="BC10" s="161" t="inlineStr">
        <is>
          <t>2026-09-04</t>
        </is>
      </c>
      <c r="BD10" s="161" t="inlineStr">
        <is>
          <t>2026-10-05</t>
        </is>
      </c>
      <c r="BE10" s="96" t="inlineStr">
        <is>
          <t>Y</t>
        </is>
      </c>
      <c r="BF10" s="96" t="inlineStr">
        <is>
          <t>RESIN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2026-09-21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>
        <v>3</v>
      </c>
      <c r="CA10" s="96" t="inlineStr">
        <is>
          <t>Y</t>
        </is>
      </c>
      <c r="CB10" s="97" t="n"/>
      <c r="CC10" s="96" t="inlineStr">
        <is>
          <t>LCH06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inlineStr">
        <is>
          <t>POL: THLCH [SWVG/2612N]; T/S(1st): KRPUS [PGGL/2625E]; POD: JPNGO [/]</t>
        </is>
      </c>
      <c r="CI10" s="96" t="inlineStr">
        <is>
          <t>rattiya.w@psabdp.com</t>
        </is>
      </c>
      <c r="CJ10" s="96" t="inlineStr">
        <is>
          <t>SIAM POLYETHYLENE CO., LTD.</t>
        </is>
      </c>
      <c r="CK10" s="96" t="inlineStr">
        <is>
          <t>DOW CHEMICAL JAPAN LIMITED</t>
        </is>
      </c>
      <c r="CL10" s="96" t="inlineStr">
        <is>
          <t>THE SHIBUSAWA WAREHOUSE CO., LTD.</t>
        </is>
      </c>
      <c r="CM10" s="97" t="n"/>
      <c r="CN10" s="96" t="inlineStr">
        <is>
          <t>202610021500</t>
        </is>
      </c>
      <c r="CO10" s="96" t="inlineStr">
        <is>
          <t>202610051200</t>
        </is>
      </c>
      <c r="CP10" s="97" t="n"/>
      <c r="CQ10" s="96" t="inlineStr">
        <is>
          <t>76492-25003</t>
        </is>
      </c>
      <c r="CR10" s="96" t="inlineStr">
        <is>
          <t>THTJG3</t>
        </is>
      </c>
      <c r="CS10" s="96" t="inlineStr">
        <is>
          <t>DOW CHEMICAL THAILAND LTD.</t>
        </is>
      </c>
      <c r="CT10" s="96" t="inlineStr">
        <is>
          <t>N</t>
        </is>
      </c>
      <c r="CU10" s="97" t="n"/>
      <c r="CV10" s="97" t="n"/>
      <c r="CW10" s="161" t="inlineStr">
        <is>
          <t>2026-09-28</t>
        </is>
      </c>
      <c r="CX10" s="97" t="inlineStr">
        <is>
          <t>390140</t>
        </is>
      </c>
      <c r="CY10" s="183" t="n"/>
    </row>
    <row r="11" ht="12" customHeight="1">
      <c r="A11" s="116" t="inlineStr">
        <is>
          <t>HASLS22260900437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PCI2</t>
        </is>
      </c>
      <c r="M11" s="96" t="inlineStr">
        <is>
          <t>SWVG</t>
        </is>
      </c>
      <c r="N11" s="96" t="inlineStr">
        <is>
          <t>2612N</t>
        </is>
      </c>
      <c r="O11" s="96" t="inlineStr">
        <is>
          <t>THLCH</t>
        </is>
      </c>
      <c r="P11" s="96" t="inlineStr">
        <is>
          <t>LCH06</t>
        </is>
      </c>
      <c r="Q11" s="96" t="inlineStr">
        <is>
          <t>IA</t>
        </is>
      </c>
      <c r="R11" s="161" t="inlineStr">
        <is>
          <t>2026-10-07</t>
        </is>
      </c>
      <c r="S11" s="96" t="inlineStr">
        <is>
          <t>JPNGO</t>
        </is>
      </c>
      <c r="T11" s="96" t="inlineStr">
        <is>
          <t>NGO03</t>
        </is>
      </c>
      <c r="U11" s="96" t="inlineStr">
        <is>
          <t>JPNGO</t>
        </is>
      </c>
      <c r="V11" s="161" t="inlineStr">
        <is>
          <t>2026-10-22</t>
        </is>
      </c>
      <c r="W11" s="96" t="inlineStr">
        <is>
          <t>JP</t>
        </is>
      </c>
      <c r="X11" s="97" t="n"/>
      <c r="Y11" s="97" t="inlineStr">
        <is>
          <t>PUS05</t>
        </is>
      </c>
      <c r="Z11" s="97" t="inlineStr">
        <is>
          <t>KRPUS</t>
        </is>
      </c>
      <c r="AA11" s="96" t="inlineStr">
        <is>
          <t>DOW CHEMICAL THAILAND LTD.</t>
        </is>
      </c>
      <c r="AB11" s="96" t="inlineStr">
        <is>
          <t>SIAM POLYETHYLENE CO., LTD.</t>
        </is>
      </c>
      <c r="AC11" s="163" t="n">
        <v>16950</v>
      </c>
      <c r="AD11" s="163" t="n">
        <v>19150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B0004</t>
        </is>
      </c>
      <c r="AN11" s="96" t="inlineStr">
        <is>
          <t>SEO JI YEONG</t>
        </is>
      </c>
      <c r="AO11" s="96" t="inlineStr">
        <is>
          <t>ELITE TM 5220LC ENHANCED POLYETHYLENE RESIN BULK</t>
        </is>
      </c>
      <c r="AP11" s="96" t="inlineStr">
        <is>
          <t>T/S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2026-09-21, Return : 2026-09-26</t>
        </is>
      </c>
      <c r="BA11" s="97" t="inlineStr">
        <is>
          <t>SKLU2409216 / 143286 MOVE FM AGENT SKR</t>
        </is>
      </c>
      <c r="BB11" s="96" t="inlineStr">
        <is>
          <t>P</t>
        </is>
      </c>
      <c r="BC11" s="161" t="inlineStr">
        <is>
          <t>2026-09-04</t>
        </is>
      </c>
      <c r="BD11" s="161" t="inlineStr">
        <is>
          <t>2026-10-05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2026-09-21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>
        <v>3</v>
      </c>
      <c r="CA11" s="96" t="inlineStr">
        <is>
          <t>Y</t>
        </is>
      </c>
      <c r="CB11" s="97" t="n"/>
      <c r="CC11" s="96" t="inlineStr">
        <is>
          <t>LCH06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inlineStr">
        <is>
          <t>POL: THLCH [SWVG/2612N]; T/S(1st): KRPUS [PGGL/2625E]; POD: JPNGO [/]</t>
        </is>
      </c>
      <c r="CI11" s="96" t="inlineStr">
        <is>
          <t>rattiya.w@psabdp.com</t>
        </is>
      </c>
      <c r="CJ11" s="96" t="inlineStr">
        <is>
          <t>SIAM POLYETHYLENE CO., LTD.</t>
        </is>
      </c>
      <c r="CK11" s="96" t="inlineStr">
        <is>
          <t>DOW CHEMICAL JAPAN LIMITED</t>
        </is>
      </c>
      <c r="CL11" s="96" t="inlineStr">
        <is>
          <t>THE SHIBUSAWA WAREHOUSE CO., LTD.</t>
        </is>
      </c>
      <c r="CM11" s="97" t="n"/>
      <c r="CN11" s="96" t="inlineStr">
        <is>
          <t>202610021500</t>
        </is>
      </c>
      <c r="CO11" s="96" t="inlineStr">
        <is>
          <t>202610051200</t>
        </is>
      </c>
      <c r="CP11" s="97" t="n"/>
      <c r="CQ11" s="96" t="inlineStr">
        <is>
          <t>76492-25003</t>
        </is>
      </c>
      <c r="CR11" s="96" t="inlineStr">
        <is>
          <t>THTJG3</t>
        </is>
      </c>
      <c r="CS11" s="96" t="inlineStr">
        <is>
          <t>DOW CHEMICAL THAILAND LTD.</t>
        </is>
      </c>
      <c r="CT11" s="96" t="inlineStr">
        <is>
          <t>N</t>
        </is>
      </c>
      <c r="CU11" s="97" t="n"/>
      <c r="CV11" s="97" t="n"/>
      <c r="CW11" s="161" t="inlineStr">
        <is>
          <t>2026-09-28</t>
        </is>
      </c>
      <c r="CX11" s="97" t="inlineStr">
        <is>
          <t>390140</t>
        </is>
      </c>
      <c r="CY11" s="183" t="n"/>
    </row>
    <row r="12" ht="12" customHeight="1">
      <c r="A12" s="116" t="inlineStr">
        <is>
          <t>HASLS22260902060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PCI2</t>
        </is>
      </c>
      <c r="M12" s="96" t="inlineStr">
        <is>
          <t>SWVG</t>
        </is>
      </c>
      <c r="N12" s="96" t="inlineStr">
        <is>
          <t>2612N</t>
        </is>
      </c>
      <c r="O12" s="96" t="inlineStr">
        <is>
          <t>THLCH</t>
        </is>
      </c>
      <c r="P12" s="96" t="inlineStr">
        <is>
          <t>LCH06</t>
        </is>
      </c>
      <c r="Q12" s="96" t="inlineStr">
        <is>
          <t>IA</t>
        </is>
      </c>
      <c r="R12" s="161" t="inlineStr">
        <is>
          <t>2026-10-07</t>
        </is>
      </c>
      <c r="S12" s="96" t="inlineStr">
        <is>
          <t>JPISS</t>
        </is>
      </c>
      <c r="T12" s="96" t="inlineStr">
        <is>
          <t>ISS02</t>
        </is>
      </c>
      <c r="U12" s="96" t="inlineStr">
        <is>
          <t>JPISS</t>
        </is>
      </c>
      <c r="V12" s="161" t="inlineStr">
        <is>
          <t>2026-10-24</t>
        </is>
      </c>
      <c r="W12" s="96" t="inlineStr">
        <is>
          <t>JP</t>
        </is>
      </c>
      <c r="X12" s="97" t="n"/>
      <c r="Y12" s="97" t="inlineStr">
        <is>
          <t>PUS05</t>
        </is>
      </c>
      <c r="Z12" s="97" t="inlineStr">
        <is>
          <t>KRPUS</t>
        </is>
      </c>
      <c r="AA12" s="96" t="inlineStr">
        <is>
          <t>SCGJWD LOGISTICS PUBLIC COMPANY LIMITED</t>
        </is>
      </c>
      <c r="AB12" s="96" t="inlineStr">
        <is>
          <t>THAI POLYETHYLENE CO., LTD.</t>
        </is>
      </c>
      <c r="AC12" s="163" t="n">
        <v>15147</v>
      </c>
      <c r="AD12" s="163" t="n">
        <v>17347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TBKK19</t>
        </is>
      </c>
      <c r="AN12" s="96" t="inlineStr">
        <is>
          <t>Kanokporn</t>
        </is>
      </c>
      <c r="AO12" s="96" t="inlineStr">
        <is>
          <t>HIGH DENSITY POLYETHYLENE RESIN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[FIX]CY 28/09/26 , RTN 30/09/26 (Invoice No. 3031061666)</t>
        </is>
      </c>
      <c r="BA12" s="97" t="inlineStr">
        <is>
          <t>NOT SHOW CHARGE</t>
        </is>
      </c>
      <c r="BB12" s="96" t="inlineStr">
        <is>
          <t>P</t>
        </is>
      </c>
      <c r="BC12" s="161" t="inlineStr">
        <is>
          <t>2026-09-22</t>
        </is>
      </c>
      <c r="BD12" s="161" t="inlineStr">
        <is>
          <t>2026-10-01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2026-09-28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>
        <v>6</v>
      </c>
      <c r="CA12" s="96" t="n"/>
      <c r="CB12" s="97" t="n"/>
      <c r="CC12" s="96" t="inlineStr">
        <is>
          <t>LCH06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inlineStr">
        <is>
          <t>POL: THLCH [SWVG/2612N]; T/S(1st): KRPUS [HAKT/2637E]; POD: JPISS [/]</t>
        </is>
      </c>
      <c r="CI12" s="96" t="inlineStr">
        <is>
          <t>natwalad@scgjwd.com</t>
        </is>
      </c>
      <c r="CJ12" s="96" t="inlineStr">
        <is>
          <t>THAI POLYETHYLENE CO.,LTD.</t>
        </is>
      </c>
      <c r="CK12" s="96" t="inlineStr">
        <is>
          <t>ITOCHU CORPORATION</t>
        </is>
      </c>
      <c r="CL12" s="96" t="inlineStr">
        <is>
          <t>ITOCHU CORPORATION</t>
        </is>
      </c>
      <c r="CM12" s="97" t="inlineStr">
        <is>
          <t>CLOSED</t>
        </is>
      </c>
      <c r="CN12" s="96" t="inlineStr">
        <is>
          <t>202610021500</t>
        </is>
      </c>
      <c r="CO12" s="96" t="inlineStr">
        <is>
          <t>202610051200</t>
        </is>
      </c>
      <c r="CP12" s="97" t="n"/>
      <c r="CQ12" s="96" t="inlineStr">
        <is>
          <t>S19-2308040</t>
        </is>
      </c>
      <c r="CR12" s="96" t="inlineStr">
        <is>
          <t>TH0235</t>
        </is>
      </c>
      <c r="CS12" s="96" t="inlineStr">
        <is>
          <t>SCGJWD LOGISTICS PUBLIC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2026-10-06</t>
        </is>
      </c>
      <c r="CX12" s="97" t="inlineStr">
        <is>
          <t>390120</t>
        </is>
      </c>
      <c r="CY12" s="183" t="n"/>
    </row>
    <row r="13" ht="12" customHeight="1">
      <c r="A13" s="116" t="inlineStr">
        <is>
          <t>HASLS22260901193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PCI2</t>
        </is>
      </c>
      <c r="M13" s="96" t="inlineStr">
        <is>
          <t>SWVG</t>
        </is>
      </c>
      <c r="N13" s="96" t="inlineStr">
        <is>
          <t>2612N</t>
        </is>
      </c>
      <c r="O13" s="96" t="inlineStr">
        <is>
          <t>THLCH</t>
        </is>
      </c>
      <c r="P13" s="96" t="inlineStr">
        <is>
          <t>LCH06</t>
        </is>
      </c>
      <c r="Q13" s="96" t="inlineStr">
        <is>
          <t>IA</t>
        </is>
      </c>
      <c r="R13" s="161" t="inlineStr">
        <is>
          <t>2026-10-07</t>
        </is>
      </c>
      <c r="S13" s="96" t="inlineStr">
        <is>
          <t>CNSHA</t>
        </is>
      </c>
      <c r="T13" s="96" t="inlineStr">
        <is>
          <t>SHAW5</t>
        </is>
      </c>
      <c r="U13" s="96" t="inlineStr">
        <is>
          <t>CNSHA</t>
        </is>
      </c>
      <c r="V13" s="161" t="inlineStr">
        <is>
          <t>2026-10-13</t>
        </is>
      </c>
      <c r="W13" s="96" t="inlineStr">
        <is>
          <t>CN</t>
        </is>
      </c>
      <c r="X13" s="97" t="n"/>
      <c r="Y13" s="97" t="n"/>
      <c r="Z13" s="97" t="n"/>
      <c r="AA13" s="96" t="inlineStr">
        <is>
          <t>YUSEN LOGISTICS (THAILAND) CO., LTD.</t>
        </is>
      </c>
      <c r="AB13" s="96" t="inlineStr">
        <is>
          <t>THAI NOK CO.,LTD.</t>
        </is>
      </c>
      <c r="AC13" s="163" t="n">
        <v>2522.8</v>
      </c>
      <c r="AD13" s="163" t="n">
        <v>4722.8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CON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TBKK55</t>
        </is>
      </c>
      <c r="AN13" s="96" t="inlineStr">
        <is>
          <t>Vilaiporn</t>
        </is>
      </c>
      <c r="AO13" s="96" t="inlineStr">
        <is>
          <t>RADIATOR GASKET, RUBBER ONLY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 xml:space="preserve">Pickup : 2026-10-01, Return : 2026-10-02 </t>
        </is>
      </c>
      <c r="BA13" s="97" t="inlineStr">
        <is>
          <t xml:space="preserve">GOOD DRY AND CLEAN CONTAINER </t>
        </is>
      </c>
      <c r="BB13" s="96" t="inlineStr">
        <is>
          <t>P</t>
        </is>
      </c>
      <c r="BC13" s="161" t="inlineStr">
        <is>
          <t>2026-09-15</t>
        </is>
      </c>
      <c r="BD13" s="161" t="inlineStr">
        <is>
          <t>2026-10-02</t>
        </is>
      </c>
      <c r="BE13" s="96" t="inlineStr">
        <is>
          <t>Y</t>
        </is>
      </c>
      <c r="BF13" s="96" t="inlineStr">
        <is>
          <t>RADIATOR GASKET, RUBBER ONLY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LCH27</t>
        </is>
      </c>
      <c r="BL13" s="161" t="inlineStr">
        <is>
          <t>2026-10-01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LCH06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JIRAWAT.H@th.yusen-logistics.com</t>
        </is>
      </c>
      <c r="CJ13" s="96" t="inlineStr">
        <is>
          <t>YUSEN LOGISTICS (THAILAND) CO., LTD</t>
        </is>
      </c>
      <c r="CK13" s="96" t="inlineStr">
        <is>
          <t>YUSEN LOGISTICS (CHINA) CO., LTD</t>
        </is>
      </c>
      <c r="CL13" s="96" t="inlineStr">
        <is>
          <t>YUSEN LOGISTICS (CHINA) CO., LTD</t>
        </is>
      </c>
      <c r="CM13" s="97" t="inlineStr">
        <is>
          <t>CLOSED</t>
        </is>
      </c>
      <c r="CN13" s="96" t="inlineStr">
        <is>
          <t>202610021500</t>
        </is>
      </c>
      <c r="CO13" s="96" t="inlineStr">
        <is>
          <t>202610051200</t>
        </is>
      </c>
      <c r="CP13" s="97" t="n"/>
      <c r="CQ13" s="96" t="inlineStr">
        <is>
          <t>S19-2112038</t>
        </is>
      </c>
      <c r="CR13" s="96" t="inlineStr">
        <is>
          <t>TH03TL</t>
        </is>
      </c>
      <c r="CS13" s="96" t="inlineStr">
        <is>
          <t>YUSEN LOGISTICS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2026-10-06</t>
        </is>
      </c>
      <c r="CX13" s="97" t="inlineStr">
        <is>
          <t>401693</t>
        </is>
      </c>
      <c r="CY13" s="183" t="n"/>
    </row>
    <row r="14" ht="12" customHeight="1">
      <c r="A14" s="116" t="inlineStr">
        <is>
          <t>HASLS22260901570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PCI2</t>
        </is>
      </c>
      <c r="M14" s="96" t="inlineStr">
        <is>
          <t>SWVG</t>
        </is>
      </c>
      <c r="N14" s="96" t="inlineStr">
        <is>
          <t>2612N</t>
        </is>
      </c>
      <c r="O14" s="96" t="inlineStr">
        <is>
          <t>THLCH</t>
        </is>
      </c>
      <c r="P14" s="96" t="inlineStr">
        <is>
          <t>LCH06</t>
        </is>
      </c>
      <c r="Q14" s="96" t="inlineStr">
        <is>
          <t>IA</t>
        </is>
      </c>
      <c r="R14" s="161" t="inlineStr">
        <is>
          <t>2026-10-07</t>
        </is>
      </c>
      <c r="S14" s="96" t="inlineStr">
        <is>
          <t>KRPUS</t>
        </is>
      </c>
      <c r="T14" s="96" t="inlineStr">
        <is>
          <t>PUS05</t>
        </is>
      </c>
      <c r="U14" s="96" t="inlineStr">
        <is>
          <t>KRPUS</t>
        </is>
      </c>
      <c r="V14" s="161" t="inlineStr">
        <is>
          <t>2026-10-15</t>
        </is>
      </c>
      <c r="W14" s="96" t="inlineStr">
        <is>
          <t>KR</t>
        </is>
      </c>
      <c r="X14" s="97" t="n"/>
      <c r="Y14" s="97" t="n"/>
      <c r="Z14" s="97" t="n"/>
      <c r="AA14" s="96" t="inlineStr">
        <is>
          <t>LEO GLOBAL LOGISTICS PUBLIC COMPANY LIMITED</t>
        </is>
      </c>
      <c r="AB14" s="96" t="inlineStr">
        <is>
          <t>BASF (THAI) LIMITED</t>
        </is>
      </c>
      <c r="AC14" s="163" t="n">
        <v>16760</v>
      </c>
      <c r="AD14" s="163" t="n">
        <v>18960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>TEXAPON N 70 AC 1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2026-10-02, Return : 2026-10-03</t>
        </is>
      </c>
      <c r="BA14" s="97" t="inlineStr">
        <is>
          <t>ACTUAL S/BASF (THAI) LIMITED // FREIGHT PREPAID (CY/CY)CY&amp;RTN AT LCH : 02-03 OCTCOMM : TEXAPON N70 AC ( NON DG )REQUESTED FOR GOOD CNTR WITH NO HOLE / NO RUST / NO BURR / NOT WET / NO BAD SMELL</t>
        </is>
      </c>
      <c r="BB14" s="96" t="inlineStr">
        <is>
          <t>P</t>
        </is>
      </c>
      <c r="BC14" s="161" t="inlineStr">
        <is>
          <t>2026-09-17</t>
        </is>
      </c>
      <c r="BD14" s="161" t="inlineStr">
        <is>
          <t>2026-10-02</t>
        </is>
      </c>
      <c r="BE14" s="96" t="inlineStr">
        <is>
          <t>Y</t>
        </is>
      </c>
      <c r="BF14" s="96" t="inlineStr">
        <is>
          <t>TEXAPON N70 AC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2026-10-02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LCH06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dolchanok@leogloballogistics.com;eovs@leogloballogistics.com</t>
        </is>
      </c>
      <c r="CJ14" s="96" t="inlineStr">
        <is>
          <t>LEO GLOBAL LOGISTICS PUBLIC COMPANY</t>
        </is>
      </c>
      <c r="CK14" s="96" t="inlineStr">
        <is>
          <t>KOR-STAR LOGISTICS CO., LTD.</t>
        </is>
      </c>
      <c r="CL14" s="96" t="inlineStr">
        <is>
          <t>KOR-STAR LOGISTICS CO., LTD.</t>
        </is>
      </c>
      <c r="CM14" s="97" t="inlineStr">
        <is>
          <t>CLOSED</t>
        </is>
      </c>
      <c r="CN14" s="96" t="inlineStr">
        <is>
          <t>202610021500</t>
        </is>
      </c>
      <c r="CO14" s="96" t="inlineStr">
        <is>
          <t>202610051200</t>
        </is>
      </c>
      <c r="CP14" s="97" t="n"/>
      <c r="CQ14" s="96" t="inlineStr">
        <is>
          <t>S22-2308050</t>
        </is>
      </c>
      <c r="CR14" s="96" t="inlineStr">
        <is>
          <t>BB0045</t>
        </is>
      </c>
      <c r="CS14" s="96" t="inlineStr">
        <is>
          <t>LEO GLOBAL LOGISTICS PUBLIC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2026-10-07</t>
        </is>
      </c>
      <c r="CX14" s="97" t="n"/>
      <c r="CY14" s="183" t="n"/>
    </row>
    <row r="15" ht="12" customHeight="1">
      <c r="A15" s="116" t="inlineStr">
        <is>
          <t>HASLS22260901310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PCI2</t>
        </is>
      </c>
      <c r="M15" s="96" t="inlineStr">
        <is>
          <t>SWVG</t>
        </is>
      </c>
      <c r="N15" s="96" t="inlineStr">
        <is>
          <t>2612N</t>
        </is>
      </c>
      <c r="O15" s="96" t="inlineStr">
        <is>
          <t>THLCH</t>
        </is>
      </c>
      <c r="P15" s="96" t="inlineStr">
        <is>
          <t>LCH06</t>
        </is>
      </c>
      <c r="Q15" s="96" t="inlineStr">
        <is>
          <t>IA</t>
        </is>
      </c>
      <c r="R15" s="161" t="inlineStr">
        <is>
          <t>2026-10-07</t>
        </is>
      </c>
      <c r="S15" s="96" t="inlineStr">
        <is>
          <t>CNSHA</t>
        </is>
      </c>
      <c r="T15" s="96" t="inlineStr">
        <is>
          <t>SHAW5</t>
        </is>
      </c>
      <c r="U15" s="96" t="inlineStr">
        <is>
          <t>CNSHA</t>
        </is>
      </c>
      <c r="V15" s="161" t="inlineStr">
        <is>
          <t>2026-10-13</t>
        </is>
      </c>
      <c r="W15" s="96" t="inlineStr">
        <is>
          <t>CN</t>
        </is>
      </c>
      <c r="X15" s="97" t="n"/>
      <c r="Y15" s="97" t="n"/>
      <c r="Z15" s="97" t="n"/>
      <c r="AA15" s="96" t="inlineStr">
        <is>
          <t>WHA GC LOGISTICS COMPANY LIMITED</t>
        </is>
      </c>
      <c r="AB15" s="96" t="inlineStr">
        <is>
          <t>PTT GLOBAL CHEMICAL PUBLIC COMPANY LIMITED</t>
        </is>
      </c>
      <c r="AC15" s="163" t="n">
        <v>16160</v>
      </c>
      <c r="AD15" s="163" t="n">
        <v>18360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LOW DENSITY POLYETHYLENE</t>
        </is>
      </c>
      <c r="AP15" s="96" t="inlineStr">
        <is>
          <t>PARTIAL CHILD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CY-RTN: 23-27/09/2026</t>
        </is>
      </c>
      <c r="BA15" s="97" t="inlineStr">
        <is>
          <t>SI DD.29/9/26</t>
        </is>
      </c>
      <c r="BB15" s="96" t="inlineStr">
        <is>
          <t>P</t>
        </is>
      </c>
      <c r="BC15" s="161" t="inlineStr">
        <is>
          <t>2026-09-15</t>
        </is>
      </c>
      <c r="BD15" s="161" t="inlineStr">
        <is>
          <t>2026-09-29</t>
        </is>
      </c>
      <c r="BE15" s="96" t="inlineStr">
        <is>
          <t>Y</t>
        </is>
      </c>
      <c r="BF15" s="96" t="inlineStr">
        <is>
          <t>RESIN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2026-09-23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LCH06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jariya.c@wha-gc.com</t>
        </is>
      </c>
      <c r="CJ15" s="96" t="inlineStr">
        <is>
          <t>PTT GLOBAL CHEMICAL PUBLIC COMPANY</t>
        </is>
      </c>
      <c r="CK15" s="96" t="inlineStr">
        <is>
          <t>GC MARKETING SOLUTIONS (SHANGHAI)</t>
        </is>
      </c>
      <c r="CL15" s="96" t="inlineStr">
        <is>
          <t>GC MARKETING SOLUTIONS (SHANGHAI)</t>
        </is>
      </c>
      <c r="CM15" s="97" t="inlineStr">
        <is>
          <t>CLOSED</t>
        </is>
      </c>
      <c r="CN15" s="96" t="inlineStr">
        <is>
          <t>202610021500</t>
        </is>
      </c>
      <c r="CO15" s="96" t="inlineStr">
        <is>
          <t>202610051200</t>
        </is>
      </c>
      <c r="CP15" s="97" t="n"/>
      <c r="CQ15" s="96" t="inlineStr">
        <is>
          <t>S22-2309036</t>
        </is>
      </c>
      <c r="CR15" s="96" t="inlineStr">
        <is>
          <t>TH02GR</t>
        </is>
      </c>
      <c r="CS15" s="96" t="inlineStr">
        <is>
          <t>WHA GC LOGISTICS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2026-10-03</t>
        </is>
      </c>
      <c r="CX15" s="97" t="inlineStr">
        <is>
          <t>390110</t>
        </is>
      </c>
      <c r="CY15" s="183" t="n"/>
    </row>
    <row r="16" ht="12" customHeight="1">
      <c r="A16" s="116" t="inlineStr">
        <is>
          <t>HASLS22260902022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PCI2</t>
        </is>
      </c>
      <c r="M16" s="96" t="inlineStr">
        <is>
          <t>SWVG</t>
        </is>
      </c>
      <c r="N16" s="96" t="inlineStr">
        <is>
          <t>2612N</t>
        </is>
      </c>
      <c r="O16" s="96" t="inlineStr">
        <is>
          <t>THLCH</t>
        </is>
      </c>
      <c r="P16" s="96" t="inlineStr">
        <is>
          <t>LCH06</t>
        </is>
      </c>
      <c r="Q16" s="96" t="inlineStr">
        <is>
          <t>IA</t>
        </is>
      </c>
      <c r="R16" s="161" t="inlineStr">
        <is>
          <t>2026-10-07</t>
        </is>
      </c>
      <c r="S16" s="96" t="inlineStr">
        <is>
          <t>CNSHA</t>
        </is>
      </c>
      <c r="T16" s="96" t="inlineStr">
        <is>
          <t>SHAW5</t>
        </is>
      </c>
      <c r="U16" s="96" t="inlineStr">
        <is>
          <t>CNSHA</t>
        </is>
      </c>
      <c r="V16" s="161" t="inlineStr">
        <is>
          <t>2026-10-13</t>
        </is>
      </c>
      <c r="W16" s="96" t="inlineStr">
        <is>
          <t>CN</t>
        </is>
      </c>
      <c r="X16" s="97" t="n"/>
      <c r="Y16" s="97" t="n"/>
      <c r="Z16" s="97" t="n"/>
      <c r="AA16" s="96" t="inlineStr">
        <is>
          <t>RCL LOGISTICS CO., LTD.</t>
        </is>
      </c>
      <c r="AB16" s="96" t="inlineStr">
        <is>
          <t>CHUKYO YUSHI (THAILAND) CO., LTD.</t>
        </is>
      </c>
      <c r="AC16" s="163" t="n">
        <v>13660</v>
      </c>
      <c r="AD16" s="163" t="n">
        <v>15860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TH0031</t>
        </is>
      </c>
      <c r="AN16" s="96" t="inlineStr">
        <is>
          <t>Pattarapong Saengthong</t>
        </is>
      </c>
      <c r="AO16" s="96" t="inlineStr">
        <is>
          <t>MOLD RELEASE AGENTS</t>
        </is>
      </c>
      <c r="AP16" s="96" t="inlineStr">
        <is>
          <t>Normal</t>
        </is>
      </c>
      <c r="AQ16" s="97" t="inlineStr">
        <is>
          <t>3295/3-III</t>
        </is>
      </c>
      <c r="AR16" s="97" t="inlineStr">
        <is>
          <t xml:space="preserve">22GPx1 </t>
        </is>
      </c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**APPROVE BY JAEHKIM DD: 29/09/26** DG22GPx1 (CLS 3 / UN 3295) 
Pickup : 2026-10-01 Return @JWD : 2026-10-03 </t>
        </is>
      </c>
      <c r="BA16" s="97" t="inlineStr">
        <is>
          <t>FM COMM: ANTIOXIDANT DG 
DG SHIPMENT</t>
        </is>
      </c>
      <c r="BB16" s="96" t="inlineStr">
        <is>
          <t>P</t>
        </is>
      </c>
      <c r="BC16" s="161" t="inlineStr">
        <is>
          <t>2026-09-22</t>
        </is>
      </c>
      <c r="BD16" s="161" t="inlineStr">
        <is>
          <t>2026-10-02</t>
        </is>
      </c>
      <c r="BE16" s="96" t="inlineStr">
        <is>
          <t>Y</t>
        </is>
      </c>
      <c r="BF16" s="96" t="inlineStr">
        <is>
          <t>MOLD RELEASE AGENTS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2026-10-01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LCH06</t>
        </is>
      </c>
      <c r="CD16" s="97" t="n"/>
      <c r="CE16" s="97" t="n"/>
      <c r="CF16" s="96" t="inlineStr">
        <is>
          <t>3 Class x 1 Teu (Approval),</t>
        </is>
      </c>
      <c r="CG16" s="96" t="inlineStr">
        <is>
          <t>CY/CY</t>
        </is>
      </c>
      <c r="CH16" s="97" t="n"/>
      <c r="CI16" s="96" t="inlineStr">
        <is>
          <t>praewphinya@rclgroup.com</t>
        </is>
      </c>
      <c r="CJ16" s="96" t="inlineStr">
        <is>
          <t>CHUKYO YUSHI (THAILAND) CO., LTD.</t>
        </is>
      </c>
      <c r="CK16" s="96" t="inlineStr">
        <is>
          <t>SHANGHAI NET CHEMICAL CO.,LTD.</t>
        </is>
      </c>
      <c r="CL16" s="96" t="inlineStr">
        <is>
          <t>SHANGHAI NET CHEMICAL CO.,LTD.</t>
        </is>
      </c>
      <c r="CM16" s="97" t="inlineStr">
        <is>
          <t>CLOSED</t>
        </is>
      </c>
      <c r="CN16" s="96" t="inlineStr">
        <is>
          <t>202610021500</t>
        </is>
      </c>
      <c r="CO16" s="96" t="inlineStr">
        <is>
          <t>202610051200</t>
        </is>
      </c>
      <c r="CP16" s="97" t="inlineStr">
        <is>
          <t>22GP x1: DG(UNNo.:3295/ Class:3)</t>
        </is>
      </c>
      <c r="CQ16" s="96" t="inlineStr">
        <is>
          <t>S22-2602009</t>
        </is>
      </c>
      <c r="CR16" s="96" t="inlineStr">
        <is>
          <t>THTOPU</t>
        </is>
      </c>
      <c r="CS16" s="96" t="inlineStr">
        <is>
          <t>RCL LOGISTICS CO., LTD.</t>
        </is>
      </c>
      <c r="CT16" s="96" t="inlineStr">
        <is>
          <t>N</t>
        </is>
      </c>
      <c r="CU16" s="97" t="n"/>
      <c r="CV16" s="97" t="inlineStr">
        <is>
          <t>64742821,8002742</t>
        </is>
      </c>
      <c r="CW16" s="161" t="inlineStr">
        <is>
          <t>2026-10-06</t>
        </is>
      </c>
      <c r="CX16" s="97" t="inlineStr">
        <is>
          <t>271012</t>
        </is>
      </c>
      <c r="CY16" s="183" t="n"/>
    </row>
    <row r="17" ht="12" customHeight="1">
      <c r="A17" s="116" t="inlineStr">
        <is>
          <t>HASLS22260901779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PCI2</t>
        </is>
      </c>
      <c r="M17" s="96" t="inlineStr">
        <is>
          <t>SWVG</t>
        </is>
      </c>
      <c r="N17" s="96" t="inlineStr">
        <is>
          <t>2612N</t>
        </is>
      </c>
      <c r="O17" s="96" t="inlineStr">
        <is>
          <t>THLCH</t>
        </is>
      </c>
      <c r="P17" s="96" t="inlineStr">
        <is>
          <t>LCH06</t>
        </is>
      </c>
      <c r="Q17" s="96" t="inlineStr">
        <is>
          <t>IA</t>
        </is>
      </c>
      <c r="R17" s="161" t="inlineStr">
        <is>
          <t>2026-10-07</t>
        </is>
      </c>
      <c r="S17" s="96" t="inlineStr">
        <is>
          <t>CNSHA</t>
        </is>
      </c>
      <c r="T17" s="96" t="inlineStr">
        <is>
          <t>SHAW5</t>
        </is>
      </c>
      <c r="U17" s="96" t="inlineStr">
        <is>
          <t>CNSHA</t>
        </is>
      </c>
      <c r="V17" s="161" t="inlineStr">
        <is>
          <t>2026-10-13</t>
        </is>
      </c>
      <c r="W17" s="96" t="inlineStr">
        <is>
          <t>CN</t>
        </is>
      </c>
      <c r="X17" s="97" t="n"/>
      <c r="Y17" s="97" t="n"/>
      <c r="Z17" s="97" t="n"/>
      <c r="AA17" s="96" t="inlineStr">
        <is>
          <t>EXPEDITORS (THAILAND) LTD.</t>
        </is>
      </c>
      <c r="AB17" s="96" t="inlineStr">
        <is>
          <t>GANG YAN DIAMOND TOOLS (THAILAND) CO., LTD.</t>
        </is>
      </c>
      <c r="AC17" s="163" t="n">
        <v>5943</v>
      </c>
      <c r="AD17" s="163" t="n">
        <v>8143</v>
      </c>
      <c r="AE17" s="96" t="inlineStr">
        <is>
          <t>OK</t>
        </is>
      </c>
      <c r="AF17" s="96" t="n"/>
      <c r="AG17" s="97" t="n"/>
      <c r="AH17" s="96" t="inlineStr">
        <is>
          <t>CON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TBKK19</t>
        </is>
      </c>
      <c r="AN17" s="96" t="inlineStr">
        <is>
          <t>Kanokporn</t>
        </is>
      </c>
      <c r="AO17" s="96" t="inlineStr">
        <is>
          <t>SAW BLADE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2026-10-03, Return : 2026-10-05</t>
        </is>
      </c>
      <c r="BA17" s="97" t="inlineStr">
        <is>
          <t>SI DD.5/10/26</t>
        </is>
      </c>
      <c r="BB17" s="96" t="inlineStr">
        <is>
          <t>P</t>
        </is>
      </c>
      <c r="BC17" s="161" t="inlineStr">
        <is>
          <t>2026-09-21</t>
        </is>
      </c>
      <c r="BD17" s="161" t="inlineStr">
        <is>
          <t>2026-10-05</t>
        </is>
      </c>
      <c r="BE17" s="96" t="inlineStr">
        <is>
          <t>Y</t>
        </is>
      </c>
      <c r="BF17" s="96" t="inlineStr">
        <is>
          <t>SAW BLADE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2026-10-03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LCH06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alina.jantieng@expeditors.com</t>
        </is>
      </c>
      <c r="CJ17" s="96" t="inlineStr">
        <is>
          <t>EXPEDITORS THAILAND LTD.</t>
        </is>
      </c>
      <c r="CK17" s="96" t="inlineStr">
        <is>
          <t>BEIJING KANG JIE KONG INTERNATIONAL</t>
        </is>
      </c>
      <c r="CL17" s="96" t="inlineStr">
        <is>
          <t>BEIJING KANG JIE KONG INTERNATIONAL</t>
        </is>
      </c>
      <c r="CM17" s="97" t="inlineStr">
        <is>
          <t>CLOSED</t>
        </is>
      </c>
      <c r="CN17" s="96" t="inlineStr">
        <is>
          <t>202610021500</t>
        </is>
      </c>
      <c r="CO17" s="96" t="inlineStr">
        <is>
          <t>202610051200</t>
        </is>
      </c>
      <c r="CP17" s="97" t="n"/>
      <c r="CQ17" s="96" t="inlineStr">
        <is>
          <t>S22-2408021</t>
        </is>
      </c>
      <c r="CR17" s="96" t="inlineStr">
        <is>
          <t>BB0038</t>
        </is>
      </c>
      <c r="CS17" s="96" t="inlineStr">
        <is>
          <t>EXPEDITORS (THAILAND) LTD.</t>
        </is>
      </c>
      <c r="CT17" s="96" t="inlineStr">
        <is>
          <t>N</t>
        </is>
      </c>
      <c r="CU17" s="97" t="n"/>
      <c r="CV17" s="97" t="n"/>
      <c r="CW17" s="161" t="inlineStr">
        <is>
          <t>2026-10-08</t>
        </is>
      </c>
      <c r="CX17" s="97" t="inlineStr">
        <is>
          <t>820239</t>
        </is>
      </c>
      <c r="CY17" s="183" t="n"/>
    </row>
    <row r="18" ht="12" customHeight="1">
      <c r="A18" s="116" t="inlineStr">
        <is>
          <t>HASLS22260901686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PCI2</t>
        </is>
      </c>
      <c r="M18" s="96" t="inlineStr">
        <is>
          <t>SWVG</t>
        </is>
      </c>
      <c r="N18" s="96" t="inlineStr">
        <is>
          <t>2612N</t>
        </is>
      </c>
      <c r="O18" s="96" t="inlineStr">
        <is>
          <t>THLCH</t>
        </is>
      </c>
      <c r="P18" s="96" t="inlineStr">
        <is>
          <t>LCH06</t>
        </is>
      </c>
      <c r="Q18" s="96" t="inlineStr">
        <is>
          <t>IA</t>
        </is>
      </c>
      <c r="R18" s="161" t="inlineStr">
        <is>
          <t>2026-10-07</t>
        </is>
      </c>
      <c r="S18" s="96" t="inlineStr">
        <is>
          <t>JPNGO</t>
        </is>
      </c>
      <c r="T18" s="96" t="inlineStr">
        <is>
          <t>NGO03</t>
        </is>
      </c>
      <c r="U18" s="96" t="inlineStr">
        <is>
          <t>JPNGO</t>
        </is>
      </c>
      <c r="V18" s="161" t="inlineStr">
        <is>
          <t>2026-10-22</t>
        </is>
      </c>
      <c r="W18" s="96" t="inlineStr">
        <is>
          <t>JP</t>
        </is>
      </c>
      <c r="X18" s="97" t="n"/>
      <c r="Y18" s="97" t="inlineStr">
        <is>
          <t>PUS05</t>
        </is>
      </c>
      <c r="Z18" s="97" t="inlineStr">
        <is>
          <t>KRPUS</t>
        </is>
      </c>
      <c r="AA18" s="96" t="inlineStr">
        <is>
          <t>L.A.1 CO.,LTD.</t>
        </is>
      </c>
      <c r="AB18" s="96" t="inlineStr">
        <is>
          <t>TANATEX CHEMICALS (THAILAND) CO., LTD.</t>
        </is>
      </c>
      <c r="AC18" s="163" t="n">
        <v>10358.18</v>
      </c>
      <c r="AD18" s="163" t="n">
        <v>12558.18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TH0042</t>
        </is>
      </c>
      <c r="AN18" s="96" t="inlineStr">
        <is>
          <t>Sukunpoj Damrongying</t>
        </is>
      </c>
      <c r="AO18" s="96" t="inlineStr">
        <is>
          <t>PLEXENE EXT, AVOLAN UL 19, EULAN SPA 01</t>
        </is>
      </c>
      <c r="AP18" s="96" t="inlineStr">
        <is>
          <t>T/S</t>
        </is>
      </c>
      <c r="AQ18" s="97" t="inlineStr">
        <is>
          <t>DG(Mix)22GPx1 (CLS 9 / UN 3082, CLS 8 / UN 3265)</t>
        </is>
      </c>
      <c r="AR18" s="97" t="inlineStr">
        <is>
          <t xml:space="preserve">22GPx1 </t>
        </is>
      </c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 xml:space="preserve">**APPROVAL DG IN SYSTEM DD.24/09/2026** DG(Mix)22GPx1 (CLS 9 / UN 3082, CLS 8 / UN 3265) 
Pickup : 2026-10-03, Return @JWD : 2026-10-05 </t>
        </is>
      </c>
      <c r="BA18" s="97" t="inlineStr">
        <is>
          <t>FM LCHY5-DG CARGO UN3082 CLASS 9 &amp; UN3265 CLASS 8, H.S.CODE: 380991, REQUEST : FREE TIME 21 DAYS AT DESTINATION</t>
        </is>
      </c>
      <c r="BB18" s="96" t="inlineStr">
        <is>
          <t>P</t>
        </is>
      </c>
      <c r="BC18" s="161" t="inlineStr">
        <is>
          <t>2026-09-18</t>
        </is>
      </c>
      <c r="BD18" s="161" t="inlineStr">
        <is>
          <t>2026-10-05</t>
        </is>
      </c>
      <c r="BE18" s="96" t="inlineStr">
        <is>
          <t>Y</t>
        </is>
      </c>
      <c r="BF18" s="96" t="inlineStr">
        <is>
          <t>CHEMICALS PRODUCT DG CARGO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LCH28</t>
        </is>
      </c>
      <c r="BL18" s="161" t="inlineStr">
        <is>
          <t>2026-10-03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>
        <v>3</v>
      </c>
      <c r="CA18" s="96" t="inlineStr">
        <is>
          <t>Y</t>
        </is>
      </c>
      <c r="CB18" s="97" t="n"/>
      <c r="CC18" s="96" t="inlineStr">
        <is>
          <t>LCH06</t>
        </is>
      </c>
      <c r="CD18" s="97" t="n"/>
      <c r="CE18" s="97" t="n"/>
      <c r="CF18" s="96" t="inlineStr">
        <is>
          <t>9 Class x 1 Teu (Approval), 8 Class x 1 Teu (Approval),</t>
        </is>
      </c>
      <c r="CG18" s="96" t="inlineStr">
        <is>
          <t>CY/CY</t>
        </is>
      </c>
      <c r="CH18" s="97" t="inlineStr">
        <is>
          <t>POL: THLCH [SWVG/2612N]; T/S(1st): KRPUS [PGGL/2625E]; POD: JPNGO [/]</t>
        </is>
      </c>
      <c r="CI18" s="96" t="inlineStr">
        <is>
          <t>sunida@la1freight.com</t>
        </is>
      </c>
      <c r="CJ18" s="96" t="inlineStr">
        <is>
          <t>L.A.1 CO.,LTD.</t>
        </is>
      </c>
      <c r="CK18" s="96" t="inlineStr">
        <is>
          <t>FRONTIER UNITED CO., LTD</t>
        </is>
      </c>
      <c r="CL18" s="96" t="inlineStr">
        <is>
          <t>FRONTIER UNITED CO., LTD</t>
        </is>
      </c>
      <c r="CM18" s="97" t="inlineStr">
        <is>
          <t>CLOSED</t>
        </is>
      </c>
      <c r="CN18" s="96" t="inlineStr">
        <is>
          <t>202610021500</t>
        </is>
      </c>
      <c r="CO18" s="96" t="inlineStr">
        <is>
          <t>202610051200</t>
        </is>
      </c>
      <c r="CP18" s="97" t="inlineStr">
        <is>
          <t>22GP x1: DG(UNNo.:3082/ Class:9)</t>
        </is>
      </c>
      <c r="CQ18" s="96" t="inlineStr">
        <is>
          <t>S22-2510007</t>
        </is>
      </c>
      <c r="CR18" s="96" t="inlineStr">
        <is>
          <t>THTYG7</t>
        </is>
      </c>
      <c r="CS18" s="96" t="inlineStr">
        <is>
          <t>L.A.1 CO.,LTD.</t>
        </is>
      </c>
      <c r="CT18" s="96" t="inlineStr">
        <is>
          <t>N</t>
        </is>
      </c>
      <c r="CU18" s="97" t="n"/>
      <c r="CV18" s="97" t="inlineStr">
        <is>
          <t>1117622,1123452,37971361,37971361,52645531,61791262,7732185,7732185,99734095</t>
        </is>
      </c>
      <c r="CW18" s="161" t="inlineStr">
        <is>
          <t>2026-10-07</t>
        </is>
      </c>
      <c r="CX18" s="97" t="inlineStr">
        <is>
          <t>380991</t>
        </is>
      </c>
      <c r="CY18" s="183" t="n"/>
    </row>
    <row r="19" ht="12" customHeight="1">
      <c r="A19" s="116" t="inlineStr">
        <is>
          <t>HASLS22260802505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PCI2</t>
        </is>
      </c>
      <c r="M19" s="96" t="inlineStr">
        <is>
          <t>SWVG</t>
        </is>
      </c>
      <c r="N19" s="96" t="inlineStr">
        <is>
          <t>2612N</t>
        </is>
      </c>
      <c r="O19" s="96" t="inlineStr">
        <is>
          <t>THLCH</t>
        </is>
      </c>
      <c r="P19" s="96" t="inlineStr">
        <is>
          <t>LCH06</t>
        </is>
      </c>
      <c r="Q19" s="96" t="inlineStr">
        <is>
          <t>IA</t>
        </is>
      </c>
      <c r="R19" s="161" t="inlineStr">
        <is>
          <t>2026-10-07</t>
        </is>
      </c>
      <c r="S19" s="96" t="inlineStr">
        <is>
          <t>CNSHA</t>
        </is>
      </c>
      <c r="T19" s="96" t="inlineStr">
        <is>
          <t>SHAW5</t>
        </is>
      </c>
      <c r="U19" s="96" t="inlineStr">
        <is>
          <t>CNSHA</t>
        </is>
      </c>
      <c r="V19" s="161" t="inlineStr">
        <is>
          <t>2026-10-13</t>
        </is>
      </c>
      <c r="W19" s="96" t="inlineStr">
        <is>
          <t>CN</t>
        </is>
      </c>
      <c r="X19" s="97" t="n"/>
      <c r="Y19" s="97" t="n"/>
      <c r="Z19" s="97" t="n"/>
      <c r="AA19" s="96" t="inlineStr">
        <is>
          <t>WHA GC LOGISTICS COMPANY LIMITED</t>
        </is>
      </c>
      <c r="AB19" s="96" t="inlineStr">
        <is>
          <t>PTT GLOBAL CHEMICAL PUBLIC COMPANY LIMITED</t>
        </is>
      </c>
      <c r="AC19" s="163" t="n">
        <v>16096</v>
      </c>
      <c r="AD19" s="163" t="n">
        <v>18296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TBKK13</t>
        </is>
      </c>
      <c r="AN19" s="96" t="inlineStr">
        <is>
          <t>Dharaporn</t>
        </is>
      </c>
      <c r="AO19" s="96" t="inlineStr">
        <is>
          <t>HIGH DENSITY POLYETHYLENE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 xml:space="preserve">CY -RTN DD.21/09 -27/09/2026 /CHECK OPEN GATE BEFORE RETURN CNTR </t>
        </is>
      </c>
      <c r="BA19" s="97" t="inlineStr">
        <is>
          <t>SI DD.24/9/26
FM SWRG 2609N DD.15/09</t>
        </is>
      </c>
      <c r="BB19" s="96" t="inlineStr">
        <is>
          <t>P</t>
        </is>
      </c>
      <c r="BC19" s="161" t="inlineStr">
        <is>
          <t>2026-08-29</t>
        </is>
      </c>
      <c r="BD19" s="161" t="inlineStr">
        <is>
          <t>2026-10-07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LCHY5</t>
        </is>
      </c>
      <c r="BL19" s="161" t="inlineStr">
        <is>
          <t>2026-09-21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n"/>
      <c r="CB19" s="97" t="n"/>
      <c r="CC19" s="96" t="inlineStr">
        <is>
          <t>LCH06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jariya.c@wha-gc.com</t>
        </is>
      </c>
      <c r="CJ19" s="96" t="inlineStr">
        <is>
          <t>PTT GLOBAL CHEMICAL PUBLIC COMPANY</t>
        </is>
      </c>
      <c r="CK19" s="96" t="inlineStr">
        <is>
          <t>CSI CLOSURE SYSTEMS (HANGZHOU)</t>
        </is>
      </c>
      <c r="CL19" s="96" t="inlineStr">
        <is>
          <t>CSI CLOSURE SYSTEMS (HANGZHOU)</t>
        </is>
      </c>
      <c r="CM19" s="97" t="inlineStr">
        <is>
          <t>CLOSED</t>
        </is>
      </c>
      <c r="CN19" s="96" t="inlineStr">
        <is>
          <t>202610021500</t>
        </is>
      </c>
      <c r="CO19" s="96" t="inlineStr">
        <is>
          <t>202610051200</t>
        </is>
      </c>
      <c r="CP19" s="97" t="n"/>
      <c r="CQ19" s="96" t="inlineStr">
        <is>
          <t>S22-2309036</t>
        </is>
      </c>
      <c r="CR19" s="96" t="inlineStr">
        <is>
          <t>TH02GR</t>
        </is>
      </c>
      <c r="CS19" s="96" t="inlineStr">
        <is>
          <t>WHA GC LOGISTICS COMPANY LIMITED</t>
        </is>
      </c>
      <c r="CT19" s="96" t="inlineStr">
        <is>
          <t>N</t>
        </is>
      </c>
      <c r="CU19" s="97" t="n"/>
      <c r="CV19" s="97" t="n"/>
      <c r="CW19" s="161" t="inlineStr">
        <is>
          <t>2026-10-03</t>
        </is>
      </c>
      <c r="CX19" s="97" t="inlineStr">
        <is>
          <t>390120</t>
        </is>
      </c>
      <c r="CY19" s="183" t="n"/>
    </row>
    <row r="20" ht="12" customHeight="1">
      <c r="A20" s="116" t="inlineStr">
        <is>
          <t>HASLS22260902058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PCI2</t>
        </is>
      </c>
      <c r="M20" s="96" t="inlineStr">
        <is>
          <t>SWVG</t>
        </is>
      </c>
      <c r="N20" s="96" t="inlineStr">
        <is>
          <t>2612N</t>
        </is>
      </c>
      <c r="O20" s="96" t="inlineStr">
        <is>
          <t>THLCH</t>
        </is>
      </c>
      <c r="P20" s="96" t="inlineStr">
        <is>
          <t>LCH06</t>
        </is>
      </c>
      <c r="Q20" s="96" t="inlineStr">
        <is>
          <t>IA</t>
        </is>
      </c>
      <c r="R20" s="161" t="inlineStr">
        <is>
          <t>2026-10-07</t>
        </is>
      </c>
      <c r="S20" s="96" t="inlineStr">
        <is>
          <t>JPMIZ</t>
        </is>
      </c>
      <c r="T20" s="96" t="inlineStr">
        <is>
          <t>MIZ01</t>
        </is>
      </c>
      <c r="U20" s="96" t="inlineStr">
        <is>
          <t>JPMIZ</t>
        </is>
      </c>
      <c r="V20" s="161" t="inlineStr">
        <is>
          <t>2026-10-21</t>
        </is>
      </c>
      <c r="W20" s="96" t="inlineStr">
        <is>
          <t>JP</t>
        </is>
      </c>
      <c r="X20" s="97" t="n"/>
      <c r="Y20" s="97" t="inlineStr">
        <is>
          <t>PUS05</t>
        </is>
      </c>
      <c r="Z20" s="97" t="inlineStr">
        <is>
          <t>KRPUS</t>
        </is>
      </c>
      <c r="AA20" s="96" t="inlineStr">
        <is>
          <t>SCGJWD LOGISTICS PUBLIC COMPANY LIMITED</t>
        </is>
      </c>
      <c r="AB20" s="96" t="inlineStr">
        <is>
          <t>THAI POLYETHYLENE CO., LTD.</t>
        </is>
      </c>
      <c r="AC20" s="163" t="n">
        <v>15147</v>
      </c>
      <c r="AD20" s="163" t="n">
        <v>17347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TBKK19</t>
        </is>
      </c>
      <c r="AN20" s="96" t="inlineStr">
        <is>
          <t>Kanokporn</t>
        </is>
      </c>
      <c r="AO20" s="96" t="inlineStr">
        <is>
          <t>HIGH DENSITY POLYETHYLENE RESIN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CY 28/09/26 , RTN 30/09/26 (Invoice No. 3031060583)</t>
        </is>
      </c>
      <c r="BA20" s="97" t="inlineStr">
        <is>
          <t>NOT SHOW CHARGE, SHOW REAL ETD, SURRENDER BL</t>
        </is>
      </c>
      <c r="BB20" s="96" t="inlineStr">
        <is>
          <t>P</t>
        </is>
      </c>
      <c r="BC20" s="161" t="inlineStr">
        <is>
          <t>2026-09-22</t>
        </is>
      </c>
      <c r="BD20" s="161" t="inlineStr">
        <is>
          <t>2026-10-01</t>
        </is>
      </c>
      <c r="BE20" s="96" t="inlineStr">
        <is>
          <t>Y</t>
        </is>
      </c>
      <c r="BF20" s="96" t="inlineStr">
        <is>
          <t>RESIN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2026-09-28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>
        <v>2</v>
      </c>
      <c r="CA20" s="96" t="n"/>
      <c r="CB20" s="97" t="n"/>
      <c r="CC20" s="96" t="inlineStr">
        <is>
          <t>LCH06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inlineStr">
        <is>
          <t>POL: THLCH [SWVG/2612N]; T/S(1st): KRPUS [PCBS/2642E]; POD: JPMIZ [/]</t>
        </is>
      </c>
      <c r="CI20" s="96" t="inlineStr">
        <is>
          <t>natwalad@scgjwd.com</t>
        </is>
      </c>
      <c r="CJ20" s="96" t="inlineStr">
        <is>
          <t>THAI POLYETHYLENE CO., LTD.</t>
        </is>
      </c>
      <c r="CK20" s="96" t="inlineStr">
        <is>
          <t>MITSUBISHI CORPORATION PLASTICS LTD</t>
        </is>
      </c>
      <c r="CL20" s="96" t="inlineStr">
        <is>
          <t>MITSUBISHI CORPORATION PLASTICS LTD</t>
        </is>
      </c>
      <c r="CM20" s="97" t="inlineStr">
        <is>
          <t>CLOSED</t>
        </is>
      </c>
      <c r="CN20" s="96" t="inlineStr">
        <is>
          <t>202610021500</t>
        </is>
      </c>
      <c r="CO20" s="96" t="inlineStr">
        <is>
          <t>202610051200</t>
        </is>
      </c>
      <c r="CP20" s="97" t="n"/>
      <c r="CQ20" s="96" t="inlineStr">
        <is>
          <t>S19-2308040</t>
        </is>
      </c>
      <c r="CR20" s="96" t="inlineStr">
        <is>
          <t>TH0235</t>
        </is>
      </c>
      <c r="CS20" s="96" t="inlineStr">
        <is>
          <t>SCGJWD LOGISTICS PUBLIC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2026-10-06</t>
        </is>
      </c>
      <c r="CX20" s="97" t="inlineStr">
        <is>
          <t>390120</t>
        </is>
      </c>
      <c r="CY20" s="183" t="n"/>
    </row>
    <row r="21" ht="12" customHeight="1">
      <c r="A21" s="116" t="inlineStr">
        <is>
          <t>HASLS22260902053</t>
        </is>
      </c>
      <c r="B21" s="96" t="inlineStr">
        <is>
          <t>20'x1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1</v>
      </c>
      <c r="H21" s="97" t="n">
        <v>0</v>
      </c>
      <c r="I21" s="97" t="n">
        <v>0</v>
      </c>
      <c r="J21" s="97" t="n">
        <v>1</v>
      </c>
      <c r="K21" s="96" t="inlineStr">
        <is>
          <t>N</t>
        </is>
      </c>
      <c r="L21" s="96" t="inlineStr">
        <is>
          <t>PCI2</t>
        </is>
      </c>
      <c r="M21" s="96" t="inlineStr">
        <is>
          <t>SWVG</t>
        </is>
      </c>
      <c r="N21" s="96" t="inlineStr">
        <is>
          <t>2612N</t>
        </is>
      </c>
      <c r="O21" s="96" t="inlineStr">
        <is>
          <t>THLCH</t>
        </is>
      </c>
      <c r="P21" s="96" t="inlineStr">
        <is>
          <t>LCH06</t>
        </is>
      </c>
      <c r="Q21" s="96" t="inlineStr">
        <is>
          <t>IA</t>
        </is>
      </c>
      <c r="R21" s="161" t="inlineStr">
        <is>
          <t>2026-10-07</t>
        </is>
      </c>
      <c r="S21" s="96" t="inlineStr">
        <is>
          <t>CNSHA</t>
        </is>
      </c>
      <c r="T21" s="96" t="inlineStr">
        <is>
          <t>SHAW5</t>
        </is>
      </c>
      <c r="U21" s="96" t="inlineStr">
        <is>
          <t>CNSHA</t>
        </is>
      </c>
      <c r="V21" s="161" t="inlineStr">
        <is>
          <t>2026-10-13</t>
        </is>
      </c>
      <c r="W21" s="96" t="inlineStr">
        <is>
          <t>CN</t>
        </is>
      </c>
      <c r="X21" s="97" t="n"/>
      <c r="Y21" s="97" t="n"/>
      <c r="Z21" s="97" t="n"/>
      <c r="AA21" s="96" t="inlineStr">
        <is>
          <t>WHA GC LOGISTICS COMPANY LIMITED</t>
        </is>
      </c>
      <c r="AB21" s="96" t="inlineStr">
        <is>
          <t>PTT GLOBAL CHEMICAL PUBLIC COMPANY LIMITED</t>
        </is>
      </c>
      <c r="AC21" s="163" t="n">
        <v>11066</v>
      </c>
      <c r="AD21" s="163" t="n">
        <v>13266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TBKK13</t>
        </is>
      </c>
      <c r="AN21" s="96" t="inlineStr">
        <is>
          <t>Dharaporn</t>
        </is>
      </c>
      <c r="AO21" s="96" t="inlineStr">
        <is>
          <t>HIGH DENSITY POLYETHYLENE (HDPE)</t>
        </is>
      </c>
      <c r="AP21" s="96" t="inlineStr">
        <is>
          <t>PARTIAL CHILD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CY-RTN: 23-27/09/2026  (1ST RETURN 30/09/26)</t>
        </is>
      </c>
      <c r="BA21" s="97" t="inlineStr">
        <is>
          <t>SI DD.28/9/26</t>
        </is>
      </c>
      <c r="BB21" s="96" t="inlineStr">
        <is>
          <t>P</t>
        </is>
      </c>
      <c r="BC21" s="161" t="inlineStr">
        <is>
          <t>2026-09-22</t>
        </is>
      </c>
      <c r="BD21" s="161" t="inlineStr">
        <is>
          <t>2026-09-28</t>
        </is>
      </c>
      <c r="BE21" s="96" t="inlineStr">
        <is>
          <t>Y</t>
        </is>
      </c>
      <c r="BF21" s="96" t="inlineStr">
        <is>
          <t>RESIN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2026-09-23</t>
        </is>
      </c>
      <c r="BM21" s="127" t="n"/>
      <c r="BN21" s="127" t="n">
        <v>1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n"/>
      <c r="CB21" s="97" t="n"/>
      <c r="CC21" s="96" t="inlineStr">
        <is>
          <t>LCH06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jariya.c@wha-gc.com</t>
        </is>
      </c>
      <c r="CJ21" s="96" t="inlineStr">
        <is>
          <t>PTT GLOBAL CHEMICAL PUBLIC COMPANY</t>
        </is>
      </c>
      <c r="CK21" s="96" t="inlineStr">
        <is>
          <t>VIANT MEDICAL SUZHOU EPZ CO. LTD</t>
        </is>
      </c>
      <c r="CL21" s="96" t="inlineStr">
        <is>
          <t>VIANT MEDICAL SUZHOU EPZ CO. LTD</t>
        </is>
      </c>
      <c r="CM21" s="97" t="inlineStr">
        <is>
          <t>CLOSED</t>
        </is>
      </c>
      <c r="CN21" s="96" t="inlineStr">
        <is>
          <t>202610021500</t>
        </is>
      </c>
      <c r="CO21" s="96" t="inlineStr">
        <is>
          <t>202610051200</t>
        </is>
      </c>
      <c r="CP21" s="97" t="n"/>
      <c r="CQ21" s="96" t="inlineStr">
        <is>
          <t>S22-2309036</t>
        </is>
      </c>
      <c r="CR21" s="96" t="inlineStr">
        <is>
          <t>TH02GR</t>
        </is>
      </c>
      <c r="CS21" s="96" t="inlineStr">
        <is>
          <t>WHA GC LOGISTICS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2026-10-03</t>
        </is>
      </c>
      <c r="CX21" s="97" t="inlineStr">
        <is>
          <t>390120</t>
        </is>
      </c>
      <c r="CY21" s="183" t="n"/>
    </row>
    <row r="22" ht="12" customHeight="1">
      <c r="A22" s="116" t="inlineStr">
        <is>
          <t>HASLS22260902243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PCI2</t>
        </is>
      </c>
      <c r="M22" s="96" t="inlineStr">
        <is>
          <t>SWVG</t>
        </is>
      </c>
      <c r="N22" s="96" t="inlineStr">
        <is>
          <t>2612N</t>
        </is>
      </c>
      <c r="O22" s="96" t="inlineStr">
        <is>
          <t>THLCH</t>
        </is>
      </c>
      <c r="P22" s="96" t="inlineStr">
        <is>
          <t>LCH06</t>
        </is>
      </c>
      <c r="Q22" s="96" t="inlineStr">
        <is>
          <t>IA</t>
        </is>
      </c>
      <c r="R22" s="161" t="inlineStr">
        <is>
          <t>2026-10-07</t>
        </is>
      </c>
      <c r="S22" s="96" t="inlineStr">
        <is>
          <t>CNSHA</t>
        </is>
      </c>
      <c r="T22" s="96" t="inlineStr">
        <is>
          <t>SHAW5</t>
        </is>
      </c>
      <c r="U22" s="96" t="inlineStr">
        <is>
          <t>CNSHA</t>
        </is>
      </c>
      <c r="V22" s="161" t="inlineStr">
        <is>
          <t>2026-10-13</t>
        </is>
      </c>
      <c r="W22" s="96" t="inlineStr">
        <is>
          <t>CN</t>
        </is>
      </c>
      <c r="X22" s="97" t="n"/>
      <c r="Y22" s="97" t="n"/>
      <c r="Z22" s="97" t="n"/>
      <c r="AA22" s="96" t="inlineStr">
        <is>
          <t>MAJESTIC INTERNATIONAL LOGISTICS CO., LTD.</t>
        </is>
      </c>
      <c r="AB22" s="96" t="inlineStr">
        <is>
          <t>MITSUBISHI ELECTRIC SIAM COMPRESSOR INDUSTRY CO., LTD.</t>
        </is>
      </c>
      <c r="AC22" s="163" t="n">
        <v>18757.264</v>
      </c>
      <c r="AD22" s="163" t="n">
        <v>20957.264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TBKK97</t>
        </is>
      </c>
      <c r="AN22" s="96" t="inlineStr">
        <is>
          <t>Arunphat W. (Aiw)</t>
        </is>
      </c>
      <c r="AO22" s="96" t="inlineStr">
        <is>
          <t>SCROLL COMPRESSOR FOR AIR CONDITIONER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Pickup : 2026-10-03, Return : 2026-10-05 
 ** PLEASE CHECK OPEN GATE BEFORE RETURN CNTR **</t>
        </is>
      </c>
      <c r="BA22" s="97" t="inlineStr">
        <is>
          <t>CY: 05/10/2026RTN05/10/2026</t>
        </is>
      </c>
      <c r="BB22" s="96" t="inlineStr">
        <is>
          <t>P</t>
        </is>
      </c>
      <c r="BC22" s="161" t="inlineStr">
        <is>
          <t>2026-09-24</t>
        </is>
      </c>
      <c r="BD22" s="161" t="inlineStr">
        <is>
          <t>2026-10-02</t>
        </is>
      </c>
      <c r="BE22" s="96" t="inlineStr">
        <is>
          <t>Y</t>
        </is>
      </c>
      <c r="BF22" s="96" t="inlineStr">
        <is>
          <t>SCROLL COMPRESSOR FOR AIR CONDITIONER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2026-10-03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LCH06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csexim@majesticinter.com</t>
        </is>
      </c>
      <c r="CJ22" s="96" t="inlineStr">
        <is>
          <t>MITSUBISHI ELECTRIC SIAM COMPRESSOR</t>
        </is>
      </c>
      <c r="CK22" s="96" t="inlineStr">
        <is>
          <t>GENERAL AIR CONDITIONING</t>
        </is>
      </c>
      <c r="CL22" s="96" t="inlineStr">
        <is>
          <t>GENERAL AIR CONDITIONING</t>
        </is>
      </c>
      <c r="CM22" s="97" t="inlineStr">
        <is>
          <t>CLOSED</t>
        </is>
      </c>
      <c r="CN22" s="96" t="inlineStr">
        <is>
          <t>202610021500</t>
        </is>
      </c>
      <c r="CO22" s="96" t="inlineStr">
        <is>
          <t>202610051200</t>
        </is>
      </c>
      <c r="CP22" s="97" t="n"/>
      <c r="CQ22" s="96" t="inlineStr">
        <is>
          <t>S22-2605032</t>
        </is>
      </c>
      <c r="CR22" s="96" t="inlineStr">
        <is>
          <t>TH0442</t>
        </is>
      </c>
      <c r="CS22" s="96" t="inlineStr">
        <is>
          <t>MAJESTIC INTERNATIONAL LOGISTICS CO., LTD.</t>
        </is>
      </c>
      <c r="CT22" s="96" t="inlineStr">
        <is>
          <t>N</t>
        </is>
      </c>
      <c r="CU22" s="97" t="n"/>
      <c r="CV22" s="97" t="n"/>
      <c r="CW22" s="161" t="inlineStr">
        <is>
          <t>2026-10-08</t>
        </is>
      </c>
      <c r="CX22" s="97" t="inlineStr">
        <is>
          <t>841430</t>
        </is>
      </c>
      <c r="CY22" s="183" t="n"/>
    </row>
    <row r="23" ht="12" customHeight="1">
      <c r="A23" s="116" t="inlineStr">
        <is>
          <t>HASLS22260900127</t>
        </is>
      </c>
      <c r="B23" s="96" t="inlineStr">
        <is>
          <t>20'x2</t>
        </is>
      </c>
      <c r="C23" s="97" t="n">
        <v>2</v>
      </c>
      <c r="D23" s="97" t="n">
        <v>2</v>
      </c>
      <c r="E23" s="97" t="n"/>
      <c r="F23" s="97" t="n">
        <v>0</v>
      </c>
      <c r="G23" s="97" t="n">
        <v>2</v>
      </c>
      <c r="H23" s="97" t="n">
        <v>0</v>
      </c>
      <c r="I23" s="97" t="n">
        <v>0</v>
      </c>
      <c r="J23" s="97" t="n">
        <v>2</v>
      </c>
      <c r="K23" s="96" t="inlineStr">
        <is>
          <t>N</t>
        </is>
      </c>
      <c r="L23" s="96" t="inlineStr">
        <is>
          <t>PCI2</t>
        </is>
      </c>
      <c r="M23" s="96" t="inlineStr">
        <is>
          <t>SWVG</t>
        </is>
      </c>
      <c r="N23" s="96" t="inlineStr">
        <is>
          <t>2612N</t>
        </is>
      </c>
      <c r="O23" s="96" t="inlineStr">
        <is>
          <t>THLCH</t>
        </is>
      </c>
      <c r="P23" s="96" t="inlineStr">
        <is>
          <t>LCH06</t>
        </is>
      </c>
      <c r="Q23" s="96" t="inlineStr">
        <is>
          <t>IA</t>
        </is>
      </c>
      <c r="R23" s="161" t="inlineStr">
        <is>
          <t>2026-10-07</t>
        </is>
      </c>
      <c r="S23" s="96" t="inlineStr">
        <is>
          <t>JPTYO</t>
        </is>
      </c>
      <c r="T23" s="96" t="inlineStr">
        <is>
          <t>TYO02</t>
        </is>
      </c>
      <c r="U23" s="96" t="inlineStr">
        <is>
          <t>JPTYO</t>
        </is>
      </c>
      <c r="V23" s="161" t="inlineStr">
        <is>
          <t>2026-10-20</t>
        </is>
      </c>
      <c r="W23" s="96" t="inlineStr">
        <is>
          <t>JP</t>
        </is>
      </c>
      <c r="X23" s="97" t="n"/>
      <c r="Y23" s="97" t="inlineStr">
        <is>
          <t>PUS05</t>
        </is>
      </c>
      <c r="Z23" s="97" t="inlineStr">
        <is>
          <t>KRPUS</t>
        </is>
      </c>
      <c r="AA23" s="96" t="inlineStr">
        <is>
          <t>WHA GC LOGISTICS COMPANY LIMITED</t>
        </is>
      </c>
      <c r="AB23" s="96" t="inlineStr">
        <is>
          <t>PTT GLOBAL CHEMICAL PUBLIC COMPANY LIMITED</t>
        </is>
      </c>
      <c r="AC23" s="163" t="n">
        <v>32192</v>
      </c>
      <c r="AD23" s="163" t="n">
        <v>36592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TBKK13</t>
        </is>
      </c>
      <c r="AN23" s="96" t="inlineStr">
        <is>
          <t>Dharaporn</t>
        </is>
      </c>
      <c r="AO23" s="96" t="inlineStr">
        <is>
          <t>HIGH DENSITY POLYETHYLENE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SURVEY 24/09/2026 CY-RTN 24-29/09/26 (PR2610002355)</t>
        </is>
      </c>
      <c r="BA23" s="97" t="inlineStr">
        <is>
          <t>SI DD.24/9/26</t>
        </is>
      </c>
      <c r="BB23" s="96" t="inlineStr">
        <is>
          <t>P</t>
        </is>
      </c>
      <c r="BC23" s="161" t="inlineStr">
        <is>
          <t>2026-09-02</t>
        </is>
      </c>
      <c r="BD23" s="161" t="inlineStr">
        <is>
          <t>2026-10-05</t>
        </is>
      </c>
      <c r="BE23" s="96" t="inlineStr">
        <is>
          <t>Y</t>
        </is>
      </c>
      <c r="BF23" s="96" t="inlineStr">
        <is>
          <t>RESIN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2026-09-24</t>
        </is>
      </c>
      <c r="BM23" s="127" t="n"/>
      <c r="BN23" s="127" t="n">
        <v>2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>
        <v>3</v>
      </c>
      <c r="CA23" s="96" t="n"/>
      <c r="CB23" s="97" t="n"/>
      <c r="CC23" s="96" t="inlineStr">
        <is>
          <t>LCH06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inlineStr">
        <is>
          <t>POL: THLCH [SWVG/2612N]; T/S(1st): KRPUS [PGGL/2625E]; POD: JPTYO [/]</t>
        </is>
      </c>
      <c r="CI23" s="96" t="inlineStr">
        <is>
          <t>natchaya.ki@pttgcgroup.com</t>
        </is>
      </c>
      <c r="CJ23" s="96" t="inlineStr">
        <is>
          <t>PTT GLOBAL CHEMICAL PUBLIC COMPANY</t>
        </is>
      </c>
      <c r="CK23" s="96" t="inlineStr">
        <is>
          <t>MITSUBISHI CORPORATION PLASTICS</t>
        </is>
      </c>
      <c r="CL23" s="96" t="inlineStr">
        <is>
          <t>MITSUBISHI CORPORATION PLASTICS</t>
        </is>
      </c>
      <c r="CM23" s="97" t="inlineStr">
        <is>
          <t>CLOSED</t>
        </is>
      </c>
      <c r="CN23" s="96" t="inlineStr">
        <is>
          <t>202610021500</t>
        </is>
      </c>
      <c r="CO23" s="96" t="inlineStr">
        <is>
          <t>202610051200</t>
        </is>
      </c>
      <c r="CP23" s="97" t="n"/>
      <c r="CQ23" s="96" t="inlineStr">
        <is>
          <t>S19-2309008</t>
        </is>
      </c>
      <c r="CR23" s="96" t="inlineStr">
        <is>
          <t>TH02GR</t>
        </is>
      </c>
      <c r="CS23" s="96" t="inlineStr">
        <is>
          <t>WHA GC LOGISTICS COMPANY LIMITED</t>
        </is>
      </c>
      <c r="CT23" s="96" t="inlineStr">
        <is>
          <t>N</t>
        </is>
      </c>
      <c r="CU23" s="97" t="n"/>
      <c r="CV23" s="97" t="n"/>
      <c r="CW23" s="161" t="inlineStr">
        <is>
          <t>2026-09-24</t>
        </is>
      </c>
      <c r="CX23" s="97" t="inlineStr">
        <is>
          <t>390120</t>
        </is>
      </c>
      <c r="CY23" s="183" t="n"/>
    </row>
    <row r="24" ht="12" customHeight="1">
      <c r="A24" s="116" t="inlineStr">
        <is>
          <t>HASLS22260802504</t>
        </is>
      </c>
      <c r="B24" s="96" t="inlineStr">
        <is>
          <t>20'x2</t>
        </is>
      </c>
      <c r="C24" s="97" t="n">
        <v>2</v>
      </c>
      <c r="D24" s="97" t="n">
        <v>2</v>
      </c>
      <c r="E24" s="97" t="n"/>
      <c r="F24" s="97" t="n">
        <v>0</v>
      </c>
      <c r="G24" s="97" t="n">
        <v>2</v>
      </c>
      <c r="H24" s="97" t="n">
        <v>0</v>
      </c>
      <c r="I24" s="97" t="n">
        <v>0</v>
      </c>
      <c r="J24" s="97" t="n">
        <v>2</v>
      </c>
      <c r="K24" s="96" t="inlineStr">
        <is>
          <t>N</t>
        </is>
      </c>
      <c r="L24" s="96" t="inlineStr">
        <is>
          <t>PCI2</t>
        </is>
      </c>
      <c r="M24" s="96" t="inlineStr">
        <is>
          <t>SWVG</t>
        </is>
      </c>
      <c r="N24" s="96" t="inlineStr">
        <is>
          <t>2612N</t>
        </is>
      </c>
      <c r="O24" s="96" t="inlineStr">
        <is>
          <t>THLCH</t>
        </is>
      </c>
      <c r="P24" s="96" t="inlineStr">
        <is>
          <t>LCH06</t>
        </is>
      </c>
      <c r="Q24" s="96" t="inlineStr">
        <is>
          <t>IA</t>
        </is>
      </c>
      <c r="R24" s="161" t="inlineStr">
        <is>
          <t>2026-10-07</t>
        </is>
      </c>
      <c r="S24" s="96" t="inlineStr">
        <is>
          <t>CNSHA</t>
        </is>
      </c>
      <c r="T24" s="96" t="inlineStr">
        <is>
          <t>SHAW5</t>
        </is>
      </c>
      <c r="U24" s="96" t="inlineStr">
        <is>
          <t>CNSHA</t>
        </is>
      </c>
      <c r="V24" s="161" t="inlineStr">
        <is>
          <t>2026-10-13</t>
        </is>
      </c>
      <c r="W24" s="96" t="inlineStr">
        <is>
          <t>CN</t>
        </is>
      </c>
      <c r="X24" s="97" t="n"/>
      <c r="Y24" s="97" t="n"/>
      <c r="Z24" s="97" t="n"/>
      <c r="AA24" s="96" t="inlineStr">
        <is>
          <t>WHA GC LOGISTICS COMPANY LIMITED</t>
        </is>
      </c>
      <c r="AB24" s="96" t="inlineStr">
        <is>
          <t>PTT GLOBAL CHEMICAL PUBLIC COMPANY LIMITED</t>
        </is>
      </c>
      <c r="AC24" s="163" t="n">
        <v>32192</v>
      </c>
      <c r="AD24" s="163" t="n">
        <v>36592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HIGH DENSITY POLYETHYLENE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 xml:space="preserve">CY -RTN DD.21/09 -27/09/2026 /CHECK OPEN GATE BEFORE RETURN CNTR </t>
        </is>
      </c>
      <c r="BA24" s="97" t="inlineStr">
        <is>
          <t>SI DD.22/9/26
FM SWRG 2609N DD.15/09</t>
        </is>
      </c>
      <c r="BB24" s="96" t="inlineStr">
        <is>
          <t>P</t>
        </is>
      </c>
      <c r="BC24" s="161" t="inlineStr">
        <is>
          <t>2026-08-29</t>
        </is>
      </c>
      <c r="BD24" s="161" t="inlineStr">
        <is>
          <t>2026-09-22</t>
        </is>
      </c>
      <c r="BE24" s="96" t="inlineStr">
        <is>
          <t>Y</t>
        </is>
      </c>
      <c r="BF24" s="96" t="inlineStr">
        <is>
          <t>RESIN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LCHY5</t>
        </is>
      </c>
      <c r="BL24" s="161" t="inlineStr">
        <is>
          <t>2026-09-21</t>
        </is>
      </c>
      <c r="BM24" s="127" t="n"/>
      <c r="BN24" s="127" t="n">
        <v>2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n"/>
      <c r="CB24" s="97" t="n"/>
      <c r="CC24" s="96" t="inlineStr">
        <is>
          <t>LCH06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jariya.c@wha-gc.com</t>
        </is>
      </c>
      <c r="CJ24" s="96" t="inlineStr">
        <is>
          <t>PTT GLOBAL CHEMICAL PUBLIC COMPANY</t>
        </is>
      </c>
      <c r="CK24" s="96" t="inlineStr">
        <is>
          <t>CSI CLOSURE SYSTEMS (HANGZHOU)</t>
        </is>
      </c>
      <c r="CL24" s="96" t="inlineStr">
        <is>
          <t>CSI CLOSURE SYSTEMS (HANGZHOU)</t>
        </is>
      </c>
      <c r="CM24" s="97" t="inlineStr">
        <is>
          <t>CLOSED</t>
        </is>
      </c>
      <c r="CN24" s="96" t="inlineStr">
        <is>
          <t>202610021500</t>
        </is>
      </c>
      <c r="CO24" s="96" t="inlineStr">
        <is>
          <t>202610051200</t>
        </is>
      </c>
      <c r="CP24" s="97" t="n"/>
      <c r="CQ24" s="96" t="inlineStr">
        <is>
          <t>S22-2309036</t>
        </is>
      </c>
      <c r="CR24" s="96" t="inlineStr">
        <is>
          <t>TH02GR</t>
        </is>
      </c>
      <c r="CS24" s="96" t="inlineStr">
        <is>
          <t>WHA GC LOGISTICS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2026-10-03</t>
        </is>
      </c>
      <c r="CX24" s="97" t="inlineStr">
        <is>
          <t>390120</t>
        </is>
      </c>
      <c r="CY24" s="183" t="n"/>
    </row>
    <row r="25" ht="12" customHeight="1">
      <c r="A25" s="116" t="inlineStr">
        <is>
          <t>HASLS22260901675</t>
        </is>
      </c>
      <c r="B25" s="96" t="inlineStr">
        <is>
          <t>20'x2</t>
        </is>
      </c>
      <c r="C25" s="97" t="n">
        <v>2</v>
      </c>
      <c r="D25" s="97" t="n">
        <v>2</v>
      </c>
      <c r="E25" s="97" t="n"/>
      <c r="F25" s="97" t="n">
        <v>0</v>
      </c>
      <c r="G25" s="97" t="n">
        <v>2</v>
      </c>
      <c r="H25" s="97" t="n">
        <v>0</v>
      </c>
      <c r="I25" s="97" t="n">
        <v>0</v>
      </c>
      <c r="J25" s="97" t="n">
        <v>2</v>
      </c>
      <c r="K25" s="96" t="inlineStr">
        <is>
          <t>N</t>
        </is>
      </c>
      <c r="L25" s="96" t="inlineStr">
        <is>
          <t>PCI2</t>
        </is>
      </c>
      <c r="M25" s="96" t="inlineStr">
        <is>
          <t>SWVG</t>
        </is>
      </c>
      <c r="N25" s="96" t="inlineStr">
        <is>
          <t>2612N</t>
        </is>
      </c>
      <c r="O25" s="96" t="inlineStr">
        <is>
          <t>THLCH</t>
        </is>
      </c>
      <c r="P25" s="96" t="inlineStr">
        <is>
          <t>LCH06</t>
        </is>
      </c>
      <c r="Q25" s="96" t="inlineStr">
        <is>
          <t>IA</t>
        </is>
      </c>
      <c r="R25" s="161" t="inlineStr">
        <is>
          <t>2026-10-07</t>
        </is>
      </c>
      <c r="S25" s="96" t="inlineStr">
        <is>
          <t>JPSMZ</t>
        </is>
      </c>
      <c r="T25" s="96" t="inlineStr">
        <is>
          <t>SMZ01</t>
        </is>
      </c>
      <c r="U25" s="96" t="inlineStr">
        <is>
          <t>JPSMZ</t>
        </is>
      </c>
      <c r="V25" s="161" t="inlineStr">
        <is>
          <t>2026-10-22</t>
        </is>
      </c>
      <c r="W25" s="96" t="inlineStr">
        <is>
          <t>JP</t>
        </is>
      </c>
      <c r="X25" s="97" t="n"/>
      <c r="Y25" s="97" t="inlineStr">
        <is>
          <t>PUS05</t>
        </is>
      </c>
      <c r="Z25" s="97" t="inlineStr">
        <is>
          <t>KRPUS</t>
        </is>
      </c>
      <c r="AA25" s="96" t="inlineStr">
        <is>
          <t>WHA GC LOGISTICS COMPANY LIMITED</t>
        </is>
      </c>
      <c r="AB25" s="96" t="inlineStr">
        <is>
          <t>PTT GLOBAL CHEMICAL PUBLIC COMPANY LIMITED</t>
        </is>
      </c>
      <c r="AC25" s="163" t="n">
        <v>32320</v>
      </c>
      <c r="AD25" s="163" t="n">
        <v>36720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TBKK13</t>
        </is>
      </c>
      <c r="AN25" s="96" t="inlineStr">
        <is>
          <t>Dharaporn</t>
        </is>
      </c>
      <c r="AO25" s="96" t="inlineStr">
        <is>
          <t>LDPE INNOPLUS LD2420H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CY-RTN 23-26/09/26 (PR2610001538 )</t>
        </is>
      </c>
      <c r="BA25" s="97" t="inlineStr">
        <is>
          <t>SI DD.22/9/26</t>
        </is>
      </c>
      <c r="BB25" s="96" t="inlineStr">
        <is>
          <t>P</t>
        </is>
      </c>
      <c r="BC25" s="161" t="inlineStr">
        <is>
          <t>2026-09-18</t>
        </is>
      </c>
      <c r="BD25" s="161" t="inlineStr">
        <is>
          <t>2026-10-02</t>
        </is>
      </c>
      <c r="BE25" s="96" t="inlineStr">
        <is>
          <t>Y</t>
        </is>
      </c>
      <c r="BF25" s="96" t="inlineStr">
        <is>
          <t>RESIN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LCHY5</t>
        </is>
      </c>
      <c r="BL25" s="161" t="inlineStr">
        <is>
          <t>2026-09-23</t>
        </is>
      </c>
      <c r="BM25" s="127" t="n"/>
      <c r="BN25" s="127" t="n">
        <v>2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>
        <v>5</v>
      </c>
      <c r="CA25" s="96" t="n"/>
      <c r="CB25" s="97" t="n"/>
      <c r="CC25" s="96" t="inlineStr">
        <is>
          <t>LCH06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inlineStr">
        <is>
          <t>POL: THLCH [SWVG/2612N]; T/S(1st): KRPUS [PCSS/2634E]; POD: JPSMZ [/]</t>
        </is>
      </c>
      <c r="CI25" s="96" t="inlineStr">
        <is>
          <t>kotchakorn.w@wha-gc.com</t>
        </is>
      </c>
      <c r="CJ25" s="96" t="inlineStr">
        <is>
          <t>PTT GLOBAL CHEMICAL PUBLIC COMPANY</t>
        </is>
      </c>
      <c r="CK25" s="96" t="inlineStr">
        <is>
          <t>MARUBENI INNOVEXIS CORPORATION</t>
        </is>
      </c>
      <c r="CL25" s="96" t="inlineStr">
        <is>
          <t>MARUBENI INNOVEXIS CORPORATION</t>
        </is>
      </c>
      <c r="CM25" s="97" t="inlineStr">
        <is>
          <t>CLOSED</t>
        </is>
      </c>
      <c r="CN25" s="96" t="inlineStr">
        <is>
          <t>202610021500</t>
        </is>
      </c>
      <c r="CO25" s="96" t="inlineStr">
        <is>
          <t>202610051200</t>
        </is>
      </c>
      <c r="CP25" s="97" t="n"/>
      <c r="CQ25" s="96" t="inlineStr">
        <is>
          <t>S19-2309008</t>
        </is>
      </c>
      <c r="CR25" s="96" t="inlineStr">
        <is>
          <t>TH02GR</t>
        </is>
      </c>
      <c r="CS25" s="96" t="inlineStr">
        <is>
          <t>WHA GC LOGISTICS COMPANY LIMITED</t>
        </is>
      </c>
      <c r="CT25" s="96" t="inlineStr">
        <is>
          <t>N</t>
        </is>
      </c>
      <c r="CU25" s="97" t="n"/>
      <c r="CV25" s="97" t="n"/>
      <c r="CW25" s="161" t="inlineStr">
        <is>
          <t>2026-10-03</t>
        </is>
      </c>
      <c r="CX25" s="97" t="inlineStr">
        <is>
          <t>390110</t>
        </is>
      </c>
      <c r="CY25" s="183" t="n"/>
    </row>
    <row r="26" ht="12" customHeight="1">
      <c r="A26" s="116" t="inlineStr">
        <is>
          <t>HASLS22260902059</t>
        </is>
      </c>
      <c r="B26" s="96" t="inlineStr">
        <is>
          <t>20'x2</t>
        </is>
      </c>
      <c r="C26" s="97" t="n">
        <v>2</v>
      </c>
      <c r="D26" s="97" t="n">
        <v>2</v>
      </c>
      <c r="E26" s="97" t="n"/>
      <c r="F26" s="97" t="n">
        <v>0</v>
      </c>
      <c r="G26" s="97" t="n">
        <v>2</v>
      </c>
      <c r="H26" s="97" t="n">
        <v>0</v>
      </c>
      <c r="I26" s="97" t="n">
        <v>0</v>
      </c>
      <c r="J26" s="97" t="n">
        <v>2</v>
      </c>
      <c r="K26" s="96" t="inlineStr">
        <is>
          <t>N</t>
        </is>
      </c>
      <c r="L26" s="96" t="inlineStr">
        <is>
          <t>PCI2</t>
        </is>
      </c>
      <c r="M26" s="96" t="inlineStr">
        <is>
          <t>SWVG</t>
        </is>
      </c>
      <c r="N26" s="96" t="inlineStr">
        <is>
          <t>2612N</t>
        </is>
      </c>
      <c r="O26" s="96" t="inlineStr">
        <is>
          <t>THLCH</t>
        </is>
      </c>
      <c r="P26" s="96" t="inlineStr">
        <is>
          <t>LCH06</t>
        </is>
      </c>
      <c r="Q26" s="96" t="inlineStr">
        <is>
          <t>IA</t>
        </is>
      </c>
      <c r="R26" s="161" t="inlineStr">
        <is>
          <t>2026-10-07</t>
        </is>
      </c>
      <c r="S26" s="96" t="inlineStr">
        <is>
          <t>JPHHE</t>
        </is>
      </c>
      <c r="T26" s="96" t="inlineStr">
        <is>
          <t>HHE01</t>
        </is>
      </c>
      <c r="U26" s="96" t="inlineStr">
        <is>
          <t>JPHHE</t>
        </is>
      </c>
      <c r="V26" s="161" t="inlineStr">
        <is>
          <t>2026-10-24</t>
        </is>
      </c>
      <c r="W26" s="96" t="inlineStr">
        <is>
          <t>JP</t>
        </is>
      </c>
      <c r="X26" s="97" t="n"/>
      <c r="Y26" s="97" t="inlineStr">
        <is>
          <t>PUS05</t>
        </is>
      </c>
      <c r="Z26" s="97" t="inlineStr">
        <is>
          <t>KRPUS</t>
        </is>
      </c>
      <c r="AA26" s="96" t="inlineStr">
        <is>
          <t>SCGJWD LOGISTICS PUBLIC COMPANY LIMITED</t>
        </is>
      </c>
      <c r="AB26" s="96" t="inlineStr">
        <is>
          <t>THAI POLYETHYLENE CO., LTD.</t>
        </is>
      </c>
      <c r="AC26" s="163" t="n">
        <v>30294</v>
      </c>
      <c r="AD26" s="163" t="n">
        <v>34694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TBKK19</t>
        </is>
      </c>
      <c r="AN26" s="96" t="inlineStr">
        <is>
          <t>Kanokporn</t>
        </is>
      </c>
      <c r="AO26" s="96" t="inlineStr">
        <is>
          <t>HIGH DENSITY POLYETHYLENE RESIN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>[FIX]CY 28/09/26 , RTN 30/09/26 (Invoice No. 3031060891)</t>
        </is>
      </c>
      <c r="BA26" s="97" t="n"/>
      <c r="BB26" s="96" t="inlineStr">
        <is>
          <t>P</t>
        </is>
      </c>
      <c r="BC26" s="161" t="inlineStr">
        <is>
          <t>2026-09-22</t>
        </is>
      </c>
      <c r="BD26" s="161" t="inlineStr">
        <is>
          <t>2026-10-01</t>
        </is>
      </c>
      <c r="BE26" s="96" t="inlineStr">
        <is>
          <t>Y</t>
        </is>
      </c>
      <c r="BF26" s="96" t="inlineStr">
        <is>
          <t>RESIN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LCHY5</t>
        </is>
      </c>
      <c r="BL26" s="161" t="inlineStr">
        <is>
          <t>2026-09-28</t>
        </is>
      </c>
      <c r="BM26" s="127" t="n"/>
      <c r="BN26" s="127" t="n">
        <v>2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>
        <v>3</v>
      </c>
      <c r="CA26" s="96" t="n"/>
      <c r="CB26" s="97" t="n"/>
      <c r="CC26" s="96" t="inlineStr">
        <is>
          <t>LCH06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inlineStr">
        <is>
          <t>POL: THLCH [SWVG/2612N]; T/S(1st): KRPUS [HAHP/2638E]; POD: JPHHE [/]</t>
        </is>
      </c>
      <c r="CI26" s="96" t="inlineStr">
        <is>
          <t>natwalad@scgjwd.com</t>
        </is>
      </c>
      <c r="CJ26" s="96" t="inlineStr">
        <is>
          <t>THAI POLYETHYLENE CO.,LTD.</t>
        </is>
      </c>
      <c r="CK26" s="96" t="inlineStr">
        <is>
          <t>MARUBENI INNOVEXIS CORPORATION</t>
        </is>
      </c>
      <c r="CL26" s="96" t="inlineStr">
        <is>
          <t>MARUBENI INNOVEXIS CORPORATION</t>
        </is>
      </c>
      <c r="CM26" s="97" t="inlineStr">
        <is>
          <t>CLOSED</t>
        </is>
      </c>
      <c r="CN26" s="96" t="inlineStr">
        <is>
          <t>202610021500</t>
        </is>
      </c>
      <c r="CO26" s="96" t="inlineStr">
        <is>
          <t>202610051200</t>
        </is>
      </c>
      <c r="CP26" s="97" t="n"/>
      <c r="CQ26" s="96" t="inlineStr">
        <is>
          <t>S19-2308040</t>
        </is>
      </c>
      <c r="CR26" s="96" t="inlineStr">
        <is>
          <t>TH0235</t>
        </is>
      </c>
      <c r="CS26" s="96" t="inlineStr">
        <is>
          <t>SCGJWD LOGISTICS PUBLIC COMPANY LIMITED</t>
        </is>
      </c>
      <c r="CT26" s="96" t="inlineStr">
        <is>
          <t>N</t>
        </is>
      </c>
      <c r="CU26" s="97" t="n"/>
      <c r="CV26" s="97" t="n"/>
      <c r="CW26" s="161" t="inlineStr">
        <is>
          <t>2026-10-06</t>
        </is>
      </c>
      <c r="CX26" s="97" t="inlineStr">
        <is>
          <t>390120</t>
        </is>
      </c>
      <c r="CY26" s="183" t="n"/>
    </row>
    <row r="27" ht="12" customHeight="1">
      <c r="A27" s="116" t="inlineStr">
        <is>
          <t>HASLS22260902147</t>
        </is>
      </c>
      <c r="B27" s="96" t="inlineStr">
        <is>
          <t>20'x2 40Hx1</t>
        </is>
      </c>
      <c r="C27" s="97" t="n">
        <v>3</v>
      </c>
      <c r="D27" s="97" t="n">
        <v>3</v>
      </c>
      <c r="E27" s="97" t="n"/>
      <c r="F27" s="97" t="n">
        <v>0</v>
      </c>
      <c r="G27" s="97" t="n">
        <v>2</v>
      </c>
      <c r="H27" s="97" t="n">
        <v>0</v>
      </c>
      <c r="I27" s="97" t="n">
        <v>1</v>
      </c>
      <c r="J27" s="97" t="n">
        <v>4</v>
      </c>
      <c r="K27" s="96" t="inlineStr">
        <is>
          <t>N</t>
        </is>
      </c>
      <c r="L27" s="96" t="inlineStr">
        <is>
          <t>PCI2</t>
        </is>
      </c>
      <c r="M27" s="96" t="inlineStr">
        <is>
          <t>SWVG</t>
        </is>
      </c>
      <c r="N27" s="96" t="inlineStr">
        <is>
          <t>2612N</t>
        </is>
      </c>
      <c r="O27" s="96" t="inlineStr">
        <is>
          <t>THLCH</t>
        </is>
      </c>
      <c r="P27" s="96" t="inlineStr">
        <is>
          <t>LCH06</t>
        </is>
      </c>
      <c r="Q27" s="96" t="inlineStr">
        <is>
          <t>IA</t>
        </is>
      </c>
      <c r="R27" s="161" t="inlineStr">
        <is>
          <t>2026-10-07</t>
        </is>
      </c>
      <c r="S27" s="96" t="inlineStr">
        <is>
          <t>CNSHA</t>
        </is>
      </c>
      <c r="T27" s="96" t="inlineStr">
        <is>
          <t>SHAW5</t>
        </is>
      </c>
      <c r="U27" s="96" t="inlineStr">
        <is>
          <t>CNSHA</t>
        </is>
      </c>
      <c r="V27" s="161" t="inlineStr">
        <is>
          <t>2026-10-13</t>
        </is>
      </c>
      <c r="W27" s="96" t="inlineStr">
        <is>
          <t>CN</t>
        </is>
      </c>
      <c r="X27" s="97" t="n"/>
      <c r="Y27" s="97" t="n"/>
      <c r="Z27" s="97" t="n"/>
      <c r="AA27" s="96" t="inlineStr">
        <is>
          <t>DOUBLE A (1991) PUBLIC COMPANY LIMITED</t>
        </is>
      </c>
      <c r="AB27" s="96" t="inlineStr">
        <is>
          <t>DOUBLE A (1991) PUBLIC COMPANY LIMITED</t>
        </is>
      </c>
      <c r="AC27" s="163" t="n">
        <v>57147</v>
      </c>
      <c r="AD27" s="163" t="n">
        <v>65547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TBKK19</t>
        </is>
      </c>
      <c r="AN27" s="96" t="inlineStr">
        <is>
          <t>Kanokporn</t>
        </is>
      </c>
      <c r="AO27" s="96" t="inlineStr">
        <is>
          <t>PHOTOCOPY PAPER "DOUBLE A" BRAND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CY-RTN : 29-02/10/2026
REF : PI-CN-TH-DA-26100032. PI-CN-TH-DA-26100033,PI-CN-TH-DA-26100034
FRT 31/20',40'HQ + FREETIME 21DAYS</t>
        </is>
      </c>
      <c r="BA27" s="97" t="inlineStr">
        <is>
          <t>HS CODE : 48025690</t>
        </is>
      </c>
      <c r="BB27" s="96" t="inlineStr">
        <is>
          <t>P</t>
        </is>
      </c>
      <c r="BC27" s="161" t="inlineStr">
        <is>
          <t>2026-09-23</t>
        </is>
      </c>
      <c r="BD27" s="161" t="inlineStr">
        <is>
          <t>2026-10-05</t>
        </is>
      </c>
      <c r="BE27" s="96" t="inlineStr">
        <is>
          <t>Y</t>
        </is>
      </c>
      <c r="BF27" s="96" t="inlineStr">
        <is>
          <t>PAPER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LCHY5</t>
        </is>
      </c>
      <c r="BL27" s="161" t="inlineStr">
        <is>
          <t>2026-09-29</t>
        </is>
      </c>
      <c r="BM27" s="127" t="n"/>
      <c r="BN27" s="127" t="n">
        <v>2</v>
      </c>
      <c r="BO27" s="127" t="n"/>
      <c r="BP27" s="127" t="n">
        <v>1</v>
      </c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n"/>
      <c r="CB27" s="97" t="n"/>
      <c r="CC27" s="96" t="inlineStr">
        <is>
          <t>LCH06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srithorn_s@doublea1991.com</t>
        </is>
      </c>
      <c r="CJ27" s="96" t="inlineStr">
        <is>
          <t>DOUBLE A (1991) PUBLIC COMPANY</t>
        </is>
      </c>
      <c r="CK27" s="96" t="inlineStr">
        <is>
          <t>DOUBLE A INTERNATIONAL TRADING</t>
        </is>
      </c>
      <c r="CL27" s="96" t="inlineStr">
        <is>
          <t>DOUBLE A INTERNATIONAL TRADING</t>
        </is>
      </c>
      <c r="CM27" s="97" t="inlineStr">
        <is>
          <t>CLOSED</t>
        </is>
      </c>
      <c r="CN27" s="96" t="inlineStr">
        <is>
          <t>202610021500</t>
        </is>
      </c>
      <c r="CO27" s="96" t="inlineStr">
        <is>
          <t>202610051200</t>
        </is>
      </c>
      <c r="CP27" s="97" t="n"/>
      <c r="CQ27" s="96" t="inlineStr">
        <is>
          <t>S19-2312005</t>
        </is>
      </c>
      <c r="CR27" s="96" t="inlineStr">
        <is>
          <t>TH0382</t>
        </is>
      </c>
      <c r="CS27" s="96" t="inlineStr">
        <is>
          <t>DOUBLE A (1991) PUBLIC COMPANY LIMITED</t>
        </is>
      </c>
      <c r="CT27" s="96" t="inlineStr">
        <is>
          <t>N</t>
        </is>
      </c>
      <c r="CU27" s="97" t="n"/>
      <c r="CV27" s="97" t="n"/>
      <c r="CW27" s="161" t="inlineStr">
        <is>
          <t>2026-10-06</t>
        </is>
      </c>
      <c r="CX27" s="97" t="inlineStr">
        <is>
          <t>480256</t>
        </is>
      </c>
      <c r="CY27" s="183" t="n"/>
    </row>
    <row r="28" ht="12" customHeight="1">
      <c r="A28" s="116" t="inlineStr">
        <is>
          <t>HASLS22260901513</t>
        </is>
      </c>
      <c r="B28" s="96" t="inlineStr">
        <is>
          <t>20'x2 40Hx2</t>
        </is>
      </c>
      <c r="C28" s="97" t="n">
        <v>4</v>
      </c>
      <c r="D28" s="97" t="n">
        <v>4</v>
      </c>
      <c r="E28" s="97" t="n"/>
      <c r="F28" s="97" t="n">
        <v>0</v>
      </c>
      <c r="G28" s="97" t="n">
        <v>2</v>
      </c>
      <c r="H28" s="97" t="n">
        <v>0</v>
      </c>
      <c r="I28" s="97" t="n">
        <v>2</v>
      </c>
      <c r="J28" s="97" t="n">
        <v>6</v>
      </c>
      <c r="K28" s="96" t="inlineStr">
        <is>
          <t>N</t>
        </is>
      </c>
      <c r="L28" s="96" t="inlineStr">
        <is>
          <t>PCI2</t>
        </is>
      </c>
      <c r="M28" s="96" t="inlineStr">
        <is>
          <t>SWVG</t>
        </is>
      </c>
      <c r="N28" s="96" t="inlineStr">
        <is>
          <t>2612N</t>
        </is>
      </c>
      <c r="O28" s="96" t="inlineStr">
        <is>
          <t>THLCH</t>
        </is>
      </c>
      <c r="P28" s="96" t="inlineStr">
        <is>
          <t>LCH06</t>
        </is>
      </c>
      <c r="Q28" s="96" t="inlineStr">
        <is>
          <t>IA</t>
        </is>
      </c>
      <c r="R28" s="161" t="inlineStr">
        <is>
          <t>2026-10-07</t>
        </is>
      </c>
      <c r="S28" s="96" t="inlineStr">
        <is>
          <t>CNSHA</t>
        </is>
      </c>
      <c r="T28" s="96" t="inlineStr">
        <is>
          <t>SHAW5</t>
        </is>
      </c>
      <c r="U28" s="96" t="inlineStr">
        <is>
          <t>CNSHA</t>
        </is>
      </c>
      <c r="V28" s="161" t="inlineStr">
        <is>
          <t>2026-10-13</t>
        </is>
      </c>
      <c r="W28" s="96" t="inlineStr">
        <is>
          <t>CN</t>
        </is>
      </c>
      <c r="X28" s="97" t="n"/>
      <c r="Y28" s="97" t="n"/>
      <c r="Z28" s="97" t="n"/>
      <c r="AA28" s="96" t="inlineStr">
        <is>
          <t>DOUBLE A (1991) PUBLIC COMPANY LIMITED</t>
        </is>
      </c>
      <c r="AB28" s="96" t="inlineStr">
        <is>
          <t>DOUBLE A (1991) PUBLIC COMPANY LIMITED</t>
        </is>
      </c>
      <c r="AC28" s="163" t="n">
        <v>83716</v>
      </c>
      <c r="AD28" s="163" t="n">
        <v>96116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TBKK19</t>
        </is>
      </c>
      <c r="AN28" s="96" t="inlineStr">
        <is>
          <t>Kanokporn</t>
        </is>
      </c>
      <c r="AO28" s="96" t="inlineStr">
        <is>
          <t>PHOTOCOPY PAPER "DOUBLE A" BRAND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 xml:space="preserve">CY-RTN : 25-29/09/2026
REF : PI-CN-TH-DA-26090065,PI-CN-TH-DA-26090066,PI-CN-TH-DA-26090068
FRT 31/20'/31/40'HQ  Freetime 21 days 
</t>
        </is>
      </c>
      <c r="BA28" s="97" t="inlineStr">
        <is>
          <t>HS CODE : 48025690</t>
        </is>
      </c>
      <c r="BB28" s="96" t="inlineStr">
        <is>
          <t>P</t>
        </is>
      </c>
      <c r="BC28" s="161" t="inlineStr">
        <is>
          <t>2026-09-17</t>
        </is>
      </c>
      <c r="BD28" s="161" t="inlineStr">
        <is>
          <t>2026-10-05</t>
        </is>
      </c>
      <c r="BE28" s="96" t="inlineStr">
        <is>
          <t>Y</t>
        </is>
      </c>
      <c r="BF28" s="96" t="inlineStr">
        <is>
          <t>PAPER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LCHY5</t>
        </is>
      </c>
      <c r="BL28" s="161" t="inlineStr">
        <is>
          <t>2026-09-25</t>
        </is>
      </c>
      <c r="BM28" s="127" t="n"/>
      <c r="BN28" s="127" t="n">
        <v>2</v>
      </c>
      <c r="BO28" s="127" t="n"/>
      <c r="BP28" s="127" t="n">
        <v>2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n"/>
      <c r="CB28" s="97" t="n"/>
      <c r="CC28" s="96" t="inlineStr">
        <is>
          <t>LCH06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srithorn_s@doublea1991.com</t>
        </is>
      </c>
      <c r="CJ28" s="96" t="inlineStr">
        <is>
          <t>DOUBLE A (1991) PUBLIC COMPANY</t>
        </is>
      </c>
      <c r="CK28" s="96" t="inlineStr">
        <is>
          <t>DOUBLE A INTERNATIONAL  TRADING</t>
        </is>
      </c>
      <c r="CL28" s="96" t="inlineStr">
        <is>
          <t>DOUBLE A INTERNATIONAL  TRADING</t>
        </is>
      </c>
      <c r="CM28" s="97" t="inlineStr">
        <is>
          <t>CLOSED</t>
        </is>
      </c>
      <c r="CN28" s="96" t="inlineStr">
        <is>
          <t>202610021500</t>
        </is>
      </c>
      <c r="CO28" s="96" t="inlineStr">
        <is>
          <t>202610051200</t>
        </is>
      </c>
      <c r="CP28" s="97" t="n"/>
      <c r="CQ28" s="96" t="inlineStr">
        <is>
          <t>S19-2312005</t>
        </is>
      </c>
      <c r="CR28" s="96" t="inlineStr">
        <is>
          <t>TH0382</t>
        </is>
      </c>
      <c r="CS28" s="96" t="inlineStr">
        <is>
          <t>DOUBLE A (1991) PUBLIC COMPANY LIMITED</t>
        </is>
      </c>
      <c r="CT28" s="96" t="inlineStr">
        <is>
          <t>N</t>
        </is>
      </c>
      <c r="CU28" s="97" t="n"/>
      <c r="CV28" s="97" t="n"/>
      <c r="CW28" s="161" t="inlineStr">
        <is>
          <t>2026-10-03</t>
        </is>
      </c>
      <c r="CX28" s="97" t="inlineStr">
        <is>
          <t>480256</t>
        </is>
      </c>
      <c r="CY28" s="183" t="n"/>
    </row>
    <row r="29" ht="12" customHeight="1">
      <c r="A29" s="116" t="inlineStr">
        <is>
          <t>HASLS22260901582</t>
        </is>
      </c>
      <c r="B29" s="96" t="inlineStr">
        <is>
          <t>20'x5</t>
        </is>
      </c>
      <c r="C29" s="97" t="n">
        <v>5</v>
      </c>
      <c r="D29" s="97" t="n">
        <v>5</v>
      </c>
      <c r="E29" s="97" t="n"/>
      <c r="F29" s="97" t="n">
        <v>0</v>
      </c>
      <c r="G29" s="97" t="n">
        <v>5</v>
      </c>
      <c r="H29" s="97" t="n">
        <v>0</v>
      </c>
      <c r="I29" s="97" t="n">
        <v>0</v>
      </c>
      <c r="J29" s="97" t="n">
        <v>5</v>
      </c>
      <c r="K29" s="96" t="inlineStr">
        <is>
          <t>N</t>
        </is>
      </c>
      <c r="L29" s="96" t="inlineStr">
        <is>
          <t>PCI2</t>
        </is>
      </c>
      <c r="M29" s="96" t="inlineStr">
        <is>
          <t>SWVG</t>
        </is>
      </c>
      <c r="N29" s="96" t="inlineStr">
        <is>
          <t>2612N</t>
        </is>
      </c>
      <c r="O29" s="96" t="inlineStr">
        <is>
          <t>THLCH</t>
        </is>
      </c>
      <c r="P29" s="96" t="inlineStr">
        <is>
          <t>LCH06</t>
        </is>
      </c>
      <c r="Q29" s="96" t="inlineStr">
        <is>
          <t>IA</t>
        </is>
      </c>
      <c r="R29" s="161" t="inlineStr">
        <is>
          <t>2026-10-07</t>
        </is>
      </c>
      <c r="S29" s="96" t="inlineStr">
        <is>
          <t>JPMOJ</t>
        </is>
      </c>
      <c r="T29" s="96" t="inlineStr">
        <is>
          <t>MOJ02</t>
        </is>
      </c>
      <c r="U29" s="96" t="inlineStr">
        <is>
          <t>JPMOJ</t>
        </is>
      </c>
      <c r="V29" s="161" t="inlineStr">
        <is>
          <t>2026-10-20</t>
        </is>
      </c>
      <c r="W29" s="96" t="inlineStr">
        <is>
          <t>JP</t>
        </is>
      </c>
      <c r="X29" s="97" t="n"/>
      <c r="Y29" s="97" t="inlineStr">
        <is>
          <t>PUS05</t>
        </is>
      </c>
      <c r="Z29" s="97" t="inlineStr">
        <is>
          <t>KRPUS</t>
        </is>
      </c>
      <c r="AA29" s="96" t="inlineStr">
        <is>
          <t>SCGJWD LOGISTICS PUBLIC COMPANY LIMITED</t>
        </is>
      </c>
      <c r="AB29" s="96" t="inlineStr">
        <is>
          <t>THAI POLYETHYLENE CO., LTD.</t>
        </is>
      </c>
      <c r="AC29" s="163" t="n">
        <v>75735</v>
      </c>
      <c r="AD29" s="163" t="n">
        <v>86735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TBKK19</t>
        </is>
      </c>
      <c r="AN29" s="96" t="inlineStr">
        <is>
          <t>Kanokporn</t>
        </is>
      </c>
      <c r="AO29" s="96" t="inlineStr">
        <is>
          <t>HIGH DENSITY POLYETHYLENE RESIN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>CY-RTN 28-29/09/26 (  INV  3031061852  )</t>
        </is>
      </c>
      <c r="BA29" s="97" t="n"/>
      <c r="BB29" s="96" t="inlineStr">
        <is>
          <t>P</t>
        </is>
      </c>
      <c r="BC29" s="161" t="inlineStr">
        <is>
          <t>2026-09-17</t>
        </is>
      </c>
      <c r="BD29" s="161" t="inlineStr">
        <is>
          <t>2026-10-01</t>
        </is>
      </c>
      <c r="BE29" s="96" t="inlineStr">
        <is>
          <t>Y</t>
        </is>
      </c>
      <c r="BF29" s="96" t="inlineStr">
        <is>
          <t>RESIN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LCHY5</t>
        </is>
      </c>
      <c r="BL29" s="161" t="inlineStr">
        <is>
          <t>2026-09-28</t>
        </is>
      </c>
      <c r="BM29" s="127" t="n"/>
      <c r="BN29" s="127" t="n">
        <v>5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>
        <v>4</v>
      </c>
      <c r="CA29" s="96" t="n"/>
      <c r="CB29" s="97" t="n"/>
      <c r="CC29" s="96" t="inlineStr">
        <is>
          <t>LCH06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inlineStr">
        <is>
          <t>POL: THLCH [SWVG/2612N]; T/S(1st): KRPUS [HKEP/2683E]; POD: JPMOJ [/]</t>
        </is>
      </c>
      <c r="CI29" s="96" t="inlineStr">
        <is>
          <t>natwalad@scgjwd.com</t>
        </is>
      </c>
      <c r="CJ29" s="96" t="inlineStr">
        <is>
          <t>THAI POLYETHYLENE CO.,LTD.</t>
        </is>
      </c>
      <c r="CK29" s="96" t="inlineStr">
        <is>
          <t>TOYOTSU CHEMIPLAS CORPORATION,</t>
        </is>
      </c>
      <c r="CL29" s="96" t="inlineStr">
        <is>
          <t>TOYOTSU CHEMIPLAS CORPORATION,</t>
        </is>
      </c>
      <c r="CM29" s="97" t="inlineStr">
        <is>
          <t>CLOSED</t>
        </is>
      </c>
      <c r="CN29" s="96" t="inlineStr">
        <is>
          <t>202610021500</t>
        </is>
      </c>
      <c r="CO29" s="96" t="inlineStr">
        <is>
          <t>202610051200</t>
        </is>
      </c>
      <c r="CP29" s="97" t="n"/>
      <c r="CQ29" s="96" t="inlineStr">
        <is>
          <t>S19-2308040</t>
        </is>
      </c>
      <c r="CR29" s="96" t="inlineStr">
        <is>
          <t>TH0235</t>
        </is>
      </c>
      <c r="CS29" s="96" t="inlineStr">
        <is>
          <t>SCGJWD LOGISTICS PUBLIC COMPANY LIMITED</t>
        </is>
      </c>
      <c r="CT29" s="96" t="inlineStr">
        <is>
          <t>N</t>
        </is>
      </c>
      <c r="CU29" s="97" t="n"/>
      <c r="CV29" s="97" t="n"/>
      <c r="CW29" s="161" t="inlineStr">
        <is>
          <t>2026-10-03</t>
        </is>
      </c>
      <c r="CX29" s="97" t="inlineStr">
        <is>
          <t>390120</t>
        </is>
      </c>
      <c r="CY29" s="183" t="n"/>
    </row>
    <row r="30" ht="12" customHeight="1">
      <c r="A30" s="116" t="inlineStr">
        <is>
          <t>HASLS22260901104</t>
        </is>
      </c>
      <c r="B30" s="96" t="inlineStr">
        <is>
          <t>20'x9</t>
        </is>
      </c>
      <c r="C30" s="97" t="n">
        <v>9</v>
      </c>
      <c r="D30" s="97" t="n">
        <v>9</v>
      </c>
      <c r="E30" s="97" t="inlineStr">
        <is>
          <t>THSRP</t>
        </is>
      </c>
      <c r="F30" s="97" t="n">
        <v>0</v>
      </c>
      <c r="G30" s="97" t="n">
        <v>9</v>
      </c>
      <c r="H30" s="97" t="n">
        <v>0</v>
      </c>
      <c r="I30" s="97" t="n">
        <v>0</v>
      </c>
      <c r="J30" s="97" t="n">
        <v>9</v>
      </c>
      <c r="K30" s="96" t="inlineStr">
        <is>
          <t>N</t>
        </is>
      </c>
      <c r="L30" s="96" t="inlineStr">
        <is>
          <t>PCI2</t>
        </is>
      </c>
      <c r="M30" s="96" t="inlineStr">
        <is>
          <t>SWVG</t>
        </is>
      </c>
      <c r="N30" s="96" t="inlineStr">
        <is>
          <t>2612N</t>
        </is>
      </c>
      <c r="O30" s="96" t="inlineStr">
        <is>
          <t>THLCH</t>
        </is>
      </c>
      <c r="P30" s="96" t="inlineStr">
        <is>
          <t>LCH06</t>
        </is>
      </c>
      <c r="Q30" s="96" t="inlineStr">
        <is>
          <t>IA</t>
        </is>
      </c>
      <c r="R30" s="161" t="inlineStr">
        <is>
          <t>2026-10-07</t>
        </is>
      </c>
      <c r="S30" s="96" t="inlineStr">
        <is>
          <t>CNSHA</t>
        </is>
      </c>
      <c r="T30" s="96" t="inlineStr">
        <is>
          <t>SHAW5</t>
        </is>
      </c>
      <c r="U30" s="96" t="inlineStr">
        <is>
          <t>CNSHA</t>
        </is>
      </c>
      <c r="V30" s="161" t="inlineStr">
        <is>
          <t>2026-10-13</t>
        </is>
      </c>
      <c r="W30" s="96" t="inlineStr">
        <is>
          <t>CN</t>
        </is>
      </c>
      <c r="X30" s="97" t="n"/>
      <c r="Y30" s="97" t="n"/>
      <c r="Z30" s="97" t="n"/>
      <c r="AA30" s="96" t="inlineStr">
        <is>
          <t>TTR FREIGHT AND SERVICE COMPANY LIMITED</t>
        </is>
      </c>
      <c r="AB30" s="96" t="inlineStr">
        <is>
          <t>RAK SYSCOM (THAILAND) COMPANY LIMITD.</t>
        </is>
      </c>
      <c r="AC30" s="163" t="n">
        <v>203730</v>
      </c>
      <c r="AD30" s="163" t="n">
        <v>223530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CHK</t>
        </is>
      </c>
      <c r="AI30" s="97" t="n"/>
      <c r="AJ30" s="97" t="n"/>
      <c r="AK30" s="97" t="n"/>
      <c r="AL30" s="97" t="n"/>
      <c r="AM30" s="96" t="inlineStr">
        <is>
          <t>TBKK97</t>
        </is>
      </c>
      <c r="AN30" s="96" t="inlineStr">
        <is>
          <t>Arunphat W. (Aiw)</t>
        </is>
      </c>
      <c r="AO30" s="96" t="inlineStr">
        <is>
          <t>REFINED GLYCERINE 99.7% MIN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 xml:space="preserve">* APPROVE BY KIM JAE-HYUNG DD 29/09* 
SURVEY 21/09  Pickup : 2026-09-21, Return : 2026-09-24 [PAPERLESS CODE : 2829] 
 CLS TIME 24/09 @22.00 </t>
        </is>
      </c>
      <c r="BA30" s="97" t="inlineStr">
        <is>
          <t>ROLL OVER FROM PREVIOUS VSL HAB 2611N BY ALLOCATION TEAM MS.TAN APPROVED COST IS UNDER HA DD.26/09
SI DD.22/9/26
AIW (SALE) CFM FLEXIBAG AT SRP DD 16/09 FLEXIBAG CARGO, REQUEST CLEAN &amp; GOOD CONTAINERCY-RTN BKK</t>
        </is>
      </c>
      <c r="BB30" s="96" t="inlineStr">
        <is>
          <t>P</t>
        </is>
      </c>
      <c r="BC30" s="161" t="inlineStr">
        <is>
          <t>2026-09-14</t>
        </is>
      </c>
      <c r="BD30" s="161" t="inlineStr">
        <is>
          <t>2026-09-29</t>
        </is>
      </c>
      <c r="BE30" s="96" t="inlineStr">
        <is>
          <t>Y</t>
        </is>
      </c>
      <c r="BF30" s="96" t="inlineStr">
        <is>
          <t>GLYCERINE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2026-09-21</t>
        </is>
      </c>
      <c r="BM30" s="127" t="n"/>
      <c r="BN30" s="127" t="n">
        <v>9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LCH06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ttrfreight@gmail.com</t>
        </is>
      </c>
      <c r="CJ30" s="96" t="inlineStr">
        <is>
          <t>RAK SYSCOM (THAILAND) CO., LTD.</t>
        </is>
      </c>
      <c r="CK30" s="96" t="inlineStr">
        <is>
          <t>ZHANGJIAGANG FREE TRADE ZONE</t>
        </is>
      </c>
      <c r="CL30" s="96" t="inlineStr">
        <is>
          <t>YAY INTERNATIONAL LIMITED</t>
        </is>
      </c>
      <c r="CM30" s="97" t="n"/>
      <c r="CN30" s="96" t="inlineStr">
        <is>
          <t>202610021500</t>
        </is>
      </c>
      <c r="CO30" s="96" t="inlineStr">
        <is>
          <t>202610051200</t>
        </is>
      </c>
      <c r="CP30" s="97" t="n"/>
      <c r="CQ30" s="96" t="inlineStr">
        <is>
          <t>S22-2607018</t>
        </is>
      </c>
      <c r="CR30" s="96" t="inlineStr">
        <is>
          <t>THTZ2C</t>
        </is>
      </c>
      <c r="CS30" s="96" t="inlineStr">
        <is>
          <t>TTR FREIGHT AND SERVICE COMPANY LIMITED</t>
        </is>
      </c>
      <c r="CT30" s="96" t="inlineStr">
        <is>
          <t>N</t>
        </is>
      </c>
      <c r="CU30" s="97" t="n"/>
      <c r="CV30" s="97" t="n"/>
      <c r="CW30" s="161" t="inlineStr">
        <is>
          <t>2026-10-08</t>
        </is>
      </c>
      <c r="CX30" s="97" t="inlineStr">
        <is>
          <t>290545</t>
        </is>
      </c>
      <c r="CY30" s="183" t="inlineStr">
        <is>
          <t>ROLL OVER FROM PREVIOUS VSL HAB 2611N BY ALLOCATION TEAM MS.TAN APPROVED COST IS UNDER HA DD.26/09</t>
        </is>
      </c>
    </row>
    <row r="31" ht="12" customHeight="1">
      <c r="A31" s="116" t="inlineStr">
        <is>
          <t>HASLS22260902507</t>
        </is>
      </c>
      <c r="B31" s="96" t="inlineStr">
        <is>
          <t>40Hx1</t>
        </is>
      </c>
      <c r="C31" s="97" t="n">
        <v>0</v>
      </c>
      <c r="D31" s="97" t="n">
        <v>0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SOC</t>
        </is>
      </c>
      <c r="L31" s="96" t="inlineStr">
        <is>
          <t>PCI2</t>
        </is>
      </c>
      <c r="M31" s="96" t="inlineStr">
        <is>
          <t>SWVG</t>
        </is>
      </c>
      <c r="N31" s="96" t="inlineStr">
        <is>
          <t>2612N</t>
        </is>
      </c>
      <c r="O31" s="96" t="inlineStr">
        <is>
          <t>THLCH</t>
        </is>
      </c>
      <c r="P31" s="96" t="inlineStr">
        <is>
          <t>LCH06</t>
        </is>
      </c>
      <c r="Q31" s="96" t="inlineStr">
        <is>
          <t>IA</t>
        </is>
      </c>
      <c r="R31" s="161" t="inlineStr">
        <is>
          <t>2026-10-07</t>
        </is>
      </c>
      <c r="S31" s="96" t="inlineStr">
        <is>
          <t>CNSHA</t>
        </is>
      </c>
      <c r="T31" s="96" t="inlineStr">
        <is>
          <t>SHAW5</t>
        </is>
      </c>
      <c r="U31" s="96" t="inlineStr">
        <is>
          <t>CNSHA</t>
        </is>
      </c>
      <c r="V31" s="161" t="inlineStr">
        <is>
          <t>2026-10-13</t>
        </is>
      </c>
      <c r="W31" s="96" t="inlineStr">
        <is>
          <t>CN</t>
        </is>
      </c>
      <c r="X31" s="97" t="n"/>
      <c r="Y31" s="97" t="n"/>
      <c r="Z31" s="97" t="n"/>
      <c r="AA31" s="96" t="inlineStr">
        <is>
          <t>THAI LOGIST LLC CO., LTD.</t>
        </is>
      </c>
      <c r="AB31" s="96" t="inlineStr">
        <is>
          <t>THAI LOGIST LLC CO., LTD.</t>
        </is>
      </c>
      <c r="AC31" s="163" t="n">
        <v>20855.21</v>
      </c>
      <c r="AD31" s="163" t="n">
        <v>24855.21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n"/>
      <c r="AJ31" s="97" t="n"/>
      <c r="AK31" s="97" t="n"/>
      <c r="AL31" s="97" t="n"/>
      <c r="AM31" s="96" t="inlineStr">
        <is>
          <t>TH0042</t>
        </is>
      </c>
      <c r="AN31" s="96" t="inlineStr">
        <is>
          <t>Sukunpoj Damrongying</t>
        </is>
      </c>
      <c r="AO31" s="96" t="inlineStr">
        <is>
          <t>RUBBER HOSES (HS CODE: 400931)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 xml:space="preserve">Pickup : 2026-10-04, Return : 2026-10-05 SOC  
  CUSTOMS FORMALITY (SOC) BY HAL </t>
        </is>
      </c>
      <c r="BA31" s="97" t="inlineStr">
        <is>
          <t xml:space="preserve"> CUSTOMS FORMALITY (SOC) BY HAL </t>
        </is>
      </c>
      <c r="BB31" s="96" t="inlineStr">
        <is>
          <t>P</t>
        </is>
      </c>
      <c r="BC31" s="161" t="inlineStr">
        <is>
          <t>2026-09-28</t>
        </is>
      </c>
      <c r="BD31" s="161" t="inlineStr">
        <is>
          <t>2026-10-05</t>
        </is>
      </c>
      <c r="BE31" s="96" t="inlineStr">
        <is>
          <t>Y</t>
        </is>
      </c>
      <c r="BF31" s="96" t="inlineStr">
        <is>
          <t>RUBBER HOSES (HS CODE: 400931)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n"/>
      <c r="BL31" s="161" t="inlineStr">
        <is>
          <t>2026-10-04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LCH06</t>
        </is>
      </c>
      <c r="CD31" s="97" t="n"/>
      <c r="CE31" s="97" t="n"/>
      <c r="CF31" s="96" t="inlineStr">
        <is>
          <t>0 Teu</t>
        </is>
      </c>
      <c r="CG31" s="96" t="inlineStr">
        <is>
          <t>CY/FO</t>
        </is>
      </c>
      <c r="CH31" s="97" t="n"/>
      <c r="CI31" s="96" t="inlineStr">
        <is>
          <t>office@logist.group</t>
        </is>
      </c>
      <c r="CJ31" s="96" t="inlineStr">
        <is>
          <t>THAI LOGIST LLC CO., LTD.</t>
        </is>
      </c>
      <c r="CK31" s="96" t="inlineStr">
        <is>
          <t>CONVERGE SHIPPING (NINGBO)</t>
        </is>
      </c>
      <c r="CL31" s="96" t="inlineStr">
        <is>
          <t>CONVERGE SHIPPING (NINGBO)</t>
        </is>
      </c>
      <c r="CM31" s="97" t="n"/>
      <c r="CN31" s="96" t="inlineStr">
        <is>
          <t>202610021500</t>
        </is>
      </c>
      <c r="CO31" s="96" t="inlineStr">
        <is>
          <t>202610051200</t>
        </is>
      </c>
      <c r="CP31" s="97" t="n"/>
      <c r="CQ31" s="96" t="inlineStr">
        <is>
          <t>S22-2502045</t>
        </is>
      </c>
      <c r="CR31" s="96" t="inlineStr">
        <is>
          <t>THTRF1</t>
        </is>
      </c>
      <c r="CS31" s="96" t="inlineStr">
        <is>
          <t>THAI LOGIST LLC CO., LTD.</t>
        </is>
      </c>
      <c r="CT31" s="96" t="inlineStr">
        <is>
          <t>N</t>
        </is>
      </c>
      <c r="CU31" s="97" t="n"/>
      <c r="CV31" s="97" t="n"/>
      <c r="CW31" s="161" t="inlineStr">
        <is>
          <t>2026-10-07</t>
        </is>
      </c>
      <c r="CX31" s="97" t="inlineStr">
        <is>
          <t>400931</t>
        </is>
      </c>
      <c r="CY31" s="183" t="n"/>
    </row>
    <row r="32" ht="12" customHeight="1">
      <c r="A32" s="116" t="inlineStr">
        <is>
          <t>HASLS22260901432</t>
        </is>
      </c>
      <c r="B32" s="96" t="inlineStr">
        <is>
          <t>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PCI2</t>
        </is>
      </c>
      <c r="M32" s="96" t="inlineStr">
        <is>
          <t>SWVG</t>
        </is>
      </c>
      <c r="N32" s="96" t="inlineStr">
        <is>
          <t>2612N</t>
        </is>
      </c>
      <c r="O32" s="96" t="inlineStr">
        <is>
          <t>THLCH</t>
        </is>
      </c>
      <c r="P32" s="96" t="inlineStr">
        <is>
          <t>LCH06</t>
        </is>
      </c>
      <c r="Q32" s="96" t="inlineStr">
        <is>
          <t>IA</t>
        </is>
      </c>
      <c r="R32" s="161" t="inlineStr">
        <is>
          <t>2026-10-07</t>
        </is>
      </c>
      <c r="S32" s="96" t="inlineStr">
        <is>
          <t>CNSHA</t>
        </is>
      </c>
      <c r="T32" s="96" t="inlineStr">
        <is>
          <t>SHAW5</t>
        </is>
      </c>
      <c r="U32" s="96" t="inlineStr">
        <is>
          <t>CNSHA</t>
        </is>
      </c>
      <c r="V32" s="161" t="inlineStr">
        <is>
          <t>2026-10-13</t>
        </is>
      </c>
      <c r="W32" s="96" t="inlineStr">
        <is>
          <t>CN</t>
        </is>
      </c>
      <c r="X32" s="97" t="n"/>
      <c r="Y32" s="97" t="n"/>
      <c r="Z32" s="97" t="n"/>
      <c r="AA32" s="96" t="inlineStr">
        <is>
          <t>AGC VINYTHAI PUBLIC COMPANY LIMITED</t>
        </is>
      </c>
      <c r="AB32" s="96" t="inlineStr">
        <is>
          <t>AGC VINYTHAI PUBLIC COMPANY LIMITED</t>
        </is>
      </c>
      <c r="AC32" s="163" t="n">
        <v>22440</v>
      </c>
      <c r="AD32" s="163" t="n">
        <v>26440</v>
      </c>
      <c r="AE32" s="96" t="inlineStr">
        <is>
          <t>OK</t>
        </is>
      </c>
      <c r="AF32" s="96" t="inlineStr">
        <is>
          <t>SR</t>
        </is>
      </c>
      <c r="AG32" s="97" t="n"/>
      <c r="AH32" s="96" t="inlineStr">
        <is>
          <t>CHK</t>
        </is>
      </c>
      <c r="AI32" s="97" t="n"/>
      <c r="AJ32" s="97" t="n"/>
      <c r="AK32" s="97" t="n"/>
      <c r="AL32" s="97" t="n"/>
      <c r="AM32" s="96" t="inlineStr">
        <is>
          <t>TH0011</t>
        </is>
      </c>
      <c r="AN32" s="96" t="inlineStr">
        <is>
          <t>Nannaapust Sukporntaweewat</t>
        </is>
      </c>
      <c r="AO32" s="96" t="inlineStr">
        <is>
          <t>PVC EMULSION RESIN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 xml:space="preserve">Pickup : 2026-10-02, Return : 2026-10-03 (1ST RTN 04/10 W/O RENT) 
 ** PLEASE CHECK OPEN GATE BEFORE RETURN CNTR **
 </t>
        </is>
      </c>
      <c r="BA32" s="97" t="inlineStr">
        <is>
          <t>new cntr, grade A</t>
        </is>
      </c>
      <c r="BB32" s="96" t="inlineStr">
        <is>
          <t>P</t>
        </is>
      </c>
      <c r="BC32" s="161" t="inlineStr">
        <is>
          <t>2026-09-16</t>
        </is>
      </c>
      <c r="BD32" s="161" t="inlineStr">
        <is>
          <t>2026-10-02</t>
        </is>
      </c>
      <c r="BE32" s="96" t="inlineStr">
        <is>
          <t>Y</t>
        </is>
      </c>
      <c r="BF32" s="96" t="inlineStr">
        <is>
          <t>PVC RESIN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LCH27</t>
        </is>
      </c>
      <c r="BL32" s="161" t="inlineStr">
        <is>
          <t>2026-10-02</t>
        </is>
      </c>
      <c r="BM32" s="127" t="n"/>
      <c r="BN32" s="127" t="n"/>
      <c r="BO32" s="127" t="n"/>
      <c r="BP32" s="127" t="n">
        <v>1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LCH06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orawan.namw@agc.com;alisa.rubs@agc.com</t>
        </is>
      </c>
      <c r="CJ32" s="96" t="inlineStr">
        <is>
          <t>AGC VINYTHAI PUBLIC COMPANY LIMITED</t>
        </is>
      </c>
      <c r="CK32" s="96" t="inlineStr">
        <is>
          <t>SHENZHEN COMFLEX INDUSTRY LIMITED</t>
        </is>
      </c>
      <c r="CL32" s="96" t="inlineStr">
        <is>
          <t>SHENZHEN COMFLEX INDUSTRY LIMITED</t>
        </is>
      </c>
      <c r="CM32" s="97" t="n"/>
      <c r="CN32" s="96" t="inlineStr">
        <is>
          <t>202610021500</t>
        </is>
      </c>
      <c r="CO32" s="96" t="inlineStr">
        <is>
          <t>202610051200</t>
        </is>
      </c>
      <c r="CP32" s="97" t="n"/>
      <c r="CQ32" s="96" t="inlineStr">
        <is>
          <t>S22-2310025</t>
        </is>
      </c>
      <c r="CR32" s="96" t="inlineStr">
        <is>
          <t>TH04MG</t>
        </is>
      </c>
      <c r="CS32" s="96" t="inlineStr">
        <is>
          <t>AGC VINYTHAI PUBLIC COMPANY LIMITED</t>
        </is>
      </c>
      <c r="CT32" s="96" t="inlineStr">
        <is>
          <t>N</t>
        </is>
      </c>
      <c r="CU32" s="97" t="n"/>
      <c r="CV32" s="97" t="n"/>
      <c r="CW32" s="161" t="inlineStr">
        <is>
          <t>2026-10-08</t>
        </is>
      </c>
      <c r="CX32" s="97" t="n"/>
      <c r="CY32" s="183" t="n"/>
    </row>
    <row r="33" ht="12" customHeight="1">
      <c r="A33" s="116" t="inlineStr">
        <is>
          <t>HASLS22260900408</t>
        </is>
      </c>
      <c r="B33" s="96" t="inlineStr">
        <is>
          <t>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PCI2</t>
        </is>
      </c>
      <c r="M33" s="96" t="inlineStr">
        <is>
          <t>SWVG</t>
        </is>
      </c>
      <c r="N33" s="96" t="inlineStr">
        <is>
          <t>2612N</t>
        </is>
      </c>
      <c r="O33" s="96" t="inlineStr">
        <is>
          <t>THLCH</t>
        </is>
      </c>
      <c r="P33" s="96" t="inlineStr">
        <is>
          <t>LCH06</t>
        </is>
      </c>
      <c r="Q33" s="96" t="inlineStr">
        <is>
          <t>IA</t>
        </is>
      </c>
      <c r="R33" s="161" t="inlineStr">
        <is>
          <t>2026-10-07</t>
        </is>
      </c>
      <c r="S33" s="96" t="inlineStr">
        <is>
          <t>CNSHA</t>
        </is>
      </c>
      <c r="T33" s="96" t="inlineStr">
        <is>
          <t>SHAW5</t>
        </is>
      </c>
      <c r="U33" s="96" t="inlineStr">
        <is>
          <t>CNSHA</t>
        </is>
      </c>
      <c r="V33" s="161" t="inlineStr">
        <is>
          <t>2026-10-13</t>
        </is>
      </c>
      <c r="W33" s="96" t="inlineStr">
        <is>
          <t>CN</t>
        </is>
      </c>
      <c r="X33" s="97" t="n"/>
      <c r="Y33" s="97" t="n"/>
      <c r="Z33" s="97" t="n"/>
      <c r="AA33" s="96" t="inlineStr">
        <is>
          <t>RHENUS LOGISTICS CO., LTD.</t>
        </is>
      </c>
      <c r="AB33" s="96" t="inlineStr">
        <is>
          <t>DYNAMIC TECHNOLOGY MANUFACTURING (THAILAND) CO.,LTD.</t>
        </is>
      </c>
      <c r="AC33" s="163" t="n">
        <v>8578.82</v>
      </c>
      <c r="AD33" s="163" t="n">
        <v>12578.82</v>
      </c>
      <c r="AE33" s="96" t="inlineStr">
        <is>
          <t>OK</t>
        </is>
      </c>
      <c r="AF33" s="96" t="n"/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TH0011</t>
        </is>
      </c>
      <c r="AN33" s="96" t="inlineStr">
        <is>
          <t>Nannaapust Sukporntaweewat</t>
        </is>
      </c>
      <c r="AO33" s="96" t="inlineStr">
        <is>
          <t>PRINTED CIRCUIT BOARD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>Pickup : 2026-09-26, Return : 2026-09-28</t>
        </is>
      </c>
      <c r="BA33" s="97" t="inlineStr">
        <is>
          <t>FM 1X20GP 21/09Please send draft to email:  Sudarat.Moungkling@rhenus.com, PLEASE BILL TO RHENUS BKK : RHENUS LOGISTICS CO., LTD., 191/14 CTI TOWER, 28TH FLOOR, RATCHADAPISEK ROAD, KLONGTOEY, BANGKOK 10110</t>
        </is>
      </c>
      <c r="BB33" s="96" t="inlineStr">
        <is>
          <t>P</t>
        </is>
      </c>
      <c r="BC33" s="161" t="inlineStr">
        <is>
          <t>2026-09-04</t>
        </is>
      </c>
      <c r="BD33" s="161" t="inlineStr">
        <is>
          <t>2026-09-30</t>
        </is>
      </c>
      <c r="BE33" s="96" t="inlineStr">
        <is>
          <t>Y</t>
        </is>
      </c>
      <c r="BF33" s="96" t="inlineStr">
        <is>
          <t>PRINTED CIRCUIT BOARD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LCH27</t>
        </is>
      </c>
      <c r="BL33" s="161" t="inlineStr">
        <is>
          <t>2026-09-26</t>
        </is>
      </c>
      <c r="BM33" s="127" t="n"/>
      <c r="BN33" s="127" t="n"/>
      <c r="BO33" s="127" t="n"/>
      <c r="BP33" s="127" t="n">
        <v>1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LCH06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LCB_SEAEXPORT.th@rhenus.com</t>
        </is>
      </c>
      <c r="CJ33" s="96" t="inlineStr">
        <is>
          <t>RHENUS LOGISTICS CO., LTD.</t>
        </is>
      </c>
      <c r="CK33" s="96" t="inlineStr">
        <is>
          <t>RHENUS LOGISTICS CHINA LTD.</t>
        </is>
      </c>
      <c r="CL33" s="96" t="inlineStr">
        <is>
          <t>RHENUS LOGISTICS CHINA LTD.</t>
        </is>
      </c>
      <c r="CM33" s="97" t="inlineStr">
        <is>
          <t>CLOSED</t>
        </is>
      </c>
      <c r="CN33" s="96" t="inlineStr">
        <is>
          <t>202610021500</t>
        </is>
      </c>
      <c r="CO33" s="96" t="inlineStr">
        <is>
          <t>202610051200</t>
        </is>
      </c>
      <c r="CP33" s="97" t="n"/>
      <c r="CQ33" s="96" t="inlineStr">
        <is>
          <t>S22-2412011</t>
        </is>
      </c>
      <c r="CR33" s="96" t="inlineStr">
        <is>
          <t>TH005U</t>
        </is>
      </c>
      <c r="CS33" s="96" t="inlineStr">
        <is>
          <t>RHENUS LOGISTICS CO., LTD.</t>
        </is>
      </c>
      <c r="CT33" s="96" t="inlineStr">
        <is>
          <t>N</t>
        </is>
      </c>
      <c r="CU33" s="97" t="n"/>
      <c r="CV33" s="97" t="n"/>
      <c r="CW33" s="161" t="inlineStr">
        <is>
          <t>2026-10-06</t>
        </is>
      </c>
      <c r="CX33" s="97" t="inlineStr">
        <is>
          <t>853400</t>
        </is>
      </c>
      <c r="CY33" s="183" t="n"/>
    </row>
    <row r="34" ht="12" customHeight="1">
      <c r="A34" s="116" t="inlineStr">
        <is>
          <t>HASLS22260901915</t>
        </is>
      </c>
      <c r="B34" s="96" t="inlineStr">
        <is>
          <t>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PCI2</t>
        </is>
      </c>
      <c r="M34" s="96" t="inlineStr">
        <is>
          <t>SWVG</t>
        </is>
      </c>
      <c r="N34" s="96" t="inlineStr">
        <is>
          <t>2612N</t>
        </is>
      </c>
      <c r="O34" s="96" t="inlineStr">
        <is>
          <t>THLCH</t>
        </is>
      </c>
      <c r="P34" s="96" t="inlineStr">
        <is>
          <t>LCH06</t>
        </is>
      </c>
      <c r="Q34" s="96" t="inlineStr">
        <is>
          <t>IA</t>
        </is>
      </c>
      <c r="R34" s="161" t="inlineStr">
        <is>
          <t>2026-10-07</t>
        </is>
      </c>
      <c r="S34" s="96" t="inlineStr">
        <is>
          <t>CNSHA</t>
        </is>
      </c>
      <c r="T34" s="96" t="inlineStr">
        <is>
          <t>SHAW5</t>
        </is>
      </c>
      <c r="U34" s="96" t="inlineStr">
        <is>
          <t>CNSHA</t>
        </is>
      </c>
      <c r="V34" s="161" t="inlineStr">
        <is>
          <t>2026-10-13</t>
        </is>
      </c>
      <c r="W34" s="96" t="inlineStr">
        <is>
          <t>CN</t>
        </is>
      </c>
      <c r="X34" s="97" t="n"/>
      <c r="Y34" s="97" t="n"/>
      <c r="Z34" s="97" t="n"/>
      <c r="AA34" s="96" t="inlineStr">
        <is>
          <t>MITSUBISHI LOGISTICS (THAILAND) CO., LTD.</t>
        </is>
      </c>
      <c r="AB34" s="96" t="inlineStr">
        <is>
          <t>SHIN-ETSU SILICONES (THAILAND) LTD.</t>
        </is>
      </c>
      <c r="AC34" s="163" t="n">
        <v>24642</v>
      </c>
      <c r="AD34" s="163" t="n">
        <v>28642</v>
      </c>
      <c r="AE34" s="96" t="inlineStr">
        <is>
          <t>OK</t>
        </is>
      </c>
      <c r="AF34" s="96" t="n"/>
      <c r="AG34" s="97" t="n"/>
      <c r="AH34" s="96" t="inlineStr">
        <is>
          <t>CON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TH0031</t>
        </is>
      </c>
      <c r="AN34" s="96" t="inlineStr">
        <is>
          <t>Pattarapong Saengthong</t>
        </is>
      </c>
      <c r="AO34" s="96" t="inlineStr">
        <is>
          <t>SILICONE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 xml:space="preserve">Pickup : 2026-10-02, Return : 2026-10-03 
 </t>
        </is>
      </c>
      <c r="BA34" s="97" t="inlineStr">
        <is>
          <t>FM LCHY5SHIPPER : SHIN-ETSU SILICONES (THAILAND) LIMITEDCommodity : Silicone /H.S Code : 3910.00Good , Clean, No smell container are requested.</t>
        </is>
      </c>
      <c r="BB34" s="96" t="inlineStr">
        <is>
          <t>P</t>
        </is>
      </c>
      <c r="BC34" s="161" t="inlineStr">
        <is>
          <t>2026-09-21</t>
        </is>
      </c>
      <c r="BD34" s="161" t="inlineStr">
        <is>
          <t>2026-10-05</t>
        </is>
      </c>
      <c r="BE34" s="96" t="inlineStr">
        <is>
          <t>Y</t>
        </is>
      </c>
      <c r="BF34" s="96" t="inlineStr">
        <is>
          <t>SILICONE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LCH28</t>
        </is>
      </c>
      <c r="BL34" s="161" t="inlineStr">
        <is>
          <t>2026-10-02</t>
        </is>
      </c>
      <c r="BM34" s="127" t="n"/>
      <c r="BN34" s="127" t="n"/>
      <c r="BO34" s="127" t="n"/>
      <c r="BP34" s="127" t="n">
        <v>1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LCH06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panisara.b@mitsubishi-logistics.co.th;patita.c@mitsubishi-logistics.co.th;tossawat.p@mitsubishi-logistics.co.th;aungkana.w@mitsubishi-logistics.co.th</t>
        </is>
      </c>
      <c r="CJ34" s="96" t="inlineStr">
        <is>
          <t>MITSUBISHI LOGISTICS (THAILAND)</t>
        </is>
      </c>
      <c r="CK34" s="96" t="inlineStr">
        <is>
          <t>SHANGHAI LINGYUN GLOBAL FORWARDING</t>
        </is>
      </c>
      <c r="CL34" s="96" t="inlineStr">
        <is>
          <t>SHANGHAI LINGYUN GLOBAL FORWARDING</t>
        </is>
      </c>
      <c r="CM34" s="97" t="inlineStr">
        <is>
          <t>CLOSED</t>
        </is>
      </c>
      <c r="CN34" s="96" t="inlineStr">
        <is>
          <t>202610021500</t>
        </is>
      </c>
      <c r="CO34" s="96" t="inlineStr">
        <is>
          <t>202610051200</t>
        </is>
      </c>
      <c r="CP34" s="97" t="n"/>
      <c r="CQ34" s="96" t="inlineStr">
        <is>
          <t>S22-2603004</t>
        </is>
      </c>
      <c r="CR34" s="96" t="inlineStr">
        <is>
          <t>BB0214</t>
        </is>
      </c>
      <c r="CS34" s="96" t="inlineStr">
        <is>
          <t>MITSUBISHI LOGISTICS (THAILAND) CO., LTD.</t>
        </is>
      </c>
      <c r="CT34" s="96" t="inlineStr">
        <is>
          <t>N</t>
        </is>
      </c>
      <c r="CU34" s="97" t="n"/>
      <c r="CV34" s="97" t="n"/>
      <c r="CW34" s="161" t="inlineStr">
        <is>
          <t>2026-10-06</t>
        </is>
      </c>
      <c r="CX34" s="97" t="inlineStr">
        <is>
          <t>391000</t>
        </is>
      </c>
      <c r="CY34" s="183" t="n"/>
    </row>
    <row r="35" ht="12" customHeight="1">
      <c r="A35" s="116" t="inlineStr">
        <is>
          <t>HASLS22260902062</t>
        </is>
      </c>
      <c r="B35" s="96" t="inlineStr">
        <is>
          <t>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PCI2</t>
        </is>
      </c>
      <c r="M35" s="96" t="inlineStr">
        <is>
          <t>SWVG</t>
        </is>
      </c>
      <c r="N35" s="96" t="inlineStr">
        <is>
          <t>2612N</t>
        </is>
      </c>
      <c r="O35" s="96" t="inlineStr">
        <is>
          <t>THLCH</t>
        </is>
      </c>
      <c r="P35" s="96" t="inlineStr">
        <is>
          <t>LCH06</t>
        </is>
      </c>
      <c r="Q35" s="96" t="inlineStr">
        <is>
          <t>IA</t>
        </is>
      </c>
      <c r="R35" s="161" t="inlineStr">
        <is>
          <t>2026-10-07</t>
        </is>
      </c>
      <c r="S35" s="96" t="inlineStr">
        <is>
          <t>JPISS</t>
        </is>
      </c>
      <c r="T35" s="96" t="inlineStr">
        <is>
          <t>ISS02</t>
        </is>
      </c>
      <c r="U35" s="96" t="inlineStr">
        <is>
          <t>JPISS</t>
        </is>
      </c>
      <c r="V35" s="161" t="inlineStr">
        <is>
          <t>2026-10-24</t>
        </is>
      </c>
      <c r="W35" s="96" t="inlineStr">
        <is>
          <t>JP</t>
        </is>
      </c>
      <c r="X35" s="97" t="n"/>
      <c r="Y35" s="97" t="inlineStr">
        <is>
          <t>PUS05</t>
        </is>
      </c>
      <c r="Z35" s="97" t="inlineStr">
        <is>
          <t>KRPUS</t>
        </is>
      </c>
      <c r="AA35" s="96" t="inlineStr">
        <is>
          <t>SCGJWD LOGISTICS PUBLIC COMPANY LIMITED</t>
        </is>
      </c>
      <c r="AB35" s="96" t="inlineStr">
        <is>
          <t>THAI POLYETHYLENE CO., LTD.</t>
        </is>
      </c>
      <c r="AC35" s="163" t="n">
        <v>25757.4</v>
      </c>
      <c r="AD35" s="163" t="n">
        <v>29757.4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TBKK19</t>
        </is>
      </c>
      <c r="AN35" s="96" t="inlineStr">
        <is>
          <t>Kanokporn</t>
        </is>
      </c>
      <c r="AO35" s="96" t="inlineStr">
        <is>
          <t>HIGH DENSITY POLYETHYLENE RESIN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>[FIX]CY 25/09/26 , RTN 30/09/26 (Invoice No. 3031060889)</t>
        </is>
      </c>
      <c r="BA35" s="97" t="inlineStr">
        <is>
          <t>-SURRENDER BL   / -NOT SHOW CHARGE / SHOW ACTUAL ON-BOARD DATE</t>
        </is>
      </c>
      <c r="BB35" s="96" t="inlineStr">
        <is>
          <t>P</t>
        </is>
      </c>
      <c r="BC35" s="161" t="inlineStr">
        <is>
          <t>2026-09-22</t>
        </is>
      </c>
      <c r="BD35" s="161" t="inlineStr">
        <is>
          <t>2026-10-01</t>
        </is>
      </c>
      <c r="BE35" s="96" t="inlineStr">
        <is>
          <t>Y</t>
        </is>
      </c>
      <c r="BF35" s="96" t="inlineStr">
        <is>
          <t>RESIN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LCHY5</t>
        </is>
      </c>
      <c r="BL35" s="161" t="inlineStr">
        <is>
          <t>2026-09-25</t>
        </is>
      </c>
      <c r="BM35" s="127" t="n"/>
      <c r="BN35" s="127" t="n"/>
      <c r="BO35" s="127" t="n"/>
      <c r="BP35" s="127" t="n">
        <v>1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>
        <v>6</v>
      </c>
      <c r="CA35" s="96" t="n"/>
      <c r="CB35" s="97" t="n"/>
      <c r="CC35" s="96" t="inlineStr">
        <is>
          <t>LCH06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inlineStr">
        <is>
          <t>POL: THLCH [SWVG/2612N]; T/S(1st): KRPUS [HAKT/2637E]; POD: JPISS [/]</t>
        </is>
      </c>
      <c r="CI35" s="96" t="inlineStr">
        <is>
          <t>natwalad@scgjwd.com</t>
        </is>
      </c>
      <c r="CJ35" s="96" t="inlineStr">
        <is>
          <t>THAI POLYETHYLENE CO.,LTD.</t>
        </is>
      </c>
      <c r="CK35" s="96" t="inlineStr">
        <is>
          <t>MITSUI &amp; CO. PLASTICS LTD.</t>
        </is>
      </c>
      <c r="CL35" s="96" t="inlineStr">
        <is>
          <t>MITSUI &amp; CO. PLASTICS LTD.</t>
        </is>
      </c>
      <c r="CM35" s="97" t="inlineStr">
        <is>
          <t>CLOSED</t>
        </is>
      </c>
      <c r="CN35" s="96" t="inlineStr">
        <is>
          <t>202610021500</t>
        </is>
      </c>
      <c r="CO35" s="96" t="inlineStr">
        <is>
          <t>202610051200</t>
        </is>
      </c>
      <c r="CP35" s="97" t="n"/>
      <c r="CQ35" s="96" t="inlineStr">
        <is>
          <t>S19-2308040</t>
        </is>
      </c>
      <c r="CR35" s="96" t="inlineStr">
        <is>
          <t>TH0235</t>
        </is>
      </c>
      <c r="CS35" s="96" t="inlineStr">
        <is>
          <t>SCGJWD LOGISTICS PUBLIC COMPANY LIMITED</t>
        </is>
      </c>
      <c r="CT35" s="96" t="inlineStr">
        <is>
          <t>N</t>
        </is>
      </c>
      <c r="CU35" s="97" t="n"/>
      <c r="CV35" s="97" t="n"/>
      <c r="CW35" s="161" t="inlineStr">
        <is>
          <t>2026-10-06</t>
        </is>
      </c>
      <c r="CX35" s="97" t="inlineStr">
        <is>
          <t>390120</t>
        </is>
      </c>
      <c r="CY35" s="183" t="n"/>
    </row>
    <row r="36" ht="12" customHeight="1">
      <c r="A36" s="116" t="inlineStr">
        <is>
          <t>HASLS22260901747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PCI2</t>
        </is>
      </c>
      <c r="M36" s="96" t="inlineStr">
        <is>
          <t>SWVG</t>
        </is>
      </c>
      <c r="N36" s="96" t="inlineStr">
        <is>
          <t>2612N</t>
        </is>
      </c>
      <c r="O36" s="96" t="inlineStr">
        <is>
          <t>THLCH</t>
        </is>
      </c>
      <c r="P36" s="96" t="inlineStr">
        <is>
          <t>LCH06</t>
        </is>
      </c>
      <c r="Q36" s="96" t="inlineStr">
        <is>
          <t>IA</t>
        </is>
      </c>
      <c r="R36" s="161" t="inlineStr">
        <is>
          <t>2026-10-07</t>
        </is>
      </c>
      <c r="S36" s="96" t="inlineStr">
        <is>
          <t>CNSHA</t>
        </is>
      </c>
      <c r="T36" s="96" t="inlineStr">
        <is>
          <t>SHAW5</t>
        </is>
      </c>
      <c r="U36" s="96" t="inlineStr">
        <is>
          <t>CNSHA</t>
        </is>
      </c>
      <c r="V36" s="161" t="inlineStr">
        <is>
          <t>2026-10-13</t>
        </is>
      </c>
      <c r="W36" s="96" t="inlineStr">
        <is>
          <t>CN</t>
        </is>
      </c>
      <c r="X36" s="97" t="n"/>
      <c r="Y36" s="97" t="n"/>
      <c r="Z36" s="97" t="n"/>
      <c r="AA36" s="96" t="inlineStr">
        <is>
          <t>WHA GC LOGISTICS COMPANY LIMITED</t>
        </is>
      </c>
      <c r="AB36" s="96" t="inlineStr">
        <is>
          <t>PTT GLOBAL CHEMICAL PUBLIC COMPANY LIMITED</t>
        </is>
      </c>
      <c r="AC36" s="163" t="n">
        <v>24997.5</v>
      </c>
      <c r="AD36" s="163" t="n">
        <v>28997.5</v>
      </c>
      <c r="AE36" s="96" t="inlineStr">
        <is>
          <t>OK</t>
        </is>
      </c>
      <c r="AF36" s="96" t="n"/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TBKK13</t>
        </is>
      </c>
      <c r="AN36" s="96" t="inlineStr">
        <is>
          <t>Dharaporn</t>
        </is>
      </c>
      <c r="AO36" s="96" t="inlineStr">
        <is>
          <t>HIGH DENSITY POLYETHYLENE</t>
        </is>
      </c>
      <c r="AP36" s="96" t="inlineStr">
        <is>
          <t>PARTIAL CHILD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inlineStr">
        <is>
          <t>OBL</t>
        </is>
      </c>
      <c r="AZ36" s="96" t="inlineStr">
        <is>
          <t>CY-RTN: 23-27/09/2026</t>
        </is>
      </c>
      <c r="BA36" s="97" t="inlineStr">
        <is>
          <t>SI DD.29/9/26</t>
        </is>
      </c>
      <c r="BB36" s="96" t="inlineStr">
        <is>
          <t>P</t>
        </is>
      </c>
      <c r="BC36" s="161" t="inlineStr">
        <is>
          <t>2026-09-18</t>
        </is>
      </c>
      <c r="BD36" s="161" t="inlineStr">
        <is>
          <t>2026-09-29</t>
        </is>
      </c>
      <c r="BE36" s="96" t="inlineStr">
        <is>
          <t>Y</t>
        </is>
      </c>
      <c r="BF36" s="96" t="inlineStr">
        <is>
          <t>RESIN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LCHY5</t>
        </is>
      </c>
      <c r="BL36" s="161" t="inlineStr">
        <is>
          <t>2026-09-23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n"/>
      <c r="CB36" s="97" t="n"/>
      <c r="CC36" s="96" t="inlineStr">
        <is>
          <t>LCH06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jariya.c@wha-gc.com</t>
        </is>
      </c>
      <c r="CJ36" s="96" t="inlineStr">
        <is>
          <t>PTT GLOBAL CHEMICAL PUBLIC COMPANY</t>
        </is>
      </c>
      <c r="CK36" s="96" t="inlineStr">
        <is>
          <t>GC MARKETING SOLUTIONS (SHANGHAI)</t>
        </is>
      </c>
      <c r="CL36" s="96" t="inlineStr">
        <is>
          <t>GC MARKETING SOLUTIONS (SHANGHAI)</t>
        </is>
      </c>
      <c r="CM36" s="97" t="inlineStr">
        <is>
          <t>CLOSED</t>
        </is>
      </c>
      <c r="CN36" s="96" t="inlineStr">
        <is>
          <t>202610021500</t>
        </is>
      </c>
      <c r="CO36" s="96" t="inlineStr">
        <is>
          <t>202610051200</t>
        </is>
      </c>
      <c r="CP36" s="97" t="n"/>
      <c r="CQ36" s="96" t="inlineStr">
        <is>
          <t>S22-2309036</t>
        </is>
      </c>
      <c r="CR36" s="96" t="inlineStr">
        <is>
          <t>TH02GR</t>
        </is>
      </c>
      <c r="CS36" s="96" t="inlineStr">
        <is>
          <t>WHA GC LOGISTICS COMPANY LIMITED</t>
        </is>
      </c>
      <c r="CT36" s="96" t="inlineStr">
        <is>
          <t>N</t>
        </is>
      </c>
      <c r="CU36" s="97" t="n"/>
      <c r="CV36" s="97" t="n"/>
      <c r="CW36" s="161" t="inlineStr">
        <is>
          <t>2026-10-03</t>
        </is>
      </c>
      <c r="CX36" s="97" t="inlineStr">
        <is>
          <t>390120</t>
        </is>
      </c>
      <c r="CY36" s="183" t="n"/>
    </row>
    <row r="37" ht="12" customHeight="1">
      <c r="A37" s="116" t="inlineStr">
        <is>
          <t>HASLS22260901307</t>
        </is>
      </c>
      <c r="B37" s="96" t="inlineStr">
        <is>
          <t>40Hx1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0</v>
      </c>
      <c r="H37" s="97" t="n">
        <v>0</v>
      </c>
      <c r="I37" s="97" t="n">
        <v>1</v>
      </c>
      <c r="J37" s="97" t="n">
        <v>2</v>
      </c>
      <c r="K37" s="96" t="inlineStr">
        <is>
          <t>N</t>
        </is>
      </c>
      <c r="L37" s="96" t="inlineStr">
        <is>
          <t>PCI2</t>
        </is>
      </c>
      <c r="M37" s="96" t="inlineStr">
        <is>
          <t>SWVG</t>
        </is>
      </c>
      <c r="N37" s="96" t="inlineStr">
        <is>
          <t>2612N</t>
        </is>
      </c>
      <c r="O37" s="96" t="inlineStr">
        <is>
          <t>THLCH</t>
        </is>
      </c>
      <c r="P37" s="96" t="inlineStr">
        <is>
          <t>LCH06</t>
        </is>
      </c>
      <c r="Q37" s="96" t="inlineStr">
        <is>
          <t>IA</t>
        </is>
      </c>
      <c r="R37" s="161" t="inlineStr">
        <is>
          <t>2026-10-07</t>
        </is>
      </c>
      <c r="S37" s="96" t="inlineStr">
        <is>
          <t>CNSHA</t>
        </is>
      </c>
      <c r="T37" s="96" t="inlineStr">
        <is>
          <t>SHAW5</t>
        </is>
      </c>
      <c r="U37" s="96" t="inlineStr">
        <is>
          <t>CNSHA</t>
        </is>
      </c>
      <c r="V37" s="161" t="inlineStr">
        <is>
          <t>2026-10-13</t>
        </is>
      </c>
      <c r="W37" s="96" t="inlineStr">
        <is>
          <t>CN</t>
        </is>
      </c>
      <c r="X37" s="97" t="n"/>
      <c r="Y37" s="97" t="n"/>
      <c r="Z37" s="97" t="n"/>
      <c r="AA37" s="96" t="inlineStr">
        <is>
          <t>WHA GC LOGISTICS COMPANY LIMITED</t>
        </is>
      </c>
      <c r="AB37" s="96" t="inlineStr">
        <is>
          <t>PTT GLOBAL CHEMICAL PUBLIC COMPANY LIMITED</t>
        </is>
      </c>
      <c r="AC37" s="163" t="n">
        <v>24997.5</v>
      </c>
      <c r="AD37" s="163" t="n">
        <v>28997.5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TBKK13</t>
        </is>
      </c>
      <c r="AN37" s="96" t="inlineStr">
        <is>
          <t>Dharaporn</t>
        </is>
      </c>
      <c r="AO37" s="96" t="inlineStr">
        <is>
          <t>HIGH DENSITY POLYETHYLENE (HDPE)</t>
        </is>
      </c>
      <c r="AP37" s="96" t="inlineStr">
        <is>
          <t>PARTIAL MASTER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OBL</t>
        </is>
      </c>
      <c r="AZ37" s="96" t="inlineStr">
        <is>
          <t>CY-RTN: 23-27/09/2026</t>
        </is>
      </c>
      <c r="BA37" s="97" t="inlineStr">
        <is>
          <t xml:space="preserve">
SI DD.22/9/26
[Split] - HASLS22260901308 / HASLS22260901309 / HASLS22260901310 / HASLS22260901311</t>
        </is>
      </c>
      <c r="BB37" s="96" t="inlineStr">
        <is>
          <t>P</t>
        </is>
      </c>
      <c r="BC37" s="161" t="inlineStr">
        <is>
          <t>2026-09-15</t>
        </is>
      </c>
      <c r="BD37" s="161" t="inlineStr">
        <is>
          <t>2026-10-05</t>
        </is>
      </c>
      <c r="BE37" s="96" t="inlineStr">
        <is>
          <t>Y</t>
        </is>
      </c>
      <c r="BF37" s="96" t="inlineStr">
        <is>
          <t>RESIN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LCHY5</t>
        </is>
      </c>
      <c r="BL37" s="161" t="inlineStr">
        <is>
          <t>2026-09-23</t>
        </is>
      </c>
      <c r="BM37" s="127" t="n"/>
      <c r="BN37" s="127" t="n"/>
      <c r="BO37" s="127" t="n"/>
      <c r="BP37" s="127" t="n">
        <v>1</v>
      </c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n"/>
      <c r="CB37" s="97" t="n"/>
      <c r="CC37" s="96" t="inlineStr">
        <is>
          <t>LCH06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jariya.c@wha-gc.com</t>
        </is>
      </c>
      <c r="CJ37" s="96" t="inlineStr">
        <is>
          <t>PTT GLOBAL CHEMICAL PUBLIC COMPANY</t>
        </is>
      </c>
      <c r="CK37" s="96" t="inlineStr">
        <is>
          <t>MITSUI CHEMICALS FUNCTIONAL</t>
        </is>
      </c>
      <c r="CL37" s="96" t="inlineStr">
        <is>
          <t>MITSUI CHEMICALS FUNCTIONAL</t>
        </is>
      </c>
      <c r="CM37" s="97" t="inlineStr">
        <is>
          <t>CLOSED</t>
        </is>
      </c>
      <c r="CN37" s="96" t="inlineStr">
        <is>
          <t>202610021500</t>
        </is>
      </c>
      <c r="CO37" s="96" t="inlineStr">
        <is>
          <t>202610051200</t>
        </is>
      </c>
      <c r="CP37" s="97" t="n"/>
      <c r="CQ37" s="96" t="inlineStr">
        <is>
          <t>S22-2309036</t>
        </is>
      </c>
      <c r="CR37" s="96" t="inlineStr">
        <is>
          <t>TH02GR</t>
        </is>
      </c>
      <c r="CS37" s="96" t="inlineStr">
        <is>
          <t>WHA GC LOGISTICS COMPANY LIMITED</t>
        </is>
      </c>
      <c r="CT37" s="96" t="inlineStr">
        <is>
          <t>Y</t>
        </is>
      </c>
      <c r="CU37" s="97" t="n"/>
      <c r="CV37" s="97" t="n"/>
      <c r="CW37" s="161" t="inlineStr">
        <is>
          <t>2026-10-07</t>
        </is>
      </c>
      <c r="CX37" s="97" t="inlineStr">
        <is>
          <t>390120</t>
        </is>
      </c>
      <c r="CY37" s="183" t="n"/>
    </row>
    <row r="38" ht="12" customHeight="1">
      <c r="A38" s="116" t="inlineStr">
        <is>
          <t>HASLS22260900326</t>
        </is>
      </c>
      <c r="B38" s="96" t="inlineStr">
        <is>
          <t>40Hx1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0</v>
      </c>
      <c r="H38" s="97" t="n">
        <v>0</v>
      </c>
      <c r="I38" s="97" t="n">
        <v>1</v>
      </c>
      <c r="J38" s="97" t="n">
        <v>2</v>
      </c>
      <c r="K38" s="96" t="inlineStr">
        <is>
          <t>N</t>
        </is>
      </c>
      <c r="L38" s="96" t="inlineStr">
        <is>
          <t>PCI2</t>
        </is>
      </c>
      <c r="M38" s="96" t="inlineStr">
        <is>
          <t>SWVG</t>
        </is>
      </c>
      <c r="N38" s="96" t="inlineStr">
        <is>
          <t>2612N</t>
        </is>
      </c>
      <c r="O38" s="96" t="inlineStr">
        <is>
          <t>THLCH</t>
        </is>
      </c>
      <c r="P38" s="96" t="inlineStr">
        <is>
          <t>LCH06</t>
        </is>
      </c>
      <c r="Q38" s="96" t="inlineStr">
        <is>
          <t>IA</t>
        </is>
      </c>
      <c r="R38" s="161" t="inlineStr">
        <is>
          <t>2026-10-07</t>
        </is>
      </c>
      <c r="S38" s="96" t="inlineStr">
        <is>
          <t>JPKMJ</t>
        </is>
      </c>
      <c r="T38" s="96" t="inlineStr">
        <is>
          <t>KMJ01</t>
        </is>
      </c>
      <c r="U38" s="96" t="inlineStr">
        <is>
          <t>JPKMJ</t>
        </is>
      </c>
      <c r="V38" s="161" t="inlineStr">
        <is>
          <t>2026-10-26</t>
        </is>
      </c>
      <c r="W38" s="96" t="inlineStr">
        <is>
          <t>JP</t>
        </is>
      </c>
      <c r="X38" s="97" t="n"/>
      <c r="Y38" s="97" t="inlineStr">
        <is>
          <t>PUS05</t>
        </is>
      </c>
      <c r="Z38" s="97" t="inlineStr">
        <is>
          <t>KRPUS</t>
        </is>
      </c>
      <c r="AA38" s="96" t="inlineStr">
        <is>
          <t>WHA GC LOGISTICS COMPANY LIMITED</t>
        </is>
      </c>
      <c r="AB38" s="96" t="inlineStr">
        <is>
          <t>PTT GLOBAL CHEMICAL PUBLIC COMPANY LIMITED</t>
        </is>
      </c>
      <c r="AC38" s="163" t="n">
        <v>24240</v>
      </c>
      <c r="AD38" s="163" t="n">
        <v>28240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TBKK13</t>
        </is>
      </c>
      <c r="AN38" s="96" t="inlineStr">
        <is>
          <t>Dharaporn</t>
        </is>
      </c>
      <c r="AO38" s="96" t="inlineStr">
        <is>
          <t>LOW DENSITY POLYETHYLENE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>CY-RTN : 25-27/09/2026 
RQST GOOD &amp; CLEAN CNTR</t>
        </is>
      </c>
      <c r="BA38" s="97" t="inlineStr">
        <is>
          <t>SI DD.22/9/26</t>
        </is>
      </c>
      <c r="BB38" s="96" t="inlineStr">
        <is>
          <t>P</t>
        </is>
      </c>
      <c r="BC38" s="161" t="inlineStr">
        <is>
          <t>2026-09-03</t>
        </is>
      </c>
      <c r="BD38" s="161" t="inlineStr">
        <is>
          <t>2026-09-23</t>
        </is>
      </c>
      <c r="BE38" s="96" t="inlineStr">
        <is>
          <t>Y</t>
        </is>
      </c>
      <c r="BF38" s="96" t="inlineStr">
        <is>
          <t>RESIN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LCHY5</t>
        </is>
      </c>
      <c r="BL38" s="161" t="inlineStr">
        <is>
          <t>2026-09-25</t>
        </is>
      </c>
      <c r="BM38" s="127" t="n"/>
      <c r="BN38" s="127" t="n"/>
      <c r="BO38" s="127" t="n"/>
      <c r="BP38" s="127" t="n">
        <v>1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>
        <v>8</v>
      </c>
      <c r="CA38" s="96" t="n"/>
      <c r="CB38" s="97" t="n"/>
      <c r="CC38" s="96" t="inlineStr">
        <is>
          <t>LCH06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inlineStr">
        <is>
          <t>POL: THLCH [SWVG/2612N]; T/S(1st): KRPUS [SKNT/2642E]; POD: JPKMJ [/]</t>
        </is>
      </c>
      <c r="CI38" s="96" t="inlineStr">
        <is>
          <t>kotchakorn.w@wha-gc.com</t>
        </is>
      </c>
      <c r="CJ38" s="96" t="inlineStr">
        <is>
          <t>PTT GLOBAL CHEMICAL PUBLIC COMPANY</t>
        </is>
      </c>
      <c r="CK38" s="96" t="inlineStr">
        <is>
          <t>MITSUBISHI CORPORATION PLASTICS LTD</t>
        </is>
      </c>
      <c r="CL38" s="96" t="inlineStr">
        <is>
          <t>MITSUBISHI CORPORATION PLASTICS LTD</t>
        </is>
      </c>
      <c r="CM38" s="97" t="inlineStr">
        <is>
          <t>CLOSED</t>
        </is>
      </c>
      <c r="CN38" s="96" t="inlineStr">
        <is>
          <t>202610021500</t>
        </is>
      </c>
      <c r="CO38" s="96" t="inlineStr">
        <is>
          <t>202610051200</t>
        </is>
      </c>
      <c r="CP38" s="97" t="n"/>
      <c r="CQ38" s="96" t="inlineStr">
        <is>
          <t>S19-2309008</t>
        </is>
      </c>
      <c r="CR38" s="96" t="inlineStr">
        <is>
          <t>TH02GR</t>
        </is>
      </c>
      <c r="CS38" s="96" t="inlineStr">
        <is>
          <t>WHA GC LOGISTICS COMPANY LIMITED</t>
        </is>
      </c>
      <c r="CT38" s="96" t="inlineStr">
        <is>
          <t>N</t>
        </is>
      </c>
      <c r="CU38" s="97" t="n"/>
      <c r="CV38" s="97" t="n"/>
      <c r="CW38" s="161" t="inlineStr">
        <is>
          <t>2026-09-27</t>
        </is>
      </c>
      <c r="CX38" s="97" t="inlineStr">
        <is>
          <t>390110</t>
        </is>
      </c>
      <c r="CY38" s="183" t="n"/>
    </row>
    <row r="39" ht="12" customHeight="1">
      <c r="A39" s="116" t="inlineStr">
        <is>
          <t>HASLS22260902351</t>
        </is>
      </c>
      <c r="B39" s="96" t="inlineStr">
        <is>
          <t>40Hx1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0</v>
      </c>
      <c r="H39" s="97" t="n">
        <v>0</v>
      </c>
      <c r="I39" s="97" t="n">
        <v>1</v>
      </c>
      <c r="J39" s="97" t="n">
        <v>2</v>
      </c>
      <c r="K39" s="96" t="inlineStr">
        <is>
          <t>N</t>
        </is>
      </c>
      <c r="L39" s="96" t="inlineStr">
        <is>
          <t>PCI2</t>
        </is>
      </c>
      <c r="M39" s="96" t="inlineStr">
        <is>
          <t>SWVG</t>
        </is>
      </c>
      <c r="N39" s="96" t="inlineStr">
        <is>
          <t>2612N</t>
        </is>
      </c>
      <c r="O39" s="96" t="inlineStr">
        <is>
          <t>THLCH</t>
        </is>
      </c>
      <c r="P39" s="96" t="inlineStr">
        <is>
          <t>LCH06</t>
        </is>
      </c>
      <c r="Q39" s="96" t="inlineStr">
        <is>
          <t>IA</t>
        </is>
      </c>
      <c r="R39" s="161" t="inlineStr">
        <is>
          <t>2026-10-07</t>
        </is>
      </c>
      <c r="S39" s="96" t="inlineStr">
        <is>
          <t>RUVVO</t>
        </is>
      </c>
      <c r="T39" s="96" t="inlineStr">
        <is>
          <t>VVO01</t>
        </is>
      </c>
      <c r="U39" s="96" t="inlineStr">
        <is>
          <t>RUVVO</t>
        </is>
      </c>
      <c r="V39" s="161" t="inlineStr">
        <is>
          <t>2026-10-20</t>
        </is>
      </c>
      <c r="W39" s="96" t="inlineStr">
        <is>
          <t>RU</t>
        </is>
      </c>
      <c r="X39" s="97" t="n"/>
      <c r="Y39" s="97" t="inlineStr">
        <is>
          <t>PUS05</t>
        </is>
      </c>
      <c r="Z39" s="97" t="inlineStr">
        <is>
          <t>KRPUS</t>
        </is>
      </c>
      <c r="AA39" s="96" t="inlineStr">
        <is>
          <t>SRITHAI TOYO LOGISTICS CO., LTD.</t>
        </is>
      </c>
      <c r="AB39" s="96" t="inlineStr">
        <is>
          <t>YOKOHAMA TIRE MANUFACTURING (THAILAND) CO., LTD.</t>
        </is>
      </c>
      <c r="AC39" s="163" t="n">
        <v>11019.571</v>
      </c>
      <c r="AD39" s="163" t="n">
        <v>15019.571</v>
      </c>
      <c r="AE39" s="96" t="inlineStr">
        <is>
          <t>OK</t>
        </is>
      </c>
      <c r="AF39" s="96" t="n"/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TH0011</t>
        </is>
      </c>
      <c r="AN39" s="96" t="inlineStr">
        <is>
          <t>Nannaapust Sukporntaweewat</t>
        </is>
      </c>
      <c r="AO39" s="96" t="inlineStr">
        <is>
          <t>NEW "YOKOHAMA" BRAND TIRES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 xml:space="preserve">CY-RTN : 02-05/10/2026 
RQST CNTR GRADE A
REF : WK41
</t>
        </is>
      </c>
      <c r="BA39" s="97" t="n"/>
      <c r="BB39" s="96" t="inlineStr">
        <is>
          <t>P</t>
        </is>
      </c>
      <c r="BC39" s="161" t="inlineStr">
        <is>
          <t>2026-09-24</t>
        </is>
      </c>
      <c r="BD39" s="161" t="inlineStr">
        <is>
          <t>2026-10-05</t>
        </is>
      </c>
      <c r="BE39" s="96" t="inlineStr">
        <is>
          <t>Y</t>
        </is>
      </c>
      <c r="BF39" s="96" t="inlineStr">
        <is>
          <t>NEW TIRE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LCHY5</t>
        </is>
      </c>
      <c r="BL39" s="161" t="inlineStr">
        <is>
          <t>2026-10-02</t>
        </is>
      </c>
      <c r="BM39" s="127" t="n"/>
      <c r="BN39" s="127" t="n"/>
      <c r="BO39" s="127" t="n"/>
      <c r="BP39" s="127" t="n">
        <v>1</v>
      </c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>
        <v>3</v>
      </c>
      <c r="CA39" s="96" t="n"/>
      <c r="CB39" s="97" t="n"/>
      <c r="CC39" s="96" t="inlineStr">
        <is>
          <t>LCH06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inlineStr">
        <is>
          <t>POL: THLCH [SWVG/2612N]; T/S(1st): KRPUS [SDTR/2629N]; POD: RUVVO [/]</t>
        </is>
      </c>
      <c r="CI39" s="96" t="inlineStr">
        <is>
          <t>sty-cs01@srithaigroup.com</t>
        </is>
      </c>
      <c r="CJ39" s="96" t="inlineStr">
        <is>
          <t>YOKOHAMA TIRE MANUFACTURING</t>
        </is>
      </c>
      <c r="CK39" s="96" t="inlineStr">
        <is>
          <t>YOKOHAMA RUSSIA LLC</t>
        </is>
      </c>
      <c r="CL39" s="96" t="inlineStr">
        <is>
          <t>YOKOHAMA RUSSIA LLC</t>
        </is>
      </c>
      <c r="CM39" s="97" t="inlineStr">
        <is>
          <t>CLOSED</t>
        </is>
      </c>
      <c r="CN39" s="96" t="inlineStr">
        <is>
          <t>202610021500</t>
        </is>
      </c>
      <c r="CO39" s="96" t="inlineStr">
        <is>
          <t>202610051200</t>
        </is>
      </c>
      <c r="CP39" s="97" t="n"/>
      <c r="CQ39" s="96" t="inlineStr">
        <is>
          <t>S22-2412044</t>
        </is>
      </c>
      <c r="CR39" s="96" t="inlineStr">
        <is>
          <t>TH002V</t>
        </is>
      </c>
      <c r="CS39" s="96" t="inlineStr">
        <is>
          <t>SRITHAI TOYO LOGISTICS CO., LTD.</t>
        </is>
      </c>
      <c r="CT39" s="96" t="inlineStr">
        <is>
          <t>N</t>
        </is>
      </c>
      <c r="CU39" s="97" t="n"/>
      <c r="CV39" s="97" t="n"/>
      <c r="CW39" s="161" t="inlineStr">
        <is>
          <t>2026-10-08</t>
        </is>
      </c>
      <c r="CX39" s="97" t="inlineStr">
        <is>
          <t>401110</t>
        </is>
      </c>
      <c r="CY39" s="183" t="n"/>
    </row>
    <row r="40" ht="12" customHeight="1">
      <c r="A40" s="116" t="inlineStr">
        <is>
          <t>HASLS22260901746</t>
        </is>
      </c>
      <c r="B40" s="96" t="inlineStr">
        <is>
          <t>40Hx1</t>
        </is>
      </c>
      <c r="C40" s="97" t="n">
        <v>1</v>
      </c>
      <c r="D40" s="97" t="n">
        <v>1</v>
      </c>
      <c r="E40" s="97" t="n"/>
      <c r="F40" s="97" t="n">
        <v>0</v>
      </c>
      <c r="G40" s="97" t="n">
        <v>0</v>
      </c>
      <c r="H40" s="97" t="n">
        <v>0</v>
      </c>
      <c r="I40" s="97" t="n">
        <v>1</v>
      </c>
      <c r="J40" s="97" t="n">
        <v>2</v>
      </c>
      <c r="K40" s="96" t="inlineStr">
        <is>
          <t>N</t>
        </is>
      </c>
      <c r="L40" s="96" t="inlineStr">
        <is>
          <t>PCI2</t>
        </is>
      </c>
      <c r="M40" s="96" t="inlineStr">
        <is>
          <t>SWVG</t>
        </is>
      </c>
      <c r="N40" s="96" t="inlineStr">
        <is>
          <t>2612N</t>
        </is>
      </c>
      <c r="O40" s="96" t="inlineStr">
        <is>
          <t>THLCH</t>
        </is>
      </c>
      <c r="P40" s="96" t="inlineStr">
        <is>
          <t>LCH06</t>
        </is>
      </c>
      <c r="Q40" s="96" t="inlineStr">
        <is>
          <t>IA</t>
        </is>
      </c>
      <c r="R40" s="161" t="inlineStr">
        <is>
          <t>2026-10-07</t>
        </is>
      </c>
      <c r="S40" s="96" t="inlineStr">
        <is>
          <t>CNSHA</t>
        </is>
      </c>
      <c r="T40" s="96" t="inlineStr">
        <is>
          <t>SHAW5</t>
        </is>
      </c>
      <c r="U40" s="96" t="inlineStr">
        <is>
          <t>CNSHA</t>
        </is>
      </c>
      <c r="V40" s="161" t="inlineStr">
        <is>
          <t>2026-10-13</t>
        </is>
      </c>
      <c r="W40" s="96" t="inlineStr">
        <is>
          <t>CN</t>
        </is>
      </c>
      <c r="X40" s="97" t="n"/>
      <c r="Y40" s="97" t="n"/>
      <c r="Z40" s="97" t="n"/>
      <c r="AA40" s="96" t="inlineStr">
        <is>
          <t>WHA GC LOGISTICS COMPANY LIMITED</t>
        </is>
      </c>
      <c r="AB40" s="96" t="inlineStr">
        <is>
          <t>PTT GLOBAL CHEMICAL PUBLIC COMPANY LIMITED</t>
        </is>
      </c>
      <c r="AC40" s="163" t="n">
        <v>25100</v>
      </c>
      <c r="AD40" s="163" t="n">
        <v>29100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TBKK13</t>
        </is>
      </c>
      <c r="AN40" s="96" t="inlineStr">
        <is>
          <t>Dharaporn</t>
        </is>
      </c>
      <c r="AO40" s="96" t="inlineStr">
        <is>
          <t>HIGH DENSITY POLYETHYLENE</t>
        </is>
      </c>
      <c r="AP40" s="96" t="inlineStr">
        <is>
          <t>PARTIAL CHILD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OBL</t>
        </is>
      </c>
      <c r="AZ40" s="96" t="inlineStr">
        <is>
          <t>CY-RTN: 23-27/09/2026</t>
        </is>
      </c>
      <c r="BA40" s="97" t="inlineStr">
        <is>
          <t>SI DD.29/9/26</t>
        </is>
      </c>
      <c r="BB40" s="96" t="inlineStr">
        <is>
          <t>P</t>
        </is>
      </c>
      <c r="BC40" s="161" t="inlineStr">
        <is>
          <t>2026-09-18</t>
        </is>
      </c>
      <c r="BD40" s="161" t="inlineStr">
        <is>
          <t>2026-09-29</t>
        </is>
      </c>
      <c r="BE40" s="96" t="inlineStr">
        <is>
          <t>Y</t>
        </is>
      </c>
      <c r="BF40" s="96" t="inlineStr">
        <is>
          <t>RESIN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LCHY5</t>
        </is>
      </c>
      <c r="BL40" s="161" t="inlineStr">
        <is>
          <t>2026-09-23</t>
        </is>
      </c>
      <c r="BM40" s="127" t="n"/>
      <c r="BN40" s="127" t="n"/>
      <c r="BO40" s="127" t="n"/>
      <c r="BP40" s="127" t="n">
        <v>1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n"/>
      <c r="CB40" s="97" t="n"/>
      <c r="CC40" s="96" t="inlineStr">
        <is>
          <t>LCH06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jariya.c@wha-gc.com</t>
        </is>
      </c>
      <c r="CJ40" s="96" t="inlineStr">
        <is>
          <t>PTT GLOBAL CHEMICAL PUBLIC COMPANY</t>
        </is>
      </c>
      <c r="CK40" s="96" t="inlineStr">
        <is>
          <t>GC MARKETING SOLUTIONS (SHANGHAI)</t>
        </is>
      </c>
      <c r="CL40" s="96" t="inlineStr">
        <is>
          <t>GC MARKETING SOLUTIONS (SHANGHAI)</t>
        </is>
      </c>
      <c r="CM40" s="97" t="inlineStr">
        <is>
          <t>CLOSED</t>
        </is>
      </c>
      <c r="CN40" s="96" t="inlineStr">
        <is>
          <t>202610021500</t>
        </is>
      </c>
      <c r="CO40" s="96" t="inlineStr">
        <is>
          <t>202610051200</t>
        </is>
      </c>
      <c r="CP40" s="97" t="n"/>
      <c r="CQ40" s="96" t="inlineStr">
        <is>
          <t>S22-2309036</t>
        </is>
      </c>
      <c r="CR40" s="96" t="inlineStr">
        <is>
          <t>TH02GR</t>
        </is>
      </c>
      <c r="CS40" s="96" t="inlineStr">
        <is>
          <t>WHA GC LOGISTICS COMPANY LIMITED</t>
        </is>
      </c>
      <c r="CT40" s="96" t="inlineStr">
        <is>
          <t>N</t>
        </is>
      </c>
      <c r="CU40" s="97" t="n"/>
      <c r="CV40" s="97" t="n"/>
      <c r="CW40" s="161" t="inlineStr">
        <is>
          <t>2026-10-03</t>
        </is>
      </c>
      <c r="CX40" s="97" t="inlineStr">
        <is>
          <t>390120</t>
        </is>
      </c>
      <c r="CY40" s="183" t="n"/>
    </row>
    <row r="41" ht="12" customHeight="1">
      <c r="A41" s="116" t="inlineStr">
        <is>
          <t>HASLS22260802507</t>
        </is>
      </c>
      <c r="B41" s="96" t="inlineStr">
        <is>
          <t>40Hx10</t>
        </is>
      </c>
      <c r="C41" s="97" t="n">
        <v>10</v>
      </c>
      <c r="D41" s="97" t="n">
        <v>10</v>
      </c>
      <c r="E41" s="97" t="n"/>
      <c r="F41" s="97" t="n">
        <v>0</v>
      </c>
      <c r="G41" s="97" t="n">
        <v>0</v>
      </c>
      <c r="H41" s="97" t="n">
        <v>0</v>
      </c>
      <c r="I41" s="97" t="n">
        <v>10</v>
      </c>
      <c r="J41" s="97" t="n">
        <v>20</v>
      </c>
      <c r="K41" s="96" t="inlineStr">
        <is>
          <t>N</t>
        </is>
      </c>
      <c r="L41" s="96" t="inlineStr">
        <is>
          <t>PCI2</t>
        </is>
      </c>
      <c r="M41" s="96" t="inlineStr">
        <is>
          <t>SWVG</t>
        </is>
      </c>
      <c r="N41" s="96" t="inlineStr">
        <is>
          <t>2612N</t>
        </is>
      </c>
      <c r="O41" s="96" t="inlineStr">
        <is>
          <t>THLCH</t>
        </is>
      </c>
      <c r="P41" s="96" t="inlineStr">
        <is>
          <t>LCH06</t>
        </is>
      </c>
      <c r="Q41" s="96" t="inlineStr">
        <is>
          <t>IA</t>
        </is>
      </c>
      <c r="R41" s="161" t="inlineStr">
        <is>
          <t>2026-10-07</t>
        </is>
      </c>
      <c r="S41" s="96" t="inlineStr">
        <is>
          <t>CNSHA</t>
        </is>
      </c>
      <c r="T41" s="96" t="inlineStr">
        <is>
          <t>SHAW5</t>
        </is>
      </c>
      <c r="U41" s="96" t="inlineStr">
        <is>
          <t>CNSHA</t>
        </is>
      </c>
      <c r="V41" s="161" t="inlineStr">
        <is>
          <t>2026-10-13</t>
        </is>
      </c>
      <c r="W41" s="96" t="inlineStr">
        <is>
          <t>CN</t>
        </is>
      </c>
      <c r="X41" s="97" t="n"/>
      <c r="Y41" s="97" t="n"/>
      <c r="Z41" s="97" t="n"/>
      <c r="AA41" s="96" t="inlineStr">
        <is>
          <t>WHA GC LOGISTICS COMPANY LIMITED</t>
        </is>
      </c>
      <c r="AB41" s="96" t="inlineStr">
        <is>
          <t>PTT GLOBAL CHEMICAL PUBLIC COMPANY LIMITED</t>
        </is>
      </c>
      <c r="AC41" s="163" t="n">
        <v>242400</v>
      </c>
      <c r="AD41" s="163" t="n">
        <v>282400</v>
      </c>
      <c r="AE41" s="96" t="inlineStr">
        <is>
          <t>OK</t>
        </is>
      </c>
      <c r="AF41" s="96" t="n"/>
      <c r="AG41" s="97" t="n"/>
      <c r="AH41" s="96" t="inlineStr">
        <is>
          <t>CHK</t>
        </is>
      </c>
      <c r="AI41" s="97" t="n"/>
      <c r="AJ41" s="97" t="n"/>
      <c r="AK41" s="97" t="n"/>
      <c r="AL41" s="97" t="n"/>
      <c r="AM41" s="96" t="inlineStr">
        <is>
          <t>TBKK13</t>
        </is>
      </c>
      <c r="AN41" s="96" t="inlineStr">
        <is>
          <t>Dharaporn</t>
        </is>
      </c>
      <c r="AO41" s="96" t="inlineStr">
        <is>
          <t>LOW DENSITY POLYETHYLENE</t>
        </is>
      </c>
      <c r="AP41" s="96" t="inlineStr">
        <is>
          <t>Normal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n"/>
      <c r="AZ41" s="96" t="inlineStr">
        <is>
          <t xml:space="preserve">CY -RTN DD.21/09 -27/09/2026 /CHECK OPEN GATE BEFORE RETURN CNTR </t>
        </is>
      </c>
      <c r="BA41" s="97" t="inlineStr">
        <is>
          <t>SI DD.24/9/26
FM SWRG 2609N DD.15/09
[Split] - HASLS22260901260</t>
        </is>
      </c>
      <c r="BB41" s="96" t="inlineStr">
        <is>
          <t>P</t>
        </is>
      </c>
      <c r="BC41" s="161" t="inlineStr">
        <is>
          <t>2026-08-29</t>
        </is>
      </c>
      <c r="BD41" s="161" t="inlineStr">
        <is>
          <t>2026-10-07</t>
        </is>
      </c>
      <c r="BE41" s="96" t="inlineStr">
        <is>
          <t>Y</t>
        </is>
      </c>
      <c r="BF41" s="96" t="inlineStr">
        <is>
          <t>RESIN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LCHY5</t>
        </is>
      </c>
      <c r="BL41" s="161" t="inlineStr">
        <is>
          <t>2026-09-21</t>
        </is>
      </c>
      <c r="BM41" s="127" t="n"/>
      <c r="BN41" s="127" t="n"/>
      <c r="BO41" s="127" t="n"/>
      <c r="BP41" s="127" t="n">
        <v>10</v>
      </c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n"/>
      <c r="CB41" s="97" t="n"/>
      <c r="CC41" s="96" t="inlineStr">
        <is>
          <t>LCH06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jariya.c@wha-gc.com</t>
        </is>
      </c>
      <c r="CJ41" s="96" t="inlineStr">
        <is>
          <t>PTT GLOBAL CHEMICAL PUBLIC COMPANY</t>
        </is>
      </c>
      <c r="CK41" s="96" t="inlineStr">
        <is>
          <t>GC MARKETING SOLUTIONS (SHANGHAI)</t>
        </is>
      </c>
      <c r="CL41" s="96" t="inlineStr">
        <is>
          <t>GC MARKETING SOLUTIONS (SHANGHAI)</t>
        </is>
      </c>
      <c r="CM41" s="97" t="n"/>
      <c r="CN41" s="96" t="inlineStr">
        <is>
          <t>202610021500</t>
        </is>
      </c>
      <c r="CO41" s="96" t="inlineStr">
        <is>
          <t>202610051200</t>
        </is>
      </c>
      <c r="CP41" s="97" t="n"/>
      <c r="CQ41" s="96" t="inlineStr">
        <is>
          <t>S22-2309036</t>
        </is>
      </c>
      <c r="CR41" s="96" t="inlineStr">
        <is>
          <t>TH02GR</t>
        </is>
      </c>
      <c r="CS41" s="96" t="inlineStr">
        <is>
          <t>WHA GC LOGISTICS COMPANY LIMITED</t>
        </is>
      </c>
      <c r="CT41" s="96" t="inlineStr">
        <is>
          <t>Y</t>
        </is>
      </c>
      <c r="CU41" s="97" t="n"/>
      <c r="CV41" s="97" t="n"/>
      <c r="CW41" s="161" t="inlineStr">
        <is>
          <t>2026-10-07</t>
        </is>
      </c>
      <c r="CX41" s="97" t="inlineStr">
        <is>
          <t>390110</t>
        </is>
      </c>
      <c r="CY41" s="183" t="n"/>
    </row>
    <row r="42" ht="12" customHeight="1">
      <c r="A42" s="116" t="inlineStr">
        <is>
          <t>HASLS22260900441</t>
        </is>
      </c>
      <c r="B42" s="96" t="inlineStr">
        <is>
          <t>40Hx15</t>
        </is>
      </c>
      <c r="C42" s="97" t="n">
        <v>15</v>
      </c>
      <c r="D42" s="97" t="n">
        <v>15</v>
      </c>
      <c r="E42" s="97" t="n"/>
      <c r="F42" s="97" t="n">
        <v>0</v>
      </c>
      <c r="G42" s="97" t="n">
        <v>0</v>
      </c>
      <c r="H42" s="97" t="n">
        <v>0</v>
      </c>
      <c r="I42" s="97" t="n">
        <v>15</v>
      </c>
      <c r="J42" s="97" t="n">
        <v>30</v>
      </c>
      <c r="K42" s="96" t="inlineStr">
        <is>
          <t>N</t>
        </is>
      </c>
      <c r="L42" s="96" t="inlineStr">
        <is>
          <t>PCI2</t>
        </is>
      </c>
      <c r="M42" s="96" t="inlineStr">
        <is>
          <t>SWVG</t>
        </is>
      </c>
      <c r="N42" s="96" t="inlineStr">
        <is>
          <t>2612N</t>
        </is>
      </c>
      <c r="O42" s="96" t="inlineStr">
        <is>
          <t>THLCH</t>
        </is>
      </c>
      <c r="P42" s="96" t="inlineStr">
        <is>
          <t>LCH06</t>
        </is>
      </c>
      <c r="Q42" s="96" t="inlineStr">
        <is>
          <t>IA</t>
        </is>
      </c>
      <c r="R42" s="161" t="inlineStr">
        <is>
          <t>2026-10-07</t>
        </is>
      </c>
      <c r="S42" s="96" t="inlineStr">
        <is>
          <t>CNSHA</t>
        </is>
      </c>
      <c r="T42" s="96" t="inlineStr">
        <is>
          <t>SHAW5</t>
        </is>
      </c>
      <c r="U42" s="96" t="inlineStr">
        <is>
          <t>CNSHA</t>
        </is>
      </c>
      <c r="V42" s="161" t="inlineStr">
        <is>
          <t>2026-10-13</t>
        </is>
      </c>
      <c r="W42" s="96" t="inlineStr">
        <is>
          <t>CN</t>
        </is>
      </c>
      <c r="X42" s="97" t="n"/>
      <c r="Y42" s="97" t="n"/>
      <c r="Z42" s="97" t="n"/>
      <c r="AA42" s="96" t="inlineStr">
        <is>
          <t>BARKLAYS LOGISTICS (THAILAND) CO., LTD.</t>
        </is>
      </c>
      <c r="AB42" s="96" t="inlineStr">
        <is>
          <t>GOLDEN CRANE (GOLDEN DRAGON) CO.,LTD.</t>
        </is>
      </c>
      <c r="AC42" s="163" t="n">
        <v>339350</v>
      </c>
      <c r="AD42" s="163" t="n">
        <v>399350</v>
      </c>
      <c r="AE42" s="96" t="inlineStr">
        <is>
          <t>OK</t>
        </is>
      </c>
      <c r="AF42" s="96" t="n"/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TH0011</t>
        </is>
      </c>
      <c r="AN42" s="96" t="inlineStr">
        <is>
          <t>Nannaapust Sukporntaweewat</t>
        </is>
      </c>
      <c r="AO42" s="96" t="inlineStr">
        <is>
          <t>RECYCLED PULP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inlineStr">
        <is>
          <t>OBL</t>
        </is>
      </c>
      <c r="AZ42" s="96" t="inlineStr">
        <is>
          <t>Pickup : 2026-09-18, Return : 2026-09-19</t>
        </is>
      </c>
      <c r="BA42" s="97" t="inlineStr">
        <is>
          <t>ROLL OVER FROM PREVIOUS VSL HAB 2611N  BY ALLOCATION TEAM MS.TARN APPROVED COST IS UNDER HA DD.25/09
FM SHPR: SHUN YI INTERNATIONAL TRADING CO., LTD. 18/09
[Split] - HASLS22260901668</t>
        </is>
      </c>
      <c r="BB42" s="96" t="inlineStr">
        <is>
          <t>P</t>
        </is>
      </c>
      <c r="BC42" s="161" t="inlineStr">
        <is>
          <t>2026-09-04</t>
        </is>
      </c>
      <c r="BD42" s="161" t="inlineStr">
        <is>
          <t>2026-10-06</t>
        </is>
      </c>
      <c r="BE42" s="96" t="inlineStr">
        <is>
          <t>Y</t>
        </is>
      </c>
      <c r="BF42" s="96" t="inlineStr">
        <is>
          <t>PAPER PULP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LCHY5</t>
        </is>
      </c>
      <c r="BL42" s="161" t="inlineStr">
        <is>
          <t>2026-09-18</t>
        </is>
      </c>
      <c r="BM42" s="127" t="n"/>
      <c r="BN42" s="127" t="n"/>
      <c r="BO42" s="127" t="n"/>
      <c r="BP42" s="127" t="n">
        <v>15</v>
      </c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LCH06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bkkop@barklaysinc.co.th</t>
        </is>
      </c>
      <c r="CJ42" s="96" t="inlineStr">
        <is>
          <t>BARKLAYS LOGISTICS (THAILAND)</t>
        </is>
      </c>
      <c r="CK42" s="96" t="inlineStr">
        <is>
          <t>BARKLAYS LOGISTICS (SHANGHAI)</t>
        </is>
      </c>
      <c r="CL42" s="96" t="inlineStr">
        <is>
          <t>BARKLAYS LOGISTICS (SHANGHAI)</t>
        </is>
      </c>
      <c r="CM42" s="97" t="inlineStr">
        <is>
          <t>CLOSED</t>
        </is>
      </c>
      <c r="CN42" s="96" t="inlineStr">
        <is>
          <t>202610021500</t>
        </is>
      </c>
      <c r="CO42" s="96" t="inlineStr">
        <is>
          <t>202610051200</t>
        </is>
      </c>
      <c r="CP42" s="97" t="n"/>
      <c r="CQ42" s="96" t="inlineStr">
        <is>
          <t>S22-2602016</t>
        </is>
      </c>
      <c r="CR42" s="96" t="inlineStr">
        <is>
          <t>THTW3S</t>
        </is>
      </c>
      <c r="CS42" s="96" t="inlineStr">
        <is>
          <t>BARKLAYS LOGISTICS (THAILAND) CO., LTD.</t>
        </is>
      </c>
      <c r="CT42" s="96" t="inlineStr">
        <is>
          <t>Y</t>
        </is>
      </c>
      <c r="CU42" s="97" t="n"/>
      <c r="CV42" s="97" t="n"/>
      <c r="CW42" s="161" t="inlineStr">
        <is>
          <t>2026-10-08</t>
        </is>
      </c>
      <c r="CX42" s="97" t="inlineStr">
        <is>
          <t>470620</t>
        </is>
      </c>
      <c r="CY42" s="183" t="inlineStr">
        <is>
          <t>ROLL OVER FROM PREVIOUS VSL HAB 2611N  BY ALLOCATION TEAM MS.TARN APPROVED COST IS UNDER HA DD.25/09</t>
        </is>
      </c>
    </row>
    <row r="43" ht="12" customHeight="1">
      <c r="A43" s="116" t="inlineStr">
        <is>
          <t>HASLS22260901668</t>
        </is>
      </c>
      <c r="B43" s="96" t="inlineStr">
        <is>
          <t>40Hx15</t>
        </is>
      </c>
      <c r="C43" s="97" t="n">
        <v>15</v>
      </c>
      <c r="D43" s="97" t="n">
        <v>15</v>
      </c>
      <c r="E43" s="97" t="n"/>
      <c r="F43" s="97" t="n">
        <v>0</v>
      </c>
      <c r="G43" s="97" t="n">
        <v>0</v>
      </c>
      <c r="H43" s="97" t="n">
        <v>0</v>
      </c>
      <c r="I43" s="97" t="n">
        <v>15</v>
      </c>
      <c r="J43" s="97" t="n">
        <v>30</v>
      </c>
      <c r="K43" s="96" t="inlineStr">
        <is>
          <t>N</t>
        </is>
      </c>
      <c r="L43" s="96" t="inlineStr">
        <is>
          <t>PCI2</t>
        </is>
      </c>
      <c r="M43" s="96" t="inlineStr">
        <is>
          <t>SWVG</t>
        </is>
      </c>
      <c r="N43" s="96" t="inlineStr">
        <is>
          <t>2612N</t>
        </is>
      </c>
      <c r="O43" s="96" t="inlineStr">
        <is>
          <t>THLCH</t>
        </is>
      </c>
      <c r="P43" s="96" t="inlineStr">
        <is>
          <t>LCH06</t>
        </is>
      </c>
      <c r="Q43" s="96" t="inlineStr">
        <is>
          <t>IA</t>
        </is>
      </c>
      <c r="R43" s="161" t="inlineStr">
        <is>
          <t>2026-10-07</t>
        </is>
      </c>
      <c r="S43" s="96" t="inlineStr">
        <is>
          <t>CNSHA</t>
        </is>
      </c>
      <c r="T43" s="96" t="inlineStr">
        <is>
          <t>SHAW5</t>
        </is>
      </c>
      <c r="U43" s="96" t="inlineStr">
        <is>
          <t>CNSHA</t>
        </is>
      </c>
      <c r="V43" s="161" t="inlineStr">
        <is>
          <t>2026-10-13</t>
        </is>
      </c>
      <c r="W43" s="96" t="inlineStr">
        <is>
          <t>CN</t>
        </is>
      </c>
      <c r="X43" s="97" t="n"/>
      <c r="Y43" s="97" t="n"/>
      <c r="Z43" s="97" t="n"/>
      <c r="AA43" s="96" t="inlineStr">
        <is>
          <t>BARKLAYS LOGISTICS (THAILAND) CO., LTD.</t>
        </is>
      </c>
      <c r="AB43" s="96" t="inlineStr">
        <is>
          <t>GOLDEN CRANE (GOLDEN DRAGON) CO.,LTD.</t>
        </is>
      </c>
      <c r="AC43" s="163" t="n">
        <v>362200</v>
      </c>
      <c r="AD43" s="163" t="n">
        <v>422200</v>
      </c>
      <c r="AE43" s="96" t="inlineStr">
        <is>
          <t>OK</t>
        </is>
      </c>
      <c r="AF43" s="96" t="n"/>
      <c r="AG43" s="97" t="n"/>
      <c r="AH43" s="96" t="inlineStr">
        <is>
          <t>CHK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TH0011</t>
        </is>
      </c>
      <c r="AN43" s="96" t="inlineStr">
        <is>
          <t>Nannaapust Sukporntaweewat</t>
        </is>
      </c>
      <c r="AO43" s="96" t="inlineStr">
        <is>
          <t>RECYCLED PULP</t>
        </is>
      </c>
      <c r="AP43" s="96" t="inlineStr">
        <is>
          <t>Normal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inlineStr">
        <is>
          <t>OBL</t>
        </is>
      </c>
      <c r="AZ43" s="96" t="inlineStr">
        <is>
          <t>Pickup : 2026-09-18, Return : 2026-09-19</t>
        </is>
      </c>
      <c r="BA43" s="97" t="inlineStr">
        <is>
          <t>ROLL OVER FROM PREVIOUS VSL HAB 2611N  BY ALLOCATION TEAM MS.TARN APPROVED COST IS UNDER HA DD.25/09
FM SHPR: SHUN YI INTERNATIONAL TRADING CO., LTD. 18/09</t>
        </is>
      </c>
      <c r="BB43" s="96" t="inlineStr">
        <is>
          <t>P</t>
        </is>
      </c>
      <c r="BC43" s="161" t="inlineStr">
        <is>
          <t>2026-09-18</t>
        </is>
      </c>
      <c r="BD43" s="161" t="inlineStr">
        <is>
          <t>2026-10-06</t>
        </is>
      </c>
      <c r="BE43" s="96" t="inlineStr">
        <is>
          <t>Y</t>
        </is>
      </c>
      <c r="BF43" s="96" t="inlineStr">
        <is>
          <t>PAPER PULP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LCHY5</t>
        </is>
      </c>
      <c r="BL43" s="161" t="inlineStr">
        <is>
          <t>2026-09-18</t>
        </is>
      </c>
      <c r="BM43" s="127" t="n"/>
      <c r="BN43" s="127" t="n"/>
      <c r="BO43" s="127" t="n"/>
      <c r="BP43" s="127" t="n">
        <v>15</v>
      </c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/>
      <c r="CA43" s="96" t="n"/>
      <c r="CB43" s="97" t="n"/>
      <c r="CC43" s="96" t="inlineStr">
        <is>
          <t>LCH06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n"/>
      <c r="CI43" s="96" t="inlineStr">
        <is>
          <t>bkkop@barklaysinc.co.th</t>
        </is>
      </c>
      <c r="CJ43" s="96" t="inlineStr">
        <is>
          <t>BARKLAYS LOGISTICS (THAILAND)</t>
        </is>
      </c>
      <c r="CK43" s="96" t="inlineStr">
        <is>
          <t>BARKLAYS LOGISTICS (SHANGHAI)</t>
        </is>
      </c>
      <c r="CL43" s="96" t="inlineStr">
        <is>
          <t>BARKLAYS LOGISTICS (SHANGHAI)</t>
        </is>
      </c>
      <c r="CM43" s="97" t="inlineStr">
        <is>
          <t>CLOSED</t>
        </is>
      </c>
      <c r="CN43" s="96" t="inlineStr">
        <is>
          <t>202610021500</t>
        </is>
      </c>
      <c r="CO43" s="96" t="inlineStr">
        <is>
          <t>202610051200</t>
        </is>
      </c>
      <c r="CP43" s="97" t="n"/>
      <c r="CQ43" s="96" t="inlineStr">
        <is>
          <t>S22-2602016</t>
        </is>
      </c>
      <c r="CR43" s="96" t="inlineStr">
        <is>
          <t>THTW3S</t>
        </is>
      </c>
      <c r="CS43" s="96" t="inlineStr">
        <is>
          <t>BARKLAYS LOGISTICS (THAILAND) CO., LTD.</t>
        </is>
      </c>
      <c r="CT43" s="96" t="inlineStr">
        <is>
          <t>N</t>
        </is>
      </c>
      <c r="CU43" s="97" t="n"/>
      <c r="CV43" s="97" t="n"/>
      <c r="CW43" s="161" t="inlineStr">
        <is>
          <t>2026-10-08</t>
        </is>
      </c>
      <c r="CX43" s="97" t="inlineStr">
        <is>
          <t>470620</t>
        </is>
      </c>
      <c r="CY43" s="183" t="inlineStr">
        <is>
          <t>ROLL OVER FROM PREVIOUS VSL HAB 2611N  BY ALLOCATION TEAM MS.TARN APPROVED COST IS UNDER HA DD.25/09</t>
        </is>
      </c>
    </row>
    <row r="44" ht="12" customHeight="1">
      <c r="A44" s="116" t="inlineStr">
        <is>
          <t>HASLS22260901260</t>
        </is>
      </c>
      <c r="B44" s="96" t="inlineStr">
        <is>
          <t>40Hx2</t>
        </is>
      </c>
      <c r="C44" s="97" t="n">
        <v>2</v>
      </c>
      <c r="D44" s="97" t="n">
        <v>2</v>
      </c>
      <c r="E44" s="97" t="n"/>
      <c r="F44" s="97" t="n">
        <v>0</v>
      </c>
      <c r="G44" s="97" t="n">
        <v>0</v>
      </c>
      <c r="H44" s="97" t="n">
        <v>0</v>
      </c>
      <c r="I44" s="97" t="n">
        <v>2</v>
      </c>
      <c r="J44" s="97" t="n">
        <v>4</v>
      </c>
      <c r="K44" s="96" t="inlineStr">
        <is>
          <t>N</t>
        </is>
      </c>
      <c r="L44" s="96" t="inlineStr">
        <is>
          <t>PCI2</t>
        </is>
      </c>
      <c r="M44" s="96" t="inlineStr">
        <is>
          <t>SWVG</t>
        </is>
      </c>
      <c r="N44" s="96" t="inlineStr">
        <is>
          <t>2612N</t>
        </is>
      </c>
      <c r="O44" s="96" t="inlineStr">
        <is>
          <t>THLCH</t>
        </is>
      </c>
      <c r="P44" s="96" t="inlineStr">
        <is>
          <t>LCH06</t>
        </is>
      </c>
      <c r="Q44" s="96" t="inlineStr">
        <is>
          <t>IA</t>
        </is>
      </c>
      <c r="R44" s="161" t="inlineStr">
        <is>
          <t>2026-10-07</t>
        </is>
      </c>
      <c r="S44" s="96" t="inlineStr">
        <is>
          <t>CNSHA</t>
        </is>
      </c>
      <c r="T44" s="96" t="inlineStr">
        <is>
          <t>SHAW5</t>
        </is>
      </c>
      <c r="U44" s="96" t="inlineStr">
        <is>
          <t>CNSHA</t>
        </is>
      </c>
      <c r="V44" s="161" t="inlineStr">
        <is>
          <t>2026-10-13</t>
        </is>
      </c>
      <c r="W44" s="96" t="inlineStr">
        <is>
          <t>CN</t>
        </is>
      </c>
      <c r="X44" s="97" t="n"/>
      <c r="Y44" s="97" t="n"/>
      <c r="Z44" s="97" t="n"/>
      <c r="AA44" s="96" t="inlineStr">
        <is>
          <t>WHA GC LOGISTICS COMPANY LIMITED</t>
        </is>
      </c>
      <c r="AB44" s="96" t="inlineStr">
        <is>
          <t>PTT GLOBAL CHEMICAL PUBLIC COMPANY LIMITED</t>
        </is>
      </c>
      <c r="AC44" s="163" t="n">
        <v>50099.6</v>
      </c>
      <c r="AD44" s="163" t="n">
        <v>58099.6</v>
      </c>
      <c r="AE44" s="96" t="inlineStr">
        <is>
          <t>OK</t>
        </is>
      </c>
      <c r="AF44" s="96" t="n"/>
      <c r="AG44" s="97" t="n"/>
      <c r="AH44" s="96" t="inlineStr">
        <is>
          <t>CHK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TBKK13</t>
        </is>
      </c>
      <c r="AN44" s="96" t="inlineStr">
        <is>
          <t>Dharaporn</t>
        </is>
      </c>
      <c r="AO44" s="96" t="inlineStr">
        <is>
          <t>HIGH DENSITY POLYETHYLENE (HDPE)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inlineStr">
        <is>
          <t>OBL</t>
        </is>
      </c>
      <c r="AZ44" s="96" t="inlineStr">
        <is>
          <t xml:space="preserve">CY -RTN DD.21/09 -27/09/2026 /CHECK OPEN GATE BEFORE RETURN CNTR </t>
        </is>
      </c>
      <c r="BA44" s="97" t="inlineStr">
        <is>
          <t>SI DD.21/9/26
FM SWRG 2609N DD.15/09</t>
        </is>
      </c>
      <c r="BB44" s="96" t="inlineStr">
        <is>
          <t>P</t>
        </is>
      </c>
      <c r="BC44" s="161" t="inlineStr">
        <is>
          <t>2026-09-15</t>
        </is>
      </c>
      <c r="BD44" s="161" t="inlineStr">
        <is>
          <t>2026-10-02</t>
        </is>
      </c>
      <c r="BE44" s="96" t="inlineStr">
        <is>
          <t>Y</t>
        </is>
      </c>
      <c r="BF44" s="96" t="inlineStr">
        <is>
          <t>RESIN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LCHY5</t>
        </is>
      </c>
      <c r="BL44" s="161" t="inlineStr">
        <is>
          <t>2026-09-21</t>
        </is>
      </c>
      <c r="BM44" s="127" t="n"/>
      <c r="BN44" s="127" t="n"/>
      <c r="BO44" s="127" t="n"/>
      <c r="BP44" s="127" t="n">
        <v>2</v>
      </c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n"/>
      <c r="CB44" s="97" t="n"/>
      <c r="CC44" s="96" t="inlineStr">
        <is>
          <t>LCH06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jariya.c@wha-gc.com</t>
        </is>
      </c>
      <c r="CJ44" s="96" t="inlineStr">
        <is>
          <t>PTT GLOBAL CHEMICAL PUBLIC COMPANY</t>
        </is>
      </c>
      <c r="CK44" s="96" t="inlineStr">
        <is>
          <t>GC MARKETING SOLUTIONS (SHANGHAI)</t>
        </is>
      </c>
      <c r="CL44" s="96" t="inlineStr">
        <is>
          <t>GC MARKETING SOLUTIONS (SHANGHAI)</t>
        </is>
      </c>
      <c r="CM44" s="97" t="inlineStr">
        <is>
          <t>CLOSED</t>
        </is>
      </c>
      <c r="CN44" s="96" t="inlineStr">
        <is>
          <t>202610021500</t>
        </is>
      </c>
      <c r="CO44" s="96" t="inlineStr">
        <is>
          <t>202610051200</t>
        </is>
      </c>
      <c r="CP44" s="97" t="n"/>
      <c r="CQ44" s="96" t="inlineStr">
        <is>
          <t>S22-2309036</t>
        </is>
      </c>
      <c r="CR44" s="96" t="inlineStr">
        <is>
          <t>TH02GR</t>
        </is>
      </c>
      <c r="CS44" s="96" t="inlineStr">
        <is>
          <t>WHA GC LOGISTICS COMPANY LIMITED</t>
        </is>
      </c>
      <c r="CT44" s="96" t="inlineStr">
        <is>
          <t>N</t>
        </is>
      </c>
      <c r="CU44" s="97" t="n"/>
      <c r="CV44" s="97" t="n"/>
      <c r="CW44" s="161" t="inlineStr">
        <is>
          <t>2026-10-03</t>
        </is>
      </c>
      <c r="CX44" s="97" t="inlineStr">
        <is>
          <t>390120</t>
        </is>
      </c>
      <c r="CY44" s="183" t="n"/>
    </row>
    <row r="45" ht="12" customHeight="1">
      <c r="A45" s="116" t="inlineStr">
        <is>
          <t>HASLS22260900977</t>
        </is>
      </c>
      <c r="B45" s="96" t="inlineStr">
        <is>
          <t>40Hx2</t>
        </is>
      </c>
      <c r="C45" s="97" t="n">
        <v>2</v>
      </c>
      <c r="D45" s="97" t="n">
        <v>2</v>
      </c>
      <c r="E45" s="97" t="n"/>
      <c r="F45" s="97" t="n">
        <v>0</v>
      </c>
      <c r="G45" s="97" t="n">
        <v>0</v>
      </c>
      <c r="H45" s="97" t="n">
        <v>0</v>
      </c>
      <c r="I45" s="97" t="n">
        <v>2</v>
      </c>
      <c r="J45" s="97" t="n">
        <v>4</v>
      </c>
      <c r="K45" s="96" t="inlineStr">
        <is>
          <t>N</t>
        </is>
      </c>
      <c r="L45" s="96" t="inlineStr">
        <is>
          <t>PCI2</t>
        </is>
      </c>
      <c r="M45" s="96" t="inlineStr">
        <is>
          <t>SWVG</t>
        </is>
      </c>
      <c r="N45" s="96" t="inlineStr">
        <is>
          <t>2612N</t>
        </is>
      </c>
      <c r="O45" s="96" t="inlineStr">
        <is>
          <t>THLCH</t>
        </is>
      </c>
      <c r="P45" s="96" t="inlineStr">
        <is>
          <t>LCH06</t>
        </is>
      </c>
      <c r="Q45" s="96" t="inlineStr">
        <is>
          <t>IA</t>
        </is>
      </c>
      <c r="R45" s="161" t="inlineStr">
        <is>
          <t>2026-10-07</t>
        </is>
      </c>
      <c r="S45" s="96" t="inlineStr">
        <is>
          <t>CNSHA</t>
        </is>
      </c>
      <c r="T45" s="96" t="inlineStr">
        <is>
          <t>SHAW5</t>
        </is>
      </c>
      <c r="U45" s="96" t="inlineStr">
        <is>
          <t>CNSHA</t>
        </is>
      </c>
      <c r="V45" s="161" t="inlineStr">
        <is>
          <t>2026-10-13</t>
        </is>
      </c>
      <c r="W45" s="96" t="inlineStr">
        <is>
          <t>CN</t>
        </is>
      </c>
      <c r="X45" s="97" t="n"/>
      <c r="Y45" s="97" t="n"/>
      <c r="Z45" s="97" t="n"/>
      <c r="AA45" s="96" t="inlineStr">
        <is>
          <t>L.A.1 CO.,LTD.</t>
        </is>
      </c>
      <c r="AB45" s="96" t="inlineStr">
        <is>
          <t>TANATEX CHEMICALS (THAILAND) CO., LTD.</t>
        </is>
      </c>
      <c r="AC45" s="163" t="n">
        <v>52726.3</v>
      </c>
      <c r="AD45" s="163" t="n">
        <v>60726.3</v>
      </c>
      <c r="AE45" s="96" t="inlineStr">
        <is>
          <t>OK</t>
        </is>
      </c>
      <c r="AF45" s="96" t="n"/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TH0042</t>
        </is>
      </c>
      <c r="AN45" s="96" t="inlineStr">
        <is>
          <t>Sukunpoj Damrongying</t>
        </is>
      </c>
      <c r="AO45" s="96" t="inlineStr">
        <is>
          <t>CHEMICALS PRODUCT (NON DG)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inlineStr">
        <is>
          <t>OBL</t>
        </is>
      </c>
      <c r="AZ45" s="96" t="inlineStr">
        <is>
          <t xml:space="preserve">Pickup : 2026-09-28, Return : 2026-09-29 
 ** PLEASE CHECK OPEN GATE BEFORE RETURN CNTR **
</t>
        </is>
      </c>
      <c r="BA45" s="97" t="n"/>
      <c r="BB45" s="96" t="inlineStr">
        <is>
          <t>P</t>
        </is>
      </c>
      <c r="BC45" s="161" t="inlineStr">
        <is>
          <t>2026-09-11</t>
        </is>
      </c>
      <c r="BD45" s="161" t="inlineStr">
        <is>
          <t>2026-10-02</t>
        </is>
      </c>
      <c r="BE45" s="96" t="inlineStr">
        <is>
          <t>Y</t>
        </is>
      </c>
      <c r="BF45" s="96" t="inlineStr">
        <is>
          <t>CHEMICALS PRODUCT (NON DG)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LCH27</t>
        </is>
      </c>
      <c r="BL45" s="161" t="inlineStr">
        <is>
          <t>2026-09-28</t>
        </is>
      </c>
      <c r="BM45" s="127" t="n"/>
      <c r="BN45" s="127" t="n"/>
      <c r="BO45" s="127" t="n"/>
      <c r="BP45" s="127" t="n">
        <v>2</v>
      </c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LCH06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sunida@la1freight.com</t>
        </is>
      </c>
      <c r="CJ45" s="96" t="inlineStr">
        <is>
          <t>L.A.1 CO.,LTD.</t>
        </is>
      </c>
      <c r="CK45" s="96" t="inlineStr">
        <is>
          <t>SHANGHAI TOP STAR EXPRESS CO.,LTD.</t>
        </is>
      </c>
      <c r="CL45" s="96" t="inlineStr">
        <is>
          <t>SHANGHAI TOP STAR EXPRESS CO.,LTD.</t>
        </is>
      </c>
      <c r="CM45" s="97" t="inlineStr">
        <is>
          <t>CLOSED</t>
        </is>
      </c>
      <c r="CN45" s="96" t="inlineStr">
        <is>
          <t>202610021500</t>
        </is>
      </c>
      <c r="CO45" s="96" t="inlineStr">
        <is>
          <t>202610051200</t>
        </is>
      </c>
      <c r="CP45" s="97" t="n"/>
      <c r="CQ45" s="96" t="inlineStr">
        <is>
          <t>S22-2606013</t>
        </is>
      </c>
      <c r="CR45" s="96" t="inlineStr">
        <is>
          <t>THTYG7</t>
        </is>
      </c>
      <c r="CS45" s="96" t="inlineStr">
        <is>
          <t>L.A.1 CO.,LTD.</t>
        </is>
      </c>
      <c r="CT45" s="96" t="inlineStr">
        <is>
          <t>N</t>
        </is>
      </c>
      <c r="CU45" s="97" t="n"/>
      <c r="CV45" s="97" t="n"/>
      <c r="CW45" s="161" t="inlineStr">
        <is>
          <t>2026-10-03</t>
        </is>
      </c>
      <c r="CX45" s="97" t="inlineStr">
        <is>
          <t>340290</t>
        </is>
      </c>
      <c r="CY45" s="183" t="n"/>
    </row>
    <row r="46" ht="12" customHeight="1">
      <c r="A46" s="116" t="inlineStr">
        <is>
          <t>HASLS22260902522</t>
        </is>
      </c>
      <c r="B46" s="96" t="inlineStr">
        <is>
          <t>40Hx2</t>
        </is>
      </c>
      <c r="C46" s="97" t="n">
        <v>2</v>
      </c>
      <c r="D46" s="97" t="n">
        <v>2</v>
      </c>
      <c r="E46" s="97" t="n"/>
      <c r="F46" s="97" t="n">
        <v>0</v>
      </c>
      <c r="G46" s="97" t="n">
        <v>0</v>
      </c>
      <c r="H46" s="97" t="n">
        <v>0</v>
      </c>
      <c r="I46" s="97" t="n">
        <v>2</v>
      </c>
      <c r="J46" s="97" t="n">
        <v>4</v>
      </c>
      <c r="K46" s="96" t="inlineStr">
        <is>
          <t>N</t>
        </is>
      </c>
      <c r="L46" s="96" t="inlineStr">
        <is>
          <t>PCI2</t>
        </is>
      </c>
      <c r="M46" s="96" t="inlineStr">
        <is>
          <t>SWVG</t>
        </is>
      </c>
      <c r="N46" s="96" t="inlineStr">
        <is>
          <t>2612N</t>
        </is>
      </c>
      <c r="O46" s="96" t="inlineStr">
        <is>
          <t>THLCH</t>
        </is>
      </c>
      <c r="P46" s="96" t="inlineStr">
        <is>
          <t>LCH06</t>
        </is>
      </c>
      <c r="Q46" s="96" t="inlineStr">
        <is>
          <t>IA</t>
        </is>
      </c>
      <c r="R46" s="161" t="inlineStr">
        <is>
          <t>2026-10-07</t>
        </is>
      </c>
      <c r="S46" s="96" t="inlineStr">
        <is>
          <t>CNSHA</t>
        </is>
      </c>
      <c r="T46" s="96" t="inlineStr">
        <is>
          <t>SHAW5</t>
        </is>
      </c>
      <c r="U46" s="96" t="inlineStr">
        <is>
          <t>CNSHA</t>
        </is>
      </c>
      <c r="V46" s="161" t="inlineStr">
        <is>
          <t>2026-10-13</t>
        </is>
      </c>
      <c r="W46" s="96" t="inlineStr">
        <is>
          <t>CN</t>
        </is>
      </c>
      <c r="X46" s="97" t="n"/>
      <c r="Y46" s="97" t="n"/>
      <c r="Z46" s="97" t="n"/>
      <c r="AA46" s="96" t="inlineStr">
        <is>
          <t>AWOT GLOBAL LOGISTICS (THAILAND) CO., LTD.</t>
        </is>
      </c>
      <c r="AB46" s="96" t="inlineStr">
        <is>
          <t>PACIFIC PRECISION FORGING TECHNOLOGY(THAILAND) CO.,LTD.</t>
        </is>
      </c>
      <c r="AC46" s="163" t="n">
        <v>44300</v>
      </c>
      <c r="AD46" s="163" t="n">
        <v>52300</v>
      </c>
      <c r="AE46" s="96" t="inlineStr">
        <is>
          <t>OK</t>
        </is>
      </c>
      <c r="AF46" s="96" t="inlineStr">
        <is>
          <t>SR</t>
        </is>
      </c>
      <c r="AG46" s="97" t="n"/>
      <c r="AH46" s="96" t="inlineStr">
        <is>
          <t>CON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TH0031</t>
        </is>
      </c>
      <c r="AN46" s="96" t="inlineStr">
        <is>
          <t>Pattarapong Saengthong</t>
        </is>
      </c>
      <c r="AO46" s="96" t="inlineStr">
        <is>
          <t xml:space="preserve">GEAR PARTS 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inlineStr">
        <is>
          <t>OBL</t>
        </is>
      </c>
      <c r="AZ46" s="96" t="inlineStr">
        <is>
          <t>Pickup : 2026-10-02, Return : 2026-10-03
CLOSING TIME DD.05/10/2026 @ 23.59Hrs.</t>
        </is>
      </c>
      <c r="BA46" s="97" t="inlineStr">
        <is>
          <t>GOOD AND CLEAN CONTAINERACTUAL SHIPPER : PACIFIC PRECISION FORGING TECHNOLOGY(THAILAND) CO.,LTD.</t>
        </is>
      </c>
      <c r="BB46" s="96" t="inlineStr">
        <is>
          <t>P</t>
        </is>
      </c>
      <c r="BC46" s="161" t="inlineStr">
        <is>
          <t>2026-09-28</t>
        </is>
      </c>
      <c r="BD46" s="161" t="inlineStr">
        <is>
          <t>2026-10-06</t>
        </is>
      </c>
      <c r="BE46" s="96" t="inlineStr">
        <is>
          <t>Y</t>
        </is>
      </c>
      <c r="BF46" s="96" t="inlineStr">
        <is>
          <t xml:space="preserve">GEAR PARTS 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LCHY5</t>
        </is>
      </c>
      <c r="BL46" s="161" t="inlineStr">
        <is>
          <t>2026-10-02</t>
        </is>
      </c>
      <c r="BM46" s="127" t="n"/>
      <c r="BN46" s="127" t="n"/>
      <c r="BO46" s="127" t="n"/>
      <c r="BP46" s="127" t="n">
        <v>2</v>
      </c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inlineStr">
        <is>
          <t>Y</t>
        </is>
      </c>
      <c r="CB46" s="97" t="n"/>
      <c r="CC46" s="96" t="inlineStr">
        <is>
          <t>LCH06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awotbkk.oe@awotglobal.com;chonticha@awotglobal.com</t>
        </is>
      </c>
      <c r="CJ46" s="96" t="inlineStr">
        <is>
          <t>AWOT GLOBAL LOGISTICS</t>
        </is>
      </c>
      <c r="CK46" s="96" t="inlineStr">
        <is>
          <t>AWOT GLOBAL CORPORATION</t>
        </is>
      </c>
      <c r="CL46" s="96" t="inlineStr">
        <is>
          <t>AWOT GLOBAL CORPORATION</t>
        </is>
      </c>
      <c r="CM46" s="97" t="inlineStr">
        <is>
          <t>CLOSED</t>
        </is>
      </c>
      <c r="CN46" s="96" t="inlineStr">
        <is>
          <t>202610021500</t>
        </is>
      </c>
      <c r="CO46" s="96" t="inlineStr">
        <is>
          <t>202610051200</t>
        </is>
      </c>
      <c r="CP46" s="97" t="n"/>
      <c r="CQ46" s="96" t="inlineStr">
        <is>
          <t>S22-2604017</t>
        </is>
      </c>
      <c r="CR46" s="96" t="inlineStr">
        <is>
          <t>TH0586</t>
        </is>
      </c>
      <c r="CS46" s="96" t="inlineStr">
        <is>
          <t>AWOT GLOBAL LOGISTICS (THAILAND) CO., LTD.</t>
        </is>
      </c>
      <c r="CT46" s="96" t="inlineStr">
        <is>
          <t>N</t>
        </is>
      </c>
      <c r="CU46" s="97" t="n"/>
      <c r="CV46" s="97" t="n"/>
      <c r="CW46" s="161" t="inlineStr">
        <is>
          <t>2026-10-07</t>
        </is>
      </c>
      <c r="CX46" s="97" t="inlineStr">
        <is>
          <t>848390</t>
        </is>
      </c>
      <c r="CY46" s="183" t="n"/>
    </row>
    <row r="47" ht="12" customHeight="1">
      <c r="A47" s="116" t="inlineStr">
        <is>
          <t>HASLS22260901914</t>
        </is>
      </c>
      <c r="B47" s="96" t="inlineStr">
        <is>
          <t>40Hx2</t>
        </is>
      </c>
      <c r="C47" s="97" t="n">
        <v>2</v>
      </c>
      <c r="D47" s="97" t="n">
        <v>2</v>
      </c>
      <c r="E47" s="97" t="n"/>
      <c r="F47" s="97" t="n">
        <v>0</v>
      </c>
      <c r="G47" s="97" t="n">
        <v>0</v>
      </c>
      <c r="H47" s="97" t="n">
        <v>0</v>
      </c>
      <c r="I47" s="97" t="n">
        <v>2</v>
      </c>
      <c r="J47" s="97" t="n">
        <v>4</v>
      </c>
      <c r="K47" s="96" t="inlineStr">
        <is>
          <t>N</t>
        </is>
      </c>
      <c r="L47" s="96" t="inlineStr">
        <is>
          <t>PCI2</t>
        </is>
      </c>
      <c r="M47" s="96" t="inlineStr">
        <is>
          <t>SWVG</t>
        </is>
      </c>
      <c r="N47" s="96" t="inlineStr">
        <is>
          <t>2612N</t>
        </is>
      </c>
      <c r="O47" s="96" t="inlineStr">
        <is>
          <t>THLCH</t>
        </is>
      </c>
      <c r="P47" s="96" t="inlineStr">
        <is>
          <t>LCH06</t>
        </is>
      </c>
      <c r="Q47" s="96" t="inlineStr">
        <is>
          <t>IA</t>
        </is>
      </c>
      <c r="R47" s="161" t="inlineStr">
        <is>
          <t>2026-10-07</t>
        </is>
      </c>
      <c r="S47" s="96" t="inlineStr">
        <is>
          <t>CNSHA</t>
        </is>
      </c>
      <c r="T47" s="96" t="inlineStr">
        <is>
          <t>SHAW5</t>
        </is>
      </c>
      <c r="U47" s="96" t="inlineStr">
        <is>
          <t>CNSHA</t>
        </is>
      </c>
      <c r="V47" s="161" t="inlineStr">
        <is>
          <t>2026-10-13</t>
        </is>
      </c>
      <c r="W47" s="96" t="inlineStr">
        <is>
          <t>CN</t>
        </is>
      </c>
      <c r="X47" s="97" t="n"/>
      <c r="Y47" s="97" t="n"/>
      <c r="Z47" s="97" t="n"/>
      <c r="AA47" s="96" t="inlineStr">
        <is>
          <t>MITSUBISHI LOGISTICS (THAILAND) CO., LTD.</t>
        </is>
      </c>
      <c r="AB47" s="96" t="inlineStr">
        <is>
          <t>SHIN-ETSU SILICONES (THAILAND) LTD.</t>
        </is>
      </c>
      <c r="AC47" s="163" t="n">
        <v>49284</v>
      </c>
      <c r="AD47" s="163" t="n">
        <v>57284</v>
      </c>
      <c r="AE47" s="96" t="inlineStr">
        <is>
          <t>OK</t>
        </is>
      </c>
      <c r="AF47" s="96" t="n"/>
      <c r="AG47" s="97" t="n"/>
      <c r="AH47" s="96" t="inlineStr">
        <is>
          <t>CON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TH0031</t>
        </is>
      </c>
      <c r="AN47" s="96" t="inlineStr">
        <is>
          <t>Pattarapong Saengthong</t>
        </is>
      </c>
      <c r="AO47" s="96" t="inlineStr">
        <is>
          <t>SILICONE</t>
        </is>
      </c>
      <c r="AP47" s="96" t="inlineStr">
        <is>
          <t>Normal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inlineStr">
        <is>
          <t>OBL</t>
        </is>
      </c>
      <c r="AZ47" s="96" t="inlineStr">
        <is>
          <t xml:space="preserve">Pickup : 2026-10-01, Return : 2026-10-02 </t>
        </is>
      </c>
      <c r="BA47" s="97" t="inlineStr">
        <is>
          <t>FM LCHY5</t>
        </is>
      </c>
      <c r="BB47" s="96" t="inlineStr">
        <is>
          <t>P</t>
        </is>
      </c>
      <c r="BC47" s="161" t="inlineStr">
        <is>
          <t>2026-09-21</t>
        </is>
      </c>
      <c r="BD47" s="161" t="inlineStr">
        <is>
          <t>2026-10-06</t>
        </is>
      </c>
      <c r="BE47" s="96" t="inlineStr">
        <is>
          <t>Y</t>
        </is>
      </c>
      <c r="BF47" s="96" t="inlineStr">
        <is>
          <t>SILICONE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LCH28</t>
        </is>
      </c>
      <c r="BL47" s="161" t="inlineStr">
        <is>
          <t>2026-10-01</t>
        </is>
      </c>
      <c r="BM47" s="127" t="n"/>
      <c r="BN47" s="127" t="n"/>
      <c r="BO47" s="127" t="n"/>
      <c r="BP47" s="127" t="n">
        <v>2</v>
      </c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/>
      <c r="CA47" s="96" t="inlineStr">
        <is>
          <t>Y</t>
        </is>
      </c>
      <c r="CB47" s="97" t="n"/>
      <c r="CC47" s="96" t="inlineStr">
        <is>
          <t>LCH06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n"/>
      <c r="CI47" s="96" t="inlineStr">
        <is>
          <t>panisara.b@mitsubishi-logistics.co.th;patita.c@mitsubishi-logistics.co.th;tossawat.p@mitsubishi-logistics.co.th;aungkana.w@mitsubishi-logistics.co.th</t>
        </is>
      </c>
      <c r="CJ47" s="96" t="inlineStr">
        <is>
          <t>MITSUBISHI LOGISTICS (THAILAND)</t>
        </is>
      </c>
      <c r="CK47" s="96" t="inlineStr">
        <is>
          <t>SHANGHAI LINGYUN GLOBAL FORWARDING</t>
        </is>
      </c>
      <c r="CL47" s="96" t="inlineStr">
        <is>
          <t>SHANGHAI LINGYUN GLOBAL FORWARDING</t>
        </is>
      </c>
      <c r="CM47" s="97" t="inlineStr">
        <is>
          <t>CLOSED</t>
        </is>
      </c>
      <c r="CN47" s="96" t="inlineStr">
        <is>
          <t>202610021500</t>
        </is>
      </c>
      <c r="CO47" s="96" t="inlineStr">
        <is>
          <t>202610051200</t>
        </is>
      </c>
      <c r="CP47" s="97" t="n"/>
      <c r="CQ47" s="96" t="inlineStr">
        <is>
          <t>S22-2603004</t>
        </is>
      </c>
      <c r="CR47" s="96" t="inlineStr">
        <is>
          <t>BB0214</t>
        </is>
      </c>
      <c r="CS47" s="96" t="inlineStr">
        <is>
          <t>MITSUBISHI LOGISTICS (THAILAND) CO., LTD.</t>
        </is>
      </c>
      <c r="CT47" s="96" t="inlineStr">
        <is>
          <t>N</t>
        </is>
      </c>
      <c r="CU47" s="97" t="n"/>
      <c r="CV47" s="97" t="n"/>
      <c r="CW47" s="161" t="inlineStr">
        <is>
          <t>2026-10-06</t>
        </is>
      </c>
      <c r="CX47" s="97" t="inlineStr">
        <is>
          <t>391000</t>
        </is>
      </c>
      <c r="CY47" s="183" t="n"/>
    </row>
    <row r="48" ht="12" customHeight="1">
      <c r="A48" s="116" t="inlineStr">
        <is>
          <t>HASLS22260902494</t>
        </is>
      </c>
      <c r="B48" s="96" t="inlineStr">
        <is>
          <t>40Hx4</t>
        </is>
      </c>
      <c r="C48" s="97" t="n">
        <v>4</v>
      </c>
      <c r="D48" s="97" t="n">
        <v>4</v>
      </c>
      <c r="E48" s="97" t="n"/>
      <c r="F48" s="97" t="n">
        <v>0</v>
      </c>
      <c r="G48" s="97" t="n">
        <v>0</v>
      </c>
      <c r="H48" s="97" t="n">
        <v>0</v>
      </c>
      <c r="I48" s="97" t="n">
        <v>4</v>
      </c>
      <c r="J48" s="97" t="n">
        <v>8</v>
      </c>
      <c r="K48" s="96" t="inlineStr">
        <is>
          <t>N</t>
        </is>
      </c>
      <c r="L48" s="96" t="inlineStr">
        <is>
          <t>PCI2</t>
        </is>
      </c>
      <c r="M48" s="96" t="inlineStr">
        <is>
          <t>SWVG</t>
        </is>
      </c>
      <c r="N48" s="96" t="inlineStr">
        <is>
          <t>2612N</t>
        </is>
      </c>
      <c r="O48" s="96" t="inlineStr">
        <is>
          <t>THLCH</t>
        </is>
      </c>
      <c r="P48" s="96" t="inlineStr">
        <is>
          <t>LCH06</t>
        </is>
      </c>
      <c r="Q48" s="96" t="inlineStr">
        <is>
          <t>IA</t>
        </is>
      </c>
      <c r="R48" s="161" t="inlineStr">
        <is>
          <t>2026-10-07</t>
        </is>
      </c>
      <c r="S48" s="96" t="inlineStr">
        <is>
          <t>CNSHA</t>
        </is>
      </c>
      <c r="T48" s="96" t="inlineStr">
        <is>
          <t>SHAW5</t>
        </is>
      </c>
      <c r="U48" s="96" t="inlineStr">
        <is>
          <t>CNSHA</t>
        </is>
      </c>
      <c r="V48" s="161" t="inlineStr">
        <is>
          <t>2026-10-13</t>
        </is>
      </c>
      <c r="W48" s="96" t="inlineStr">
        <is>
          <t>CN</t>
        </is>
      </c>
      <c r="X48" s="97" t="n"/>
      <c r="Y48" s="97" t="n"/>
      <c r="Z48" s="97" t="n"/>
      <c r="AA48" s="96" t="inlineStr">
        <is>
          <t>SCGJWD LOGISTICS PUBLIC COMPANY LIMITED</t>
        </is>
      </c>
      <c r="AB48" s="96" t="inlineStr">
        <is>
          <t>THAI POLYETHYLENE CO., LTD.</t>
        </is>
      </c>
      <c r="AC48" s="163" t="n">
        <v>104540.8</v>
      </c>
      <c r="AD48" s="163" t="n">
        <v>120540.8</v>
      </c>
      <c r="AE48" s="96" t="inlineStr">
        <is>
          <t>OK</t>
        </is>
      </c>
      <c r="AF48" s="96" t="inlineStr">
        <is>
          <t>SR</t>
        </is>
      </c>
      <c r="AG48" s="97" t="n"/>
      <c r="AH48" s="96" t="inlineStr">
        <is>
          <t>CHK</t>
        </is>
      </c>
      <c r="AI48" s="97" t="inlineStr">
        <is>
          <t>OK</t>
        </is>
      </c>
      <c r="AJ48" s="97" t="n"/>
      <c r="AK48" s="97" t="n"/>
      <c r="AL48" s="97" t="n"/>
      <c r="AM48" s="96" t="inlineStr">
        <is>
          <t>TBKK19</t>
        </is>
      </c>
      <c r="AN48" s="96" t="inlineStr">
        <is>
          <t>Kanokporn</t>
        </is>
      </c>
      <c r="AO48" s="96" t="inlineStr">
        <is>
          <t>LOW DENSITY POLYETHYLENE RESIN</t>
        </is>
      </c>
      <c r="AP48" s="96" t="inlineStr">
        <is>
          <t>Normal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inlineStr">
        <is>
          <t>OBL</t>
        </is>
      </c>
      <c r="AZ48" s="96" t="inlineStr">
        <is>
          <t>CY 30/09/26 , RTN 02/10/26 (INV. 3031061556)</t>
        </is>
      </c>
      <c r="BA48" s="97" t="inlineStr">
        <is>
          <t>4X40HC' HS CODE : 390110 USCI no.913201002499230977</t>
        </is>
      </c>
      <c r="BB48" s="96" t="inlineStr">
        <is>
          <t>P</t>
        </is>
      </c>
      <c r="BC48" s="161" t="inlineStr">
        <is>
          <t>2026-09-28</t>
        </is>
      </c>
      <c r="BD48" s="161" t="inlineStr">
        <is>
          <t>2026-10-01</t>
        </is>
      </c>
      <c r="BE48" s="96" t="inlineStr">
        <is>
          <t>Y</t>
        </is>
      </c>
      <c r="BF48" s="96" t="inlineStr">
        <is>
          <t>RESIN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LCHY5</t>
        </is>
      </c>
      <c r="BL48" s="161" t="inlineStr">
        <is>
          <t>2026-09-30</t>
        </is>
      </c>
      <c r="BM48" s="127" t="n"/>
      <c r="BN48" s="127" t="n"/>
      <c r="BO48" s="127" t="n"/>
      <c r="BP48" s="127" t="n">
        <v>4</v>
      </c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/>
      <c r="CA48" s="96" t="n"/>
      <c r="CB48" s="97" t="n"/>
      <c r="CC48" s="96" t="inlineStr">
        <is>
          <t>LCH06</t>
        </is>
      </c>
      <c r="CD48" s="97" t="n"/>
      <c r="CE48" s="97" t="n"/>
      <c r="CF48" s="96" t="inlineStr">
        <is>
          <t>0 Teu</t>
        </is>
      </c>
      <c r="CG48" s="96" t="inlineStr">
        <is>
          <t>CY/CY</t>
        </is>
      </c>
      <c r="CH48" s="97" t="n"/>
      <c r="CI48" s="96" t="inlineStr">
        <is>
          <t>pornnariv@scgjwd.com</t>
        </is>
      </c>
      <c r="CJ48" s="96" t="inlineStr">
        <is>
          <t>THAI POLYETHYLENE CO.,LTD</t>
        </is>
      </c>
      <c r="CK48" s="96" t="inlineStr">
        <is>
          <t>TO ORDER</t>
        </is>
      </c>
      <c r="CL48" s="96" t="inlineStr">
        <is>
          <t>NANJING GUANHUA TRADE CO.,LTD</t>
        </is>
      </c>
      <c r="CM48" s="97" t="inlineStr">
        <is>
          <t>CLOSED</t>
        </is>
      </c>
      <c r="CN48" s="96" t="inlineStr">
        <is>
          <t>202610021500</t>
        </is>
      </c>
      <c r="CO48" s="96" t="inlineStr">
        <is>
          <t>202610051200</t>
        </is>
      </c>
      <c r="CP48" s="97" t="n"/>
      <c r="CQ48" s="96" t="inlineStr">
        <is>
          <t>S19-2308041</t>
        </is>
      </c>
      <c r="CR48" s="96" t="inlineStr">
        <is>
          <t>TH0235</t>
        </is>
      </c>
      <c r="CS48" s="96" t="inlineStr">
        <is>
          <t>SCGJWD LOGISTICS PUBLIC COMPANY LIMITED</t>
        </is>
      </c>
      <c r="CT48" s="96" t="inlineStr">
        <is>
          <t>N</t>
        </is>
      </c>
      <c r="CU48" s="97" t="n"/>
      <c r="CV48" s="97" t="n"/>
      <c r="CW48" s="161" t="inlineStr">
        <is>
          <t>2026-10-07</t>
        </is>
      </c>
      <c r="CX48" s="97" t="inlineStr">
        <is>
          <t>390110</t>
        </is>
      </c>
      <c r="CY48" s="183" t="n"/>
    </row>
    <row r="49" ht="12" customHeight="1">
      <c r="A49" s="116" t="inlineStr">
        <is>
          <t>HASLS22260902495</t>
        </is>
      </c>
      <c r="B49" s="96" t="inlineStr">
        <is>
          <t>40Hx4</t>
        </is>
      </c>
      <c r="C49" s="97" t="n">
        <v>4</v>
      </c>
      <c r="D49" s="97" t="n">
        <v>4</v>
      </c>
      <c r="E49" s="97" t="n"/>
      <c r="F49" s="97" t="n">
        <v>0</v>
      </c>
      <c r="G49" s="97" t="n">
        <v>0</v>
      </c>
      <c r="H49" s="97" t="n">
        <v>0</v>
      </c>
      <c r="I49" s="97" t="n">
        <v>4</v>
      </c>
      <c r="J49" s="97" t="n">
        <v>8</v>
      </c>
      <c r="K49" s="96" t="inlineStr">
        <is>
          <t>N</t>
        </is>
      </c>
      <c r="L49" s="96" t="inlineStr">
        <is>
          <t>PCI2</t>
        </is>
      </c>
      <c r="M49" s="96" t="inlineStr">
        <is>
          <t>SWVG</t>
        </is>
      </c>
      <c r="N49" s="96" t="inlineStr">
        <is>
          <t>2612N</t>
        </is>
      </c>
      <c r="O49" s="96" t="inlineStr">
        <is>
          <t>THLCH</t>
        </is>
      </c>
      <c r="P49" s="96" t="inlineStr">
        <is>
          <t>LCH06</t>
        </is>
      </c>
      <c r="Q49" s="96" t="inlineStr">
        <is>
          <t>IA</t>
        </is>
      </c>
      <c r="R49" s="161" t="inlineStr">
        <is>
          <t>2026-10-07</t>
        </is>
      </c>
      <c r="S49" s="96" t="inlineStr">
        <is>
          <t>CNSHA</t>
        </is>
      </c>
      <c r="T49" s="96" t="inlineStr">
        <is>
          <t>SHAW5</t>
        </is>
      </c>
      <c r="U49" s="96" t="inlineStr">
        <is>
          <t>CNSHA</t>
        </is>
      </c>
      <c r="V49" s="161" t="inlineStr">
        <is>
          <t>2026-10-13</t>
        </is>
      </c>
      <c r="W49" s="96" t="inlineStr">
        <is>
          <t>CN</t>
        </is>
      </c>
      <c r="X49" s="97" t="n"/>
      <c r="Y49" s="97" t="n"/>
      <c r="Z49" s="97" t="n"/>
      <c r="AA49" s="96" t="inlineStr">
        <is>
          <t>SCGJWD LOGISTICS PUBLIC COMPANY LIMITED</t>
        </is>
      </c>
      <c r="AB49" s="96" t="inlineStr">
        <is>
          <t>THAI POLYETHYLENE CO., LTD.</t>
        </is>
      </c>
      <c r="AC49" s="163" t="n">
        <v>104540.8</v>
      </c>
      <c r="AD49" s="163" t="n">
        <v>120540.8</v>
      </c>
      <c r="AE49" s="96" t="inlineStr">
        <is>
          <t>OK</t>
        </is>
      </c>
      <c r="AF49" s="96" t="inlineStr">
        <is>
          <t>SR</t>
        </is>
      </c>
      <c r="AG49" s="97" t="n"/>
      <c r="AH49" s="96" t="inlineStr">
        <is>
          <t>CHK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TBKK19</t>
        </is>
      </c>
      <c r="AN49" s="96" t="inlineStr">
        <is>
          <t>Kanokporn</t>
        </is>
      </c>
      <c r="AO49" s="96" t="inlineStr">
        <is>
          <t>LOW DENSITY POLYETHYLENE RESIN</t>
        </is>
      </c>
      <c r="AP49" s="96" t="inlineStr">
        <is>
          <t>Normal</t>
        </is>
      </c>
      <c r="AQ49" s="97" t="n"/>
      <c r="AR49" s="97" t="n"/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inlineStr">
        <is>
          <t>OBL</t>
        </is>
      </c>
      <c r="AZ49" s="96" t="inlineStr">
        <is>
          <t>CY 30/09/26 , RTN 02/10/26 (INV. 3031061079)</t>
        </is>
      </c>
      <c r="BA49" s="97" t="inlineStr">
        <is>
          <t>1 PLS SEND DRAFT BL TO EMAIL : pornpailin.sitthikul@scb.co.th/2 SHOW THE NAME AND ADDRESS OF SHIPPING AGENT AT DESTINATION/3 PLS ISSUE BILLING INVOICE TO : SHIPPER/4 PLS MENTION FREE TIME AT DESTINATION ON BL</t>
        </is>
      </c>
      <c r="BB49" s="96" t="inlineStr">
        <is>
          <t>P</t>
        </is>
      </c>
      <c r="BC49" s="161" t="inlineStr">
        <is>
          <t>2026-09-28</t>
        </is>
      </c>
      <c r="BD49" s="161" t="inlineStr">
        <is>
          <t>2026-10-01</t>
        </is>
      </c>
      <c r="BE49" s="96" t="inlineStr">
        <is>
          <t>Y</t>
        </is>
      </c>
      <c r="BF49" s="96" t="inlineStr">
        <is>
          <t>RESIN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inlineStr">
        <is>
          <t>LCHY5</t>
        </is>
      </c>
      <c r="BL49" s="161" t="inlineStr">
        <is>
          <t>2026-09-30</t>
        </is>
      </c>
      <c r="BM49" s="127" t="n"/>
      <c r="BN49" s="127" t="n"/>
      <c r="BO49" s="127" t="n"/>
      <c r="BP49" s="127" t="n">
        <v>4</v>
      </c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/>
      <c r="CA49" s="96" t="n"/>
      <c r="CB49" s="97" t="n"/>
      <c r="CC49" s="96" t="inlineStr">
        <is>
          <t>LCH06</t>
        </is>
      </c>
      <c r="CD49" s="97" t="n"/>
      <c r="CE49" s="97" t="n"/>
      <c r="CF49" s="96" t="inlineStr">
        <is>
          <t>0 Teu</t>
        </is>
      </c>
      <c r="CG49" s="96" t="inlineStr">
        <is>
          <t>CY/CY</t>
        </is>
      </c>
      <c r="CH49" s="97" t="n"/>
      <c r="CI49" s="96" t="inlineStr">
        <is>
          <t>pornnariv@scgjwd.com</t>
        </is>
      </c>
      <c r="CJ49" s="96" t="inlineStr">
        <is>
          <t>THAI POLYETHYLENE CO.,LTD.</t>
        </is>
      </c>
      <c r="CK49" s="96" t="inlineStr">
        <is>
          <t>SHANGHAI ZHONGXUAN BUSINESS CO.,LTD</t>
        </is>
      </c>
      <c r="CL49" s="96" t="inlineStr">
        <is>
          <t>SHANGHAI ZHONGXUAN BUSINESS CO.,LTD</t>
        </is>
      </c>
      <c r="CM49" s="97" t="inlineStr">
        <is>
          <t>CLOSED</t>
        </is>
      </c>
      <c r="CN49" s="96" t="inlineStr">
        <is>
          <t>202610021500</t>
        </is>
      </c>
      <c r="CO49" s="96" t="inlineStr">
        <is>
          <t>202610051200</t>
        </is>
      </c>
      <c r="CP49" s="97" t="n"/>
      <c r="CQ49" s="96" t="inlineStr">
        <is>
          <t>S19-2308041</t>
        </is>
      </c>
      <c r="CR49" s="96" t="inlineStr">
        <is>
          <t>TH0235</t>
        </is>
      </c>
      <c r="CS49" s="96" t="inlineStr">
        <is>
          <t>SCGJWD LOGISTICS PUBLIC COMPANY LIMITED</t>
        </is>
      </c>
      <c r="CT49" s="96" t="inlineStr">
        <is>
          <t>N</t>
        </is>
      </c>
      <c r="CU49" s="97" t="n"/>
      <c r="CV49" s="97" t="n"/>
      <c r="CW49" s="161" t="inlineStr">
        <is>
          <t>2026-10-07</t>
        </is>
      </c>
      <c r="CX49" s="97" t="n"/>
      <c r="CY49" s="183" t="n"/>
    </row>
    <row r="50" ht="12" customHeight="1">
      <c r="A50" s="116" t="inlineStr">
        <is>
          <t>HASLS22260802391</t>
        </is>
      </c>
      <c r="B50" s="96" t="inlineStr">
        <is>
          <t>40Hx4</t>
        </is>
      </c>
      <c r="C50" s="97" t="n">
        <v>4</v>
      </c>
      <c r="D50" s="97" t="n">
        <v>4</v>
      </c>
      <c r="E50" s="97" t="n"/>
      <c r="F50" s="97" t="n">
        <v>0</v>
      </c>
      <c r="G50" s="97" t="n">
        <v>0</v>
      </c>
      <c r="H50" s="97" t="n">
        <v>0</v>
      </c>
      <c r="I50" s="97" t="n">
        <v>4</v>
      </c>
      <c r="J50" s="97" t="n">
        <v>8</v>
      </c>
      <c r="K50" s="96" t="inlineStr">
        <is>
          <t>N</t>
        </is>
      </c>
      <c r="L50" s="96" t="inlineStr">
        <is>
          <t>PCI2</t>
        </is>
      </c>
      <c r="M50" s="96" t="inlineStr">
        <is>
          <t>SWVG</t>
        </is>
      </c>
      <c r="N50" s="96" t="inlineStr">
        <is>
          <t>2612N</t>
        </is>
      </c>
      <c r="O50" s="96" t="inlineStr">
        <is>
          <t>THLCH</t>
        </is>
      </c>
      <c r="P50" s="96" t="inlineStr">
        <is>
          <t>LCH06</t>
        </is>
      </c>
      <c r="Q50" s="96" t="inlineStr">
        <is>
          <t>IA</t>
        </is>
      </c>
      <c r="R50" s="161" t="inlineStr">
        <is>
          <t>2026-10-07</t>
        </is>
      </c>
      <c r="S50" s="96" t="inlineStr">
        <is>
          <t>JPMYJ</t>
        </is>
      </c>
      <c r="T50" s="96" t="inlineStr">
        <is>
          <t>MYJ01</t>
        </is>
      </c>
      <c r="U50" s="96" t="inlineStr">
        <is>
          <t>JPMYJ</t>
        </is>
      </c>
      <c r="V50" s="161" t="inlineStr">
        <is>
          <t>2026-10-20</t>
        </is>
      </c>
      <c r="W50" s="96" t="inlineStr">
        <is>
          <t>JP</t>
        </is>
      </c>
      <c r="X50" s="97" t="n"/>
      <c r="Y50" s="97" t="inlineStr">
        <is>
          <t>PUS05</t>
        </is>
      </c>
      <c r="Z50" s="97" t="inlineStr">
        <is>
          <t>KRPUS</t>
        </is>
      </c>
      <c r="AA50" s="96" t="inlineStr">
        <is>
          <t>WHA GC LOGISTICS COMPANY LIMITED</t>
        </is>
      </c>
      <c r="AB50" s="96" t="inlineStr">
        <is>
          <t>PTT GLOBAL CHEMICAL PUBLIC COMPANY LIMITED</t>
        </is>
      </c>
      <c r="AC50" s="163" t="n">
        <v>96960</v>
      </c>
      <c r="AD50" s="163" t="n">
        <v>112960</v>
      </c>
      <c r="AE50" s="96" t="inlineStr">
        <is>
          <t>OK</t>
        </is>
      </c>
      <c r="AF50" s="96" t="n"/>
      <c r="AG50" s="97" t="n"/>
      <c r="AH50" s="96" t="inlineStr">
        <is>
          <t>CHK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TBKK13</t>
        </is>
      </c>
      <c r="AN50" s="96" t="inlineStr">
        <is>
          <t>Dharaporn</t>
        </is>
      </c>
      <c r="AO50" s="96" t="inlineStr">
        <is>
          <t>LOW DENSITY POLYETHYLENE,  LINEAR LOW DENSITY POLYETHYLENE</t>
        </is>
      </c>
      <c r="AP50" s="96" t="inlineStr">
        <is>
          <t>Normal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inlineStr">
        <is>
          <t>OBL</t>
        </is>
      </c>
      <c r="AZ50" s="96" t="inlineStr">
        <is>
          <t xml:space="preserve">CY-RTN 23-28/09/26 
</t>
        </is>
      </c>
      <c r="BA50" s="97" t="inlineStr">
        <is>
          <t>SI DD.18/9/26
FM LCH28
FM SWRG 2609N DD.14/09</t>
        </is>
      </c>
      <c r="BB50" s="96" t="inlineStr">
        <is>
          <t>P</t>
        </is>
      </c>
      <c r="BC50" s="161" t="inlineStr">
        <is>
          <t>2026-08-28</t>
        </is>
      </c>
      <c r="BD50" s="161" t="inlineStr">
        <is>
          <t>2026-09-18</t>
        </is>
      </c>
      <c r="BE50" s="96" t="inlineStr">
        <is>
          <t>Y</t>
        </is>
      </c>
      <c r="BF50" s="96" t="inlineStr">
        <is>
          <t>RESIN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LCHY5</t>
        </is>
      </c>
      <c r="BL50" s="161" t="inlineStr">
        <is>
          <t>2026-09-23</t>
        </is>
      </c>
      <c r="BM50" s="127" t="n"/>
      <c r="BN50" s="127" t="n"/>
      <c r="BO50" s="127" t="n"/>
      <c r="BP50" s="127" t="n">
        <v>4</v>
      </c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>
        <v>2</v>
      </c>
      <c r="CA50" s="96" t="n"/>
      <c r="CB50" s="97" t="n"/>
      <c r="CC50" s="96" t="inlineStr">
        <is>
          <t>LCH06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inlineStr">
        <is>
          <t>POL: THLCH [SWVG/2612N]; T/S(1st): KRPUS [PCBS/2642E]; POD: JPMYJ [/]</t>
        </is>
      </c>
      <c r="CI50" s="96" t="inlineStr">
        <is>
          <t>jariya.c@wha-gc.com</t>
        </is>
      </c>
      <c r="CJ50" s="96" t="inlineStr">
        <is>
          <t>PTT GLOBAL CHEMICAL PUBLIC COMPANY</t>
        </is>
      </c>
      <c r="CK50" s="96" t="inlineStr">
        <is>
          <t>INABATA &amp; CO.,LTD</t>
        </is>
      </c>
      <c r="CL50" s="96" t="inlineStr">
        <is>
          <t>INABATA &amp; CO.,LTD</t>
        </is>
      </c>
      <c r="CM50" s="97" t="inlineStr">
        <is>
          <t>CLOSED</t>
        </is>
      </c>
      <c r="CN50" s="96" t="inlineStr">
        <is>
          <t>202610021500</t>
        </is>
      </c>
      <c r="CO50" s="96" t="inlineStr">
        <is>
          <t>202610051200</t>
        </is>
      </c>
      <c r="CP50" s="97" t="n"/>
      <c r="CQ50" s="96" t="inlineStr">
        <is>
          <t>S19-2309008</t>
        </is>
      </c>
      <c r="CR50" s="96" t="inlineStr">
        <is>
          <t>TH02GR</t>
        </is>
      </c>
      <c r="CS50" s="96" t="inlineStr">
        <is>
          <t>WHA GC LOGISTICS COMPANY LIMITED</t>
        </is>
      </c>
      <c r="CT50" s="96" t="inlineStr">
        <is>
          <t>N</t>
        </is>
      </c>
      <c r="CU50" s="97" t="n"/>
      <c r="CV50" s="97" t="n"/>
      <c r="CW50" s="161" t="inlineStr">
        <is>
          <t>2026-10-03</t>
        </is>
      </c>
      <c r="CX50" s="97" t="inlineStr">
        <is>
          <t>390120</t>
        </is>
      </c>
      <c r="CY50" s="183" t="n"/>
    </row>
    <row r="51" ht="12" customHeight="1">
      <c r="A51" s="116" t="inlineStr">
        <is>
          <t>HASLS22260802388</t>
        </is>
      </c>
      <c r="B51" s="96" t="inlineStr">
        <is>
          <t>40Hx4</t>
        </is>
      </c>
      <c r="C51" s="97" t="n">
        <v>4</v>
      </c>
      <c r="D51" s="97" t="n">
        <v>4</v>
      </c>
      <c r="E51" s="97" t="n"/>
      <c r="F51" s="97" t="n">
        <v>0</v>
      </c>
      <c r="G51" s="97" t="n">
        <v>0</v>
      </c>
      <c r="H51" s="97" t="n">
        <v>0</v>
      </c>
      <c r="I51" s="97" t="n">
        <v>4</v>
      </c>
      <c r="J51" s="97" t="n">
        <v>8</v>
      </c>
      <c r="K51" s="96" t="inlineStr">
        <is>
          <t>N</t>
        </is>
      </c>
      <c r="L51" s="96" t="inlineStr">
        <is>
          <t>PCI2</t>
        </is>
      </c>
      <c r="M51" s="96" t="inlineStr">
        <is>
          <t>SWVG</t>
        </is>
      </c>
      <c r="N51" s="96" t="inlineStr">
        <is>
          <t>2612N</t>
        </is>
      </c>
      <c r="O51" s="96" t="inlineStr">
        <is>
          <t>THLCH</t>
        </is>
      </c>
      <c r="P51" s="96" t="inlineStr">
        <is>
          <t>LCH06</t>
        </is>
      </c>
      <c r="Q51" s="96" t="inlineStr">
        <is>
          <t>IA</t>
        </is>
      </c>
      <c r="R51" s="161" t="inlineStr">
        <is>
          <t>2026-10-07</t>
        </is>
      </c>
      <c r="S51" s="96" t="inlineStr">
        <is>
          <t>CNSHA</t>
        </is>
      </c>
      <c r="T51" s="96" t="inlineStr">
        <is>
          <t>SHAW5</t>
        </is>
      </c>
      <c r="U51" s="96" t="inlineStr">
        <is>
          <t>CNSHA</t>
        </is>
      </c>
      <c r="V51" s="161" t="inlineStr">
        <is>
          <t>2026-10-13</t>
        </is>
      </c>
      <c r="W51" s="96" t="inlineStr">
        <is>
          <t>CN</t>
        </is>
      </c>
      <c r="X51" s="97" t="n"/>
      <c r="Y51" s="97" t="n"/>
      <c r="Z51" s="97" t="n"/>
      <c r="AA51" s="96" t="inlineStr">
        <is>
          <t>SCGJWD LOGISTICS PUBLIC COMPANY LIMITED</t>
        </is>
      </c>
      <c r="AB51" s="96" t="inlineStr">
        <is>
          <t>THAI POLYETHYLENE CO., LTD.</t>
        </is>
      </c>
      <c r="AC51" s="163" t="n">
        <v>104540.8</v>
      </c>
      <c r="AD51" s="163" t="n">
        <v>120540.8</v>
      </c>
      <c r="AE51" s="96" t="inlineStr">
        <is>
          <t>OK</t>
        </is>
      </c>
      <c r="AF51" s="96" t="inlineStr">
        <is>
          <t>SR</t>
        </is>
      </c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TBKK19</t>
        </is>
      </c>
      <c r="AN51" s="96" t="inlineStr">
        <is>
          <t>Kanokporn</t>
        </is>
      </c>
      <c r="AO51" s="96" t="inlineStr">
        <is>
          <t>LOW DENSITY POLYETHYLENE RESIN</t>
        </is>
      </c>
      <c r="AP51" s="96" t="inlineStr">
        <is>
          <t>Normal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inlineStr">
        <is>
          <t>OBL</t>
        </is>
      </c>
      <c r="AZ51" s="96" t="inlineStr">
        <is>
          <t xml:space="preserve">CY-RTN :18-22/09/2026 *INV :3031060734*
REQ GOOD AND CLEAN CONT., NO OIL, NO RUSTY
</t>
        </is>
      </c>
      <c r="BA51" s="97" t="inlineStr">
        <is>
          <t>FM SWRG  2609N BY K'KPORNNARIN DD.04/09/2026</t>
        </is>
      </c>
      <c r="BB51" s="96" t="inlineStr">
        <is>
          <t>P</t>
        </is>
      </c>
      <c r="BC51" s="161" t="inlineStr">
        <is>
          <t>2026-08-28</t>
        </is>
      </c>
      <c r="BD51" s="161" t="inlineStr">
        <is>
          <t>2026-10-01</t>
        </is>
      </c>
      <c r="BE51" s="96" t="inlineStr">
        <is>
          <t>Y</t>
        </is>
      </c>
      <c r="BF51" s="96" t="inlineStr">
        <is>
          <t>RESIN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LCHY5</t>
        </is>
      </c>
      <c r="BL51" s="161" t="inlineStr">
        <is>
          <t>2026-09-18</t>
        </is>
      </c>
      <c r="BM51" s="127" t="n"/>
      <c r="BN51" s="127" t="n"/>
      <c r="BO51" s="127" t="n"/>
      <c r="BP51" s="127" t="n">
        <v>4</v>
      </c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/>
      <c r="CA51" s="96" t="n"/>
      <c r="CB51" s="97" t="n"/>
      <c r="CC51" s="96" t="inlineStr">
        <is>
          <t>LCH06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n"/>
      <c r="CI51" s="96" t="inlineStr">
        <is>
          <t>pornnariv@scgjwd.com</t>
        </is>
      </c>
      <c r="CJ51" s="96" t="inlineStr">
        <is>
          <t>THAI POLYETHYLENE CO.,LTD.</t>
        </is>
      </c>
      <c r="CK51" s="96" t="inlineStr">
        <is>
          <t>SHANGHAI ZHONGXUAN BUSINESS CO.,LTD</t>
        </is>
      </c>
      <c r="CL51" s="96" t="inlineStr">
        <is>
          <t>SHANGHAI ZHONGXUAN BUSINESS CO.,LTD</t>
        </is>
      </c>
      <c r="CM51" s="97" t="inlineStr">
        <is>
          <t>CLOSED</t>
        </is>
      </c>
      <c r="CN51" s="96" t="inlineStr">
        <is>
          <t>202610021500</t>
        </is>
      </c>
      <c r="CO51" s="96" t="inlineStr">
        <is>
          <t>202610051200</t>
        </is>
      </c>
      <c r="CP51" s="97" t="n"/>
      <c r="CQ51" s="96" t="inlineStr">
        <is>
          <t>S19-2308041</t>
        </is>
      </c>
      <c r="CR51" s="96" t="inlineStr">
        <is>
          <t>TH0235</t>
        </is>
      </c>
      <c r="CS51" s="96" t="inlineStr">
        <is>
          <t>SCGJWD LOGISTICS PUBLIC COMPANY LIMITED</t>
        </is>
      </c>
      <c r="CT51" s="96" t="inlineStr">
        <is>
          <t>N</t>
        </is>
      </c>
      <c r="CU51" s="97" t="n"/>
      <c r="CV51" s="97" t="n"/>
      <c r="CW51" s="161" t="inlineStr">
        <is>
          <t>2026-09-28</t>
        </is>
      </c>
      <c r="CX51" s="97" t="inlineStr">
        <is>
          <t>390110</t>
        </is>
      </c>
      <c r="CY51" s="183" t="n"/>
    </row>
    <row r="52" ht="12" customHeight="1">
      <c r="A52" s="116" t="inlineStr">
        <is>
          <t>HASLS22260802360</t>
        </is>
      </c>
      <c r="B52" s="96" t="inlineStr">
        <is>
          <t>40Hx5</t>
        </is>
      </c>
      <c r="C52" s="97" t="n">
        <v>5</v>
      </c>
      <c r="D52" s="97" t="n">
        <v>5</v>
      </c>
      <c r="E52" s="97" t="n"/>
      <c r="F52" s="97" t="n">
        <v>0</v>
      </c>
      <c r="G52" s="97" t="n">
        <v>0</v>
      </c>
      <c r="H52" s="97" t="n">
        <v>0</v>
      </c>
      <c r="I52" s="97" t="n">
        <v>5</v>
      </c>
      <c r="J52" s="97" t="n">
        <v>10</v>
      </c>
      <c r="K52" s="96" t="inlineStr">
        <is>
          <t>N</t>
        </is>
      </c>
      <c r="L52" s="96" t="inlineStr">
        <is>
          <t>PCI2</t>
        </is>
      </c>
      <c r="M52" s="96" t="inlineStr">
        <is>
          <t>SWVG</t>
        </is>
      </c>
      <c r="N52" s="96" t="inlineStr">
        <is>
          <t>2612N</t>
        </is>
      </c>
      <c r="O52" s="96" t="inlineStr">
        <is>
          <t>THLCH</t>
        </is>
      </c>
      <c r="P52" s="96" t="inlineStr">
        <is>
          <t>LCH06</t>
        </is>
      </c>
      <c r="Q52" s="96" t="inlineStr">
        <is>
          <t>IA</t>
        </is>
      </c>
      <c r="R52" s="161" t="inlineStr">
        <is>
          <t>2026-10-07</t>
        </is>
      </c>
      <c r="S52" s="96" t="inlineStr">
        <is>
          <t>JPMYJ</t>
        </is>
      </c>
      <c r="T52" s="96" t="inlineStr">
        <is>
          <t>MYJ01</t>
        </is>
      </c>
      <c r="U52" s="96" t="inlineStr">
        <is>
          <t>JPMYJ</t>
        </is>
      </c>
      <c r="V52" s="161" t="inlineStr">
        <is>
          <t>2026-10-20</t>
        </is>
      </c>
      <c r="W52" s="96" t="inlineStr">
        <is>
          <t>JP</t>
        </is>
      </c>
      <c r="X52" s="97" t="n"/>
      <c r="Y52" s="97" t="inlineStr">
        <is>
          <t>PUS05</t>
        </is>
      </c>
      <c r="Z52" s="97" t="inlineStr">
        <is>
          <t>KRPUS</t>
        </is>
      </c>
      <c r="AA52" s="96" t="inlineStr">
        <is>
          <t>WHA GC LOGISTICS COMPANY LIMITED</t>
        </is>
      </c>
      <c r="AB52" s="96" t="inlineStr">
        <is>
          <t>PTT GLOBAL CHEMICAL PUBLIC COMPANY LIMITED</t>
        </is>
      </c>
      <c r="AC52" s="163" t="n">
        <v>121200</v>
      </c>
      <c r="AD52" s="163" t="n">
        <v>141200</v>
      </c>
      <c r="AE52" s="96" t="inlineStr">
        <is>
          <t>OK</t>
        </is>
      </c>
      <c r="AF52" s="96" t="n"/>
      <c r="AG52" s="97" t="n"/>
      <c r="AH52" s="96" t="inlineStr">
        <is>
          <t>CHK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TBKK13</t>
        </is>
      </c>
      <c r="AN52" s="96" t="inlineStr">
        <is>
          <t>Dharaporn</t>
        </is>
      </c>
      <c r="AO52" s="96" t="inlineStr">
        <is>
          <t>HDPE INNOPLUS</t>
        </is>
      </c>
      <c r="AP52" s="96" t="inlineStr">
        <is>
          <t>Normal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inlineStr">
        <is>
          <t>OBL</t>
        </is>
      </c>
      <c r="AZ52" s="96" t="inlineStr">
        <is>
          <t>CY-RTN 23-27/09/26
*PLS CHECK OPEN GATE BEFORE RETURN CTNR*</t>
        </is>
      </c>
      <c r="BA52" s="97" t="inlineStr">
        <is>
          <t>SI DD.18/9/26
FM SWRG 2609N DD.14/09/26
FM POD: JPTYO DD.14/09/26</t>
        </is>
      </c>
      <c r="BB52" s="96" t="inlineStr">
        <is>
          <t>P</t>
        </is>
      </c>
      <c r="BC52" s="161" t="inlineStr">
        <is>
          <t>2026-08-27</t>
        </is>
      </c>
      <c r="BD52" s="161" t="inlineStr">
        <is>
          <t>2026-09-28</t>
        </is>
      </c>
      <c r="BE52" s="96" t="inlineStr">
        <is>
          <t>Y</t>
        </is>
      </c>
      <c r="BF52" s="96" t="inlineStr">
        <is>
          <t>RESIN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LCH28</t>
        </is>
      </c>
      <c r="BL52" s="161" t="inlineStr">
        <is>
          <t>2026-09-23</t>
        </is>
      </c>
      <c r="BM52" s="127" t="n"/>
      <c r="BN52" s="127" t="n"/>
      <c r="BO52" s="127" t="n"/>
      <c r="BP52" s="127" t="n">
        <v>5</v>
      </c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>
        <v>2</v>
      </c>
      <c r="CA52" s="96" t="n"/>
      <c r="CB52" s="97" t="n"/>
      <c r="CC52" s="96" t="inlineStr">
        <is>
          <t>LCH06</t>
        </is>
      </c>
      <c r="CD52" s="97" t="n"/>
      <c r="CE52" s="97" t="n"/>
      <c r="CF52" s="96" t="inlineStr">
        <is>
          <t>0 Teu</t>
        </is>
      </c>
      <c r="CG52" s="96" t="inlineStr">
        <is>
          <t>CY/CY</t>
        </is>
      </c>
      <c r="CH52" s="97" t="inlineStr">
        <is>
          <t>POL: THLCH [SWVG/2612N]; T/S(1st): KRPUS [PCBS/2642E]; POD: JPMYJ [/]</t>
        </is>
      </c>
      <c r="CI52" s="96" t="inlineStr">
        <is>
          <t>jariya.c@wha-gc.com</t>
        </is>
      </c>
      <c r="CJ52" s="96" t="inlineStr">
        <is>
          <t>PTT GLOBAL CHEMICAL PUBLIC COMPANY</t>
        </is>
      </c>
      <c r="CK52" s="96" t="inlineStr">
        <is>
          <t>INABATA &amp; CO.,LTD</t>
        </is>
      </c>
      <c r="CL52" s="96" t="inlineStr">
        <is>
          <t>INABATA &amp; CO.,LTD</t>
        </is>
      </c>
      <c r="CM52" s="97" t="inlineStr">
        <is>
          <t>CLOSED</t>
        </is>
      </c>
      <c r="CN52" s="96" t="inlineStr">
        <is>
          <t>202610021500</t>
        </is>
      </c>
      <c r="CO52" s="96" t="inlineStr">
        <is>
          <t>202610051200</t>
        </is>
      </c>
      <c r="CP52" s="97" t="n"/>
      <c r="CQ52" s="96" t="inlineStr">
        <is>
          <t>S19-2309008</t>
        </is>
      </c>
      <c r="CR52" s="96" t="inlineStr">
        <is>
          <t>TH02GR</t>
        </is>
      </c>
      <c r="CS52" s="96" t="inlineStr">
        <is>
          <t>WHA GC LOGISTICS COMPANY LIMITED</t>
        </is>
      </c>
      <c r="CT52" s="96" t="inlineStr">
        <is>
          <t>N</t>
        </is>
      </c>
      <c r="CU52" s="97" t="n"/>
      <c r="CV52" s="97" t="n"/>
      <c r="CW52" s="161" t="inlineStr">
        <is>
          <t>2026-10-03</t>
        </is>
      </c>
      <c r="CX52" s="97" t="inlineStr">
        <is>
          <t>390120</t>
        </is>
      </c>
      <c r="CY52" s="183" t="n"/>
    </row>
    <row r="53" ht="12" customHeight="1">
      <c r="A53" s="116" t="inlineStr">
        <is>
          <t>HASLS22260901309</t>
        </is>
      </c>
      <c r="B53" s="96" t="inlineStr">
        <is>
          <t>40Hx6</t>
        </is>
      </c>
      <c r="C53" s="97" t="n">
        <v>6</v>
      </c>
      <c r="D53" s="97" t="n">
        <v>6</v>
      </c>
      <c r="E53" s="97" t="n"/>
      <c r="F53" s="97" t="n">
        <v>0</v>
      </c>
      <c r="G53" s="97" t="n">
        <v>0</v>
      </c>
      <c r="H53" s="97" t="n">
        <v>0</v>
      </c>
      <c r="I53" s="97" t="n">
        <v>6</v>
      </c>
      <c r="J53" s="97" t="n">
        <v>12</v>
      </c>
      <c r="K53" s="96" t="inlineStr">
        <is>
          <t>N</t>
        </is>
      </c>
      <c r="L53" s="96" t="inlineStr">
        <is>
          <t>PCI2</t>
        </is>
      </c>
      <c r="M53" s="96" t="inlineStr">
        <is>
          <t>SWVG</t>
        </is>
      </c>
      <c r="N53" s="96" t="inlineStr">
        <is>
          <t>2612N</t>
        </is>
      </c>
      <c r="O53" s="96" t="inlineStr">
        <is>
          <t>THLCH</t>
        </is>
      </c>
      <c r="P53" s="96" t="inlineStr">
        <is>
          <t>LCH06</t>
        </is>
      </c>
      <c r="Q53" s="96" t="inlineStr">
        <is>
          <t>IA</t>
        </is>
      </c>
      <c r="R53" s="161" t="inlineStr">
        <is>
          <t>2026-10-07</t>
        </is>
      </c>
      <c r="S53" s="96" t="inlineStr">
        <is>
          <t>CNSHA</t>
        </is>
      </c>
      <c r="T53" s="96" t="inlineStr">
        <is>
          <t>SHAW5</t>
        </is>
      </c>
      <c r="U53" s="96" t="inlineStr">
        <is>
          <t>CNSHA</t>
        </is>
      </c>
      <c r="V53" s="161" t="inlineStr">
        <is>
          <t>2026-10-13</t>
        </is>
      </c>
      <c r="W53" s="96" t="inlineStr">
        <is>
          <t>CN</t>
        </is>
      </c>
      <c r="X53" s="97" t="n"/>
      <c r="Y53" s="97" t="n"/>
      <c r="Z53" s="97" t="n"/>
      <c r="AA53" s="96" t="inlineStr">
        <is>
          <t>WHA GC LOGISTICS COMPANY LIMITED</t>
        </is>
      </c>
      <c r="AB53" s="96" t="inlineStr">
        <is>
          <t>PTT GLOBAL CHEMICAL PUBLIC COMPANY LIMITED</t>
        </is>
      </c>
      <c r="AC53" s="163" t="n">
        <v>144864</v>
      </c>
      <c r="AD53" s="163" t="n">
        <v>168864</v>
      </c>
      <c r="AE53" s="96" t="inlineStr">
        <is>
          <t>OK</t>
        </is>
      </c>
      <c r="AF53" s="96" t="n"/>
      <c r="AG53" s="97" t="n"/>
      <c r="AH53" s="96" t="inlineStr">
        <is>
          <t>CHK</t>
        </is>
      </c>
      <c r="AI53" s="97" t="inlineStr">
        <is>
          <t>OK</t>
        </is>
      </c>
      <c r="AJ53" s="97" t="n"/>
      <c r="AK53" s="97" t="n"/>
      <c r="AL53" s="97" t="n"/>
      <c r="AM53" s="96" t="inlineStr">
        <is>
          <t>TBKK13</t>
        </is>
      </c>
      <c r="AN53" s="96" t="inlineStr">
        <is>
          <t>Dharaporn</t>
        </is>
      </c>
      <c r="AO53" s="96" t="inlineStr">
        <is>
          <t>HIGH DENSITY POLYETHYLENE</t>
        </is>
      </c>
      <c r="AP53" s="96" t="inlineStr">
        <is>
          <t>PARTIAL CHILD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inlineStr">
        <is>
          <t>OBL</t>
        </is>
      </c>
      <c r="AZ53" s="96" t="inlineStr">
        <is>
          <t>CY-RTN: 23-27/09/2026</t>
        </is>
      </c>
      <c r="BA53" s="97" t="inlineStr">
        <is>
          <t>SI DD.29/9/26</t>
        </is>
      </c>
      <c r="BB53" s="96" t="inlineStr">
        <is>
          <t>P</t>
        </is>
      </c>
      <c r="BC53" s="161" t="inlineStr">
        <is>
          <t>2026-09-15</t>
        </is>
      </c>
      <c r="BD53" s="161" t="inlineStr">
        <is>
          <t>2026-09-29</t>
        </is>
      </c>
      <c r="BE53" s="96" t="inlineStr">
        <is>
          <t>Y</t>
        </is>
      </c>
      <c r="BF53" s="96" t="inlineStr">
        <is>
          <t>RESIN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LCHY5</t>
        </is>
      </c>
      <c r="BL53" s="161" t="inlineStr">
        <is>
          <t>2026-09-23</t>
        </is>
      </c>
      <c r="BM53" s="127" t="n"/>
      <c r="BN53" s="127" t="n"/>
      <c r="BO53" s="127" t="n"/>
      <c r="BP53" s="127" t="n">
        <v>6</v>
      </c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/>
      <c r="CA53" s="96" t="n"/>
      <c r="CB53" s="97" t="n"/>
      <c r="CC53" s="96" t="inlineStr">
        <is>
          <t>LCH06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n"/>
      <c r="CI53" s="96" t="inlineStr">
        <is>
          <t>jariya.c@wha-gc.com</t>
        </is>
      </c>
      <c r="CJ53" s="96" t="inlineStr">
        <is>
          <t>PTT GLOBAL CHEMICAL PUBLIC COMPANY</t>
        </is>
      </c>
      <c r="CK53" s="96" t="inlineStr">
        <is>
          <t>GC MARKETING SOLUTIONS (SHANGHAI)</t>
        </is>
      </c>
      <c r="CL53" s="96" t="inlineStr">
        <is>
          <t>GC MARKETING SOLUTIONS (SHANGHAI)</t>
        </is>
      </c>
      <c r="CM53" s="97" t="inlineStr">
        <is>
          <t>CLOSED</t>
        </is>
      </c>
      <c r="CN53" s="96" t="inlineStr">
        <is>
          <t>202610021500</t>
        </is>
      </c>
      <c r="CO53" s="96" t="inlineStr">
        <is>
          <t>202610051200</t>
        </is>
      </c>
      <c r="CP53" s="97" t="n"/>
      <c r="CQ53" s="96" t="inlineStr">
        <is>
          <t>S22-2309036</t>
        </is>
      </c>
      <c r="CR53" s="96" t="inlineStr">
        <is>
          <t>TH02GR</t>
        </is>
      </c>
      <c r="CS53" s="96" t="inlineStr">
        <is>
          <t>WHA GC LOGISTICS COMPANY LIMITED</t>
        </is>
      </c>
      <c r="CT53" s="96" t="inlineStr">
        <is>
          <t>N</t>
        </is>
      </c>
      <c r="CU53" s="97" t="n"/>
      <c r="CV53" s="97" t="n"/>
      <c r="CW53" s="161" t="inlineStr">
        <is>
          <t>2026-10-03</t>
        </is>
      </c>
      <c r="CX53" s="97" t="inlineStr">
        <is>
          <t>390120</t>
        </is>
      </c>
      <c r="CY53" s="183" t="n"/>
    </row>
    <row r="54" ht="12" customHeight="1">
      <c r="A54" s="116" t="inlineStr">
        <is>
          <t>HASLS22260801240</t>
        </is>
      </c>
      <c r="B54" s="96" t="inlineStr">
        <is>
          <t>40Hx9</t>
        </is>
      </c>
      <c r="C54" s="97" t="n">
        <v>9</v>
      </c>
      <c r="D54" s="97" t="n">
        <v>9</v>
      </c>
      <c r="E54" s="97" t="n"/>
      <c r="F54" s="97" t="n">
        <v>0</v>
      </c>
      <c r="G54" s="97" t="n">
        <v>0</v>
      </c>
      <c r="H54" s="97" t="n">
        <v>0</v>
      </c>
      <c r="I54" s="97" t="n">
        <v>9</v>
      </c>
      <c r="J54" s="97" t="n">
        <v>18</v>
      </c>
      <c r="K54" s="96" t="inlineStr">
        <is>
          <t>N</t>
        </is>
      </c>
      <c r="L54" s="96" t="inlineStr">
        <is>
          <t>PCI2</t>
        </is>
      </c>
      <c r="M54" s="96" t="inlineStr">
        <is>
          <t>SWVG</t>
        </is>
      </c>
      <c r="N54" s="96" t="inlineStr">
        <is>
          <t>2612N</t>
        </is>
      </c>
      <c r="O54" s="96" t="inlineStr">
        <is>
          <t>THLCH</t>
        </is>
      </c>
      <c r="P54" s="96" t="inlineStr">
        <is>
          <t>LCH06</t>
        </is>
      </c>
      <c r="Q54" s="96" t="inlineStr">
        <is>
          <t>IA</t>
        </is>
      </c>
      <c r="R54" s="161" t="inlineStr">
        <is>
          <t>2026-10-07</t>
        </is>
      </c>
      <c r="S54" s="96" t="inlineStr">
        <is>
          <t>CNSHA</t>
        </is>
      </c>
      <c r="T54" s="96" t="inlineStr">
        <is>
          <t>SHAW5</t>
        </is>
      </c>
      <c r="U54" s="96" t="inlineStr">
        <is>
          <t>CNSHA</t>
        </is>
      </c>
      <c r="V54" s="161" t="inlineStr">
        <is>
          <t>2026-10-13</t>
        </is>
      </c>
      <c r="W54" s="96" t="inlineStr">
        <is>
          <t>CN</t>
        </is>
      </c>
      <c r="X54" s="97" t="n"/>
      <c r="Y54" s="97" t="n"/>
      <c r="Z54" s="97" t="n"/>
      <c r="AA54" s="96" t="inlineStr">
        <is>
          <t>WHA GC LOGISTICS COMPANY LIMITED</t>
        </is>
      </c>
      <c r="AB54" s="96" t="inlineStr">
        <is>
          <t>PTT GLOBAL CHEMICAL PUBLIC COMPANY LIMITED</t>
        </is>
      </c>
      <c r="AC54" s="163" t="n">
        <v>224977.5</v>
      </c>
      <c r="AD54" s="163" t="n">
        <v>260977.5</v>
      </c>
      <c r="AE54" s="96" t="inlineStr">
        <is>
          <t>OK</t>
        </is>
      </c>
      <c r="AF54" s="96" t="n"/>
      <c r="AG54" s="97" t="n"/>
      <c r="AH54" s="96" t="inlineStr">
        <is>
          <t>CHK</t>
        </is>
      </c>
      <c r="AI54" s="97" t="inlineStr">
        <is>
          <t>OK</t>
        </is>
      </c>
      <c r="AJ54" s="97" t="n"/>
      <c r="AK54" s="97" t="n"/>
      <c r="AL54" s="97" t="n"/>
      <c r="AM54" s="96" t="inlineStr">
        <is>
          <t>TBKK13</t>
        </is>
      </c>
      <c r="AN54" s="96" t="inlineStr">
        <is>
          <t>Dharaporn</t>
        </is>
      </c>
      <c r="AO54" s="96" t="inlineStr">
        <is>
          <t>HIGH DENSITY POLYETHYLENE (HDPE)</t>
        </is>
      </c>
      <c r="AP54" s="96" t="inlineStr">
        <is>
          <t>Normal</t>
        </is>
      </c>
      <c r="AQ54" s="97" t="n"/>
      <c r="AR54" s="97" t="n"/>
      <c r="AS54" s="97" t="n"/>
      <c r="AT54" s="97" t="n"/>
      <c r="AU54" s="97" t="n"/>
      <c r="AV54" s="97" t="n"/>
      <c r="AW54" s="97" t="n">
        <v>0</v>
      </c>
      <c r="AX54" s="96" t="inlineStr">
        <is>
          <t>N</t>
        </is>
      </c>
      <c r="AY54" s="97" t="n"/>
      <c r="AZ54" s="96" t="inlineStr">
        <is>
          <t>CY-RTN : 22-25/09/2026</t>
        </is>
      </c>
      <c r="BA54" s="97" t="inlineStr">
        <is>
          <t>SI DD.22/9/26
FM SWRG 2608N BY K'NUI DD.25/08/2026
FM 6X40HQ USE SPACE TO HASLS22260802629, HASLS22260802502, HASLS22260802503 
FM YSVY 2607N DD.08/09/26</t>
        </is>
      </c>
      <c r="BB54" s="96" t="inlineStr">
        <is>
          <t>P</t>
        </is>
      </c>
      <c r="BC54" s="161" t="inlineStr">
        <is>
          <t>2026-08-17</t>
        </is>
      </c>
      <c r="BD54" s="161" t="inlineStr">
        <is>
          <t>2026-10-07</t>
        </is>
      </c>
      <c r="BE54" s="96" t="inlineStr">
        <is>
          <t>Y</t>
        </is>
      </c>
      <c r="BF54" s="96" t="inlineStr">
        <is>
          <t>RESIN</t>
        </is>
      </c>
      <c r="BG54" s="96" t="inlineStr">
        <is>
          <t>Line</t>
        </is>
      </c>
      <c r="BH54" s="96" t="inlineStr">
        <is>
          <t>S22</t>
        </is>
      </c>
      <c r="BI54" s="97" t="n"/>
      <c r="BJ54" s="97" t="n"/>
      <c r="BK54" s="96" t="inlineStr">
        <is>
          <t>LCH27</t>
        </is>
      </c>
      <c r="BL54" s="161" t="inlineStr">
        <is>
          <t>2026-09-22</t>
        </is>
      </c>
      <c r="BM54" s="127" t="n"/>
      <c r="BN54" s="127" t="n"/>
      <c r="BO54" s="127" t="n"/>
      <c r="BP54" s="127" t="n">
        <v>9</v>
      </c>
      <c r="BQ54" s="127" t="n"/>
      <c r="BR54" s="127" t="n"/>
      <c r="BS54" s="127" t="n"/>
      <c r="BT54" s="127" t="n"/>
      <c r="BU54" s="127" t="n"/>
      <c r="BV54" s="127" t="n"/>
      <c r="BW54" s="127" t="n"/>
      <c r="BX54" s="127" t="n"/>
      <c r="BY54" s="96" t="inlineStr">
        <is>
          <t>FULL</t>
        </is>
      </c>
      <c r="BZ54" s="97" t="n"/>
      <c r="CA54" s="96" t="n"/>
      <c r="CB54" s="97" t="n"/>
      <c r="CC54" s="96" t="inlineStr">
        <is>
          <t>LCH06</t>
        </is>
      </c>
      <c r="CD54" s="97" t="n"/>
      <c r="CE54" s="97" t="n"/>
      <c r="CF54" s="96" t="inlineStr">
        <is>
          <t>0 Teu</t>
        </is>
      </c>
      <c r="CG54" s="96" t="inlineStr">
        <is>
          <t>CY/CY</t>
        </is>
      </c>
      <c r="CH54" s="97" t="n"/>
      <c r="CI54" s="96" t="inlineStr">
        <is>
          <t>jariya.c@wha-gc.com</t>
        </is>
      </c>
      <c r="CJ54" s="96" t="inlineStr">
        <is>
          <t>PTT GLOBAL CHEMICAL PUBLIC COMPANY</t>
        </is>
      </c>
      <c r="CK54" s="96" t="inlineStr">
        <is>
          <t>GC MARKETING SOLUTIONS (SHANGHAI)</t>
        </is>
      </c>
      <c r="CL54" s="96" t="inlineStr">
        <is>
          <t>GC MARKETING SOLUTIONS (SHANGHAI)</t>
        </is>
      </c>
      <c r="CM54" s="97" t="n"/>
      <c r="CN54" s="96" t="inlineStr">
        <is>
          <t>202610021500</t>
        </is>
      </c>
      <c r="CO54" s="96" t="inlineStr">
        <is>
          <t>202610051200</t>
        </is>
      </c>
      <c r="CP54" s="97" t="n"/>
      <c r="CQ54" s="96" t="inlineStr">
        <is>
          <t>S22-2309036</t>
        </is>
      </c>
      <c r="CR54" s="96" t="inlineStr">
        <is>
          <t>TH02GR</t>
        </is>
      </c>
      <c r="CS54" s="96" t="inlineStr">
        <is>
          <t>WHA GC LOGISTICS COMPANY LIMITED</t>
        </is>
      </c>
      <c r="CT54" s="96" t="inlineStr">
        <is>
          <t>N</t>
        </is>
      </c>
      <c r="CU54" s="97" t="n"/>
      <c r="CV54" s="97" t="n"/>
      <c r="CW54" s="161" t="inlineStr">
        <is>
          <t>2026-10-07</t>
        </is>
      </c>
      <c r="CX54" s="97" t="inlineStr">
        <is>
          <t>390120</t>
        </is>
      </c>
      <c r="CY54" s="183" t="n"/>
    </row>
    <row r="55" ht="12" customHeight="1">
      <c r="A55" s="116" t="inlineStr">
        <is>
          <t xml:space="preserve">TOTAL </t>
        </is>
      </c>
      <c r="B55" s="96" t="inlineStr">
        <is>
          <t>2</t>
        </is>
      </c>
      <c r="C55" s="97" t="n"/>
      <c r="D55" s="97" t="n"/>
      <c r="E55" s="97" t="n"/>
      <c r="F55" s="97" t="n">
        <v>0</v>
      </c>
      <c r="G55" s="97" t="n">
        <v>47</v>
      </c>
      <c r="H55" s="97" t="n">
        <v>0</v>
      </c>
      <c r="I55" s="97" t="n">
        <v>97</v>
      </c>
      <c r="J55" s="97" t="n">
        <v>241</v>
      </c>
      <c r="K55" s="96" t="n"/>
      <c r="L55" s="96" t="n"/>
      <c r="M55" s="96" t="n"/>
      <c r="N55" s="96" t="n"/>
      <c r="O55" s="96" t="n"/>
      <c r="P55" s="96" t="n"/>
      <c r="Q55" s="96" t="n"/>
      <c r="R55" s="161" t="n"/>
      <c r="S55" s="96" t="n"/>
      <c r="T55" s="96" t="n"/>
      <c r="U55" s="96" t="n"/>
      <c r="V55" s="161" t="n"/>
      <c r="W55" s="96" t="n"/>
      <c r="X55" s="97" t="n"/>
      <c r="Y55" s="97" t="n"/>
      <c r="Z55" s="97" t="n"/>
      <c r="AA55" s="96" t="n"/>
      <c r="AB55" s="96" t="n"/>
      <c r="AC55" s="163" t="n">
        <v>3099588.045</v>
      </c>
      <c r="AD55" s="163" t="n">
        <v>3590988.045</v>
      </c>
      <c r="AE55" s="96" t="n"/>
      <c r="AF55" s="96" t="n"/>
      <c r="AG55" s="97" t="n"/>
      <c r="AH55" s="96" t="n"/>
      <c r="AI55" s="97" t="n"/>
      <c r="AJ55" s="97" t="n"/>
      <c r="AK55" s="97" t="n"/>
      <c r="AL55" s="97" t="n"/>
      <c r="AM55" s="96" t="n"/>
      <c r="AN55" s="96" t="n"/>
      <c r="AO55" s="96" t="n"/>
      <c r="AP55" s="96" t="n"/>
      <c r="AQ55" s="97" t="n"/>
      <c r="AR55" s="97" t="n"/>
      <c r="AS55" s="97" t="n"/>
      <c r="AT55" s="97" t="n"/>
      <c r="AU55" s="97" t="n"/>
      <c r="AV55" s="97" t="n"/>
      <c r="AW55" s="97" t="n"/>
      <c r="AX55" s="96" t="n"/>
      <c r="AY55" s="97" t="n"/>
      <c r="AZ55" s="96" t="n"/>
      <c r="BA55" s="97" t="n"/>
      <c r="BB55" s="96" t="n"/>
      <c r="BC55" s="161" t="n"/>
      <c r="BD55" s="161" t="n"/>
      <c r="BE55" s="96" t="n"/>
      <c r="BF55" s="96" t="n"/>
      <c r="BG55" s="96" t="n"/>
      <c r="BH55" s="96" t="n"/>
      <c r="BI55" s="97" t="n"/>
      <c r="BJ55" s="97" t="n"/>
      <c r="BK55" s="96" t="n"/>
      <c r="BL55" s="161" t="n"/>
      <c r="BM55" s="127" t="n">
        <v>0</v>
      </c>
      <c r="BN55" s="127" t="n">
        <v>47</v>
      </c>
      <c r="BO55" s="127" t="n">
        <v>0</v>
      </c>
      <c r="BP55" s="127" t="n">
        <v>97</v>
      </c>
      <c r="BQ55" s="127" t="n">
        <v>0</v>
      </c>
      <c r="BR55" s="127" t="n">
        <v>0</v>
      </c>
      <c r="BS55" s="127" t="n">
        <v>0</v>
      </c>
      <c r="BT55" s="127" t="n">
        <v>0</v>
      </c>
      <c r="BU55" s="127" t="n">
        <v>0</v>
      </c>
      <c r="BV55" s="127" t="n">
        <v>0</v>
      </c>
      <c r="BW55" s="127" t="n">
        <v>0</v>
      </c>
      <c r="BX55" s="127" t="n">
        <v>0</v>
      </c>
      <c r="BY55" s="96" t="n"/>
      <c r="BZ55" s="97" t="n"/>
      <c r="CA55" s="96" t="n"/>
      <c r="CB55" s="97" t="n"/>
      <c r="CC55" s="96" t="n"/>
      <c r="CD55" s="97" t="n"/>
      <c r="CE55" s="97" t="n"/>
      <c r="CF55" s="96" t="n"/>
      <c r="CG55" s="96" t="n"/>
      <c r="CH55" s="97" t="n"/>
      <c r="CI55" s="96" t="n"/>
      <c r="CJ55" s="96" t="n"/>
      <c r="CK55" s="96" t="n"/>
      <c r="CL55" s="96" t="n"/>
      <c r="CM55" s="97" t="n"/>
      <c r="CN55" s="96" t="n"/>
      <c r="CO55" s="96" t="n"/>
      <c r="CP55" s="97" t="n"/>
      <c r="CQ55" s="96" t="n"/>
      <c r="CR55" s="96" t="n"/>
      <c r="CS55" s="96" t="n"/>
      <c r="CT55" s="96" t="n"/>
      <c r="CU55" s="97" t="n"/>
      <c r="CV55" s="97" t="n"/>
      <c r="CW55" s="161" t="n"/>
      <c r="CX55" s="97" t="n"/>
      <c r="CY55" s="183" t="n"/>
    </row>
    <row r="56" ht="12" customHeight="1">
      <c r="A56" s="116" t="inlineStr">
        <is>
          <t xml:space="preserve">COC </t>
        </is>
      </c>
      <c r="B56" s="96" t="inlineStr">
        <is>
          <t>0</t>
        </is>
      </c>
      <c r="C56" s="97" t="n"/>
      <c r="D56" s="97" t="n"/>
      <c r="E56" s="97" t="n"/>
      <c r="F56" s="97" t="n">
        <v>0</v>
      </c>
      <c r="G56" s="97" t="n">
        <v>47</v>
      </c>
      <c r="H56" s="97" t="n">
        <v>0</v>
      </c>
      <c r="I56" s="97" t="n">
        <v>96</v>
      </c>
      <c r="J56" s="97" t="n">
        <v>239</v>
      </c>
      <c r="K56" s="96" t="n"/>
      <c r="L56" s="96" t="n"/>
      <c r="M56" s="96" t="n"/>
      <c r="N56" s="96" t="n"/>
      <c r="O56" s="96" t="n"/>
      <c r="P56" s="96" t="n"/>
      <c r="Q56" s="96" t="n"/>
      <c r="R56" s="161" t="n"/>
      <c r="S56" s="96" t="n"/>
      <c r="T56" s="96" t="n"/>
      <c r="U56" s="96" t="n"/>
      <c r="V56" s="161" t="n"/>
      <c r="W56" s="96" t="n"/>
      <c r="X56" s="97" t="n"/>
      <c r="Y56" s="97" t="n"/>
      <c r="Z56" s="97" t="n"/>
      <c r="AA56" s="96" t="n"/>
      <c r="AB56" s="96" t="n"/>
      <c r="AC56" s="163" t="n"/>
      <c r="AD56" s="163" t="n"/>
      <c r="AE56" s="96" t="n"/>
      <c r="AF56" s="96" t="n"/>
      <c r="AG56" s="97" t="n"/>
      <c r="AH56" s="96" t="n"/>
      <c r="AI56" s="97" t="n"/>
      <c r="AJ56" s="97" t="n"/>
      <c r="AK56" s="97" t="n"/>
      <c r="AL56" s="97" t="n"/>
      <c r="AM56" s="96" t="n"/>
      <c r="AN56" s="96" t="n"/>
      <c r="AO56" s="96" t="n"/>
      <c r="AP56" s="96" t="n"/>
      <c r="AQ56" s="97" t="n"/>
      <c r="AR56" s="97" t="n"/>
      <c r="AS56" s="97" t="n"/>
      <c r="AT56" s="97" t="n"/>
      <c r="AU56" s="97" t="n"/>
      <c r="AV56" s="97" t="n"/>
      <c r="AW56" s="97" t="n"/>
      <c r="AX56" s="96" t="n"/>
      <c r="AY56" s="97" t="n"/>
      <c r="AZ56" s="96" t="n"/>
      <c r="BA56" s="97" t="n"/>
      <c r="BB56" s="96" t="n"/>
      <c r="BC56" s="161" t="n"/>
      <c r="BD56" s="161" t="n"/>
      <c r="BE56" s="96" t="n"/>
      <c r="BF56" s="96" t="n"/>
      <c r="BG56" s="96" t="n"/>
      <c r="BH56" s="96" t="n"/>
      <c r="BI56" s="97" t="n"/>
      <c r="BJ56" s="97" t="n"/>
      <c r="BK56" s="96" t="n"/>
      <c r="BL56" s="161" t="n"/>
      <c r="BM56" s="127" t="n"/>
      <c r="BN56" s="127" t="n"/>
      <c r="BO56" s="127" t="n"/>
      <c r="BP56" s="127" t="n"/>
      <c r="BQ56" s="127" t="n"/>
      <c r="BR56" s="127" t="n"/>
      <c r="BS56" s="127" t="n"/>
      <c r="BT56" s="127" t="n"/>
      <c r="BU56" s="127" t="n"/>
      <c r="BV56" s="127" t="n"/>
      <c r="BW56" s="127" t="n"/>
      <c r="BX56" s="127" t="n"/>
      <c r="BY56" s="96" t="n"/>
      <c r="BZ56" s="97" t="n"/>
      <c r="CA56" s="96" t="n"/>
      <c r="CB56" s="97" t="n"/>
      <c r="CC56" s="96" t="n"/>
      <c r="CD56" s="97" t="n"/>
      <c r="CE56" s="97" t="n"/>
      <c r="CF56" s="96" t="n"/>
      <c r="CG56" s="96" t="n"/>
      <c r="CH56" s="97" t="n"/>
      <c r="CI56" s="96" t="n"/>
      <c r="CJ56" s="96" t="n"/>
      <c r="CK56" s="96" t="n"/>
      <c r="CL56" s="96" t="n"/>
      <c r="CM56" s="97" t="n"/>
      <c r="CN56" s="96" t="n"/>
      <c r="CO56" s="96" t="n"/>
      <c r="CP56" s="97" t="n"/>
      <c r="CQ56" s="96" t="n"/>
      <c r="CR56" s="96" t="n"/>
      <c r="CS56" s="96" t="n"/>
      <c r="CT56" s="96" t="n"/>
      <c r="CU56" s="97" t="n"/>
      <c r="CV56" s="97" t="n"/>
      <c r="CW56" s="161" t="n"/>
      <c r="CX56" s="97" t="n"/>
      <c r="CY56" s="183" t="n"/>
    </row>
    <row r="57" ht="12" customHeight="1">
      <c r="A57" s="116" t="inlineStr">
        <is>
          <t xml:space="preserve">SOC </t>
        </is>
      </c>
      <c r="B57" s="96" t="inlineStr">
        <is>
          <t>0</t>
        </is>
      </c>
      <c r="C57" s="97" t="n"/>
      <c r="D57" s="97" t="n"/>
      <c r="E57" s="97" t="n"/>
      <c r="F57" s="97" t="n">
        <v>0</v>
      </c>
      <c r="G57" s="97" t="n">
        <v>0</v>
      </c>
      <c r="H57" s="97" t="n">
        <v>0</v>
      </c>
      <c r="I57" s="97" t="n">
        <v>1</v>
      </c>
      <c r="J57" s="97" t="n">
        <v>2</v>
      </c>
      <c r="K57" s="96" t="n"/>
      <c r="L57" s="96" t="n"/>
      <c r="M57" s="96" t="n"/>
      <c r="N57" s="96" t="n"/>
      <c r="O57" s="96" t="n"/>
      <c r="P57" s="96" t="n"/>
      <c r="Q57" s="96" t="n"/>
      <c r="R57" s="161" t="n"/>
      <c r="S57" s="96" t="n"/>
      <c r="T57" s="96" t="n"/>
      <c r="U57" s="96" t="n"/>
      <c r="V57" s="161" t="n"/>
      <c r="W57" s="96" t="n"/>
      <c r="X57" s="97" t="n"/>
      <c r="Y57" s="97" t="n"/>
      <c r="Z57" s="97" t="n"/>
      <c r="AA57" s="96" t="n"/>
      <c r="AB57" s="96" t="n"/>
      <c r="AC57" s="163" t="n"/>
      <c r="AD57" s="163" t="n"/>
      <c r="AE57" s="96" t="n"/>
      <c r="AF57" s="96" t="n"/>
      <c r="AG57" s="97" t="n"/>
      <c r="AH57" s="96" t="n"/>
      <c r="AI57" s="97" t="n"/>
      <c r="AJ57" s="97" t="n"/>
      <c r="AK57" s="97" t="n"/>
      <c r="AL57" s="97" t="n"/>
      <c r="AM57" s="96" t="n"/>
      <c r="AN57" s="96" t="n"/>
      <c r="AO57" s="96" t="n"/>
      <c r="AP57" s="96" t="n"/>
      <c r="AQ57" s="97" t="n"/>
      <c r="AR57" s="97" t="n"/>
      <c r="AS57" s="97" t="n"/>
      <c r="AT57" s="97" t="n"/>
      <c r="AU57" s="97" t="n"/>
      <c r="AV57" s="97" t="n"/>
      <c r="AW57" s="97" t="n"/>
      <c r="AX57" s="96" t="n"/>
      <c r="AY57" s="97" t="n"/>
      <c r="AZ57" s="96" t="n"/>
      <c r="BA57" s="97" t="n"/>
      <c r="BB57" s="96" t="n"/>
      <c r="BC57" s="161" t="n"/>
      <c r="BD57" s="161" t="n"/>
      <c r="BE57" s="96" t="n"/>
      <c r="BF57" s="96" t="n"/>
      <c r="BG57" s="96" t="n"/>
      <c r="BH57" s="96" t="n"/>
      <c r="BI57" s="97" t="n"/>
      <c r="BJ57" s="97" t="n"/>
      <c r="BK57" s="96" t="n"/>
      <c r="BL57" s="161" t="n"/>
      <c r="BM57" s="127" t="n"/>
      <c r="BN57" s="127" t="n"/>
      <c r="BO57" s="127" t="n"/>
      <c r="BP57" s="127" t="n"/>
      <c r="BQ57" s="127" t="n"/>
      <c r="BR57" s="127" t="n"/>
      <c r="BS57" s="127" t="n"/>
      <c r="BT57" s="127" t="n"/>
      <c r="BU57" s="127" t="n"/>
      <c r="BV57" s="127" t="n"/>
      <c r="BW57" s="127" t="n"/>
      <c r="BX57" s="127" t="n"/>
      <c r="BY57" s="96" t="n"/>
      <c r="BZ57" s="97" t="n"/>
      <c r="CA57" s="96" t="n"/>
      <c r="CB57" s="97" t="n"/>
      <c r="CC57" s="96" t="n"/>
      <c r="CD57" s="97" t="n"/>
      <c r="CE57" s="97" t="n"/>
      <c r="CF57" s="96" t="n"/>
      <c r="CG57" s="96" t="n"/>
      <c r="CH57" s="97" t="n"/>
      <c r="CI57" s="96" t="n"/>
      <c r="CJ57" s="96" t="n"/>
      <c r="CK57" s="96" t="n"/>
      <c r="CL57" s="96" t="n"/>
      <c r="CM57" s="97" t="n"/>
      <c r="CN57" s="96" t="n"/>
      <c r="CO57" s="96" t="n"/>
      <c r="CP57" s="97" t="n"/>
      <c r="CQ57" s="96" t="n"/>
      <c r="CR57" s="96" t="n"/>
      <c r="CS57" s="96" t="n"/>
      <c r="CT57" s="96" t="n"/>
      <c r="CU57" s="97" t="n"/>
      <c r="CV57" s="97" t="n"/>
      <c r="CW57" s="161" t="n"/>
      <c r="CX57" s="97" t="n"/>
      <c r="CY57" s="183" t="n"/>
    </row>
    <row r="58" ht="12" customHeight="1">
      <c r="A58" s="116" t="inlineStr">
        <is>
          <t>53</t>
        </is>
      </c>
      <c r="B58" s="96" t="inlineStr">
        <is>
          <t>144</t>
        </is>
      </c>
      <c r="C58" s="97" t="n"/>
      <c r="D58" s="97" t="n"/>
      <c r="E58" s="97" t="n"/>
      <c r="F58" s="97" t="n"/>
      <c r="G58" s="97" t="n"/>
      <c r="H58" s="97" t="n"/>
      <c r="I58" s="97" t="n"/>
      <c r="J58" s="97" t="n"/>
      <c r="K58" s="96" t="n"/>
      <c r="L58" s="96" t="n"/>
      <c r="M58" s="96" t="n"/>
      <c r="N58" s="96" t="n"/>
      <c r="O58" s="96" t="n"/>
      <c r="P58" s="96" t="n"/>
      <c r="Q58" s="96" t="n"/>
      <c r="R58" s="161" t="n"/>
      <c r="S58" s="96" t="n"/>
      <c r="T58" s="96" t="n"/>
      <c r="U58" s="96" t="n"/>
      <c r="V58" s="161" t="n"/>
      <c r="W58" s="96" t="n"/>
      <c r="X58" s="97" t="n"/>
      <c r="Y58" s="97" t="n"/>
      <c r="Z58" s="97" t="n"/>
      <c r="AA58" s="96" t="n"/>
      <c r="AB58" s="96" t="n"/>
      <c r="AC58" s="163" t="n"/>
      <c r="AD58" s="163" t="n"/>
      <c r="AE58" s="96" t="n"/>
      <c r="AF58" s="96" t="n"/>
      <c r="AG58" s="97" t="n"/>
      <c r="AH58" s="96" t="n"/>
      <c r="AI58" s="97" t="n"/>
      <c r="AJ58" s="97" t="n"/>
      <c r="AK58" s="97" t="n"/>
      <c r="AL58" s="97" t="n"/>
      <c r="AM58" s="96" t="n"/>
      <c r="AN58" s="96" t="n"/>
      <c r="AO58" s="96" t="n"/>
      <c r="AP58" s="96" t="n"/>
      <c r="AQ58" s="97" t="n"/>
      <c r="AR58" s="97" t="n"/>
      <c r="AS58" s="97" t="n"/>
      <c r="AT58" s="97" t="n"/>
      <c r="AU58" s="97" t="n"/>
      <c r="AV58" s="97" t="n"/>
      <c r="AW58" s="97" t="n"/>
      <c r="AX58" s="96" t="n"/>
      <c r="AY58" s="97" t="n"/>
      <c r="AZ58" s="96" t="n"/>
      <c r="BA58" s="97" t="n"/>
      <c r="BB58" s="96" t="n"/>
      <c r="BC58" s="161" t="n"/>
      <c r="BD58" s="161" t="n"/>
      <c r="BE58" s="96" t="n"/>
      <c r="BF58" s="96" t="n"/>
      <c r="BG58" s="96" t="n"/>
      <c r="BH58" s="96" t="n"/>
      <c r="BI58" s="97" t="n"/>
      <c r="BJ58" s="97" t="n"/>
      <c r="BK58" s="96" t="n"/>
      <c r="BL58" s="161" t="n"/>
      <c r="BM58" s="127" t="n"/>
      <c r="BN58" s="127" t="n"/>
      <c r="BO58" s="127" t="n"/>
      <c r="BP58" s="127" t="n"/>
      <c r="BQ58" s="127" t="n"/>
      <c r="BR58" s="127" t="n"/>
      <c r="BS58" s="127" t="n"/>
      <c r="BT58" s="127" t="n"/>
      <c r="BU58" s="127" t="n"/>
      <c r="BV58" s="127" t="n"/>
      <c r="BW58" s="127" t="n"/>
      <c r="BX58" s="127" t="n"/>
      <c r="BY58" s="96" t="n"/>
      <c r="BZ58" s="97" t="n"/>
      <c r="CA58" s="96" t="n"/>
      <c r="CB58" s="97" t="n"/>
      <c r="CC58" s="96" t="n"/>
      <c r="CD58" s="97" t="n"/>
      <c r="CE58" s="97" t="n"/>
      <c r="CF58" s="96" t="n"/>
      <c r="CG58" s="96" t="n"/>
      <c r="CH58" s="97" t="n"/>
      <c r="CI58" s="96" t="n"/>
      <c r="CJ58" s="96" t="n"/>
      <c r="CK58" s="96" t="n"/>
      <c r="CL58" s="96" t="n"/>
      <c r="CM58" s="97" t="n"/>
      <c r="CN58" s="96" t="n"/>
      <c r="CO58" s="96" t="n"/>
      <c r="CP58" s="97" t="n"/>
      <c r="CQ58" s="96" t="n"/>
      <c r="CR58" s="96" t="n"/>
      <c r="CS58" s="96" t="n"/>
      <c r="CT58" s="96" t="n"/>
      <c r="CU58" s="97" t="n"/>
      <c r="CV58" s="97" t="n"/>
      <c r="CW58" s="161" t="n"/>
      <c r="CX58" s="97" t="n"/>
      <c r="CY58" s="183" t="n"/>
    </row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87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BEAU2989465</t>
        </is>
      </c>
      <c r="B2" s="108" t="inlineStr">
        <is>
          <t>LCH06</t>
        </is>
      </c>
      <c r="C2" s="108" t="inlineStr">
        <is>
          <t>IFV</t>
        </is>
      </c>
      <c r="D2" s="172" t="inlineStr">
        <is>
          <t>2026-10-03</t>
        </is>
      </c>
      <c r="E2" s="173" t="inlineStr">
        <is>
          <t>0356</t>
        </is>
      </c>
      <c r="F2" s="96" t="inlineStr">
        <is>
          <t>HASLS22260901582</t>
        </is>
      </c>
      <c r="G2" s="96" t="inlineStr">
        <is>
          <t>SCGJWD LOGISTICS PUBLIC COMPANY LIMITED</t>
        </is>
      </c>
      <c r="H2" s="111" t="inlineStr">
        <is>
          <t>22GP</t>
        </is>
      </c>
      <c r="I2" s="96" t="inlineStr">
        <is>
          <t>FTP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HASLS22260901582</t>
        </is>
      </c>
      <c r="N2" s="96" t="inlineStr">
        <is>
          <t xml:space="preserve">20'x5 </t>
        </is>
      </c>
      <c r="O2" s="111" t="inlineStr">
        <is>
          <t>2017</t>
        </is>
      </c>
      <c r="P2" s="111" t="n"/>
      <c r="Q2" s="111" t="n"/>
      <c r="R2" s="96" t="inlineStr">
        <is>
          <t>SWVG</t>
        </is>
      </c>
      <c r="S2" s="96" t="inlineStr">
        <is>
          <t>2612N</t>
        </is>
      </c>
      <c r="T2" s="96" t="inlineStr">
        <is>
          <t>LCH06</t>
        </is>
      </c>
      <c r="U2" s="96" t="inlineStr">
        <is>
          <t>THLCH</t>
        </is>
      </c>
      <c r="V2" s="161" t="inlineStr">
        <is>
          <t>2026-10-07</t>
        </is>
      </c>
      <c r="W2" s="96" t="inlineStr">
        <is>
          <t>JPMOJ</t>
        </is>
      </c>
      <c r="X2" s="161" t="inlineStr">
        <is>
          <t>2026-10-15</t>
        </is>
      </c>
      <c r="Y2" s="97" t="n"/>
      <c r="Z2" s="97" t="n"/>
      <c r="AA2" s="97" t="n"/>
      <c r="AB2" s="97" t="n"/>
      <c r="AC2" s="97" t="n"/>
      <c r="AD2" s="161" t="inlineStr">
        <is>
          <t>2026-10-03</t>
        </is>
      </c>
      <c r="AE2" s="174" t="inlineStr">
        <is>
          <t>0718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TOYOTSU CHEMIPLAS CORPORATION,</t>
        </is>
      </c>
      <c r="AK2" s="130" t="n"/>
    </row>
    <row r="3" ht="12" customHeight="1">
      <c r="A3" s="108" t="inlineStr">
        <is>
          <t>BMOU5940421</t>
        </is>
      </c>
      <c r="B3" s="108" t="inlineStr">
        <is>
          <t>LCH06</t>
        </is>
      </c>
      <c r="C3" s="108" t="inlineStr">
        <is>
          <t>IFV</t>
        </is>
      </c>
      <c r="D3" s="172" t="inlineStr">
        <is>
          <t>2026-09-19</t>
        </is>
      </c>
      <c r="E3" s="173" t="inlineStr">
        <is>
          <t>1944</t>
        </is>
      </c>
      <c r="F3" s="96" t="inlineStr">
        <is>
          <t>HASLS22260901668</t>
        </is>
      </c>
      <c r="G3" s="96" t="inlineStr">
        <is>
          <t>BARKLAYS LOGISTICS (THAILAND) CO., LTD.</t>
        </is>
      </c>
      <c r="H3" s="111" t="inlineStr">
        <is>
          <t>45GP</t>
        </is>
      </c>
      <c r="I3" s="96" t="inlineStr">
        <is>
          <t>FTP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HASLS22260901668</t>
        </is>
      </c>
      <c r="N3" s="96" t="inlineStr">
        <is>
          <t xml:space="preserve">40Hx15 </t>
        </is>
      </c>
      <c r="O3" s="111" t="inlineStr">
        <is>
          <t>2014</t>
        </is>
      </c>
      <c r="P3" s="111" t="n"/>
      <c r="Q3" s="111" t="n"/>
      <c r="R3" s="96" t="inlineStr">
        <is>
          <t>HAB</t>
        </is>
      </c>
      <c r="S3" s="96" t="inlineStr">
        <is>
          <t>2611N</t>
        </is>
      </c>
      <c r="T3" s="96" t="inlineStr">
        <is>
          <t>LCH06</t>
        </is>
      </c>
      <c r="U3" s="96" t="inlineStr">
        <is>
          <t>THLCH</t>
        </is>
      </c>
      <c r="V3" s="161" t="inlineStr">
        <is>
          <t>2026-10-07</t>
        </is>
      </c>
      <c r="W3" s="96" t="inlineStr">
        <is>
          <t>CNSHA</t>
        </is>
      </c>
      <c r="X3" s="161" t="inlineStr">
        <is>
          <t>2026-10-13</t>
        </is>
      </c>
      <c r="Y3" s="97" t="n"/>
      <c r="Z3" s="97" t="n"/>
      <c r="AA3" s="97" t="n"/>
      <c r="AB3" s="97" t="n"/>
      <c r="AC3" s="97" t="n"/>
      <c r="AD3" s="161" t="inlineStr">
        <is>
          <t>2026-09-19</t>
        </is>
      </c>
      <c r="AE3" s="174" t="inlineStr">
        <is>
          <t>2221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BARKLAYS LOGISTICS (SHANGHAI)</t>
        </is>
      </c>
      <c r="AK3" s="130" t="n"/>
    </row>
    <row r="4" ht="12" customHeight="1">
      <c r="A4" s="108" t="inlineStr">
        <is>
          <t>CRSU9338660</t>
        </is>
      </c>
      <c r="B4" s="108" t="inlineStr">
        <is>
          <t>LCH06</t>
        </is>
      </c>
      <c r="C4" s="108" t="inlineStr">
        <is>
          <t>IFV</t>
        </is>
      </c>
      <c r="D4" s="172" t="inlineStr">
        <is>
          <t>2026-09-29</t>
        </is>
      </c>
      <c r="E4" s="173" t="inlineStr">
        <is>
          <t>1025</t>
        </is>
      </c>
      <c r="F4" s="96" t="inlineStr">
        <is>
          <t>HASLS22260802360</t>
        </is>
      </c>
      <c r="G4" s="96" t="inlineStr">
        <is>
          <t>WHA GC LOGISTICS COMPANY LIMITED</t>
        </is>
      </c>
      <c r="H4" s="111" t="inlineStr">
        <is>
          <t>45GP</t>
        </is>
      </c>
      <c r="I4" s="96" t="inlineStr">
        <is>
          <t>FTP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HASLS22260802360</t>
        </is>
      </c>
      <c r="N4" s="96" t="inlineStr">
        <is>
          <t xml:space="preserve">40Hx5 </t>
        </is>
      </c>
      <c r="O4" s="111" t="inlineStr">
        <is>
          <t>2011</t>
        </is>
      </c>
      <c r="P4" s="111" t="n"/>
      <c r="Q4" s="111" t="n"/>
      <c r="R4" s="96" t="inlineStr">
        <is>
          <t>SWVG</t>
        </is>
      </c>
      <c r="S4" s="96" t="inlineStr">
        <is>
          <t>2612N</t>
        </is>
      </c>
      <c r="T4" s="96" t="inlineStr">
        <is>
          <t>LCH06</t>
        </is>
      </c>
      <c r="U4" s="96" t="inlineStr">
        <is>
          <t>THLCH</t>
        </is>
      </c>
      <c r="V4" s="161" t="inlineStr">
        <is>
          <t>2026-10-07</t>
        </is>
      </c>
      <c r="W4" s="96" t="inlineStr">
        <is>
          <t>JPMYJ</t>
        </is>
      </c>
      <c r="X4" s="161" t="inlineStr">
        <is>
          <t>2026-10-15</t>
        </is>
      </c>
      <c r="Y4" s="97" t="n"/>
      <c r="Z4" s="97" t="n"/>
      <c r="AA4" s="97" t="n"/>
      <c r="AB4" s="97" t="n"/>
      <c r="AC4" s="97" t="n"/>
      <c r="AD4" s="161" t="inlineStr">
        <is>
          <t>2026-09-29</t>
        </is>
      </c>
      <c r="AE4" s="174" t="inlineStr">
        <is>
          <t>1245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INABATA &amp; CO.,LTD</t>
        </is>
      </c>
      <c r="AK4" s="130" t="n"/>
    </row>
    <row r="5" ht="12" customHeight="1">
      <c r="A5" s="108" t="inlineStr">
        <is>
          <t>CXDU2308143</t>
        </is>
      </c>
      <c r="B5" s="108" t="inlineStr">
        <is>
          <t>LCH06</t>
        </is>
      </c>
      <c r="C5" s="108" t="inlineStr">
        <is>
          <t>IFV</t>
        </is>
      </c>
      <c r="D5" s="172" t="inlineStr">
        <is>
          <t>2026-09-26</t>
        </is>
      </c>
      <c r="E5" s="173" t="inlineStr">
        <is>
          <t>2119</t>
        </is>
      </c>
      <c r="F5" s="96" t="inlineStr">
        <is>
          <t>HASLS22260901104</t>
        </is>
      </c>
      <c r="G5" s="96" t="inlineStr">
        <is>
          <t>TTR FREIGHT AND SERVICE COMPANY LIMITED</t>
        </is>
      </c>
      <c r="H5" s="111" t="inlineStr">
        <is>
          <t>22GP</t>
        </is>
      </c>
      <c r="I5" s="96" t="inlineStr">
        <is>
          <t>FTP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HASLS22260901104</t>
        </is>
      </c>
      <c r="N5" s="96" t="inlineStr">
        <is>
          <t xml:space="preserve">20'x9 </t>
        </is>
      </c>
      <c r="O5" s="111" t="inlineStr">
        <is>
          <t>2014</t>
        </is>
      </c>
      <c r="P5" s="111" t="n"/>
      <c r="Q5" s="111" t="n"/>
      <c r="R5" s="96" t="inlineStr">
        <is>
          <t>HAB</t>
        </is>
      </c>
      <c r="S5" s="96" t="inlineStr">
        <is>
          <t>2611N</t>
        </is>
      </c>
      <c r="T5" s="96" t="inlineStr">
        <is>
          <t>LCH06</t>
        </is>
      </c>
      <c r="U5" s="96" t="inlineStr">
        <is>
          <t>THLCH</t>
        </is>
      </c>
      <c r="V5" s="161" t="inlineStr">
        <is>
          <t>2026-10-07</t>
        </is>
      </c>
      <c r="W5" s="96" t="inlineStr">
        <is>
          <t>CNSHA</t>
        </is>
      </c>
      <c r="X5" s="161" t="inlineStr">
        <is>
          <t>2026-10-13</t>
        </is>
      </c>
      <c r="Y5" s="97" t="n"/>
      <c r="Z5" s="97" t="n"/>
      <c r="AA5" s="97" t="n"/>
      <c r="AB5" s="97" t="n"/>
      <c r="AC5" s="97" t="n"/>
      <c r="AD5" s="161" t="inlineStr">
        <is>
          <t>2026-09-26</t>
        </is>
      </c>
      <c r="AE5" s="174" t="inlineStr">
        <is>
          <t>2350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ZHANGJIAGANG FREE TRADE ZONE</t>
        </is>
      </c>
      <c r="AK5" s="130" t="n"/>
    </row>
    <row r="6" ht="12" customHeight="1">
      <c r="A6" s="108" t="inlineStr">
        <is>
          <t>DFSU3096313</t>
        </is>
      </c>
      <c r="B6" s="108" t="inlineStr">
        <is>
          <t>LCH06</t>
        </is>
      </c>
      <c r="C6" s="108" t="inlineStr">
        <is>
          <t>IFV</t>
        </is>
      </c>
      <c r="D6" s="172" t="inlineStr">
        <is>
          <t>2026-09-30</t>
        </is>
      </c>
      <c r="E6" s="173" t="inlineStr">
        <is>
          <t>1209</t>
        </is>
      </c>
      <c r="F6" s="96" t="inlineStr">
        <is>
          <t>HASLS22260901513</t>
        </is>
      </c>
      <c r="G6" s="96" t="inlineStr">
        <is>
          <t>DOUBLE A (1991) PUBLIC COMPANY LIMITED</t>
        </is>
      </c>
      <c r="H6" s="111" t="inlineStr">
        <is>
          <t>22GP</t>
        </is>
      </c>
      <c r="I6" s="96" t="inlineStr">
        <is>
          <t>FTP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HASLS22260901513</t>
        </is>
      </c>
      <c r="N6" s="96" t="inlineStr">
        <is>
          <t xml:space="preserve">40Hx2 20'x2 </t>
        </is>
      </c>
      <c r="O6" s="111" t="inlineStr">
        <is>
          <t>2015</t>
        </is>
      </c>
      <c r="P6" s="111" t="n"/>
      <c r="Q6" s="111" t="n"/>
      <c r="R6" s="96" t="inlineStr">
        <is>
          <t>SWVG</t>
        </is>
      </c>
      <c r="S6" s="96" t="inlineStr">
        <is>
          <t>2612N</t>
        </is>
      </c>
      <c r="T6" s="96" t="inlineStr">
        <is>
          <t>LCH06</t>
        </is>
      </c>
      <c r="U6" s="96" t="inlineStr">
        <is>
          <t>THLCH</t>
        </is>
      </c>
      <c r="V6" s="161" t="inlineStr">
        <is>
          <t>2026-10-07</t>
        </is>
      </c>
      <c r="W6" s="96" t="inlineStr">
        <is>
          <t>CNSHA</t>
        </is>
      </c>
      <c r="X6" s="161" t="inlineStr">
        <is>
          <t>2026-10-13</t>
        </is>
      </c>
      <c r="Y6" s="97" t="n"/>
      <c r="Z6" s="97" t="n"/>
      <c r="AA6" s="97" t="n"/>
      <c r="AB6" s="97" t="n"/>
      <c r="AC6" s="97" t="n"/>
      <c r="AD6" s="161" t="inlineStr">
        <is>
          <t>2026-09-30</t>
        </is>
      </c>
      <c r="AE6" s="174" t="inlineStr">
        <is>
          <t>1526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DOUBLE A INTERNATIONAL  TRADING</t>
        </is>
      </c>
      <c r="AK6" s="130" t="n"/>
    </row>
    <row r="7" ht="12" customHeight="1">
      <c r="A7" s="108" t="inlineStr">
        <is>
          <t>FCIU7289678</t>
        </is>
      </c>
      <c r="B7" s="108" t="inlineStr">
        <is>
          <t>LCH06</t>
        </is>
      </c>
      <c r="C7" s="108" t="inlineStr">
        <is>
          <t>IFV</t>
        </is>
      </c>
      <c r="D7" s="172" t="inlineStr">
        <is>
          <t>2026-09-19</t>
        </is>
      </c>
      <c r="E7" s="173" t="inlineStr">
        <is>
          <t>1550</t>
        </is>
      </c>
      <c r="F7" s="96" t="inlineStr">
        <is>
          <t>HASLS22260900441</t>
        </is>
      </c>
      <c r="G7" s="96" t="inlineStr">
        <is>
          <t>BARKLAYS LOGISTICS (THAILAND) CO., LTD.</t>
        </is>
      </c>
      <c r="H7" s="111" t="inlineStr">
        <is>
          <t>45GP</t>
        </is>
      </c>
      <c r="I7" s="96" t="inlineStr">
        <is>
          <t>FTP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HASLS22260900441</t>
        </is>
      </c>
      <c r="N7" s="96" t="inlineStr">
        <is>
          <t xml:space="preserve">40Hx15 </t>
        </is>
      </c>
      <c r="O7" s="111" t="inlineStr">
        <is>
          <t>2017</t>
        </is>
      </c>
      <c r="P7" s="111" t="n"/>
      <c r="Q7" s="111" t="n"/>
      <c r="R7" s="96" t="inlineStr">
        <is>
          <t>HAB</t>
        </is>
      </c>
      <c r="S7" s="96" t="inlineStr">
        <is>
          <t>2611N</t>
        </is>
      </c>
      <c r="T7" s="96" t="inlineStr">
        <is>
          <t>LCH06</t>
        </is>
      </c>
      <c r="U7" s="96" t="inlineStr">
        <is>
          <t>THLCH</t>
        </is>
      </c>
      <c r="V7" s="161" t="inlineStr">
        <is>
          <t>2026-10-07</t>
        </is>
      </c>
      <c r="W7" s="96" t="inlineStr">
        <is>
          <t>CNSHA</t>
        </is>
      </c>
      <c r="X7" s="161" t="inlineStr">
        <is>
          <t>2026-10-13</t>
        </is>
      </c>
      <c r="Y7" s="97" t="n"/>
      <c r="Z7" s="97" t="n"/>
      <c r="AA7" s="97" t="n"/>
      <c r="AB7" s="97" t="n"/>
      <c r="AC7" s="97" t="n"/>
      <c r="AD7" s="161" t="inlineStr">
        <is>
          <t>2026-09-19</t>
        </is>
      </c>
      <c r="AE7" s="174" t="inlineStr">
        <is>
          <t>1823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BARKLAYS LOGISTICS (SHANGHAI)</t>
        </is>
      </c>
      <c r="AK7" s="130" t="n"/>
    </row>
    <row r="8" ht="12" customHeight="1">
      <c r="A8" s="108" t="inlineStr">
        <is>
          <t>FSCU7114149</t>
        </is>
      </c>
      <c r="B8" s="108" t="inlineStr">
        <is>
          <t>LCH06</t>
        </is>
      </c>
      <c r="C8" s="108" t="inlineStr">
        <is>
          <t>IFV</t>
        </is>
      </c>
      <c r="D8" s="172" t="inlineStr">
        <is>
          <t>2026-09-19</t>
        </is>
      </c>
      <c r="E8" s="173" t="inlineStr">
        <is>
          <t>1342</t>
        </is>
      </c>
      <c r="F8" s="96" t="inlineStr">
        <is>
          <t>HASLS22260901668</t>
        </is>
      </c>
      <c r="G8" s="96" t="inlineStr">
        <is>
          <t>BARKLAYS LOGISTICS (THAILAND) CO., LTD.</t>
        </is>
      </c>
      <c r="H8" s="111" t="inlineStr">
        <is>
          <t>45GP</t>
        </is>
      </c>
      <c r="I8" s="96" t="inlineStr">
        <is>
          <t>FTP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HASLS22260901668</t>
        </is>
      </c>
      <c r="N8" s="96" t="inlineStr">
        <is>
          <t xml:space="preserve">40Hx15 </t>
        </is>
      </c>
      <c r="O8" s="111" t="inlineStr">
        <is>
          <t>2017</t>
        </is>
      </c>
      <c r="P8" s="111" t="n"/>
      <c r="Q8" s="111" t="n"/>
      <c r="R8" s="96" t="inlineStr">
        <is>
          <t>HAB</t>
        </is>
      </c>
      <c r="S8" s="96" t="inlineStr">
        <is>
          <t>2611N</t>
        </is>
      </c>
      <c r="T8" s="96" t="inlineStr">
        <is>
          <t>LCH06</t>
        </is>
      </c>
      <c r="U8" s="96" t="inlineStr">
        <is>
          <t>THLCH</t>
        </is>
      </c>
      <c r="V8" s="161" t="inlineStr">
        <is>
          <t>2026-10-07</t>
        </is>
      </c>
      <c r="W8" s="96" t="inlineStr">
        <is>
          <t>CNSHA</t>
        </is>
      </c>
      <c r="X8" s="161" t="inlineStr">
        <is>
          <t>2026-10-13</t>
        </is>
      </c>
      <c r="Y8" s="97" t="n"/>
      <c r="Z8" s="97" t="n"/>
      <c r="AA8" s="97" t="n"/>
      <c r="AB8" s="97" t="n"/>
      <c r="AC8" s="97" t="n"/>
      <c r="AD8" s="161" t="inlineStr">
        <is>
          <t>2026-09-19</t>
        </is>
      </c>
      <c r="AE8" s="174" t="inlineStr">
        <is>
          <t>1651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BARKLAYS LOGISTICS (SHANGHAI)</t>
        </is>
      </c>
      <c r="AK8" s="130" t="n"/>
    </row>
    <row r="9" ht="12" customHeight="1">
      <c r="A9" s="108" t="inlineStr">
        <is>
          <t>GCXU6008948</t>
        </is>
      </c>
      <c r="B9" s="108" t="inlineStr">
        <is>
          <t>LCH06</t>
        </is>
      </c>
      <c r="C9" s="108" t="inlineStr">
        <is>
          <t>IFV</t>
        </is>
      </c>
      <c r="D9" s="172" t="inlineStr">
        <is>
          <t>2026-10-02</t>
        </is>
      </c>
      <c r="E9" s="173" t="inlineStr">
        <is>
          <t>1654</t>
        </is>
      </c>
      <c r="F9" s="96" t="inlineStr">
        <is>
          <t>HASLS22260901914</t>
        </is>
      </c>
      <c r="G9" s="96" t="inlineStr">
        <is>
          <t>MITSUBISHI LOGISTICS (THAILAND) CO., LTD.</t>
        </is>
      </c>
      <c r="H9" s="111" t="inlineStr">
        <is>
          <t>45GP</t>
        </is>
      </c>
      <c r="I9" s="96" t="inlineStr">
        <is>
          <t>FTP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HASLS22260901914</t>
        </is>
      </c>
      <c r="N9" s="96" t="inlineStr">
        <is>
          <t xml:space="preserve">40Hx2 </t>
        </is>
      </c>
      <c r="O9" s="111" t="inlineStr">
        <is>
          <t>2024</t>
        </is>
      </c>
      <c r="P9" s="111" t="n"/>
      <c r="Q9" s="111" t="n"/>
      <c r="R9" s="96" t="inlineStr">
        <is>
          <t>SWVG</t>
        </is>
      </c>
      <c r="S9" s="96" t="inlineStr">
        <is>
          <t>2612N</t>
        </is>
      </c>
      <c r="T9" s="96" t="inlineStr">
        <is>
          <t>LCH06</t>
        </is>
      </c>
      <c r="U9" s="96" t="inlineStr">
        <is>
          <t>THLCH</t>
        </is>
      </c>
      <c r="V9" s="161" t="inlineStr">
        <is>
          <t>2026-10-07</t>
        </is>
      </c>
      <c r="W9" s="96" t="inlineStr">
        <is>
          <t>CNSHA</t>
        </is>
      </c>
      <c r="X9" s="161" t="inlineStr">
        <is>
          <t>2026-10-13</t>
        </is>
      </c>
      <c r="Y9" s="97" t="n"/>
      <c r="Z9" s="97" t="n"/>
      <c r="AA9" s="97" t="n"/>
      <c r="AB9" s="97" t="n"/>
      <c r="AC9" s="97" t="n"/>
      <c r="AD9" s="161" t="inlineStr">
        <is>
          <t>2026-10-02</t>
        </is>
      </c>
      <c r="AE9" s="174" t="inlineStr">
        <is>
          <t>2014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SHANGHAI LINGYUN GLOBAL FORWARDING</t>
        </is>
      </c>
      <c r="AK9" s="130" t="n"/>
    </row>
    <row r="10" ht="12" customHeight="1">
      <c r="A10" s="108" t="inlineStr">
        <is>
          <t>GCXU6306808</t>
        </is>
      </c>
      <c r="B10" s="108" t="inlineStr">
        <is>
          <t>LCH06</t>
        </is>
      </c>
      <c r="C10" s="108" t="inlineStr">
        <is>
          <t>IFV</t>
        </is>
      </c>
      <c r="D10" s="172" t="inlineStr">
        <is>
          <t>2026-09-24</t>
        </is>
      </c>
      <c r="E10" s="173" t="inlineStr">
        <is>
          <t>1154</t>
        </is>
      </c>
      <c r="F10" s="96" t="inlineStr">
        <is>
          <t>HASLS22260802388</t>
        </is>
      </c>
      <c r="G10" s="96" t="inlineStr">
        <is>
          <t>SCGJWD LOGISTICS PUBLIC COMPANY LIMITED</t>
        </is>
      </c>
      <c r="H10" s="111" t="inlineStr">
        <is>
          <t>45GP</t>
        </is>
      </c>
      <c r="I10" s="96" t="inlineStr">
        <is>
          <t>FTP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HASLS22260802388</t>
        </is>
      </c>
      <c r="N10" s="96" t="inlineStr">
        <is>
          <t xml:space="preserve">40Hx4 </t>
        </is>
      </c>
      <c r="O10" s="111" t="inlineStr">
        <is>
          <t>2024</t>
        </is>
      </c>
      <c r="P10" s="111" t="n"/>
      <c r="Q10" s="111" t="n"/>
      <c r="R10" s="96" t="inlineStr">
        <is>
          <t>SWVG</t>
        </is>
      </c>
      <c r="S10" s="96" t="inlineStr">
        <is>
          <t>2612N</t>
        </is>
      </c>
      <c r="T10" s="96" t="inlineStr">
        <is>
          <t>LCH06</t>
        </is>
      </c>
      <c r="U10" s="96" t="inlineStr">
        <is>
          <t>THLCH</t>
        </is>
      </c>
      <c r="V10" s="161" t="inlineStr">
        <is>
          <t>2026-10-07</t>
        </is>
      </c>
      <c r="W10" s="96" t="inlineStr">
        <is>
          <t>CNSHA</t>
        </is>
      </c>
      <c r="X10" s="161" t="inlineStr">
        <is>
          <t>2026-10-13</t>
        </is>
      </c>
      <c r="Y10" s="97" t="n"/>
      <c r="Z10" s="97" t="n"/>
      <c r="AA10" s="97" t="n"/>
      <c r="AB10" s="97" t="n"/>
      <c r="AC10" s="97" t="n"/>
      <c r="AD10" s="161" t="inlineStr">
        <is>
          <t>2026-09-24</t>
        </is>
      </c>
      <c r="AE10" s="174" t="inlineStr">
        <is>
          <t>1458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SHANGHAI ZHONGXUAN BUSINESS CO.,LTD</t>
        </is>
      </c>
      <c r="AK10" s="130" t="n"/>
    </row>
    <row r="11" ht="12" customHeight="1">
      <c r="A11" s="108" t="inlineStr">
        <is>
          <t>HALU2057900</t>
        </is>
      </c>
      <c r="B11" s="108" t="inlineStr">
        <is>
          <t>LCH06</t>
        </is>
      </c>
      <c r="C11" s="108" t="inlineStr">
        <is>
          <t>IFV</t>
        </is>
      </c>
      <c r="D11" s="172" t="inlineStr">
        <is>
          <t>2026-10-01</t>
        </is>
      </c>
      <c r="E11" s="173" t="inlineStr">
        <is>
          <t>0209</t>
        </is>
      </c>
      <c r="F11" s="96" t="inlineStr">
        <is>
          <t>HASLS22260900048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FTP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HASLS22260900048</t>
        </is>
      </c>
      <c r="N11" s="96" t="inlineStr">
        <is>
          <t xml:space="preserve">20'x1 </t>
        </is>
      </c>
      <c r="O11" s="111" t="inlineStr">
        <is>
          <t>2014</t>
        </is>
      </c>
      <c r="P11" s="111" t="n"/>
      <c r="Q11" s="111" t="n"/>
      <c r="R11" s="96" t="inlineStr">
        <is>
          <t>SWVG</t>
        </is>
      </c>
      <c r="S11" s="96" t="inlineStr">
        <is>
          <t>2612N</t>
        </is>
      </c>
      <c r="T11" s="96" t="inlineStr">
        <is>
          <t>LCH06</t>
        </is>
      </c>
      <c r="U11" s="96" t="inlineStr">
        <is>
          <t>THLCH</t>
        </is>
      </c>
      <c r="V11" s="161" t="inlineStr">
        <is>
          <t>2026-10-07</t>
        </is>
      </c>
      <c r="W11" s="96" t="inlineStr">
        <is>
          <t>JPHKT</t>
        </is>
      </c>
      <c r="X11" s="161" t="inlineStr">
        <is>
          <t>2026-10-15</t>
        </is>
      </c>
      <c r="Y11" s="97" t="n"/>
      <c r="Z11" s="97" t="n"/>
      <c r="AA11" s="97" t="n"/>
      <c r="AB11" s="97" t="n"/>
      <c r="AC11" s="97" t="n"/>
      <c r="AD11" s="161" t="inlineStr">
        <is>
          <t>2026-10-01</t>
        </is>
      </c>
      <c r="AE11" s="174" t="inlineStr">
        <is>
          <t>0506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MITSUBISHI CORPORATION PLASTICS</t>
        </is>
      </c>
      <c r="AK11" s="130" t="n"/>
    </row>
    <row r="12" ht="12" customHeight="1">
      <c r="A12" s="108" t="inlineStr">
        <is>
          <t>HALU2063312</t>
        </is>
      </c>
      <c r="B12" s="108" t="inlineStr">
        <is>
          <t>LCH06</t>
        </is>
      </c>
      <c r="C12" s="108" t="inlineStr">
        <is>
          <t>IFV</t>
        </is>
      </c>
      <c r="D12" s="172" t="inlineStr">
        <is>
          <t>2026-09-26</t>
        </is>
      </c>
      <c r="E12" s="173" t="inlineStr">
        <is>
          <t>2116</t>
        </is>
      </c>
      <c r="F12" s="96" t="inlineStr">
        <is>
          <t>HASLS22260901104</t>
        </is>
      </c>
      <c r="G12" s="96" t="inlineStr">
        <is>
          <t>TTR FREIGHT AND SERVICE COMPANY LIMITED</t>
        </is>
      </c>
      <c r="H12" s="111" t="inlineStr">
        <is>
          <t>22GP</t>
        </is>
      </c>
      <c r="I12" s="96" t="inlineStr">
        <is>
          <t>FTP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HASLS22260901104</t>
        </is>
      </c>
      <c r="N12" s="96" t="inlineStr">
        <is>
          <t xml:space="preserve">20'x9 </t>
        </is>
      </c>
      <c r="O12" s="111" t="inlineStr">
        <is>
          <t>2018</t>
        </is>
      </c>
      <c r="P12" s="111" t="n"/>
      <c r="Q12" s="111" t="n"/>
      <c r="R12" s="96" t="inlineStr">
        <is>
          <t>HAB</t>
        </is>
      </c>
      <c r="S12" s="96" t="inlineStr">
        <is>
          <t>2611N</t>
        </is>
      </c>
      <c r="T12" s="96" t="inlineStr">
        <is>
          <t>LCH06</t>
        </is>
      </c>
      <c r="U12" s="96" t="inlineStr">
        <is>
          <t>THLCH</t>
        </is>
      </c>
      <c r="V12" s="161" t="inlineStr">
        <is>
          <t>2026-10-07</t>
        </is>
      </c>
      <c r="W12" s="96" t="inlineStr">
        <is>
          <t>CNSHA</t>
        </is>
      </c>
      <c r="X12" s="161" t="inlineStr">
        <is>
          <t>2026-10-13</t>
        </is>
      </c>
      <c r="Y12" s="97" t="n"/>
      <c r="Z12" s="97" t="n"/>
      <c r="AA12" s="97" t="n"/>
      <c r="AB12" s="97" t="n"/>
      <c r="AC12" s="97" t="n"/>
      <c r="AD12" s="161" t="inlineStr">
        <is>
          <t>2026-09-26</t>
        </is>
      </c>
      <c r="AE12" s="174" t="inlineStr">
        <is>
          <t>2350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ZHANGJIAGANG FREE TRADE ZONE</t>
        </is>
      </c>
      <c r="AK12" s="130" t="n"/>
    </row>
    <row r="13" ht="12" customHeight="1">
      <c r="A13" s="108" t="inlineStr">
        <is>
          <t>HALU2063760</t>
        </is>
      </c>
      <c r="B13" s="108" t="inlineStr">
        <is>
          <t>LCH06</t>
        </is>
      </c>
      <c r="C13" s="108" t="inlineStr">
        <is>
          <t>IFV</t>
        </is>
      </c>
      <c r="D13" s="172" t="inlineStr">
        <is>
          <t>2026-10-05</t>
        </is>
      </c>
      <c r="E13" s="173" t="inlineStr">
        <is>
          <t>1547</t>
        </is>
      </c>
      <c r="F13" s="96" t="inlineStr">
        <is>
          <t>HASLS22260901779</t>
        </is>
      </c>
      <c r="G13" s="96" t="inlineStr">
        <is>
          <t>EXPEDITORS (THAILAND) LTD.</t>
        </is>
      </c>
      <c r="H13" s="111" t="inlineStr">
        <is>
          <t>22GP</t>
        </is>
      </c>
      <c r="I13" s="96" t="inlineStr">
        <is>
          <t>FTP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HASLS22260901779</t>
        </is>
      </c>
      <c r="N13" s="96" t="inlineStr">
        <is>
          <t xml:space="preserve">20'x1 </t>
        </is>
      </c>
      <c r="O13" s="111" t="inlineStr">
        <is>
          <t>2014</t>
        </is>
      </c>
      <c r="P13" s="111" t="n"/>
      <c r="Q13" s="111" t="n"/>
      <c r="R13" s="96" t="inlineStr">
        <is>
          <t>SWVG</t>
        </is>
      </c>
      <c r="S13" s="96" t="inlineStr">
        <is>
          <t>2612N</t>
        </is>
      </c>
      <c r="T13" s="96" t="inlineStr">
        <is>
          <t>LCH06</t>
        </is>
      </c>
      <c r="U13" s="96" t="inlineStr">
        <is>
          <t>THLCH</t>
        </is>
      </c>
      <c r="V13" s="161" t="inlineStr">
        <is>
          <t>2026-10-07</t>
        </is>
      </c>
      <c r="W13" s="96" t="inlineStr">
        <is>
          <t>CNSHA</t>
        </is>
      </c>
      <c r="X13" s="161" t="inlineStr">
        <is>
          <t>2026-10-13</t>
        </is>
      </c>
      <c r="Y13" s="97" t="n"/>
      <c r="Z13" s="97" t="n"/>
      <c r="AA13" s="97" t="n"/>
      <c r="AB13" s="97" t="n"/>
      <c r="AC13" s="97" t="n"/>
      <c r="AD13" s="161" t="inlineStr">
        <is>
          <t>2026-10-05</t>
        </is>
      </c>
      <c r="AE13" s="174" t="inlineStr">
        <is>
          <t>1838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BEIJING KANG JIE KONG INTERNATIONAL</t>
        </is>
      </c>
      <c r="AK13" s="130" t="n"/>
    </row>
    <row r="14" ht="12" customHeight="1">
      <c r="A14" s="108" t="inlineStr">
        <is>
          <t>HALU2071278</t>
        </is>
      </c>
      <c r="B14" s="108" t="inlineStr">
        <is>
          <t>LCH06</t>
        </is>
      </c>
      <c r="C14" s="108" t="inlineStr">
        <is>
          <t>IFV</t>
        </is>
      </c>
      <c r="D14" s="172" t="inlineStr">
        <is>
          <t>2026-10-02</t>
        </is>
      </c>
      <c r="E14" s="173" t="inlineStr">
        <is>
          <t>2331</t>
        </is>
      </c>
      <c r="F14" s="96" t="inlineStr">
        <is>
          <t>HASLS22260901276</t>
        </is>
      </c>
      <c r="G14" s="96" t="inlineStr">
        <is>
          <t>MITSUBISHI LOGISTICS (THAILAND) CO., LTD.</t>
        </is>
      </c>
      <c r="H14" s="111" t="inlineStr">
        <is>
          <t>22GP</t>
        </is>
      </c>
      <c r="I14" s="96" t="inlineStr">
        <is>
          <t>FTP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HASLS22260901276</t>
        </is>
      </c>
      <c r="N14" s="96" t="inlineStr">
        <is>
          <t xml:space="preserve">20'x1 </t>
        </is>
      </c>
      <c r="O14" s="111" t="inlineStr">
        <is>
          <t>2018</t>
        </is>
      </c>
      <c r="P14" s="111" t="n"/>
      <c r="Q14" s="111" t="n"/>
      <c r="R14" s="96" t="inlineStr">
        <is>
          <t>SWVG</t>
        </is>
      </c>
      <c r="S14" s="96" t="inlineStr">
        <is>
          <t>2612N</t>
        </is>
      </c>
      <c r="T14" s="96" t="inlineStr">
        <is>
          <t>LCH06</t>
        </is>
      </c>
      <c r="U14" s="96" t="inlineStr">
        <is>
          <t>THLCH</t>
        </is>
      </c>
      <c r="V14" s="161" t="inlineStr">
        <is>
          <t>2026-10-07</t>
        </is>
      </c>
      <c r="W14" s="96" t="inlineStr">
        <is>
          <t>CNSHA</t>
        </is>
      </c>
      <c r="X14" s="161" t="inlineStr">
        <is>
          <t>2026-10-13</t>
        </is>
      </c>
      <c r="Y14" s="97" t="n"/>
      <c r="Z14" s="97" t="n"/>
      <c r="AA14" s="97" t="n"/>
      <c r="AB14" s="97" t="n"/>
      <c r="AC14" s="97" t="n"/>
      <c r="AD14" s="161" t="inlineStr">
        <is>
          <t>2026-10-03</t>
        </is>
      </c>
      <c r="AE14" s="174" t="inlineStr">
        <is>
          <t>0345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SHANGHAI LINGYUN GLOBAL FORWARDING</t>
        </is>
      </c>
      <c r="AK14" s="130" t="n"/>
    </row>
    <row r="15" ht="12" customHeight="1">
      <c r="A15" s="108" t="inlineStr">
        <is>
          <t>HALU2083659</t>
        </is>
      </c>
      <c r="B15" s="108" t="inlineStr">
        <is>
          <t>LCH06</t>
        </is>
      </c>
      <c r="C15" s="108" t="inlineStr">
        <is>
          <t>IFV</t>
        </is>
      </c>
      <c r="D15" s="172" t="inlineStr">
        <is>
          <t>2026-09-29</t>
        </is>
      </c>
      <c r="E15" s="173" t="inlineStr">
        <is>
          <t>0513</t>
        </is>
      </c>
      <c r="F15" s="96" t="inlineStr">
        <is>
          <t>HASLS22260902053</t>
        </is>
      </c>
      <c r="G15" s="96" t="inlineStr">
        <is>
          <t>WHA GC LOGISTICS COMPANY LIMITED</t>
        </is>
      </c>
      <c r="H15" s="111" t="inlineStr">
        <is>
          <t>22GP</t>
        </is>
      </c>
      <c r="I15" s="96" t="inlineStr">
        <is>
          <t>FTP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HASLS22260902053</t>
        </is>
      </c>
      <c r="N15" s="96" t="inlineStr">
        <is>
          <t xml:space="preserve">20'x1 </t>
        </is>
      </c>
      <c r="O15" s="111" t="inlineStr">
        <is>
          <t>2015</t>
        </is>
      </c>
      <c r="P15" s="111" t="n"/>
      <c r="Q15" s="111" t="n"/>
      <c r="R15" s="96" t="inlineStr">
        <is>
          <t>SWVG</t>
        </is>
      </c>
      <c r="S15" s="96" t="inlineStr">
        <is>
          <t>2612N</t>
        </is>
      </c>
      <c r="T15" s="96" t="inlineStr">
        <is>
          <t>LCH06</t>
        </is>
      </c>
      <c r="U15" s="96" t="inlineStr">
        <is>
          <t>THLCH</t>
        </is>
      </c>
      <c r="V15" s="161" t="inlineStr">
        <is>
          <t>2026-10-07</t>
        </is>
      </c>
      <c r="W15" s="96" t="inlineStr">
        <is>
          <t>CNSHA</t>
        </is>
      </c>
      <c r="X15" s="161" t="inlineStr">
        <is>
          <t>2026-10-13</t>
        </is>
      </c>
      <c r="Y15" s="97" t="n"/>
      <c r="Z15" s="97" t="n"/>
      <c r="AA15" s="97" t="n"/>
      <c r="AB15" s="97" t="n"/>
      <c r="AC15" s="97" t="n"/>
      <c r="AD15" s="161" t="inlineStr">
        <is>
          <t>2026-09-29</t>
        </is>
      </c>
      <c r="AE15" s="174" t="inlineStr">
        <is>
          <t>0813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VIANT MEDICAL SUZHOU EPZ CO. LTD</t>
        </is>
      </c>
      <c r="AK15" s="130" t="n"/>
    </row>
    <row r="16" ht="12" customHeight="1">
      <c r="A16" s="108" t="inlineStr">
        <is>
          <t>HALU2325048</t>
        </is>
      </c>
      <c r="B16" s="108" t="inlineStr">
        <is>
          <t>LCH06</t>
        </is>
      </c>
      <c r="C16" s="108" t="inlineStr">
        <is>
          <t>IFV</t>
        </is>
      </c>
      <c r="D16" s="172" t="inlineStr">
        <is>
          <t>2026-09-26</t>
        </is>
      </c>
      <c r="E16" s="173" t="inlineStr">
        <is>
          <t>1326</t>
        </is>
      </c>
      <c r="F16" s="96" t="inlineStr">
        <is>
          <t>HASLS22260901104</t>
        </is>
      </c>
      <c r="G16" s="96" t="inlineStr">
        <is>
          <t>TTR FREIGHT AND SERVICE COMPANY LIMITED</t>
        </is>
      </c>
      <c r="H16" s="111" t="inlineStr">
        <is>
          <t>22GP</t>
        </is>
      </c>
      <c r="I16" s="96" t="inlineStr">
        <is>
          <t>FTP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HASLS22260901104</t>
        </is>
      </c>
      <c r="N16" s="96" t="inlineStr">
        <is>
          <t xml:space="preserve">20'x9 </t>
        </is>
      </c>
      <c r="O16" s="111" t="inlineStr">
        <is>
          <t>2023</t>
        </is>
      </c>
      <c r="P16" s="111" t="n"/>
      <c r="Q16" s="111" t="n"/>
      <c r="R16" s="96" t="inlineStr">
        <is>
          <t>HAB</t>
        </is>
      </c>
      <c r="S16" s="96" t="inlineStr">
        <is>
          <t>2611N</t>
        </is>
      </c>
      <c r="T16" s="96" t="inlineStr">
        <is>
          <t>LCH06</t>
        </is>
      </c>
      <c r="U16" s="96" t="inlineStr">
        <is>
          <t>THLCH</t>
        </is>
      </c>
      <c r="V16" s="161" t="inlineStr">
        <is>
          <t>2026-10-07</t>
        </is>
      </c>
      <c r="W16" s="96" t="inlineStr">
        <is>
          <t>CNSHA</t>
        </is>
      </c>
      <c r="X16" s="161" t="inlineStr">
        <is>
          <t>2026-10-13</t>
        </is>
      </c>
      <c r="Y16" s="97" t="n"/>
      <c r="Z16" s="97" t="n"/>
      <c r="AA16" s="97" t="n"/>
      <c r="AB16" s="97" t="n"/>
      <c r="AC16" s="97" t="n"/>
      <c r="AD16" s="161" t="inlineStr">
        <is>
          <t>2026-09-26</t>
        </is>
      </c>
      <c r="AE16" s="174" t="inlineStr">
        <is>
          <t>1619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ZHANGJIAGANG FREE TRADE ZONE</t>
        </is>
      </c>
      <c r="AK16" s="130" t="n"/>
    </row>
    <row r="17" ht="12" customHeight="1">
      <c r="A17" s="108" t="inlineStr">
        <is>
          <t>HALU2344496</t>
        </is>
      </c>
      <c r="B17" s="108" t="inlineStr">
        <is>
          <t>LCH06</t>
        </is>
      </c>
      <c r="C17" s="108" t="inlineStr">
        <is>
          <t>IFV</t>
        </is>
      </c>
      <c r="D17" s="172" t="inlineStr">
        <is>
          <t>2026-10-03</t>
        </is>
      </c>
      <c r="E17" s="173" t="inlineStr">
        <is>
          <t>0936</t>
        </is>
      </c>
      <c r="F17" s="96" t="inlineStr">
        <is>
          <t>HASLS22260901570</t>
        </is>
      </c>
      <c r="G17" s="96" t="inlineStr">
        <is>
          <t>LEO GLOBAL LOGISTICS PUBLIC COMPANY LIMITED</t>
        </is>
      </c>
      <c r="H17" s="111" t="inlineStr">
        <is>
          <t>22GP</t>
        </is>
      </c>
      <c r="I17" s="96" t="inlineStr">
        <is>
          <t>FTP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HASLS22260901570</t>
        </is>
      </c>
      <c r="N17" s="96" t="inlineStr">
        <is>
          <t xml:space="preserve">20'x1 </t>
        </is>
      </c>
      <c r="O17" s="111" t="inlineStr">
        <is>
          <t>2023</t>
        </is>
      </c>
      <c r="P17" s="111" t="n"/>
      <c r="Q17" s="111" t="n"/>
      <c r="R17" s="96" t="inlineStr">
        <is>
          <t>SWVG</t>
        </is>
      </c>
      <c r="S17" s="96" t="inlineStr">
        <is>
          <t>2612N</t>
        </is>
      </c>
      <c r="T17" s="96" t="inlineStr">
        <is>
          <t>LCH06</t>
        </is>
      </c>
      <c r="U17" s="96" t="inlineStr">
        <is>
          <t>THLCH</t>
        </is>
      </c>
      <c r="V17" s="161" t="inlineStr">
        <is>
          <t>2026-10-07</t>
        </is>
      </c>
      <c r="W17" s="96" t="inlineStr">
        <is>
          <t>KRPUS</t>
        </is>
      </c>
      <c r="X17" s="161" t="inlineStr">
        <is>
          <t>2026-10-15</t>
        </is>
      </c>
      <c r="Y17" s="97" t="n"/>
      <c r="Z17" s="97" t="n"/>
      <c r="AA17" s="97" t="n"/>
      <c r="AB17" s="97" t="n"/>
      <c r="AC17" s="97" t="n"/>
      <c r="AD17" s="161" t="inlineStr">
        <is>
          <t>2026-10-03</t>
        </is>
      </c>
      <c r="AE17" s="174" t="inlineStr">
        <is>
          <t>1418</t>
        </is>
      </c>
      <c r="AF17" s="96" t="inlineStr">
        <is>
          <t>EDI2</t>
        </is>
      </c>
      <c r="AG17" s="97" t="n"/>
      <c r="AH17" s="97" t="n"/>
      <c r="AI17" s="97" t="inlineStr">
        <is>
          <t>A0JHR</t>
        </is>
      </c>
      <c r="AJ17" s="96" t="inlineStr">
        <is>
          <t>KOR-STAR LOGISTICS CO., LTD.</t>
        </is>
      </c>
      <c r="AK17" s="130" t="n"/>
    </row>
    <row r="18" ht="12" customHeight="1">
      <c r="A18" s="108" t="inlineStr">
        <is>
          <t>HALU2351448</t>
        </is>
      </c>
      <c r="B18" s="108" t="inlineStr">
        <is>
          <t>LCH06</t>
        </is>
      </c>
      <c r="C18" s="108" t="inlineStr">
        <is>
          <t>IFV</t>
        </is>
      </c>
      <c r="D18" s="172" t="inlineStr">
        <is>
          <t>2026-10-03</t>
        </is>
      </c>
      <c r="E18" s="173" t="inlineStr">
        <is>
          <t>0725</t>
        </is>
      </c>
      <c r="F18" s="96" t="inlineStr">
        <is>
          <t>HASLS22260901193</t>
        </is>
      </c>
      <c r="G18" s="96" t="inlineStr">
        <is>
          <t>YUSEN LOGISTICS (THAILAND) CO., LTD.</t>
        </is>
      </c>
      <c r="H18" s="111" t="inlineStr">
        <is>
          <t>22GP</t>
        </is>
      </c>
      <c r="I18" s="96" t="inlineStr">
        <is>
          <t>FTP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HASLS22260901193</t>
        </is>
      </c>
      <c r="N18" s="96" t="inlineStr">
        <is>
          <t xml:space="preserve">20'x1 </t>
        </is>
      </c>
      <c r="O18" s="111" t="inlineStr">
        <is>
          <t>2023</t>
        </is>
      </c>
      <c r="P18" s="111" t="n"/>
      <c r="Q18" s="111" t="n"/>
      <c r="R18" s="96" t="inlineStr">
        <is>
          <t>SWVG</t>
        </is>
      </c>
      <c r="S18" s="96" t="inlineStr">
        <is>
          <t>2612N</t>
        </is>
      </c>
      <c r="T18" s="96" t="inlineStr">
        <is>
          <t>LCH06</t>
        </is>
      </c>
      <c r="U18" s="96" t="inlineStr">
        <is>
          <t>THLCH</t>
        </is>
      </c>
      <c r="V18" s="161" t="inlineStr">
        <is>
          <t>2026-10-07</t>
        </is>
      </c>
      <c r="W18" s="96" t="inlineStr">
        <is>
          <t>CNSHA</t>
        </is>
      </c>
      <c r="X18" s="161" t="inlineStr">
        <is>
          <t>2026-10-13</t>
        </is>
      </c>
      <c r="Y18" s="97" t="n"/>
      <c r="Z18" s="97" t="n"/>
      <c r="AA18" s="97" t="n"/>
      <c r="AB18" s="97" t="n"/>
      <c r="AC18" s="97" t="n"/>
      <c r="AD18" s="161" t="inlineStr">
        <is>
          <t>2026-10-03</t>
        </is>
      </c>
      <c r="AE18" s="174" t="inlineStr">
        <is>
          <t>1021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YUSEN LOGISTICS (CHINA) CO., LTD</t>
        </is>
      </c>
      <c r="AK18" s="130" t="n"/>
    </row>
    <row r="19" ht="12" customHeight="1">
      <c r="A19" s="108" t="inlineStr">
        <is>
          <t>HALU2363752</t>
        </is>
      </c>
      <c r="B19" s="108" t="inlineStr">
        <is>
          <t>LCH06</t>
        </is>
      </c>
      <c r="C19" s="108" t="inlineStr">
        <is>
          <t>IFV</t>
        </is>
      </c>
      <c r="D19" s="172" t="inlineStr">
        <is>
          <t>2026-09-26</t>
        </is>
      </c>
      <c r="E19" s="173" t="inlineStr">
        <is>
          <t>1330</t>
        </is>
      </c>
      <c r="F19" s="96" t="inlineStr">
        <is>
          <t>HASLS22260901104</t>
        </is>
      </c>
      <c r="G19" s="96" t="inlineStr">
        <is>
          <t>TTR FREIGHT AND SERVICE COMPANY LIMITED</t>
        </is>
      </c>
      <c r="H19" s="111" t="inlineStr">
        <is>
          <t>22GP</t>
        </is>
      </c>
      <c r="I19" s="96" t="inlineStr">
        <is>
          <t>FTP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HASLS22260901104</t>
        </is>
      </c>
      <c r="N19" s="96" t="inlineStr">
        <is>
          <t xml:space="preserve">20'x9 </t>
        </is>
      </c>
      <c r="O19" s="111" t="inlineStr">
        <is>
          <t>2023</t>
        </is>
      </c>
      <c r="P19" s="111" t="n"/>
      <c r="Q19" s="111" t="n"/>
      <c r="R19" s="96" t="inlineStr">
        <is>
          <t>HAB</t>
        </is>
      </c>
      <c r="S19" s="96" t="inlineStr">
        <is>
          <t>2611N</t>
        </is>
      </c>
      <c r="T19" s="96" t="inlineStr">
        <is>
          <t>LCH06</t>
        </is>
      </c>
      <c r="U19" s="96" t="inlineStr">
        <is>
          <t>THLCH</t>
        </is>
      </c>
      <c r="V19" s="161" t="inlineStr">
        <is>
          <t>2026-10-07</t>
        </is>
      </c>
      <c r="W19" s="96" t="inlineStr">
        <is>
          <t>CNSHA</t>
        </is>
      </c>
      <c r="X19" s="161" t="inlineStr">
        <is>
          <t>2026-10-13</t>
        </is>
      </c>
      <c r="Y19" s="97" t="n"/>
      <c r="Z19" s="97" t="n"/>
      <c r="AA19" s="97" t="n"/>
      <c r="AB19" s="97" t="n"/>
      <c r="AC19" s="97" t="n"/>
      <c r="AD19" s="161" t="inlineStr">
        <is>
          <t>2026-09-26</t>
        </is>
      </c>
      <c r="AE19" s="174" t="inlineStr">
        <is>
          <t>1619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ZHANGJIAGANG FREE TRADE ZONE</t>
        </is>
      </c>
      <c r="AK19" s="130" t="n"/>
    </row>
    <row r="20" ht="12" customHeight="1">
      <c r="A20" s="108" t="inlineStr">
        <is>
          <t>HALU2405879</t>
        </is>
      </c>
      <c r="B20" s="108" t="inlineStr">
        <is>
          <t>LCH06</t>
        </is>
      </c>
      <c r="C20" s="108" t="inlineStr">
        <is>
          <t>IFV</t>
        </is>
      </c>
      <c r="D20" s="172" t="inlineStr">
        <is>
          <t>2026-10-03</t>
        </is>
      </c>
      <c r="E20" s="173" t="inlineStr">
        <is>
          <t>0356</t>
        </is>
      </c>
      <c r="F20" s="96" t="inlineStr">
        <is>
          <t>HASLS22260902058</t>
        </is>
      </c>
      <c r="G20" s="96" t="inlineStr">
        <is>
          <t>SCGJWD LOGISTICS PUBLIC COMPANY LIMITED</t>
        </is>
      </c>
      <c r="H20" s="111" t="inlineStr">
        <is>
          <t>22GP</t>
        </is>
      </c>
      <c r="I20" s="96" t="inlineStr">
        <is>
          <t>FTP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HASLS22260902058</t>
        </is>
      </c>
      <c r="N20" s="96" t="inlineStr">
        <is>
          <t xml:space="preserve">20'x1 </t>
        </is>
      </c>
      <c r="O20" s="111" t="inlineStr">
        <is>
          <t>2024</t>
        </is>
      </c>
      <c r="P20" s="111" t="n"/>
      <c r="Q20" s="111" t="n"/>
      <c r="R20" s="96" t="inlineStr">
        <is>
          <t>SWVG</t>
        </is>
      </c>
      <c r="S20" s="96" t="inlineStr">
        <is>
          <t>2612N</t>
        </is>
      </c>
      <c r="T20" s="96" t="inlineStr">
        <is>
          <t>LCH06</t>
        </is>
      </c>
      <c r="U20" s="96" t="inlineStr">
        <is>
          <t>THLCH</t>
        </is>
      </c>
      <c r="V20" s="161" t="inlineStr">
        <is>
          <t>2026-10-07</t>
        </is>
      </c>
      <c r="W20" s="96" t="inlineStr">
        <is>
          <t>JPMIZ</t>
        </is>
      </c>
      <c r="X20" s="161" t="inlineStr">
        <is>
          <t>2026-10-15</t>
        </is>
      </c>
      <c r="Y20" s="97" t="n"/>
      <c r="Z20" s="97" t="n"/>
      <c r="AA20" s="97" t="n"/>
      <c r="AB20" s="97" t="n"/>
      <c r="AC20" s="97" t="n"/>
      <c r="AD20" s="161" t="inlineStr">
        <is>
          <t>2026-10-03</t>
        </is>
      </c>
      <c r="AE20" s="174" t="inlineStr">
        <is>
          <t>0718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MITSUBISHI CORPORATION PLASTICS LTD</t>
        </is>
      </c>
      <c r="AK20" s="130" t="n"/>
    </row>
    <row r="21" ht="12" customHeight="1">
      <c r="A21" s="108" t="inlineStr">
        <is>
          <t>HALU2531429</t>
        </is>
      </c>
      <c r="B21" s="108" t="inlineStr">
        <is>
          <t>LCH06</t>
        </is>
      </c>
      <c r="C21" s="108" t="inlineStr">
        <is>
          <t>IFV</t>
        </is>
      </c>
      <c r="D21" s="172" t="inlineStr">
        <is>
          <t>2026-09-30</t>
        </is>
      </c>
      <c r="E21" s="173" t="inlineStr">
        <is>
          <t>0911</t>
        </is>
      </c>
      <c r="F21" s="96" t="inlineStr">
        <is>
          <t>HASLS22260802505</t>
        </is>
      </c>
      <c r="G21" s="96" t="inlineStr">
        <is>
          <t>WHA GC LOGISTICS COMPANY LIMITED</t>
        </is>
      </c>
      <c r="H21" s="111" t="inlineStr">
        <is>
          <t>22GP</t>
        </is>
      </c>
      <c r="I21" s="96" t="inlineStr">
        <is>
          <t>FTP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HASLS22260802505</t>
        </is>
      </c>
      <c r="N21" s="96" t="inlineStr">
        <is>
          <t xml:space="preserve">20'x1 </t>
        </is>
      </c>
      <c r="O21" s="111" t="inlineStr">
        <is>
          <t>2025</t>
        </is>
      </c>
      <c r="P21" s="111" t="n"/>
      <c r="Q21" s="111" t="n"/>
      <c r="R21" s="96" t="inlineStr">
        <is>
          <t>SWVG</t>
        </is>
      </c>
      <c r="S21" s="96" t="inlineStr">
        <is>
          <t>2612N</t>
        </is>
      </c>
      <c r="T21" s="96" t="inlineStr">
        <is>
          <t>LCH06</t>
        </is>
      </c>
      <c r="U21" s="96" t="inlineStr">
        <is>
          <t>THLCH</t>
        </is>
      </c>
      <c r="V21" s="161" t="inlineStr">
        <is>
          <t>2026-10-07</t>
        </is>
      </c>
      <c r="W21" s="96" t="inlineStr">
        <is>
          <t>CNSHA</t>
        </is>
      </c>
      <c r="X21" s="161" t="inlineStr">
        <is>
          <t>2026-10-13</t>
        </is>
      </c>
      <c r="Y21" s="97" t="n"/>
      <c r="Z21" s="97" t="n"/>
      <c r="AA21" s="97" t="n"/>
      <c r="AB21" s="97" t="n"/>
      <c r="AC21" s="97" t="n"/>
      <c r="AD21" s="161" t="inlineStr">
        <is>
          <t>2026-09-30</t>
        </is>
      </c>
      <c r="AE21" s="174" t="inlineStr">
        <is>
          <t>1155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CSI CLOSURE SYSTEMS (HANGZHOU)</t>
        </is>
      </c>
      <c r="AK21" s="130" t="n"/>
    </row>
    <row r="22" ht="12" customHeight="1">
      <c r="A22" s="108" t="inlineStr">
        <is>
          <t>HALU2537659</t>
        </is>
      </c>
      <c r="B22" s="108" t="inlineStr">
        <is>
          <t>LCH06</t>
        </is>
      </c>
      <c r="C22" s="108" t="inlineStr">
        <is>
          <t>IFV</t>
        </is>
      </c>
      <c r="D22" s="172" t="inlineStr">
        <is>
          <t>2026-09-28</t>
        </is>
      </c>
      <c r="E22" s="173" t="inlineStr">
        <is>
          <t>0711</t>
        </is>
      </c>
      <c r="F22" s="96" t="inlineStr">
        <is>
          <t>HASLS22260802504</t>
        </is>
      </c>
      <c r="G22" s="96" t="inlineStr">
        <is>
          <t>WHA GC LOGISTICS COMPANY LIMITED</t>
        </is>
      </c>
      <c r="H22" s="111" t="inlineStr">
        <is>
          <t>22GP</t>
        </is>
      </c>
      <c r="I22" s="96" t="inlineStr">
        <is>
          <t>FTP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HASLS22260802504</t>
        </is>
      </c>
      <c r="N22" s="96" t="inlineStr">
        <is>
          <t xml:space="preserve">20'x2 </t>
        </is>
      </c>
      <c r="O22" s="111" t="inlineStr">
        <is>
          <t>2025</t>
        </is>
      </c>
      <c r="P22" s="111" t="n"/>
      <c r="Q22" s="111" t="n"/>
      <c r="R22" s="96" t="inlineStr">
        <is>
          <t>SWVG</t>
        </is>
      </c>
      <c r="S22" s="96" t="inlineStr">
        <is>
          <t>2612N</t>
        </is>
      </c>
      <c r="T22" s="96" t="inlineStr">
        <is>
          <t>LCH06</t>
        </is>
      </c>
      <c r="U22" s="96" t="inlineStr">
        <is>
          <t>THLCH</t>
        </is>
      </c>
      <c r="V22" s="161" t="inlineStr">
        <is>
          <t>2026-10-07</t>
        </is>
      </c>
      <c r="W22" s="96" t="inlineStr">
        <is>
          <t>CNSHA</t>
        </is>
      </c>
      <c r="X22" s="161" t="inlineStr">
        <is>
          <t>2026-10-13</t>
        </is>
      </c>
      <c r="Y22" s="97" t="n"/>
      <c r="Z22" s="97" t="n"/>
      <c r="AA22" s="97" t="n"/>
      <c r="AB22" s="97" t="n"/>
      <c r="AC22" s="97" t="n"/>
      <c r="AD22" s="161" t="inlineStr">
        <is>
          <t>2026-09-28</t>
        </is>
      </c>
      <c r="AE22" s="174" t="inlineStr">
        <is>
          <t>0952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CSI CLOSURE SYSTEMS (HANGZHOU)</t>
        </is>
      </c>
      <c r="AK22" s="130" t="n"/>
    </row>
    <row r="23" ht="12" customHeight="1">
      <c r="A23" s="108" t="inlineStr">
        <is>
          <t>HALU2542660</t>
        </is>
      </c>
      <c r="B23" s="108" t="inlineStr">
        <is>
          <t>LCH06</t>
        </is>
      </c>
      <c r="C23" s="108" t="inlineStr">
        <is>
          <t>IFV</t>
        </is>
      </c>
      <c r="D23" s="172" t="inlineStr">
        <is>
          <t>2026-09-27</t>
        </is>
      </c>
      <c r="E23" s="173" t="inlineStr">
        <is>
          <t>1708</t>
        </is>
      </c>
      <c r="F23" s="96" t="inlineStr">
        <is>
          <t>HASLS22260901675</t>
        </is>
      </c>
      <c r="G23" s="96" t="inlineStr">
        <is>
          <t>WHA GC LOGISTICS COMPANY LIMITED</t>
        </is>
      </c>
      <c r="H23" s="111" t="inlineStr">
        <is>
          <t>22GP</t>
        </is>
      </c>
      <c r="I23" s="96" t="inlineStr">
        <is>
          <t>FTP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HASLS22260901675</t>
        </is>
      </c>
      <c r="N23" s="96" t="inlineStr">
        <is>
          <t xml:space="preserve">20'x2 </t>
        </is>
      </c>
      <c r="O23" s="111" t="inlineStr">
        <is>
          <t>2025</t>
        </is>
      </c>
      <c r="P23" s="111" t="n"/>
      <c r="Q23" s="111" t="n"/>
      <c r="R23" s="96" t="inlineStr">
        <is>
          <t>SWVG</t>
        </is>
      </c>
      <c r="S23" s="96" t="inlineStr">
        <is>
          <t>2612N</t>
        </is>
      </c>
      <c r="T23" s="96" t="inlineStr">
        <is>
          <t>LCH06</t>
        </is>
      </c>
      <c r="U23" s="96" t="inlineStr">
        <is>
          <t>THLCH</t>
        </is>
      </c>
      <c r="V23" s="161" t="inlineStr">
        <is>
          <t>2026-10-07</t>
        </is>
      </c>
      <c r="W23" s="96" t="inlineStr">
        <is>
          <t>JPSMZ</t>
        </is>
      </c>
      <c r="X23" s="161" t="inlineStr">
        <is>
          <t>2026-10-15</t>
        </is>
      </c>
      <c r="Y23" s="97" t="n"/>
      <c r="Z23" s="97" t="n"/>
      <c r="AA23" s="97" t="n"/>
      <c r="AB23" s="97" t="n"/>
      <c r="AC23" s="97" t="n"/>
      <c r="AD23" s="161" t="inlineStr">
        <is>
          <t>2026-09-27</t>
        </is>
      </c>
      <c r="AE23" s="174" t="inlineStr">
        <is>
          <t>2018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MARUBENI INNOVEXIS CORPORATION</t>
        </is>
      </c>
      <c r="AK23" s="130" t="n"/>
    </row>
    <row r="24" ht="12" customHeight="1">
      <c r="A24" s="108" t="inlineStr">
        <is>
          <t>HALU2548910</t>
        </is>
      </c>
      <c r="B24" s="108" t="inlineStr">
        <is>
          <t>LCH06</t>
        </is>
      </c>
      <c r="C24" s="108" t="inlineStr">
        <is>
          <t>IFV</t>
        </is>
      </c>
      <c r="D24" s="172" t="inlineStr">
        <is>
          <t>2026-09-27</t>
        </is>
      </c>
      <c r="E24" s="173" t="inlineStr">
        <is>
          <t>1707</t>
        </is>
      </c>
      <c r="F24" s="96" t="inlineStr">
        <is>
          <t>HASLS22260901675</t>
        </is>
      </c>
      <c r="G24" s="96" t="inlineStr">
        <is>
          <t>WHA GC LOGISTICS COMPANY LIMITED</t>
        </is>
      </c>
      <c r="H24" s="111" t="inlineStr">
        <is>
          <t>22GP</t>
        </is>
      </c>
      <c r="I24" s="96" t="inlineStr">
        <is>
          <t>FTP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HASLS22260901675</t>
        </is>
      </c>
      <c r="N24" s="96" t="inlineStr">
        <is>
          <t xml:space="preserve">20'x2 </t>
        </is>
      </c>
      <c r="O24" s="111" t="inlineStr">
        <is>
          <t>2025</t>
        </is>
      </c>
      <c r="P24" s="111" t="n"/>
      <c r="Q24" s="111" t="n"/>
      <c r="R24" s="96" t="inlineStr">
        <is>
          <t>SWVG</t>
        </is>
      </c>
      <c r="S24" s="96" t="inlineStr">
        <is>
          <t>2612N</t>
        </is>
      </c>
      <c r="T24" s="96" t="inlineStr">
        <is>
          <t>LCH06</t>
        </is>
      </c>
      <c r="U24" s="96" t="inlineStr">
        <is>
          <t>THLCH</t>
        </is>
      </c>
      <c r="V24" s="161" t="inlineStr">
        <is>
          <t>2026-10-07</t>
        </is>
      </c>
      <c r="W24" s="96" t="inlineStr">
        <is>
          <t>JPSMZ</t>
        </is>
      </c>
      <c r="X24" s="161" t="inlineStr">
        <is>
          <t>2026-10-15</t>
        </is>
      </c>
      <c r="Y24" s="97" t="n"/>
      <c r="Z24" s="97" t="n"/>
      <c r="AA24" s="97" t="n"/>
      <c r="AB24" s="97" t="n"/>
      <c r="AC24" s="97" t="n"/>
      <c r="AD24" s="161" t="inlineStr">
        <is>
          <t>2026-09-27</t>
        </is>
      </c>
      <c r="AE24" s="174" t="inlineStr">
        <is>
          <t>2018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MARUBENI INNOVEXIS CORPORATION</t>
        </is>
      </c>
      <c r="AK24" s="130" t="n"/>
    </row>
    <row r="25" ht="12" customHeight="1">
      <c r="A25" s="108" t="inlineStr">
        <is>
          <t>HALU2587979</t>
        </is>
      </c>
      <c r="B25" s="108" t="inlineStr">
        <is>
          <t>LCH06</t>
        </is>
      </c>
      <c r="C25" s="108" t="inlineStr">
        <is>
          <t>IFV</t>
        </is>
      </c>
      <c r="D25" s="172" t="inlineStr">
        <is>
          <t>2026-10-01</t>
        </is>
      </c>
      <c r="E25" s="173" t="inlineStr">
        <is>
          <t>0615</t>
        </is>
      </c>
      <c r="F25" s="96" t="inlineStr">
        <is>
          <t>HASLS22260900127</t>
        </is>
      </c>
      <c r="G25" s="96" t="inlineStr">
        <is>
          <t>WHA GC LOGISTICS COMPANY LIMITED</t>
        </is>
      </c>
      <c r="H25" s="111" t="inlineStr">
        <is>
          <t>22GP</t>
        </is>
      </c>
      <c r="I25" s="96" t="inlineStr">
        <is>
          <t>FTP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HASLS22260900127</t>
        </is>
      </c>
      <c r="N25" s="96" t="inlineStr">
        <is>
          <t xml:space="preserve">20'x2 </t>
        </is>
      </c>
      <c r="O25" s="111" t="inlineStr">
        <is>
          <t>2025</t>
        </is>
      </c>
      <c r="P25" s="111" t="n"/>
      <c r="Q25" s="111" t="n"/>
      <c r="R25" s="96" t="inlineStr">
        <is>
          <t>SWVG</t>
        </is>
      </c>
      <c r="S25" s="96" t="inlineStr">
        <is>
          <t>2612N</t>
        </is>
      </c>
      <c r="T25" s="96" t="inlineStr">
        <is>
          <t>LCH06</t>
        </is>
      </c>
      <c r="U25" s="96" t="inlineStr">
        <is>
          <t>THLCH</t>
        </is>
      </c>
      <c r="V25" s="161" t="inlineStr">
        <is>
          <t>2026-10-07</t>
        </is>
      </c>
      <c r="W25" s="96" t="inlineStr">
        <is>
          <t>JPTYO</t>
        </is>
      </c>
      <c r="X25" s="161" t="inlineStr">
        <is>
          <t>2026-10-15</t>
        </is>
      </c>
      <c r="Y25" s="97" t="n"/>
      <c r="Z25" s="97" t="n"/>
      <c r="AA25" s="97" t="n"/>
      <c r="AB25" s="97" t="n"/>
      <c r="AC25" s="97" t="n"/>
      <c r="AD25" s="161" t="inlineStr">
        <is>
          <t>2026-10-01</t>
        </is>
      </c>
      <c r="AE25" s="174" t="inlineStr">
        <is>
          <t>0938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MITSUBISHI CORPORATION PLASTICS</t>
        </is>
      </c>
      <c r="AK25" s="130" t="n"/>
    </row>
    <row r="26" ht="12" customHeight="1">
      <c r="A26" s="108" t="inlineStr">
        <is>
          <t>HALU2588614</t>
        </is>
      </c>
      <c r="B26" s="108" t="inlineStr">
        <is>
          <t>LCH06</t>
        </is>
      </c>
      <c r="C26" s="108" t="inlineStr">
        <is>
          <t>IFV</t>
        </is>
      </c>
      <c r="D26" s="172" t="inlineStr">
        <is>
          <t>2026-10-01</t>
        </is>
      </c>
      <c r="E26" s="173" t="inlineStr">
        <is>
          <t>0615</t>
        </is>
      </c>
      <c r="F26" s="96" t="inlineStr">
        <is>
          <t>HASLS22260900127</t>
        </is>
      </c>
      <c r="G26" s="96" t="inlineStr">
        <is>
          <t>WHA GC LOGISTICS COMPANY LIMITED</t>
        </is>
      </c>
      <c r="H26" s="111" t="inlineStr">
        <is>
          <t>22GP</t>
        </is>
      </c>
      <c r="I26" s="96" t="inlineStr">
        <is>
          <t>FTP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HASLS22260900127</t>
        </is>
      </c>
      <c r="N26" s="96" t="inlineStr">
        <is>
          <t xml:space="preserve">20'x2 </t>
        </is>
      </c>
      <c r="O26" s="111" t="inlineStr">
        <is>
          <t>2025</t>
        </is>
      </c>
      <c r="P26" s="111" t="n"/>
      <c r="Q26" s="111" t="n"/>
      <c r="R26" s="96" t="inlineStr">
        <is>
          <t>SWVG</t>
        </is>
      </c>
      <c r="S26" s="96" t="inlineStr">
        <is>
          <t>2612N</t>
        </is>
      </c>
      <c r="T26" s="96" t="inlineStr">
        <is>
          <t>LCH06</t>
        </is>
      </c>
      <c r="U26" s="96" t="inlineStr">
        <is>
          <t>THLCH</t>
        </is>
      </c>
      <c r="V26" s="161" t="inlineStr">
        <is>
          <t>2026-10-07</t>
        </is>
      </c>
      <c r="W26" s="96" t="inlineStr">
        <is>
          <t>JPTYO</t>
        </is>
      </c>
      <c r="X26" s="161" t="inlineStr">
        <is>
          <t>2026-10-15</t>
        </is>
      </c>
      <c r="Y26" s="97" t="n"/>
      <c r="Z26" s="97" t="n"/>
      <c r="AA26" s="97" t="n"/>
      <c r="AB26" s="97" t="n"/>
      <c r="AC26" s="97" t="n"/>
      <c r="AD26" s="161" t="inlineStr">
        <is>
          <t>2026-10-01</t>
        </is>
      </c>
      <c r="AE26" s="174" t="inlineStr">
        <is>
          <t>0938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MITSUBISHI CORPORATION PLASTICS</t>
        </is>
      </c>
      <c r="AK26" s="130" t="n"/>
    </row>
    <row r="27" ht="12" customHeight="1">
      <c r="A27" s="108" t="inlineStr">
        <is>
          <t>HALU5641142</t>
        </is>
      </c>
      <c r="B27" s="108" t="inlineStr">
        <is>
          <t>LCH06</t>
        </is>
      </c>
      <c r="C27" s="108" t="inlineStr">
        <is>
          <t>IFV</t>
        </is>
      </c>
      <c r="D27" s="172" t="inlineStr">
        <is>
          <t>2026-09-27</t>
        </is>
      </c>
      <c r="E27" s="173" t="inlineStr">
        <is>
          <t>0850</t>
        </is>
      </c>
      <c r="F27" s="96" t="inlineStr">
        <is>
          <t>HASLS22260802391</t>
        </is>
      </c>
      <c r="G27" s="96" t="inlineStr">
        <is>
          <t>WHA GC LOGISTICS COMPANY LIMITED</t>
        </is>
      </c>
      <c r="H27" s="111" t="inlineStr">
        <is>
          <t>45GP</t>
        </is>
      </c>
      <c r="I27" s="96" t="inlineStr">
        <is>
          <t>FTP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HASLS22260802391</t>
        </is>
      </c>
      <c r="N27" s="96" t="inlineStr">
        <is>
          <t xml:space="preserve">40Hx4 </t>
        </is>
      </c>
      <c r="O27" s="111" t="inlineStr">
        <is>
          <t>2014</t>
        </is>
      </c>
      <c r="P27" s="111" t="n"/>
      <c r="Q27" s="111" t="n"/>
      <c r="R27" s="96" t="inlineStr">
        <is>
          <t>SWVG</t>
        </is>
      </c>
      <c r="S27" s="96" t="inlineStr">
        <is>
          <t>2612N</t>
        </is>
      </c>
      <c r="T27" s="96" t="inlineStr">
        <is>
          <t>LCH06</t>
        </is>
      </c>
      <c r="U27" s="96" t="inlineStr">
        <is>
          <t>THLCH</t>
        </is>
      </c>
      <c r="V27" s="161" t="inlineStr">
        <is>
          <t>2026-10-07</t>
        </is>
      </c>
      <c r="W27" s="96" t="inlineStr">
        <is>
          <t>JPMYJ</t>
        </is>
      </c>
      <c r="X27" s="161" t="inlineStr">
        <is>
          <t>2026-10-15</t>
        </is>
      </c>
      <c r="Y27" s="97" t="n"/>
      <c r="Z27" s="97" t="n"/>
      <c r="AA27" s="97" t="n"/>
      <c r="AB27" s="97" t="n"/>
      <c r="AC27" s="97" t="n"/>
      <c r="AD27" s="161" t="inlineStr">
        <is>
          <t>2026-09-27</t>
        </is>
      </c>
      <c r="AE27" s="174" t="inlineStr">
        <is>
          <t>1149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INABATA &amp; CO.,LTD</t>
        </is>
      </c>
      <c r="AK27" s="130" t="n"/>
    </row>
    <row r="28" ht="12" customHeight="1">
      <c r="A28" s="108" t="inlineStr">
        <is>
          <t>HLHU6410647</t>
        </is>
      </c>
      <c r="B28" s="108" t="inlineStr">
        <is>
          <t>LCH06</t>
        </is>
      </c>
      <c r="C28" s="108" t="inlineStr">
        <is>
          <t>IFV</t>
        </is>
      </c>
      <c r="D28" s="172" t="inlineStr">
        <is>
          <t>2026-10-02</t>
        </is>
      </c>
      <c r="E28" s="173" t="inlineStr">
        <is>
          <t>1602</t>
        </is>
      </c>
      <c r="F28" s="96" t="inlineStr">
        <is>
          <t>HASLS22260901914</t>
        </is>
      </c>
      <c r="G28" s="96" t="inlineStr">
        <is>
          <t>MITSUBISHI LOGISTICS (THAILAND) CO., LTD.</t>
        </is>
      </c>
      <c r="H28" s="111" t="inlineStr">
        <is>
          <t>45GP</t>
        </is>
      </c>
      <c r="I28" s="96" t="inlineStr">
        <is>
          <t>FTP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HASLS22260901914</t>
        </is>
      </c>
      <c r="N28" s="96" t="inlineStr">
        <is>
          <t xml:space="preserve">40Hx2 </t>
        </is>
      </c>
      <c r="O28" s="111" t="inlineStr">
        <is>
          <t>2024</t>
        </is>
      </c>
      <c r="P28" s="111" t="n"/>
      <c r="Q28" s="111" t="n"/>
      <c r="R28" s="96" t="inlineStr">
        <is>
          <t>SWVG</t>
        </is>
      </c>
      <c r="S28" s="96" t="inlineStr">
        <is>
          <t>2612N</t>
        </is>
      </c>
      <c r="T28" s="96" t="inlineStr">
        <is>
          <t>LCH06</t>
        </is>
      </c>
      <c r="U28" s="96" t="inlineStr">
        <is>
          <t>THLCH</t>
        </is>
      </c>
      <c r="V28" s="161" t="inlineStr">
        <is>
          <t>2026-10-07</t>
        </is>
      </c>
      <c r="W28" s="96" t="inlineStr">
        <is>
          <t>CNSHA</t>
        </is>
      </c>
      <c r="X28" s="161" t="inlineStr">
        <is>
          <t>2026-10-13</t>
        </is>
      </c>
      <c r="Y28" s="97" t="n"/>
      <c r="Z28" s="97" t="n"/>
      <c r="AA28" s="97" t="n"/>
      <c r="AB28" s="97" t="n"/>
      <c r="AC28" s="97" t="n"/>
      <c r="AD28" s="161" t="inlineStr">
        <is>
          <t>2026-10-02</t>
        </is>
      </c>
      <c r="AE28" s="174" t="inlineStr">
        <is>
          <t>1944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SHANGHAI LINGYUN GLOBAL FORWARDING</t>
        </is>
      </c>
      <c r="AK28" s="130" t="n"/>
    </row>
    <row r="29" ht="12" customHeight="1">
      <c r="A29" s="108" t="inlineStr">
        <is>
          <t>HLHU6417678</t>
        </is>
      </c>
      <c r="B29" s="108" t="inlineStr">
        <is>
          <t>LCH06</t>
        </is>
      </c>
      <c r="C29" s="108" t="inlineStr">
        <is>
          <t>IFV</t>
        </is>
      </c>
      <c r="D29" s="172" t="inlineStr">
        <is>
          <t>2026-10-03</t>
        </is>
      </c>
      <c r="E29" s="173" t="inlineStr">
        <is>
          <t>0552</t>
        </is>
      </c>
      <c r="F29" s="96" t="inlineStr">
        <is>
          <t>HASLS22260902494</t>
        </is>
      </c>
      <c r="G29" s="96" t="inlineStr">
        <is>
          <t>SCGJWD LOGISTICS PUBLIC COMPANY LIMITED</t>
        </is>
      </c>
      <c r="H29" s="111" t="inlineStr">
        <is>
          <t>45GP</t>
        </is>
      </c>
      <c r="I29" s="96" t="inlineStr">
        <is>
          <t>FTP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HASLS22260902494</t>
        </is>
      </c>
      <c r="N29" s="96" t="inlineStr">
        <is>
          <t xml:space="preserve">40Hx4 </t>
        </is>
      </c>
      <c r="O29" s="111" t="inlineStr">
        <is>
          <t>2024</t>
        </is>
      </c>
      <c r="P29" s="111" t="n"/>
      <c r="Q29" s="111" t="n"/>
      <c r="R29" s="96" t="inlineStr">
        <is>
          <t>SWVG</t>
        </is>
      </c>
      <c r="S29" s="96" t="inlineStr">
        <is>
          <t>2612N</t>
        </is>
      </c>
      <c r="T29" s="96" t="inlineStr">
        <is>
          <t>LCH06</t>
        </is>
      </c>
      <c r="U29" s="96" t="inlineStr">
        <is>
          <t>THLCH</t>
        </is>
      </c>
      <c r="V29" s="161" t="inlineStr">
        <is>
          <t>2026-10-07</t>
        </is>
      </c>
      <c r="W29" s="96" t="inlineStr">
        <is>
          <t>CNSHA</t>
        </is>
      </c>
      <c r="X29" s="161" t="inlineStr">
        <is>
          <t>2026-10-13</t>
        </is>
      </c>
      <c r="Y29" s="97" t="n"/>
      <c r="Z29" s="97" t="n"/>
      <c r="AA29" s="97" t="n"/>
      <c r="AB29" s="97" t="n"/>
      <c r="AC29" s="97" t="n"/>
      <c r="AD29" s="161" t="inlineStr">
        <is>
          <t>2026-10-03</t>
        </is>
      </c>
      <c r="AE29" s="174" t="inlineStr">
        <is>
          <t>0849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TO ORDER</t>
        </is>
      </c>
      <c r="AK29" s="130" t="n"/>
    </row>
    <row r="30" ht="12" customHeight="1">
      <c r="A30" s="108" t="inlineStr">
        <is>
          <t>HLHU6418967</t>
        </is>
      </c>
      <c r="B30" s="108" t="inlineStr">
        <is>
          <t>LCH06</t>
        </is>
      </c>
      <c r="C30" s="108" t="inlineStr">
        <is>
          <t>IFV</t>
        </is>
      </c>
      <c r="D30" s="172" t="inlineStr">
        <is>
          <t>2026-09-19</t>
        </is>
      </c>
      <c r="E30" s="173" t="inlineStr">
        <is>
          <t>1635</t>
        </is>
      </c>
      <c r="F30" s="96" t="inlineStr">
        <is>
          <t>HASLS22260901668</t>
        </is>
      </c>
      <c r="G30" s="96" t="inlineStr">
        <is>
          <t>BARKLAYS LOGISTICS (THAILAND) CO., LTD.</t>
        </is>
      </c>
      <c r="H30" s="111" t="inlineStr">
        <is>
          <t>45GP</t>
        </is>
      </c>
      <c r="I30" s="96" t="inlineStr">
        <is>
          <t>FTP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HASLS22260901668</t>
        </is>
      </c>
      <c r="N30" s="96" t="inlineStr">
        <is>
          <t xml:space="preserve">40Hx15 </t>
        </is>
      </c>
      <c r="O30" s="111" t="inlineStr">
        <is>
          <t>2024</t>
        </is>
      </c>
      <c r="P30" s="111" t="n"/>
      <c r="Q30" s="111" t="n"/>
      <c r="R30" s="96" t="inlineStr">
        <is>
          <t>HAB</t>
        </is>
      </c>
      <c r="S30" s="96" t="inlineStr">
        <is>
          <t>2611N</t>
        </is>
      </c>
      <c r="T30" s="96" t="inlineStr">
        <is>
          <t>LCH06</t>
        </is>
      </c>
      <c r="U30" s="96" t="inlineStr">
        <is>
          <t>THLCH</t>
        </is>
      </c>
      <c r="V30" s="161" t="inlineStr">
        <is>
          <t>2026-10-07</t>
        </is>
      </c>
      <c r="W30" s="96" t="inlineStr">
        <is>
          <t>CNSHA</t>
        </is>
      </c>
      <c r="X30" s="161" t="inlineStr">
        <is>
          <t>2026-10-13</t>
        </is>
      </c>
      <c r="Y30" s="97" t="n"/>
      <c r="Z30" s="97" t="n"/>
      <c r="AA30" s="97" t="n"/>
      <c r="AB30" s="97" t="n"/>
      <c r="AC30" s="97" t="n"/>
      <c r="AD30" s="161" t="inlineStr">
        <is>
          <t>2026-09-19</t>
        </is>
      </c>
      <c r="AE30" s="174" t="inlineStr">
        <is>
          <t>1921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BARKLAYS LOGISTICS (SHANGHAI)</t>
        </is>
      </c>
      <c r="AK30" s="130" t="n"/>
    </row>
    <row r="31" ht="12" customHeight="1">
      <c r="A31" s="108" t="inlineStr">
        <is>
          <t>HLHU6419006</t>
        </is>
      </c>
      <c r="B31" s="108" t="inlineStr">
        <is>
          <t>LCH06</t>
        </is>
      </c>
      <c r="C31" s="108" t="inlineStr">
        <is>
          <t>IFV</t>
        </is>
      </c>
      <c r="D31" s="172" t="inlineStr">
        <is>
          <t>2026-09-28</t>
        </is>
      </c>
      <c r="E31" s="173" t="inlineStr">
        <is>
          <t>0032</t>
        </is>
      </c>
      <c r="F31" s="96" t="inlineStr">
        <is>
          <t>HASLS22260801240</t>
        </is>
      </c>
      <c r="G31" s="96" t="inlineStr">
        <is>
          <t>WHA GC LOGISTICS COMPANY LIMITED</t>
        </is>
      </c>
      <c r="H31" s="111" t="inlineStr">
        <is>
          <t>45GP</t>
        </is>
      </c>
      <c r="I31" s="96" t="inlineStr">
        <is>
          <t>FTP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HASLS22260801240</t>
        </is>
      </c>
      <c r="N31" s="96" t="inlineStr">
        <is>
          <t xml:space="preserve">40Hx9 </t>
        </is>
      </c>
      <c r="O31" s="111" t="inlineStr">
        <is>
          <t>2024</t>
        </is>
      </c>
      <c r="P31" s="111" t="n"/>
      <c r="Q31" s="111" t="n"/>
      <c r="R31" s="96" t="inlineStr">
        <is>
          <t>SWVG</t>
        </is>
      </c>
      <c r="S31" s="96" t="inlineStr">
        <is>
          <t>2612N</t>
        </is>
      </c>
      <c r="T31" s="96" t="inlineStr">
        <is>
          <t>LCH06</t>
        </is>
      </c>
      <c r="U31" s="96" t="inlineStr">
        <is>
          <t>THLCH</t>
        </is>
      </c>
      <c r="V31" s="161" t="inlineStr">
        <is>
          <t>2026-10-07</t>
        </is>
      </c>
      <c r="W31" s="96" t="inlineStr">
        <is>
          <t>CNSHA</t>
        </is>
      </c>
      <c r="X31" s="161" t="inlineStr">
        <is>
          <t>2026-10-13</t>
        </is>
      </c>
      <c r="Y31" s="97" t="n"/>
      <c r="Z31" s="97" t="n"/>
      <c r="AA31" s="97" t="n"/>
      <c r="AB31" s="97" t="n"/>
      <c r="AC31" s="97" t="n"/>
      <c r="AD31" s="161" t="inlineStr">
        <is>
          <t>2026-09-28</t>
        </is>
      </c>
      <c r="AE31" s="174" t="inlineStr">
        <is>
          <t>0321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GC MARKETING SOLUTIONS (SHANGHAI)</t>
        </is>
      </c>
      <c r="AK31" s="130" t="n"/>
    </row>
    <row r="32" ht="12" customHeight="1">
      <c r="A32" s="108" t="inlineStr">
        <is>
          <t>HLHU8101122</t>
        </is>
      </c>
      <c r="B32" s="108" t="inlineStr">
        <is>
          <t>LCH06</t>
        </is>
      </c>
      <c r="C32" s="108" t="inlineStr">
        <is>
          <t>IFV</t>
        </is>
      </c>
      <c r="D32" s="172" t="inlineStr">
        <is>
          <t>2026-09-19</t>
        </is>
      </c>
      <c r="E32" s="173" t="inlineStr">
        <is>
          <t>1811</t>
        </is>
      </c>
      <c r="F32" s="96" t="inlineStr">
        <is>
          <t>HASLS22260900441</t>
        </is>
      </c>
      <c r="G32" s="96" t="inlineStr">
        <is>
          <t>BARKLAYS LOGISTICS (THAILAND) CO., LTD.</t>
        </is>
      </c>
      <c r="H32" s="111" t="inlineStr">
        <is>
          <t>45GP</t>
        </is>
      </c>
      <c r="I32" s="96" t="inlineStr">
        <is>
          <t>FTP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HASLS22260900441</t>
        </is>
      </c>
      <c r="N32" s="96" t="inlineStr">
        <is>
          <t xml:space="preserve">40Hx15 </t>
        </is>
      </c>
      <c r="O32" s="111" t="inlineStr">
        <is>
          <t>2021</t>
        </is>
      </c>
      <c r="P32" s="111" t="n"/>
      <c r="Q32" s="111" t="n"/>
      <c r="R32" s="96" t="inlineStr">
        <is>
          <t>HAB</t>
        </is>
      </c>
      <c r="S32" s="96" t="inlineStr">
        <is>
          <t>2611N</t>
        </is>
      </c>
      <c r="T32" s="96" t="inlineStr">
        <is>
          <t>LCH06</t>
        </is>
      </c>
      <c r="U32" s="96" t="inlineStr">
        <is>
          <t>THLCH</t>
        </is>
      </c>
      <c r="V32" s="161" t="inlineStr">
        <is>
          <t>2026-10-07</t>
        </is>
      </c>
      <c r="W32" s="96" t="inlineStr">
        <is>
          <t>CNSHA</t>
        </is>
      </c>
      <c r="X32" s="161" t="inlineStr">
        <is>
          <t>2026-10-13</t>
        </is>
      </c>
      <c r="Y32" s="97" t="n"/>
      <c r="Z32" s="97" t="n"/>
      <c r="AA32" s="97" t="n"/>
      <c r="AB32" s="97" t="n"/>
      <c r="AC32" s="97" t="n"/>
      <c r="AD32" s="161" t="inlineStr">
        <is>
          <t>2026-09-19</t>
        </is>
      </c>
      <c r="AE32" s="174" t="inlineStr">
        <is>
          <t>2151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BARKLAYS LOGISTICS (SHANGHAI)</t>
        </is>
      </c>
      <c r="AK32" s="130" t="n"/>
    </row>
    <row r="33" ht="12" customHeight="1">
      <c r="A33" s="108" t="inlineStr">
        <is>
          <t>HLHU8203253</t>
        </is>
      </c>
      <c r="B33" s="108" t="inlineStr">
        <is>
          <t>LCH06</t>
        </is>
      </c>
      <c r="C33" s="108" t="inlineStr">
        <is>
          <t>IFV</t>
        </is>
      </c>
      <c r="D33" s="172" t="inlineStr">
        <is>
          <t>2026-10-03</t>
        </is>
      </c>
      <c r="E33" s="173" t="inlineStr">
        <is>
          <t>1924</t>
        </is>
      </c>
      <c r="F33" s="96" t="inlineStr">
        <is>
          <t>HASLS22260902351</t>
        </is>
      </c>
      <c r="G33" s="96" t="inlineStr">
        <is>
          <t>SRITHAI TOYO LOGISTICS CO., LTD.</t>
        </is>
      </c>
      <c r="H33" s="111" t="inlineStr">
        <is>
          <t>45GP</t>
        </is>
      </c>
      <c r="I33" s="96" t="inlineStr">
        <is>
          <t>FTP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HASLS22260902351</t>
        </is>
      </c>
      <c r="N33" s="96" t="inlineStr">
        <is>
          <t xml:space="preserve">40Hx1 </t>
        </is>
      </c>
      <c r="O33" s="111" t="inlineStr">
        <is>
          <t>2022</t>
        </is>
      </c>
      <c r="P33" s="111" t="n"/>
      <c r="Q33" s="111" t="n"/>
      <c r="R33" s="96" t="inlineStr">
        <is>
          <t>SWVG</t>
        </is>
      </c>
      <c r="S33" s="96" t="inlineStr">
        <is>
          <t>2612N</t>
        </is>
      </c>
      <c r="T33" s="96" t="inlineStr">
        <is>
          <t>LCH06</t>
        </is>
      </c>
      <c r="U33" s="96" t="inlineStr">
        <is>
          <t>THLCH</t>
        </is>
      </c>
      <c r="V33" s="161" t="inlineStr">
        <is>
          <t>2026-10-07</t>
        </is>
      </c>
      <c r="W33" s="96" t="inlineStr">
        <is>
          <t>RUVVO</t>
        </is>
      </c>
      <c r="X33" s="161" t="inlineStr">
        <is>
          <t>2026-10-15</t>
        </is>
      </c>
      <c r="Y33" s="97" t="n"/>
      <c r="Z33" s="97" t="n"/>
      <c r="AA33" s="97" t="n"/>
      <c r="AB33" s="97" t="n"/>
      <c r="AC33" s="97" t="n"/>
      <c r="AD33" s="161" t="inlineStr">
        <is>
          <t>2026-10-03</t>
        </is>
      </c>
      <c r="AE33" s="174" t="inlineStr">
        <is>
          <t>2316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YOKOHAMA RUSSIA LLC</t>
        </is>
      </c>
      <c r="AK33" s="130" t="n"/>
    </row>
    <row r="34" ht="12" customHeight="1">
      <c r="A34" s="108" t="inlineStr">
        <is>
          <t>HLHU8300778</t>
        </is>
      </c>
      <c r="B34" s="108" t="inlineStr">
        <is>
          <t>LCH06</t>
        </is>
      </c>
      <c r="C34" s="108" t="inlineStr">
        <is>
          <t>IFV</t>
        </is>
      </c>
      <c r="D34" s="172" t="inlineStr">
        <is>
          <t>2026-10-03</t>
        </is>
      </c>
      <c r="E34" s="173" t="inlineStr">
        <is>
          <t>0551</t>
        </is>
      </c>
      <c r="F34" s="96" t="inlineStr">
        <is>
          <t>HASLS22260902494</t>
        </is>
      </c>
      <c r="G34" s="96" t="inlineStr">
        <is>
          <t>SCGJWD LOGISTICS PUBLIC COMPANY LIMITED</t>
        </is>
      </c>
      <c r="H34" s="111" t="inlineStr">
        <is>
          <t>45GP</t>
        </is>
      </c>
      <c r="I34" s="96" t="inlineStr">
        <is>
          <t>FTP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HASLS22260902494</t>
        </is>
      </c>
      <c r="N34" s="96" t="inlineStr">
        <is>
          <t xml:space="preserve">40Hx4 </t>
        </is>
      </c>
      <c r="O34" s="111" t="inlineStr">
        <is>
          <t>2023</t>
        </is>
      </c>
      <c r="P34" s="111" t="n"/>
      <c r="Q34" s="111" t="n"/>
      <c r="R34" s="96" t="inlineStr">
        <is>
          <t>SWVG</t>
        </is>
      </c>
      <c r="S34" s="96" t="inlineStr">
        <is>
          <t>2612N</t>
        </is>
      </c>
      <c r="T34" s="96" t="inlineStr">
        <is>
          <t>LCH06</t>
        </is>
      </c>
      <c r="U34" s="96" t="inlineStr">
        <is>
          <t>THLCH</t>
        </is>
      </c>
      <c r="V34" s="161" t="inlineStr">
        <is>
          <t>2026-10-07</t>
        </is>
      </c>
      <c r="W34" s="96" t="inlineStr">
        <is>
          <t>CNSHA</t>
        </is>
      </c>
      <c r="X34" s="161" t="inlineStr">
        <is>
          <t>2026-10-13</t>
        </is>
      </c>
      <c r="Y34" s="97" t="n"/>
      <c r="Z34" s="97" t="n"/>
      <c r="AA34" s="97" t="n"/>
      <c r="AB34" s="97" t="n"/>
      <c r="AC34" s="97" t="n"/>
      <c r="AD34" s="161" t="inlineStr">
        <is>
          <t>2026-10-03</t>
        </is>
      </c>
      <c r="AE34" s="174" t="inlineStr">
        <is>
          <t>0849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TO ORDER</t>
        </is>
      </c>
      <c r="AK34" s="130" t="n"/>
    </row>
    <row r="35" ht="12" customHeight="1">
      <c r="A35" s="108" t="inlineStr">
        <is>
          <t>HLHU8316250</t>
        </is>
      </c>
      <c r="B35" s="108" t="inlineStr">
        <is>
          <t>LCH06</t>
        </is>
      </c>
      <c r="C35" s="108" t="inlineStr">
        <is>
          <t>IFV</t>
        </is>
      </c>
      <c r="D35" s="172" t="inlineStr">
        <is>
          <t>2026-09-19</t>
        </is>
      </c>
      <c r="E35" s="173" t="inlineStr">
        <is>
          <t>1815</t>
        </is>
      </c>
      <c r="F35" s="96" t="inlineStr">
        <is>
          <t>HASLS22260900441</t>
        </is>
      </c>
      <c r="G35" s="96" t="inlineStr">
        <is>
          <t>BARKLAYS LOGISTICS (THAILAND) CO., LTD.</t>
        </is>
      </c>
      <c r="H35" s="111" t="inlineStr">
        <is>
          <t>45GP</t>
        </is>
      </c>
      <c r="I35" s="96" t="inlineStr">
        <is>
          <t>FTP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HASLS22260900441</t>
        </is>
      </c>
      <c r="N35" s="96" t="inlineStr">
        <is>
          <t xml:space="preserve">40Hx15 </t>
        </is>
      </c>
      <c r="O35" s="111" t="inlineStr">
        <is>
          <t>2023</t>
        </is>
      </c>
      <c r="P35" s="111" t="n"/>
      <c r="Q35" s="111" t="n"/>
      <c r="R35" s="96" t="inlineStr">
        <is>
          <t>HAB</t>
        </is>
      </c>
      <c r="S35" s="96" t="inlineStr">
        <is>
          <t>2611N</t>
        </is>
      </c>
      <c r="T35" s="96" t="inlineStr">
        <is>
          <t>LCH06</t>
        </is>
      </c>
      <c r="U35" s="96" t="inlineStr">
        <is>
          <t>THLCH</t>
        </is>
      </c>
      <c r="V35" s="161" t="inlineStr">
        <is>
          <t>2026-10-07</t>
        </is>
      </c>
      <c r="W35" s="96" t="inlineStr">
        <is>
          <t>CNSHA</t>
        </is>
      </c>
      <c r="X35" s="161" t="inlineStr">
        <is>
          <t>2026-10-13</t>
        </is>
      </c>
      <c r="Y35" s="97" t="n"/>
      <c r="Z35" s="97" t="n"/>
      <c r="AA35" s="97" t="n"/>
      <c r="AB35" s="97" t="n"/>
      <c r="AC35" s="97" t="n"/>
      <c r="AD35" s="161" t="inlineStr">
        <is>
          <t>2026-09-19</t>
        </is>
      </c>
      <c r="AE35" s="174" t="inlineStr">
        <is>
          <t>2051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BARKLAYS LOGISTICS (SHANGHAI)</t>
        </is>
      </c>
      <c r="AK35" s="130" t="n"/>
    </row>
    <row r="36" ht="12" customHeight="1">
      <c r="A36" s="108" t="inlineStr">
        <is>
          <t>HLHU8321404</t>
        </is>
      </c>
      <c r="B36" s="108" t="inlineStr">
        <is>
          <t>LCH06</t>
        </is>
      </c>
      <c r="C36" s="108" t="inlineStr">
        <is>
          <t>IFV</t>
        </is>
      </c>
      <c r="D36" s="172" t="inlineStr">
        <is>
          <t>2026-09-27</t>
        </is>
      </c>
      <c r="E36" s="173" t="inlineStr">
        <is>
          <t>2316</t>
        </is>
      </c>
      <c r="F36" s="96" t="inlineStr">
        <is>
          <t>HASLS22260802360</t>
        </is>
      </c>
      <c r="G36" s="96" t="inlineStr">
        <is>
          <t>WHA GC LOGISTICS COMPANY LIMITED</t>
        </is>
      </c>
      <c r="H36" s="111" t="inlineStr">
        <is>
          <t>45GP</t>
        </is>
      </c>
      <c r="I36" s="96" t="inlineStr">
        <is>
          <t>FTP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HASLS22260802360</t>
        </is>
      </c>
      <c r="N36" s="96" t="inlineStr">
        <is>
          <t xml:space="preserve">40Hx5 </t>
        </is>
      </c>
      <c r="O36" s="111" t="inlineStr">
        <is>
          <t>2023</t>
        </is>
      </c>
      <c r="P36" s="111" t="n"/>
      <c r="Q36" s="111" t="n"/>
      <c r="R36" s="96" t="inlineStr">
        <is>
          <t>SWVG</t>
        </is>
      </c>
      <c r="S36" s="96" t="inlineStr">
        <is>
          <t>2612N</t>
        </is>
      </c>
      <c r="T36" s="96" t="inlineStr">
        <is>
          <t>LCH06</t>
        </is>
      </c>
      <c r="U36" s="96" t="inlineStr">
        <is>
          <t>THLCH</t>
        </is>
      </c>
      <c r="V36" s="161" t="inlineStr">
        <is>
          <t>2026-10-07</t>
        </is>
      </c>
      <c r="W36" s="96" t="inlineStr">
        <is>
          <t>JPMYJ</t>
        </is>
      </c>
      <c r="X36" s="161" t="inlineStr">
        <is>
          <t>2026-10-15</t>
        </is>
      </c>
      <c r="Y36" s="97" t="n"/>
      <c r="Z36" s="97" t="n"/>
      <c r="AA36" s="97" t="n"/>
      <c r="AB36" s="97" t="n"/>
      <c r="AC36" s="97" t="n"/>
      <c r="AD36" s="161" t="inlineStr">
        <is>
          <t>2026-09-28</t>
        </is>
      </c>
      <c r="AE36" s="174" t="inlineStr">
        <is>
          <t>0151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INABATA &amp; CO.,LTD</t>
        </is>
      </c>
      <c r="AK36" s="130" t="n"/>
    </row>
    <row r="37" ht="12" customHeight="1">
      <c r="A37" s="108" t="inlineStr">
        <is>
          <t>HLHU8331742</t>
        </is>
      </c>
      <c r="B37" s="108" t="inlineStr">
        <is>
          <t>LCH06</t>
        </is>
      </c>
      <c r="C37" s="108" t="inlineStr">
        <is>
          <t>IFV</t>
        </is>
      </c>
      <c r="D37" s="172" t="inlineStr">
        <is>
          <t>2026-09-28</t>
        </is>
      </c>
      <c r="E37" s="173" t="inlineStr">
        <is>
          <t>2252</t>
        </is>
      </c>
      <c r="F37" s="96" t="inlineStr">
        <is>
          <t>HASLS22260901309</t>
        </is>
      </c>
      <c r="G37" s="96" t="inlineStr">
        <is>
          <t>WHA GC LOGISTICS COMPANY LIMITED</t>
        </is>
      </c>
      <c r="H37" s="111" t="inlineStr">
        <is>
          <t>45GP</t>
        </is>
      </c>
      <c r="I37" s="96" t="inlineStr">
        <is>
          <t>FTP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HASLS22260901309</t>
        </is>
      </c>
      <c r="N37" s="96" t="inlineStr">
        <is>
          <t xml:space="preserve">40Hx6 </t>
        </is>
      </c>
      <c r="O37" s="111" t="inlineStr">
        <is>
          <t>2023</t>
        </is>
      </c>
      <c r="P37" s="111" t="n"/>
      <c r="Q37" s="111" t="n"/>
      <c r="R37" s="96" t="inlineStr">
        <is>
          <t>SWVG</t>
        </is>
      </c>
      <c r="S37" s="96" t="inlineStr">
        <is>
          <t>2612N</t>
        </is>
      </c>
      <c r="T37" s="96" t="inlineStr">
        <is>
          <t>LCH06</t>
        </is>
      </c>
      <c r="U37" s="96" t="inlineStr">
        <is>
          <t>THLCH</t>
        </is>
      </c>
      <c r="V37" s="161" t="inlineStr">
        <is>
          <t>2026-10-07</t>
        </is>
      </c>
      <c r="W37" s="96" t="inlineStr">
        <is>
          <t>CNSHA</t>
        </is>
      </c>
      <c r="X37" s="161" t="inlineStr">
        <is>
          <t>2026-10-13</t>
        </is>
      </c>
      <c r="Y37" s="97" t="n"/>
      <c r="Z37" s="97" t="n"/>
      <c r="AA37" s="97" t="n"/>
      <c r="AB37" s="97" t="n"/>
      <c r="AC37" s="97" t="n"/>
      <c r="AD37" s="161" t="inlineStr">
        <is>
          <t>2026-09-29</t>
        </is>
      </c>
      <c r="AE37" s="174" t="inlineStr">
        <is>
          <t>0138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GC MARKETING SOLUTIONS (SHANGHAI)</t>
        </is>
      </c>
      <c r="AK37" s="130" t="n"/>
    </row>
    <row r="38" ht="12" customHeight="1">
      <c r="A38" s="108" t="inlineStr">
        <is>
          <t>HLHU8332203</t>
        </is>
      </c>
      <c r="B38" s="108" t="inlineStr">
        <is>
          <t>LCH06</t>
        </is>
      </c>
      <c r="C38" s="108" t="inlineStr">
        <is>
          <t>IFV</t>
        </is>
      </c>
      <c r="D38" s="172" t="inlineStr">
        <is>
          <t>2026-09-27</t>
        </is>
      </c>
      <c r="E38" s="173" t="inlineStr">
        <is>
          <t>0826</t>
        </is>
      </c>
      <c r="F38" s="96" t="inlineStr">
        <is>
          <t>HASLS22260802391</t>
        </is>
      </c>
      <c r="G38" s="96" t="inlineStr">
        <is>
          <t>WHA GC LOGISTICS COMPANY LIMITED</t>
        </is>
      </c>
      <c r="H38" s="111" t="inlineStr">
        <is>
          <t>45GP</t>
        </is>
      </c>
      <c r="I38" s="96" t="inlineStr">
        <is>
          <t>FTP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HASLS22260802391</t>
        </is>
      </c>
      <c r="N38" s="96" t="inlineStr">
        <is>
          <t xml:space="preserve">40Hx4 </t>
        </is>
      </c>
      <c r="O38" s="111" t="inlineStr">
        <is>
          <t>2023</t>
        </is>
      </c>
      <c r="P38" s="111" t="n"/>
      <c r="Q38" s="111" t="n"/>
      <c r="R38" s="96" t="inlineStr">
        <is>
          <t>SWVG</t>
        </is>
      </c>
      <c r="S38" s="96" t="inlineStr">
        <is>
          <t>2612N</t>
        </is>
      </c>
      <c r="T38" s="96" t="inlineStr">
        <is>
          <t>LCH06</t>
        </is>
      </c>
      <c r="U38" s="96" t="inlineStr">
        <is>
          <t>THLCH</t>
        </is>
      </c>
      <c r="V38" s="161" t="inlineStr">
        <is>
          <t>2026-10-07</t>
        </is>
      </c>
      <c r="W38" s="96" t="inlineStr">
        <is>
          <t>JPMYJ</t>
        </is>
      </c>
      <c r="X38" s="161" t="inlineStr">
        <is>
          <t>2026-10-15</t>
        </is>
      </c>
      <c r="Y38" s="97" t="n"/>
      <c r="Z38" s="97" t="n"/>
      <c r="AA38" s="97" t="n"/>
      <c r="AB38" s="97" t="n"/>
      <c r="AC38" s="97" t="n"/>
      <c r="AD38" s="161" t="inlineStr">
        <is>
          <t>2026-09-27</t>
        </is>
      </c>
      <c r="AE38" s="174" t="inlineStr">
        <is>
          <t>1128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INABATA &amp; CO.,LTD</t>
        </is>
      </c>
      <c r="AK38" s="130" t="n"/>
    </row>
    <row r="39" ht="12" customHeight="1">
      <c r="A39" s="108" t="inlineStr">
        <is>
          <t>HLHU8342897</t>
        </is>
      </c>
      <c r="B39" s="108" t="inlineStr">
        <is>
          <t>LCH06</t>
        </is>
      </c>
      <c r="C39" s="108" t="inlineStr">
        <is>
          <t>IFV</t>
        </is>
      </c>
      <c r="D39" s="172" t="inlineStr">
        <is>
          <t>2026-09-27</t>
        </is>
      </c>
      <c r="E39" s="173" t="inlineStr">
        <is>
          <t>2117</t>
        </is>
      </c>
      <c r="F39" s="96" t="inlineStr">
        <is>
          <t>HASLS22260801240</t>
        </is>
      </c>
      <c r="G39" s="96" t="inlineStr">
        <is>
          <t>WHA GC LOGISTICS COMPANY LIMITED</t>
        </is>
      </c>
      <c r="H39" s="111" t="inlineStr">
        <is>
          <t>45GP</t>
        </is>
      </c>
      <c r="I39" s="96" t="inlineStr">
        <is>
          <t>FTP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HASLS22260801240</t>
        </is>
      </c>
      <c r="N39" s="96" t="inlineStr">
        <is>
          <t xml:space="preserve">40Hx9 </t>
        </is>
      </c>
      <c r="O39" s="111" t="inlineStr">
        <is>
          <t>2023</t>
        </is>
      </c>
      <c r="P39" s="111" t="n"/>
      <c r="Q39" s="111" t="n"/>
      <c r="R39" s="96" t="inlineStr">
        <is>
          <t>SWVG</t>
        </is>
      </c>
      <c r="S39" s="96" t="inlineStr">
        <is>
          <t>2612N</t>
        </is>
      </c>
      <c r="T39" s="96" t="inlineStr">
        <is>
          <t>LCH06</t>
        </is>
      </c>
      <c r="U39" s="96" t="inlineStr">
        <is>
          <t>THLCH</t>
        </is>
      </c>
      <c r="V39" s="161" t="inlineStr">
        <is>
          <t>2026-10-07</t>
        </is>
      </c>
      <c r="W39" s="96" t="inlineStr">
        <is>
          <t>CNSHA</t>
        </is>
      </c>
      <c r="X39" s="161" t="inlineStr">
        <is>
          <t>2026-10-13</t>
        </is>
      </c>
      <c r="Y39" s="97" t="n"/>
      <c r="Z39" s="97" t="n"/>
      <c r="AA39" s="97" t="n"/>
      <c r="AB39" s="97" t="n"/>
      <c r="AC39" s="97" t="n"/>
      <c r="AD39" s="161" t="inlineStr">
        <is>
          <t>2026-09-27</t>
        </is>
      </c>
      <c r="AE39" s="174" t="inlineStr">
        <is>
          <t>2350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GC MARKETING SOLUTIONS (SHANGHAI)</t>
        </is>
      </c>
      <c r="AK39" s="130" t="n"/>
    </row>
    <row r="40" ht="12" customHeight="1">
      <c r="A40" s="108" t="inlineStr">
        <is>
          <t>HLHU8356632</t>
        </is>
      </c>
      <c r="B40" s="108" t="inlineStr">
        <is>
          <t>LCH06</t>
        </is>
      </c>
      <c r="C40" s="108" t="inlineStr">
        <is>
          <t>IFV</t>
        </is>
      </c>
      <c r="D40" s="172" t="inlineStr">
        <is>
          <t>2026-09-28</t>
        </is>
      </c>
      <c r="E40" s="173" t="inlineStr">
        <is>
          <t>2331</t>
        </is>
      </c>
      <c r="F40" s="96" t="inlineStr">
        <is>
          <t>HASLS22260802507</t>
        </is>
      </c>
      <c r="G40" s="96" t="inlineStr">
        <is>
          <t>WHA GC LOGISTICS COMPANY LIMITED</t>
        </is>
      </c>
      <c r="H40" s="111" t="inlineStr">
        <is>
          <t>45GP</t>
        </is>
      </c>
      <c r="I40" s="96" t="inlineStr">
        <is>
          <t>FTP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HASLS22260802507</t>
        </is>
      </c>
      <c r="N40" s="96" t="inlineStr">
        <is>
          <t xml:space="preserve">40Hx10 </t>
        </is>
      </c>
      <c r="O40" s="111" t="inlineStr">
        <is>
          <t>2023</t>
        </is>
      </c>
      <c r="P40" s="111" t="n"/>
      <c r="Q40" s="111" t="n"/>
      <c r="R40" s="96" t="inlineStr">
        <is>
          <t>SWVG</t>
        </is>
      </c>
      <c r="S40" s="96" t="inlineStr">
        <is>
          <t>2612N</t>
        </is>
      </c>
      <c r="T40" s="96" t="inlineStr">
        <is>
          <t>LCH06</t>
        </is>
      </c>
      <c r="U40" s="96" t="inlineStr">
        <is>
          <t>THLCH</t>
        </is>
      </c>
      <c r="V40" s="161" t="inlineStr">
        <is>
          <t>2026-10-07</t>
        </is>
      </c>
      <c r="W40" s="96" t="inlineStr">
        <is>
          <t>CNSHA</t>
        </is>
      </c>
      <c r="X40" s="161" t="inlineStr">
        <is>
          <t>2026-10-13</t>
        </is>
      </c>
      <c r="Y40" s="97" t="n"/>
      <c r="Z40" s="97" t="n"/>
      <c r="AA40" s="97" t="n"/>
      <c r="AB40" s="97" t="n"/>
      <c r="AC40" s="97" t="n"/>
      <c r="AD40" s="161" t="inlineStr">
        <is>
          <t>2026-09-29</t>
        </is>
      </c>
      <c r="AE40" s="174" t="inlineStr">
        <is>
          <t>0208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GC MARKETING SOLUTIONS (SHANGHAI)</t>
        </is>
      </c>
      <c r="AK40" s="130" t="n"/>
    </row>
    <row r="41" ht="12" customHeight="1">
      <c r="A41" s="108" t="inlineStr">
        <is>
          <t>HLHU8376393</t>
        </is>
      </c>
      <c r="B41" s="108" t="inlineStr">
        <is>
          <t>LCH06</t>
        </is>
      </c>
      <c r="C41" s="108" t="inlineStr">
        <is>
          <t>IFV</t>
        </is>
      </c>
      <c r="D41" s="172" t="inlineStr">
        <is>
          <t>2026-10-03</t>
        </is>
      </c>
      <c r="E41" s="173" t="inlineStr">
        <is>
          <t>0546</t>
        </is>
      </c>
      <c r="F41" s="96" t="inlineStr">
        <is>
          <t>HASLS22260902495</t>
        </is>
      </c>
      <c r="G41" s="96" t="inlineStr">
        <is>
          <t>SCGJWD LOGISTICS PUBLIC COMPANY LIMITED</t>
        </is>
      </c>
      <c r="H41" s="111" t="inlineStr">
        <is>
          <t>45GP</t>
        </is>
      </c>
      <c r="I41" s="96" t="inlineStr">
        <is>
          <t>FTP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HASLS22260902495</t>
        </is>
      </c>
      <c r="N41" s="96" t="inlineStr">
        <is>
          <t xml:space="preserve">40Hx4 </t>
        </is>
      </c>
      <c r="O41" s="111" t="inlineStr">
        <is>
          <t>2023</t>
        </is>
      </c>
      <c r="P41" s="111" t="n"/>
      <c r="Q41" s="111" t="n"/>
      <c r="R41" s="96" t="inlineStr">
        <is>
          <t>SWVG</t>
        </is>
      </c>
      <c r="S41" s="96" t="inlineStr">
        <is>
          <t>2612N</t>
        </is>
      </c>
      <c r="T41" s="96" t="inlineStr">
        <is>
          <t>LCH06</t>
        </is>
      </c>
      <c r="U41" s="96" t="inlineStr">
        <is>
          <t>THLCH</t>
        </is>
      </c>
      <c r="V41" s="161" t="inlineStr">
        <is>
          <t>2026-10-07</t>
        </is>
      </c>
      <c r="W41" s="96" t="inlineStr">
        <is>
          <t>CNSHA</t>
        </is>
      </c>
      <c r="X41" s="161" t="inlineStr">
        <is>
          <t>2026-10-13</t>
        </is>
      </c>
      <c r="Y41" s="97" t="n"/>
      <c r="Z41" s="97" t="n"/>
      <c r="AA41" s="97" t="n"/>
      <c r="AB41" s="97" t="n"/>
      <c r="AC41" s="97" t="n"/>
      <c r="AD41" s="161" t="inlineStr">
        <is>
          <t>2026-10-03</t>
        </is>
      </c>
      <c r="AE41" s="174" t="inlineStr">
        <is>
          <t>0817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SHANGHAI ZHONGXUAN BUSINESS CO.,LTD</t>
        </is>
      </c>
      <c r="AK41" s="130" t="n"/>
    </row>
    <row r="42" ht="12" customHeight="1">
      <c r="A42" s="108" t="inlineStr">
        <is>
          <t>HLHU8377050</t>
        </is>
      </c>
      <c r="B42" s="108" t="inlineStr">
        <is>
          <t>LCH06</t>
        </is>
      </c>
      <c r="C42" s="108" t="inlineStr">
        <is>
          <t>IFV</t>
        </is>
      </c>
      <c r="D42" s="172" t="inlineStr">
        <is>
          <t>2026-09-28</t>
        </is>
      </c>
      <c r="E42" s="173" t="inlineStr">
        <is>
          <t>0009</t>
        </is>
      </c>
      <c r="F42" s="96" t="inlineStr">
        <is>
          <t>HASLS22260801240</t>
        </is>
      </c>
      <c r="G42" s="96" t="inlineStr">
        <is>
          <t>WHA GC LOGISTICS COMPANY LIMITED</t>
        </is>
      </c>
      <c r="H42" s="111" t="inlineStr">
        <is>
          <t>45GP</t>
        </is>
      </c>
      <c r="I42" s="96" t="inlineStr">
        <is>
          <t>FTP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HASLS22260801240</t>
        </is>
      </c>
      <c r="N42" s="96" t="inlineStr">
        <is>
          <t xml:space="preserve">40Hx9 </t>
        </is>
      </c>
      <c r="O42" s="111" t="inlineStr">
        <is>
          <t>2023</t>
        </is>
      </c>
      <c r="P42" s="111" t="n"/>
      <c r="Q42" s="111" t="n"/>
      <c r="R42" s="96" t="inlineStr">
        <is>
          <t>SWVG</t>
        </is>
      </c>
      <c r="S42" s="96" t="inlineStr">
        <is>
          <t>2612N</t>
        </is>
      </c>
      <c r="T42" s="96" t="inlineStr">
        <is>
          <t>LCH06</t>
        </is>
      </c>
      <c r="U42" s="96" t="inlineStr">
        <is>
          <t>THLCH</t>
        </is>
      </c>
      <c r="V42" s="161" t="inlineStr">
        <is>
          <t>2026-10-07</t>
        </is>
      </c>
      <c r="W42" s="96" t="inlineStr">
        <is>
          <t>CNSHA</t>
        </is>
      </c>
      <c r="X42" s="161" t="inlineStr">
        <is>
          <t>2026-10-13</t>
        </is>
      </c>
      <c r="Y42" s="97" t="n"/>
      <c r="Z42" s="97" t="n"/>
      <c r="AA42" s="97" t="n"/>
      <c r="AB42" s="97" t="n"/>
      <c r="AC42" s="97" t="n"/>
      <c r="AD42" s="161" t="inlineStr">
        <is>
          <t>2026-09-28</t>
        </is>
      </c>
      <c r="AE42" s="174" t="inlineStr">
        <is>
          <t>0249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GC MARKETING SOLUTIONS (SHANGHAI)</t>
        </is>
      </c>
      <c r="AK42" s="130" t="n"/>
    </row>
    <row r="43" ht="12" customHeight="1">
      <c r="A43" s="108" t="inlineStr">
        <is>
          <t>HLHU8415967</t>
        </is>
      </c>
      <c r="B43" s="108" t="inlineStr">
        <is>
          <t>LCH06</t>
        </is>
      </c>
      <c r="C43" s="108" t="inlineStr">
        <is>
          <t>IFV</t>
        </is>
      </c>
      <c r="D43" s="172" t="inlineStr">
        <is>
          <t>2026-10-03</t>
        </is>
      </c>
      <c r="E43" s="173" t="inlineStr">
        <is>
          <t>0548</t>
        </is>
      </c>
      <c r="F43" s="96" t="inlineStr">
        <is>
          <t>HASLS22260902494</t>
        </is>
      </c>
      <c r="G43" s="96" t="inlineStr">
        <is>
          <t>SCGJWD LOGISTICS PUBLIC COMPANY LIMITED</t>
        </is>
      </c>
      <c r="H43" s="111" t="inlineStr">
        <is>
          <t>45GP</t>
        </is>
      </c>
      <c r="I43" s="96" t="inlineStr">
        <is>
          <t>FTP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HASLS22260902494</t>
        </is>
      </c>
      <c r="N43" s="96" t="inlineStr">
        <is>
          <t xml:space="preserve">40Hx4 </t>
        </is>
      </c>
      <c r="O43" s="111" t="inlineStr">
        <is>
          <t>2024</t>
        </is>
      </c>
      <c r="P43" s="111" t="n"/>
      <c r="Q43" s="111" t="n"/>
      <c r="R43" s="96" t="inlineStr">
        <is>
          <t>SWVG</t>
        </is>
      </c>
      <c r="S43" s="96" t="inlineStr">
        <is>
          <t>2612N</t>
        </is>
      </c>
      <c r="T43" s="96" t="inlineStr">
        <is>
          <t>LCH06</t>
        </is>
      </c>
      <c r="U43" s="96" t="inlineStr">
        <is>
          <t>THLCH</t>
        </is>
      </c>
      <c r="V43" s="161" t="inlineStr">
        <is>
          <t>2026-10-07</t>
        </is>
      </c>
      <c r="W43" s="96" t="inlineStr">
        <is>
          <t>CNSHA</t>
        </is>
      </c>
      <c r="X43" s="161" t="inlineStr">
        <is>
          <t>2026-10-13</t>
        </is>
      </c>
      <c r="Y43" s="97" t="n"/>
      <c r="Z43" s="97" t="n"/>
      <c r="AA43" s="97" t="n"/>
      <c r="AB43" s="97" t="n"/>
      <c r="AC43" s="97" t="n"/>
      <c r="AD43" s="161" t="inlineStr">
        <is>
          <t>2026-10-03</t>
        </is>
      </c>
      <c r="AE43" s="174" t="inlineStr">
        <is>
          <t>0849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TO ORDER</t>
        </is>
      </c>
      <c r="AK43" s="130" t="n"/>
    </row>
    <row r="44" ht="12" customHeight="1">
      <c r="A44" s="108" t="inlineStr">
        <is>
          <t>HLHU8452087</t>
        </is>
      </c>
      <c r="B44" s="108" t="inlineStr">
        <is>
          <t>LCH06</t>
        </is>
      </c>
      <c r="C44" s="108" t="inlineStr">
        <is>
          <t>IFV</t>
        </is>
      </c>
      <c r="D44" s="172" t="inlineStr">
        <is>
          <t>2026-09-28</t>
        </is>
      </c>
      <c r="E44" s="173" t="inlineStr">
        <is>
          <t>2121</t>
        </is>
      </c>
      <c r="F44" s="96" t="inlineStr">
        <is>
          <t>HASLS22260802507</t>
        </is>
      </c>
      <c r="G44" s="96" t="inlineStr">
        <is>
          <t>WHA GC LOGISTICS COMPANY LIMITED</t>
        </is>
      </c>
      <c r="H44" s="111" t="inlineStr">
        <is>
          <t>45GP</t>
        </is>
      </c>
      <c r="I44" s="96" t="inlineStr">
        <is>
          <t>FTP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HASLS22260802507</t>
        </is>
      </c>
      <c r="N44" s="96" t="inlineStr">
        <is>
          <t xml:space="preserve">40Hx10 </t>
        </is>
      </c>
      <c r="O44" s="111" t="inlineStr">
        <is>
          <t>2024</t>
        </is>
      </c>
      <c r="P44" s="111" t="n"/>
      <c r="Q44" s="111" t="n"/>
      <c r="R44" s="96" t="inlineStr">
        <is>
          <t>SWVG</t>
        </is>
      </c>
      <c r="S44" s="96" t="inlineStr">
        <is>
          <t>2612N</t>
        </is>
      </c>
      <c r="T44" s="96" t="inlineStr">
        <is>
          <t>LCH06</t>
        </is>
      </c>
      <c r="U44" s="96" t="inlineStr">
        <is>
          <t>THLCH</t>
        </is>
      </c>
      <c r="V44" s="161" t="inlineStr">
        <is>
          <t>2026-10-07</t>
        </is>
      </c>
      <c r="W44" s="96" t="inlineStr">
        <is>
          <t>CNSHA</t>
        </is>
      </c>
      <c r="X44" s="161" t="inlineStr">
        <is>
          <t>2026-10-13</t>
        </is>
      </c>
      <c r="Y44" s="97" t="n"/>
      <c r="Z44" s="97" t="n"/>
      <c r="AA44" s="97" t="n"/>
      <c r="AB44" s="97" t="n"/>
      <c r="AC44" s="97" t="n"/>
      <c r="AD44" s="161" t="inlineStr">
        <is>
          <t>2026-09-29</t>
        </is>
      </c>
      <c r="AE44" s="174" t="inlineStr">
        <is>
          <t>0039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GC MARKETING SOLUTIONS (SHANGHAI)</t>
        </is>
      </c>
      <c r="AK44" s="130" t="n"/>
    </row>
    <row r="45" ht="12" customHeight="1">
      <c r="A45" s="108" t="inlineStr">
        <is>
          <t>HLHU8455065</t>
        </is>
      </c>
      <c r="B45" s="108" t="inlineStr">
        <is>
          <t>LCH06</t>
        </is>
      </c>
      <c r="C45" s="108" t="inlineStr">
        <is>
          <t>IFV</t>
        </is>
      </c>
      <c r="D45" s="172" t="inlineStr">
        <is>
          <t>2026-09-29</t>
        </is>
      </c>
      <c r="E45" s="173" t="inlineStr">
        <is>
          <t>2209</t>
        </is>
      </c>
      <c r="F45" s="96" t="inlineStr">
        <is>
          <t>HASLS22260900977</t>
        </is>
      </c>
      <c r="G45" s="96" t="inlineStr">
        <is>
          <t>L.A.1 CO.,LTD.</t>
        </is>
      </c>
      <c r="H45" s="111" t="inlineStr">
        <is>
          <t>45GP</t>
        </is>
      </c>
      <c r="I45" s="96" t="inlineStr">
        <is>
          <t>FTP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HASLS22260900977</t>
        </is>
      </c>
      <c r="N45" s="96" t="inlineStr">
        <is>
          <t xml:space="preserve">40Hx2 </t>
        </is>
      </c>
      <c r="O45" s="111" t="inlineStr">
        <is>
          <t>2024</t>
        </is>
      </c>
      <c r="P45" s="111" t="n"/>
      <c r="Q45" s="111" t="n"/>
      <c r="R45" s="96" t="inlineStr">
        <is>
          <t>SWVG</t>
        </is>
      </c>
      <c r="S45" s="96" t="inlineStr">
        <is>
          <t>2612N</t>
        </is>
      </c>
      <c r="T45" s="96" t="inlineStr">
        <is>
          <t>LCH06</t>
        </is>
      </c>
      <c r="U45" s="96" t="inlineStr">
        <is>
          <t>THLCH</t>
        </is>
      </c>
      <c r="V45" s="161" t="inlineStr">
        <is>
          <t>2026-10-07</t>
        </is>
      </c>
      <c r="W45" s="96" t="inlineStr">
        <is>
          <t>CNSHA</t>
        </is>
      </c>
      <c r="X45" s="161" t="inlineStr">
        <is>
          <t>2026-10-13</t>
        </is>
      </c>
      <c r="Y45" s="97" t="n"/>
      <c r="Z45" s="97" t="n"/>
      <c r="AA45" s="97" t="n"/>
      <c r="AB45" s="97" t="n"/>
      <c r="AC45" s="97" t="n"/>
      <c r="AD45" s="161" t="inlineStr">
        <is>
          <t>2026-09-30</t>
        </is>
      </c>
      <c r="AE45" s="174" t="inlineStr">
        <is>
          <t>0118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SHANGHAI TOP STAR EXPRESS CO.,LTD.</t>
        </is>
      </c>
      <c r="AK45" s="130" t="n"/>
    </row>
    <row r="46" ht="12" customHeight="1">
      <c r="A46" s="108" t="inlineStr">
        <is>
          <t>HLHU8462531</t>
        </is>
      </c>
      <c r="B46" s="108" t="inlineStr">
        <is>
          <t>LCH06</t>
        </is>
      </c>
      <c r="C46" s="108" t="inlineStr">
        <is>
          <t>IFV</t>
        </is>
      </c>
      <c r="D46" s="172" t="inlineStr">
        <is>
          <t>2026-09-19</t>
        </is>
      </c>
      <c r="E46" s="173" t="inlineStr">
        <is>
          <t>1641</t>
        </is>
      </c>
      <c r="F46" s="96" t="inlineStr">
        <is>
          <t>HASLS22260900441</t>
        </is>
      </c>
      <c r="G46" s="96" t="inlineStr">
        <is>
          <t>BARKLAYS LOGISTICS (THAILAND) CO., LTD.</t>
        </is>
      </c>
      <c r="H46" s="111" t="inlineStr">
        <is>
          <t>45GP</t>
        </is>
      </c>
      <c r="I46" s="96" t="inlineStr">
        <is>
          <t>FTP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HASLS22260900441</t>
        </is>
      </c>
      <c r="N46" s="96" t="inlineStr">
        <is>
          <t xml:space="preserve">40Hx15 </t>
        </is>
      </c>
      <c r="O46" s="111" t="inlineStr">
        <is>
          <t>2024</t>
        </is>
      </c>
      <c r="P46" s="111" t="n"/>
      <c r="Q46" s="111" t="n"/>
      <c r="R46" s="96" t="inlineStr">
        <is>
          <t>HAB</t>
        </is>
      </c>
      <c r="S46" s="96" t="inlineStr">
        <is>
          <t>2611N</t>
        </is>
      </c>
      <c r="T46" s="96" t="inlineStr">
        <is>
          <t>LCH06</t>
        </is>
      </c>
      <c r="U46" s="96" t="inlineStr">
        <is>
          <t>THLCH</t>
        </is>
      </c>
      <c r="V46" s="161" t="inlineStr">
        <is>
          <t>2026-10-07</t>
        </is>
      </c>
      <c r="W46" s="96" t="inlineStr">
        <is>
          <t>CNSHA</t>
        </is>
      </c>
      <c r="X46" s="161" t="inlineStr">
        <is>
          <t>2026-10-13</t>
        </is>
      </c>
      <c r="Y46" s="97" t="n"/>
      <c r="Z46" s="97" t="n"/>
      <c r="AA46" s="97" t="n"/>
      <c r="AB46" s="97" t="n"/>
      <c r="AC46" s="97" t="n"/>
      <c r="AD46" s="161" t="inlineStr">
        <is>
          <t>2026-09-19</t>
        </is>
      </c>
      <c r="AE46" s="174" t="inlineStr">
        <is>
          <t>1921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BARKLAYS LOGISTICS (SHANGHAI)</t>
        </is>
      </c>
      <c r="AK46" s="130" t="n"/>
    </row>
    <row r="47" ht="12" customHeight="1">
      <c r="A47" s="108" t="inlineStr">
        <is>
          <t>HLHU8470033</t>
        </is>
      </c>
      <c r="B47" s="108" t="inlineStr">
        <is>
          <t>LCH06</t>
        </is>
      </c>
      <c r="C47" s="108" t="inlineStr">
        <is>
          <t>IFV</t>
        </is>
      </c>
      <c r="D47" s="172" t="inlineStr">
        <is>
          <t>2026-10-01</t>
        </is>
      </c>
      <c r="E47" s="173" t="inlineStr">
        <is>
          <t>0746</t>
        </is>
      </c>
      <c r="F47" s="96" t="inlineStr">
        <is>
          <t>HASLS22260902062</t>
        </is>
      </c>
      <c r="G47" s="96" t="inlineStr">
        <is>
          <t>SCGJWD LOGISTICS PUBLIC COMPANY LIMITED</t>
        </is>
      </c>
      <c r="H47" s="111" t="inlineStr">
        <is>
          <t>45GP</t>
        </is>
      </c>
      <c r="I47" s="96" t="inlineStr">
        <is>
          <t>FTP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HASLS22260902062</t>
        </is>
      </c>
      <c r="N47" s="96" t="inlineStr">
        <is>
          <t xml:space="preserve">40Hx1 </t>
        </is>
      </c>
      <c r="O47" s="111" t="inlineStr">
        <is>
          <t>2024</t>
        </is>
      </c>
      <c r="P47" s="111" t="n"/>
      <c r="Q47" s="111" t="n"/>
      <c r="R47" s="96" t="inlineStr">
        <is>
          <t>SWVG</t>
        </is>
      </c>
      <c r="S47" s="96" t="inlineStr">
        <is>
          <t>2612N</t>
        </is>
      </c>
      <c r="T47" s="96" t="inlineStr">
        <is>
          <t>LCH06</t>
        </is>
      </c>
      <c r="U47" s="96" t="inlineStr">
        <is>
          <t>THLCH</t>
        </is>
      </c>
      <c r="V47" s="161" t="inlineStr">
        <is>
          <t>2026-10-07</t>
        </is>
      </c>
      <c r="W47" s="96" t="inlineStr">
        <is>
          <t>JPISS</t>
        </is>
      </c>
      <c r="X47" s="161" t="inlineStr">
        <is>
          <t>2026-10-15</t>
        </is>
      </c>
      <c r="Y47" s="97" t="n"/>
      <c r="Z47" s="97" t="n"/>
      <c r="AA47" s="97" t="n"/>
      <c r="AB47" s="97" t="n"/>
      <c r="AC47" s="97" t="n"/>
      <c r="AD47" s="161" t="inlineStr">
        <is>
          <t>2026-10-01</t>
        </is>
      </c>
      <c r="AE47" s="174" t="inlineStr">
        <is>
          <t>1106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MITSUI &amp; CO. PLASTICS LTD.</t>
        </is>
      </c>
      <c r="AK47" s="130" t="n"/>
    </row>
    <row r="48" ht="12" customHeight="1">
      <c r="A48" s="108" t="inlineStr">
        <is>
          <t>HLHU8472951</t>
        </is>
      </c>
      <c r="B48" s="108" t="inlineStr">
        <is>
          <t>LCH06</t>
        </is>
      </c>
      <c r="C48" s="108" t="inlineStr">
        <is>
          <t>IFV</t>
        </is>
      </c>
      <c r="D48" s="172" t="inlineStr">
        <is>
          <t>2026-09-27</t>
        </is>
      </c>
      <c r="E48" s="173" t="inlineStr">
        <is>
          <t>2109</t>
        </is>
      </c>
      <c r="F48" s="96" t="inlineStr">
        <is>
          <t>HASLS22260801240</t>
        </is>
      </c>
      <c r="G48" s="96" t="inlineStr">
        <is>
          <t>WHA GC LOGISTICS COMPANY LIMITED</t>
        </is>
      </c>
      <c r="H48" s="111" t="inlineStr">
        <is>
          <t>45GP</t>
        </is>
      </c>
      <c r="I48" s="96" t="inlineStr">
        <is>
          <t>FTP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HASLS22260801240</t>
        </is>
      </c>
      <c r="N48" s="96" t="inlineStr">
        <is>
          <t xml:space="preserve">40Hx9 </t>
        </is>
      </c>
      <c r="O48" s="111" t="inlineStr">
        <is>
          <t>2024</t>
        </is>
      </c>
      <c r="P48" s="111" t="n"/>
      <c r="Q48" s="111" t="n"/>
      <c r="R48" s="96" t="inlineStr">
        <is>
          <t>SWVG</t>
        </is>
      </c>
      <c r="S48" s="96" t="inlineStr">
        <is>
          <t>2612N</t>
        </is>
      </c>
      <c r="T48" s="96" t="inlineStr">
        <is>
          <t>LCH06</t>
        </is>
      </c>
      <c r="U48" s="96" t="inlineStr">
        <is>
          <t>THLCH</t>
        </is>
      </c>
      <c r="V48" s="161" t="inlineStr">
        <is>
          <t>2026-10-07</t>
        </is>
      </c>
      <c r="W48" s="96" t="inlineStr">
        <is>
          <t>CNSHA</t>
        </is>
      </c>
      <c r="X48" s="161" t="inlineStr">
        <is>
          <t>2026-10-13</t>
        </is>
      </c>
      <c r="Y48" s="97" t="n"/>
      <c r="Z48" s="97" t="n"/>
      <c r="AA48" s="97" t="n"/>
      <c r="AB48" s="97" t="n"/>
      <c r="AC48" s="97" t="n"/>
      <c r="AD48" s="161" t="inlineStr">
        <is>
          <t>2026-09-27</t>
        </is>
      </c>
      <c r="AE48" s="174" t="inlineStr">
        <is>
          <t>2350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GC MARKETING SOLUTIONS (SHANGHAI)</t>
        </is>
      </c>
      <c r="AK48" s="130" t="n"/>
    </row>
    <row r="49" ht="12" customHeight="1">
      <c r="A49" s="108" t="inlineStr">
        <is>
          <t>HLHU8474039</t>
        </is>
      </c>
      <c r="B49" s="108" t="inlineStr">
        <is>
          <t>LCH06</t>
        </is>
      </c>
      <c r="C49" s="108" t="inlineStr">
        <is>
          <t>IFV</t>
        </is>
      </c>
      <c r="D49" s="172" t="inlineStr">
        <is>
          <t>2026-09-28</t>
        </is>
      </c>
      <c r="E49" s="173" t="inlineStr">
        <is>
          <t>2117</t>
        </is>
      </c>
      <c r="F49" s="96" t="inlineStr">
        <is>
          <t>HASLS22260802507</t>
        </is>
      </c>
      <c r="G49" s="96" t="inlineStr">
        <is>
          <t>WHA GC LOGISTICS COMPANY LIMITED</t>
        </is>
      </c>
      <c r="H49" s="111" t="inlineStr">
        <is>
          <t>45GP</t>
        </is>
      </c>
      <c r="I49" s="96" t="inlineStr">
        <is>
          <t>FTP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HASLS22260802507</t>
        </is>
      </c>
      <c r="N49" s="96" t="inlineStr">
        <is>
          <t xml:space="preserve">40Hx10 </t>
        </is>
      </c>
      <c r="O49" s="111" t="inlineStr">
        <is>
          <t>2024</t>
        </is>
      </c>
      <c r="P49" s="111" t="n"/>
      <c r="Q49" s="111" t="n"/>
      <c r="R49" s="96" t="inlineStr">
        <is>
          <t>SWVG</t>
        </is>
      </c>
      <c r="S49" s="96" t="inlineStr">
        <is>
          <t>2612N</t>
        </is>
      </c>
      <c r="T49" s="96" t="inlineStr">
        <is>
          <t>LCH06</t>
        </is>
      </c>
      <c r="U49" s="96" t="inlineStr">
        <is>
          <t>THLCH</t>
        </is>
      </c>
      <c r="V49" s="161" t="inlineStr">
        <is>
          <t>2026-10-07</t>
        </is>
      </c>
      <c r="W49" s="96" t="inlineStr">
        <is>
          <t>CNSHA</t>
        </is>
      </c>
      <c r="X49" s="161" t="inlineStr">
        <is>
          <t>2026-10-13</t>
        </is>
      </c>
      <c r="Y49" s="97" t="n"/>
      <c r="Z49" s="97" t="n"/>
      <c r="AA49" s="97" t="n"/>
      <c r="AB49" s="97" t="n"/>
      <c r="AC49" s="97" t="n"/>
      <c r="AD49" s="161" t="inlineStr">
        <is>
          <t>2026-09-29</t>
        </is>
      </c>
      <c r="AE49" s="174" t="inlineStr">
        <is>
          <t>0008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GC MARKETING SOLUTIONS (SHANGHAI)</t>
        </is>
      </c>
      <c r="AK49" s="130" t="n"/>
    </row>
    <row r="50" ht="12" customHeight="1">
      <c r="A50" s="108" t="inlineStr">
        <is>
          <t>HLHU8477146</t>
        </is>
      </c>
      <c r="B50" s="108" t="inlineStr">
        <is>
          <t>LCH06</t>
        </is>
      </c>
      <c r="C50" s="108" t="inlineStr">
        <is>
          <t>IFV</t>
        </is>
      </c>
      <c r="D50" s="172" t="inlineStr">
        <is>
          <t>2026-09-28</t>
        </is>
      </c>
      <c r="E50" s="173" t="inlineStr">
        <is>
          <t>2144</t>
        </is>
      </c>
      <c r="F50" s="96" t="inlineStr">
        <is>
          <t>HASLS22260802507</t>
        </is>
      </c>
      <c r="G50" s="96" t="inlineStr">
        <is>
          <t>WHA GC LOGISTICS COMPANY LIMITED</t>
        </is>
      </c>
      <c r="H50" s="111" t="inlineStr">
        <is>
          <t>45GP</t>
        </is>
      </c>
      <c r="I50" s="96" t="inlineStr">
        <is>
          <t>FTP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HASLS22260802507</t>
        </is>
      </c>
      <c r="N50" s="96" t="inlineStr">
        <is>
          <t xml:space="preserve">40Hx10 </t>
        </is>
      </c>
      <c r="O50" s="111" t="inlineStr">
        <is>
          <t>2024</t>
        </is>
      </c>
      <c r="P50" s="111" t="n"/>
      <c r="Q50" s="111" t="n"/>
      <c r="R50" s="96" t="inlineStr">
        <is>
          <t>SWVG</t>
        </is>
      </c>
      <c r="S50" s="96" t="inlineStr">
        <is>
          <t>2612N</t>
        </is>
      </c>
      <c r="T50" s="96" t="inlineStr">
        <is>
          <t>LCH06</t>
        </is>
      </c>
      <c r="U50" s="96" t="inlineStr">
        <is>
          <t>THLCH</t>
        </is>
      </c>
      <c r="V50" s="161" t="inlineStr">
        <is>
          <t>2026-10-07</t>
        </is>
      </c>
      <c r="W50" s="96" t="inlineStr">
        <is>
          <t>CNSHA</t>
        </is>
      </c>
      <c r="X50" s="161" t="inlineStr">
        <is>
          <t>2026-10-13</t>
        </is>
      </c>
      <c r="Y50" s="97" t="n"/>
      <c r="Z50" s="97" t="n"/>
      <c r="AA50" s="97" t="n"/>
      <c r="AB50" s="97" t="n"/>
      <c r="AC50" s="97" t="n"/>
      <c r="AD50" s="161" t="inlineStr">
        <is>
          <t>2026-09-29</t>
        </is>
      </c>
      <c r="AE50" s="174" t="inlineStr">
        <is>
          <t>0039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GC MARKETING SOLUTIONS (SHANGHAI)</t>
        </is>
      </c>
      <c r="AK50" s="130" t="n"/>
    </row>
    <row r="51" ht="12" customHeight="1">
      <c r="A51" s="108" t="inlineStr">
        <is>
          <t>HLHU8485732</t>
        </is>
      </c>
      <c r="B51" s="108" t="inlineStr">
        <is>
          <t>LCH06</t>
        </is>
      </c>
      <c r="C51" s="108" t="inlineStr">
        <is>
          <t>IFV</t>
        </is>
      </c>
      <c r="D51" s="172" t="inlineStr">
        <is>
          <t>2026-09-30</t>
        </is>
      </c>
      <c r="E51" s="173" t="inlineStr">
        <is>
          <t>0322</t>
        </is>
      </c>
      <c r="F51" s="96" t="inlineStr">
        <is>
          <t>HASLS22260900977</t>
        </is>
      </c>
      <c r="G51" s="96" t="inlineStr">
        <is>
          <t>L.A.1 CO.,LTD.</t>
        </is>
      </c>
      <c r="H51" s="111" t="inlineStr">
        <is>
          <t>45GP</t>
        </is>
      </c>
      <c r="I51" s="96" t="inlineStr">
        <is>
          <t>FTP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HASLS22260900977</t>
        </is>
      </c>
      <c r="N51" s="96" t="inlineStr">
        <is>
          <t xml:space="preserve">40Hx2 </t>
        </is>
      </c>
      <c r="O51" s="111" t="inlineStr">
        <is>
          <t>2024</t>
        </is>
      </c>
      <c r="P51" s="111" t="n"/>
      <c r="Q51" s="111" t="n"/>
      <c r="R51" s="96" t="inlineStr">
        <is>
          <t>SWVG</t>
        </is>
      </c>
      <c r="S51" s="96" t="inlineStr">
        <is>
          <t>2612N</t>
        </is>
      </c>
      <c r="T51" s="96" t="inlineStr">
        <is>
          <t>LCH06</t>
        </is>
      </c>
      <c r="U51" s="96" t="inlineStr">
        <is>
          <t>THLCH</t>
        </is>
      </c>
      <c r="V51" s="161" t="inlineStr">
        <is>
          <t>2026-10-07</t>
        </is>
      </c>
      <c r="W51" s="96" t="inlineStr">
        <is>
          <t>CNSHA</t>
        </is>
      </c>
      <c r="X51" s="161" t="inlineStr">
        <is>
          <t>2026-10-13</t>
        </is>
      </c>
      <c r="Y51" s="97" t="n"/>
      <c r="Z51" s="97" t="n"/>
      <c r="AA51" s="97" t="n"/>
      <c r="AB51" s="97" t="n"/>
      <c r="AC51" s="97" t="n"/>
      <c r="AD51" s="161" t="inlineStr">
        <is>
          <t>2026-09-30</t>
        </is>
      </c>
      <c r="AE51" s="174" t="inlineStr">
        <is>
          <t>0623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SHANGHAI TOP STAR EXPRESS CO.,LTD.</t>
        </is>
      </c>
      <c r="AK51" s="130" t="n"/>
    </row>
    <row r="52" ht="12" customHeight="1">
      <c r="A52" s="108" t="inlineStr">
        <is>
          <t>HLHU8492388</t>
        </is>
      </c>
      <c r="B52" s="108" t="inlineStr">
        <is>
          <t>LCH06</t>
        </is>
      </c>
      <c r="C52" s="108" t="inlineStr">
        <is>
          <t>IFV</t>
        </is>
      </c>
      <c r="D52" s="172" t="inlineStr">
        <is>
          <t>2026-09-27</t>
        </is>
      </c>
      <c r="E52" s="173" t="inlineStr">
        <is>
          <t>1142</t>
        </is>
      </c>
      <c r="F52" s="96" t="inlineStr">
        <is>
          <t>HASLS22260901260</t>
        </is>
      </c>
      <c r="G52" s="96" t="inlineStr">
        <is>
          <t>WHA GC LOGISTICS COMPANY LIMITED</t>
        </is>
      </c>
      <c r="H52" s="111" t="inlineStr">
        <is>
          <t>45GP</t>
        </is>
      </c>
      <c r="I52" s="96" t="inlineStr">
        <is>
          <t>FTP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HASLS22260901260</t>
        </is>
      </c>
      <c r="N52" s="96" t="inlineStr">
        <is>
          <t xml:space="preserve">40Hx2 </t>
        </is>
      </c>
      <c r="O52" s="111" t="inlineStr">
        <is>
          <t>2024</t>
        </is>
      </c>
      <c r="P52" s="111" t="n"/>
      <c r="Q52" s="111" t="n"/>
      <c r="R52" s="96" t="inlineStr">
        <is>
          <t>SWVG</t>
        </is>
      </c>
      <c r="S52" s="96" t="inlineStr">
        <is>
          <t>2612N</t>
        </is>
      </c>
      <c r="T52" s="96" t="inlineStr">
        <is>
          <t>LCH06</t>
        </is>
      </c>
      <c r="U52" s="96" t="inlineStr">
        <is>
          <t>THLCH</t>
        </is>
      </c>
      <c r="V52" s="161" t="inlineStr">
        <is>
          <t>2026-10-07</t>
        </is>
      </c>
      <c r="W52" s="96" t="inlineStr">
        <is>
          <t>CNSHA</t>
        </is>
      </c>
      <c r="X52" s="161" t="inlineStr">
        <is>
          <t>2026-10-13</t>
        </is>
      </c>
      <c r="Y52" s="97" t="n"/>
      <c r="Z52" s="97" t="n"/>
      <c r="AA52" s="97" t="n"/>
      <c r="AB52" s="97" t="n"/>
      <c r="AC52" s="97" t="n"/>
      <c r="AD52" s="161" t="inlineStr">
        <is>
          <t>2026-09-27</t>
        </is>
      </c>
      <c r="AE52" s="174" t="inlineStr">
        <is>
          <t>1418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GC MARKETING SOLUTIONS (SHANGHAI)</t>
        </is>
      </c>
      <c r="AK52" s="130" t="n"/>
    </row>
    <row r="53" ht="12" customHeight="1">
      <c r="A53" s="108" t="inlineStr">
        <is>
          <t>HLHU8503944</t>
        </is>
      </c>
      <c r="B53" s="108" t="inlineStr">
        <is>
          <t>LCH06</t>
        </is>
      </c>
      <c r="C53" s="108" t="inlineStr">
        <is>
          <t>IFV</t>
        </is>
      </c>
      <c r="D53" s="172" t="inlineStr">
        <is>
          <t>2026-09-27</t>
        </is>
      </c>
      <c r="E53" s="173" t="inlineStr">
        <is>
          <t>2156</t>
        </is>
      </c>
      <c r="F53" s="96" t="inlineStr">
        <is>
          <t>HASLS22260801240</t>
        </is>
      </c>
      <c r="G53" s="96" t="inlineStr">
        <is>
          <t>WHA GC LOGISTICS COMPANY LIMITED</t>
        </is>
      </c>
      <c r="H53" s="111" t="inlineStr">
        <is>
          <t>45GP</t>
        </is>
      </c>
      <c r="I53" s="96" t="inlineStr">
        <is>
          <t>FTP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HASLS22260801240</t>
        </is>
      </c>
      <c r="N53" s="96" t="inlineStr">
        <is>
          <t xml:space="preserve">40Hx9 </t>
        </is>
      </c>
      <c r="O53" s="111" t="inlineStr">
        <is>
          <t>2025</t>
        </is>
      </c>
      <c r="P53" s="111" t="n"/>
      <c r="Q53" s="111" t="n"/>
      <c r="R53" s="96" t="inlineStr">
        <is>
          <t>SWVG</t>
        </is>
      </c>
      <c r="S53" s="96" t="inlineStr">
        <is>
          <t>2612N</t>
        </is>
      </c>
      <c r="T53" s="96" t="inlineStr">
        <is>
          <t>LCH06</t>
        </is>
      </c>
      <c r="U53" s="96" t="inlineStr">
        <is>
          <t>THLCH</t>
        </is>
      </c>
      <c r="V53" s="161" t="inlineStr">
        <is>
          <t>2026-10-07</t>
        </is>
      </c>
      <c r="W53" s="96" t="inlineStr">
        <is>
          <t>CNSHA</t>
        </is>
      </c>
      <c r="X53" s="161" t="inlineStr">
        <is>
          <t>2026-10-13</t>
        </is>
      </c>
      <c r="Y53" s="97" t="n"/>
      <c r="Z53" s="97" t="n"/>
      <c r="AA53" s="97" t="n"/>
      <c r="AB53" s="97" t="n"/>
      <c r="AC53" s="97" t="n"/>
      <c r="AD53" s="161" t="inlineStr">
        <is>
          <t>2026-09-28</t>
        </is>
      </c>
      <c r="AE53" s="174" t="inlineStr">
        <is>
          <t>0021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GC MARKETING SOLUTIONS (SHANGHAI)</t>
        </is>
      </c>
      <c r="AK53" s="130" t="n"/>
    </row>
    <row r="54" ht="12" customHeight="1">
      <c r="A54" s="108" t="inlineStr">
        <is>
          <t>HLHU8516366</t>
        </is>
      </c>
      <c r="B54" s="108" t="inlineStr">
        <is>
          <t>LCH06</t>
        </is>
      </c>
      <c r="C54" s="108" t="inlineStr">
        <is>
          <t>IFV</t>
        </is>
      </c>
      <c r="D54" s="172" t="inlineStr">
        <is>
          <t>2026-10-04</t>
        </is>
      </c>
      <c r="E54" s="173" t="inlineStr">
        <is>
          <t>1106</t>
        </is>
      </c>
      <c r="F54" s="96" t="inlineStr">
        <is>
          <t>HASLS22260901432</t>
        </is>
      </c>
      <c r="G54" s="96" t="inlineStr">
        <is>
          <t>AGC VINYTHAI PUBLIC COMPANY LIMITED</t>
        </is>
      </c>
      <c r="H54" s="111" t="inlineStr">
        <is>
          <t>45GP</t>
        </is>
      </c>
      <c r="I54" s="96" t="inlineStr">
        <is>
          <t>FTP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HASLS22260901432</t>
        </is>
      </c>
      <c r="N54" s="96" t="inlineStr">
        <is>
          <t xml:space="preserve">40Hx1 </t>
        </is>
      </c>
      <c r="O54" s="111" t="inlineStr">
        <is>
          <t>2025</t>
        </is>
      </c>
      <c r="P54" s="111" t="n"/>
      <c r="Q54" s="111" t="n"/>
      <c r="R54" s="96" t="inlineStr">
        <is>
          <t>SWVG</t>
        </is>
      </c>
      <c r="S54" s="96" t="inlineStr">
        <is>
          <t>2612N</t>
        </is>
      </c>
      <c r="T54" s="96" t="inlineStr">
        <is>
          <t>LCH06</t>
        </is>
      </c>
      <c r="U54" s="96" t="inlineStr">
        <is>
          <t>THLCH</t>
        </is>
      </c>
      <c r="V54" s="161" t="inlineStr">
        <is>
          <t>2026-10-07</t>
        </is>
      </c>
      <c r="W54" s="96" t="inlineStr">
        <is>
          <t>CNSHA</t>
        </is>
      </c>
      <c r="X54" s="161" t="inlineStr">
        <is>
          <t>2026-10-13</t>
        </is>
      </c>
      <c r="Y54" s="97" t="n"/>
      <c r="Z54" s="97" t="n"/>
      <c r="AA54" s="97" t="n"/>
      <c r="AB54" s="97" t="n"/>
      <c r="AC54" s="97" t="n"/>
      <c r="AD54" s="161" t="inlineStr">
        <is>
          <t>2026-10-04</t>
        </is>
      </c>
      <c r="AE54" s="174" t="inlineStr">
        <is>
          <t>1355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SHENZHEN COMFLEX INDUSTRY LIMITED</t>
        </is>
      </c>
      <c r="AK54" s="130" t="n"/>
    </row>
    <row r="55" ht="12" customHeight="1">
      <c r="A55" s="108" t="inlineStr">
        <is>
          <t>HLHU8524680</t>
        </is>
      </c>
      <c r="B55" s="108" t="inlineStr">
        <is>
          <t>LCH06</t>
        </is>
      </c>
      <c r="C55" s="108" t="inlineStr">
        <is>
          <t>IFV</t>
        </is>
      </c>
      <c r="D55" s="172" t="inlineStr">
        <is>
          <t>2026-09-19</t>
        </is>
      </c>
      <c r="E55" s="173" t="inlineStr">
        <is>
          <t>1541</t>
        </is>
      </c>
      <c r="F55" s="96" t="inlineStr">
        <is>
          <t>HASLS22260900441</t>
        </is>
      </c>
      <c r="G55" s="96" t="inlineStr">
        <is>
          <t>BARKLAYS LOGISTICS (THAILAND) CO., LTD.</t>
        </is>
      </c>
      <c r="H55" s="111" t="inlineStr">
        <is>
          <t>45GP</t>
        </is>
      </c>
      <c r="I55" s="96" t="inlineStr">
        <is>
          <t>FTP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HASLS22260900441</t>
        </is>
      </c>
      <c r="N55" s="96" t="inlineStr">
        <is>
          <t xml:space="preserve">40Hx15 </t>
        </is>
      </c>
      <c r="O55" s="111" t="inlineStr">
        <is>
          <t>2025</t>
        </is>
      </c>
      <c r="P55" s="111" t="n"/>
      <c r="Q55" s="111" t="n"/>
      <c r="R55" s="96" t="inlineStr">
        <is>
          <t>HAB</t>
        </is>
      </c>
      <c r="S55" s="96" t="inlineStr">
        <is>
          <t>2611N</t>
        </is>
      </c>
      <c r="T55" s="96" t="inlineStr">
        <is>
          <t>LCH06</t>
        </is>
      </c>
      <c r="U55" s="96" t="inlineStr">
        <is>
          <t>THLCH</t>
        </is>
      </c>
      <c r="V55" s="161" t="inlineStr">
        <is>
          <t>2026-10-07</t>
        </is>
      </c>
      <c r="W55" s="96" t="inlineStr">
        <is>
          <t>CNSHA</t>
        </is>
      </c>
      <c r="X55" s="161" t="inlineStr">
        <is>
          <t>2026-10-13</t>
        </is>
      </c>
      <c r="Y55" s="97" t="n"/>
      <c r="Z55" s="97" t="n"/>
      <c r="AA55" s="97" t="n"/>
      <c r="AB55" s="97" t="n"/>
      <c r="AC55" s="97" t="n"/>
      <c r="AD55" s="161" t="inlineStr">
        <is>
          <t>2026-09-19</t>
        </is>
      </c>
      <c r="AE55" s="174" t="inlineStr">
        <is>
          <t>1823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BARKLAYS LOGISTICS (SHANGHAI)</t>
        </is>
      </c>
      <c r="AK55" s="130" t="n"/>
    </row>
    <row r="56" ht="12" customHeight="1">
      <c r="A56" s="108" t="inlineStr">
        <is>
          <t>HLHU8528515</t>
        </is>
      </c>
      <c r="B56" s="108" t="inlineStr">
        <is>
          <t>LCH06</t>
        </is>
      </c>
      <c r="C56" s="108" t="inlineStr">
        <is>
          <t>IFV</t>
        </is>
      </c>
      <c r="D56" s="172" t="inlineStr">
        <is>
          <t>2026-09-29</t>
        </is>
      </c>
      <c r="E56" s="173" t="inlineStr">
        <is>
          <t>1312</t>
        </is>
      </c>
      <c r="F56" s="96" t="inlineStr">
        <is>
          <t>HASLS22260901746</t>
        </is>
      </c>
      <c r="G56" s="96" t="inlineStr">
        <is>
          <t>WHA GC LOGISTICS COMPANY LIMITED</t>
        </is>
      </c>
      <c r="H56" s="111" t="inlineStr">
        <is>
          <t>45GP</t>
        </is>
      </c>
      <c r="I56" s="96" t="inlineStr">
        <is>
          <t>FTP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HASLS22260901746</t>
        </is>
      </c>
      <c r="N56" s="96" t="inlineStr">
        <is>
          <t xml:space="preserve">40Hx1 </t>
        </is>
      </c>
      <c r="O56" s="111" t="inlineStr">
        <is>
          <t>2025</t>
        </is>
      </c>
      <c r="P56" s="111" t="n"/>
      <c r="Q56" s="111" t="n"/>
      <c r="R56" s="96" t="inlineStr">
        <is>
          <t>SWVG</t>
        </is>
      </c>
      <c r="S56" s="96" t="inlineStr">
        <is>
          <t>2612N</t>
        </is>
      </c>
      <c r="T56" s="96" t="inlineStr">
        <is>
          <t>LCH06</t>
        </is>
      </c>
      <c r="U56" s="96" t="inlineStr">
        <is>
          <t>THLCH</t>
        </is>
      </c>
      <c r="V56" s="161" t="inlineStr">
        <is>
          <t>2026-10-07</t>
        </is>
      </c>
      <c r="W56" s="96" t="inlineStr">
        <is>
          <t>CNSHA</t>
        </is>
      </c>
      <c r="X56" s="161" t="inlineStr">
        <is>
          <t>2026-10-13</t>
        </is>
      </c>
      <c r="Y56" s="97" t="n"/>
      <c r="Z56" s="97" t="n"/>
      <c r="AA56" s="97" t="n"/>
      <c r="AB56" s="97" t="n"/>
      <c r="AC56" s="97" t="n"/>
      <c r="AD56" s="161" t="inlineStr">
        <is>
          <t>2026-09-29</t>
        </is>
      </c>
      <c r="AE56" s="174" t="inlineStr">
        <is>
          <t>1550</t>
        </is>
      </c>
      <c r="AF56" s="96" t="inlineStr">
        <is>
          <t>EDI2</t>
        </is>
      </c>
      <c r="AG56" s="97" t="n"/>
      <c r="AH56" s="97" t="n"/>
      <c r="AI56" s="97" t="n"/>
      <c r="AJ56" s="96" t="inlineStr">
        <is>
          <t>GC MARKETING SOLUTIONS (SHANGHAI)</t>
        </is>
      </c>
      <c r="AK56" s="130" t="n"/>
    </row>
    <row r="57" ht="12" customHeight="1">
      <c r="A57" s="108" t="inlineStr">
        <is>
          <t>HLHU8532069</t>
        </is>
      </c>
      <c r="B57" s="108" t="inlineStr">
        <is>
          <t>LCH06</t>
        </is>
      </c>
      <c r="C57" s="108" t="inlineStr">
        <is>
          <t>IFV</t>
        </is>
      </c>
      <c r="D57" s="172" t="inlineStr">
        <is>
          <t>2026-09-27</t>
        </is>
      </c>
      <c r="E57" s="173" t="inlineStr">
        <is>
          <t>2110</t>
        </is>
      </c>
      <c r="F57" s="96" t="inlineStr">
        <is>
          <t>HASLS22260801240</t>
        </is>
      </c>
      <c r="G57" s="96" t="inlineStr">
        <is>
          <t>WHA GC LOGISTICS COMPANY LIMITED</t>
        </is>
      </c>
      <c r="H57" s="111" t="inlineStr">
        <is>
          <t>45GP</t>
        </is>
      </c>
      <c r="I57" s="96" t="inlineStr">
        <is>
          <t>FTP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HASLS22260801240</t>
        </is>
      </c>
      <c r="N57" s="96" t="inlineStr">
        <is>
          <t xml:space="preserve">40Hx9 </t>
        </is>
      </c>
      <c r="O57" s="111" t="inlineStr">
        <is>
          <t>2025</t>
        </is>
      </c>
      <c r="P57" s="111" t="n"/>
      <c r="Q57" s="111" t="n"/>
      <c r="R57" s="96" t="inlineStr">
        <is>
          <t>SWVG</t>
        </is>
      </c>
      <c r="S57" s="96" t="inlineStr">
        <is>
          <t>2612N</t>
        </is>
      </c>
      <c r="T57" s="96" t="inlineStr">
        <is>
          <t>LCH06</t>
        </is>
      </c>
      <c r="U57" s="96" t="inlineStr">
        <is>
          <t>THLCH</t>
        </is>
      </c>
      <c r="V57" s="161" t="inlineStr">
        <is>
          <t>2026-10-07</t>
        </is>
      </c>
      <c r="W57" s="96" t="inlineStr">
        <is>
          <t>CNSHA</t>
        </is>
      </c>
      <c r="X57" s="161" t="inlineStr">
        <is>
          <t>2026-10-13</t>
        </is>
      </c>
      <c r="Y57" s="97" t="n"/>
      <c r="Z57" s="97" t="n"/>
      <c r="AA57" s="97" t="n"/>
      <c r="AB57" s="97" t="n"/>
      <c r="AC57" s="97" t="n"/>
      <c r="AD57" s="161" t="inlineStr">
        <is>
          <t>2026-09-27</t>
        </is>
      </c>
      <c r="AE57" s="174" t="inlineStr">
        <is>
          <t>2350</t>
        </is>
      </c>
      <c r="AF57" s="96" t="inlineStr">
        <is>
          <t>EDI2</t>
        </is>
      </c>
      <c r="AG57" s="97" t="n"/>
      <c r="AH57" s="97" t="n"/>
      <c r="AI57" s="97" t="n"/>
      <c r="AJ57" s="96" t="inlineStr">
        <is>
          <t>GC MARKETING SOLUTIONS (SHANGHAI)</t>
        </is>
      </c>
      <c r="AK57" s="130" t="n"/>
    </row>
    <row r="58" ht="12" customHeight="1">
      <c r="A58" s="108" t="inlineStr">
        <is>
          <t>HLHU8539926</t>
        </is>
      </c>
      <c r="B58" s="108" t="inlineStr">
        <is>
          <t>LCH06</t>
        </is>
      </c>
      <c r="C58" s="108" t="inlineStr">
        <is>
          <t>IFV</t>
        </is>
      </c>
      <c r="D58" s="172" t="inlineStr">
        <is>
          <t>2026-09-27</t>
        </is>
      </c>
      <c r="E58" s="173" t="inlineStr">
        <is>
          <t>1817</t>
        </is>
      </c>
      <c r="F58" s="96" t="inlineStr">
        <is>
          <t>HASLS22260802360</t>
        </is>
      </c>
      <c r="G58" s="96" t="inlineStr">
        <is>
          <t>WHA GC LOGISTICS COMPANY LIMITED</t>
        </is>
      </c>
      <c r="H58" s="111" t="inlineStr">
        <is>
          <t>45GP</t>
        </is>
      </c>
      <c r="I58" s="96" t="inlineStr">
        <is>
          <t>FTP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HASLS22260802360</t>
        </is>
      </c>
      <c r="N58" s="96" t="inlineStr">
        <is>
          <t xml:space="preserve">40Hx5 </t>
        </is>
      </c>
      <c r="O58" s="111" t="inlineStr">
        <is>
          <t>2025</t>
        </is>
      </c>
      <c r="P58" s="111" t="n"/>
      <c r="Q58" s="111" t="n"/>
      <c r="R58" s="96" t="inlineStr">
        <is>
          <t>SWVG</t>
        </is>
      </c>
      <c r="S58" s="96" t="inlineStr">
        <is>
          <t>2612N</t>
        </is>
      </c>
      <c r="T58" s="96" t="inlineStr">
        <is>
          <t>LCH06</t>
        </is>
      </c>
      <c r="U58" s="96" t="inlineStr">
        <is>
          <t>THLCH</t>
        </is>
      </c>
      <c r="V58" s="161" t="inlineStr">
        <is>
          <t>2026-10-07</t>
        </is>
      </c>
      <c r="W58" s="96" t="inlineStr">
        <is>
          <t>JPMYJ</t>
        </is>
      </c>
      <c r="X58" s="161" t="inlineStr">
        <is>
          <t>2026-10-15</t>
        </is>
      </c>
      <c r="Y58" s="97" t="n"/>
      <c r="Z58" s="97" t="n"/>
      <c r="AA58" s="97" t="n"/>
      <c r="AB58" s="97" t="n"/>
      <c r="AC58" s="97" t="n"/>
      <c r="AD58" s="161" t="inlineStr">
        <is>
          <t>2026-09-27</t>
        </is>
      </c>
      <c r="AE58" s="174" t="inlineStr">
        <is>
          <t>2048</t>
        </is>
      </c>
      <c r="AF58" s="96" t="inlineStr">
        <is>
          <t>EDI2</t>
        </is>
      </c>
      <c r="AG58" s="97" t="n"/>
      <c r="AH58" s="97" t="n"/>
      <c r="AI58" s="97" t="n"/>
      <c r="AJ58" s="96" t="inlineStr">
        <is>
          <t>INABATA &amp; CO.,LTD</t>
        </is>
      </c>
      <c r="AK58" s="130" t="n"/>
    </row>
    <row r="59" ht="12" customHeight="1">
      <c r="A59" s="108" t="inlineStr">
        <is>
          <t>HLHU8540362</t>
        </is>
      </c>
      <c r="B59" s="108" t="inlineStr">
        <is>
          <t>LCH06</t>
        </is>
      </c>
      <c r="C59" s="108" t="inlineStr">
        <is>
          <t>IFV</t>
        </is>
      </c>
      <c r="D59" s="172" t="inlineStr">
        <is>
          <t>2026-09-27</t>
        </is>
      </c>
      <c r="E59" s="173" t="inlineStr">
        <is>
          <t>0835</t>
        </is>
      </c>
      <c r="F59" s="96" t="inlineStr">
        <is>
          <t>HASLS22260802391</t>
        </is>
      </c>
      <c r="G59" s="96" t="inlineStr">
        <is>
          <t>WHA GC LOGISTICS COMPANY LIMITED</t>
        </is>
      </c>
      <c r="H59" s="111" t="inlineStr">
        <is>
          <t>45GP</t>
        </is>
      </c>
      <c r="I59" s="96" t="inlineStr">
        <is>
          <t>FTP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HASLS22260802391</t>
        </is>
      </c>
      <c r="N59" s="96" t="inlineStr">
        <is>
          <t xml:space="preserve">40Hx4 </t>
        </is>
      </c>
      <c r="O59" s="111" t="inlineStr">
        <is>
          <t>2025</t>
        </is>
      </c>
      <c r="P59" s="111" t="n"/>
      <c r="Q59" s="111" t="n"/>
      <c r="R59" s="96" t="inlineStr">
        <is>
          <t>SWVG</t>
        </is>
      </c>
      <c r="S59" s="96" t="inlineStr">
        <is>
          <t>2612N</t>
        </is>
      </c>
      <c r="T59" s="96" t="inlineStr">
        <is>
          <t>LCH06</t>
        </is>
      </c>
      <c r="U59" s="96" t="inlineStr">
        <is>
          <t>THLCH</t>
        </is>
      </c>
      <c r="V59" s="161" t="inlineStr">
        <is>
          <t>2026-10-07</t>
        </is>
      </c>
      <c r="W59" s="96" t="inlineStr">
        <is>
          <t>JPMYJ</t>
        </is>
      </c>
      <c r="X59" s="161" t="inlineStr">
        <is>
          <t>2026-10-15</t>
        </is>
      </c>
      <c r="Y59" s="97" t="n"/>
      <c r="Z59" s="97" t="n"/>
      <c r="AA59" s="97" t="n"/>
      <c r="AB59" s="97" t="n"/>
      <c r="AC59" s="97" t="n"/>
      <c r="AD59" s="161" t="inlineStr">
        <is>
          <t>2026-09-27</t>
        </is>
      </c>
      <c r="AE59" s="174" t="inlineStr">
        <is>
          <t>1128</t>
        </is>
      </c>
      <c r="AF59" s="96" t="inlineStr">
        <is>
          <t>EDI2</t>
        </is>
      </c>
      <c r="AG59" s="97" t="n"/>
      <c r="AH59" s="97" t="n"/>
      <c r="AI59" s="97" t="n"/>
      <c r="AJ59" s="96" t="inlineStr">
        <is>
          <t>INABATA &amp; CO.,LTD</t>
        </is>
      </c>
      <c r="AK59" s="130" t="n"/>
    </row>
    <row r="60" ht="12" customHeight="1">
      <c r="A60" s="108" t="inlineStr">
        <is>
          <t>HLHU8547006</t>
        </is>
      </c>
      <c r="B60" s="108" t="inlineStr">
        <is>
          <t>LCH06</t>
        </is>
      </c>
      <c r="C60" s="108" t="inlineStr">
        <is>
          <t>IFV</t>
        </is>
      </c>
      <c r="D60" s="172" t="inlineStr">
        <is>
          <t>2026-09-27</t>
        </is>
      </c>
      <c r="E60" s="173" t="inlineStr">
        <is>
          <t>2157</t>
        </is>
      </c>
      <c r="F60" s="96" t="inlineStr">
        <is>
          <t>HASLS22260801240</t>
        </is>
      </c>
      <c r="G60" s="96" t="inlineStr">
        <is>
          <t>WHA GC LOGISTICS COMPANY LIMITED</t>
        </is>
      </c>
      <c r="H60" s="111" t="inlineStr">
        <is>
          <t>45GP</t>
        </is>
      </c>
      <c r="I60" s="96" t="inlineStr">
        <is>
          <t>FTP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HASLS22260801240</t>
        </is>
      </c>
      <c r="N60" s="96" t="inlineStr">
        <is>
          <t xml:space="preserve">40Hx9 </t>
        </is>
      </c>
      <c r="O60" s="111" t="inlineStr">
        <is>
          <t>2025</t>
        </is>
      </c>
      <c r="P60" s="111" t="n"/>
      <c r="Q60" s="111" t="n"/>
      <c r="R60" s="96" t="inlineStr">
        <is>
          <t>SWVG</t>
        </is>
      </c>
      <c r="S60" s="96" t="inlineStr">
        <is>
          <t>2612N</t>
        </is>
      </c>
      <c r="T60" s="96" t="inlineStr">
        <is>
          <t>LCH06</t>
        </is>
      </c>
      <c r="U60" s="96" t="inlineStr">
        <is>
          <t>THLCH</t>
        </is>
      </c>
      <c r="V60" s="161" t="inlineStr">
        <is>
          <t>2026-10-07</t>
        </is>
      </c>
      <c r="W60" s="96" t="inlineStr">
        <is>
          <t>CNSHA</t>
        </is>
      </c>
      <c r="X60" s="161" t="inlineStr">
        <is>
          <t>2026-10-13</t>
        </is>
      </c>
      <c r="Y60" s="97" t="n"/>
      <c r="Z60" s="97" t="n"/>
      <c r="AA60" s="97" t="n"/>
      <c r="AB60" s="97" t="n"/>
      <c r="AC60" s="97" t="n"/>
      <c r="AD60" s="161" t="inlineStr">
        <is>
          <t>2026-09-28</t>
        </is>
      </c>
      <c r="AE60" s="174" t="inlineStr">
        <is>
          <t>0021</t>
        </is>
      </c>
      <c r="AF60" s="96" t="inlineStr">
        <is>
          <t>EDI2</t>
        </is>
      </c>
      <c r="AG60" s="97" t="n"/>
      <c r="AH60" s="97" t="n"/>
      <c r="AI60" s="97" t="n"/>
      <c r="AJ60" s="96" t="inlineStr">
        <is>
          <t>GC MARKETING SOLUTIONS (SHANGHAI)</t>
        </is>
      </c>
      <c r="AK60" s="130" t="n"/>
    </row>
    <row r="61" ht="12" customHeight="1">
      <c r="A61" s="108" t="inlineStr">
        <is>
          <t>HLHU8571039</t>
        </is>
      </c>
      <c r="B61" s="108" t="inlineStr">
        <is>
          <t>LCH06</t>
        </is>
      </c>
      <c r="C61" s="108" t="inlineStr">
        <is>
          <t>IFV</t>
        </is>
      </c>
      <c r="D61" s="172" t="inlineStr">
        <is>
          <t>2026-10-01</t>
        </is>
      </c>
      <c r="E61" s="173" t="inlineStr">
        <is>
          <t>1154</t>
        </is>
      </c>
      <c r="F61" s="96" t="inlineStr">
        <is>
          <t>HASLS22260901747</t>
        </is>
      </c>
      <c r="G61" s="96" t="inlineStr">
        <is>
          <t>WHA GC LOGISTICS COMPANY LIMITED</t>
        </is>
      </c>
      <c r="H61" s="111" t="inlineStr">
        <is>
          <t>45GP</t>
        </is>
      </c>
      <c r="I61" s="96" t="inlineStr">
        <is>
          <t>FTP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HASLS22260901747</t>
        </is>
      </c>
      <c r="N61" s="96" t="inlineStr">
        <is>
          <t xml:space="preserve">40Hx1 </t>
        </is>
      </c>
      <c r="O61" s="111" t="inlineStr">
        <is>
          <t>2025</t>
        </is>
      </c>
      <c r="P61" s="111" t="n"/>
      <c r="Q61" s="111" t="n"/>
      <c r="R61" s="96" t="inlineStr">
        <is>
          <t>SWVG</t>
        </is>
      </c>
      <c r="S61" s="96" t="inlineStr">
        <is>
          <t>2612N</t>
        </is>
      </c>
      <c r="T61" s="96" t="inlineStr">
        <is>
          <t>LCH06</t>
        </is>
      </c>
      <c r="U61" s="96" t="inlineStr">
        <is>
          <t>THLCH</t>
        </is>
      </c>
      <c r="V61" s="161" t="inlineStr">
        <is>
          <t>2026-10-07</t>
        </is>
      </c>
      <c r="W61" s="96" t="inlineStr">
        <is>
          <t>CNSHA</t>
        </is>
      </c>
      <c r="X61" s="161" t="inlineStr">
        <is>
          <t>2026-10-13</t>
        </is>
      </c>
      <c r="Y61" s="97" t="n"/>
      <c r="Z61" s="97" t="n"/>
      <c r="AA61" s="97" t="n"/>
      <c r="AB61" s="97" t="n"/>
      <c r="AC61" s="97" t="n"/>
      <c r="AD61" s="161" t="inlineStr">
        <is>
          <t>2026-10-01</t>
        </is>
      </c>
      <c r="AE61" s="174" t="inlineStr">
        <is>
          <t>1544</t>
        </is>
      </c>
      <c r="AF61" s="96" t="inlineStr">
        <is>
          <t>EDI2</t>
        </is>
      </c>
      <c r="AG61" s="97" t="n"/>
      <c r="AH61" s="97" t="n"/>
      <c r="AI61" s="97" t="n"/>
      <c r="AJ61" s="96" t="inlineStr">
        <is>
          <t>GC MARKETING SOLUTIONS (SHANGHAI)</t>
        </is>
      </c>
      <c r="AK61" s="130" t="n"/>
    </row>
    <row r="62" ht="12" customHeight="1">
      <c r="A62" s="108" t="inlineStr">
        <is>
          <t>HLHU8571065</t>
        </is>
      </c>
      <c r="B62" s="108" t="inlineStr">
        <is>
          <t>LCH06</t>
        </is>
      </c>
      <c r="C62" s="108" t="inlineStr">
        <is>
          <t>IFV</t>
        </is>
      </c>
      <c r="D62" s="172" t="inlineStr">
        <is>
          <t>2026-09-19</t>
        </is>
      </c>
      <c r="E62" s="173" t="inlineStr">
        <is>
          <t>1824</t>
        </is>
      </c>
      <c r="F62" s="96" t="inlineStr">
        <is>
          <t>HASLS22260900441</t>
        </is>
      </c>
      <c r="G62" s="96" t="inlineStr">
        <is>
          <t>BARKLAYS LOGISTICS (THAILAND) CO., LTD.</t>
        </is>
      </c>
      <c r="H62" s="111" t="inlineStr">
        <is>
          <t>45GP</t>
        </is>
      </c>
      <c r="I62" s="96" t="inlineStr">
        <is>
          <t>FTP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HASLS22260900441</t>
        </is>
      </c>
      <c r="N62" s="96" t="inlineStr">
        <is>
          <t xml:space="preserve">40Hx15 </t>
        </is>
      </c>
      <c r="O62" s="111" t="inlineStr">
        <is>
          <t>2025</t>
        </is>
      </c>
      <c r="P62" s="111" t="n"/>
      <c r="Q62" s="111" t="n"/>
      <c r="R62" s="96" t="inlineStr">
        <is>
          <t>HAB</t>
        </is>
      </c>
      <c r="S62" s="96" t="inlineStr">
        <is>
          <t>2611N</t>
        </is>
      </c>
      <c r="T62" s="96" t="inlineStr">
        <is>
          <t>LCH06</t>
        </is>
      </c>
      <c r="U62" s="96" t="inlineStr">
        <is>
          <t>THLCH</t>
        </is>
      </c>
      <c r="V62" s="161" t="inlineStr">
        <is>
          <t>2026-10-07</t>
        </is>
      </c>
      <c r="W62" s="96" t="inlineStr">
        <is>
          <t>CNSHA</t>
        </is>
      </c>
      <c r="X62" s="161" t="inlineStr">
        <is>
          <t>2026-10-13</t>
        </is>
      </c>
      <c r="Y62" s="97" t="n"/>
      <c r="Z62" s="97" t="n"/>
      <c r="AA62" s="97" t="n"/>
      <c r="AB62" s="97" t="n"/>
      <c r="AC62" s="97" t="n"/>
      <c r="AD62" s="161" t="inlineStr">
        <is>
          <t>2026-09-19</t>
        </is>
      </c>
      <c r="AE62" s="174" t="inlineStr">
        <is>
          <t>2121</t>
        </is>
      </c>
      <c r="AF62" s="96" t="inlineStr">
        <is>
          <t>EDI2</t>
        </is>
      </c>
      <c r="AG62" s="97" t="n"/>
      <c r="AH62" s="97" t="n"/>
      <c r="AI62" s="97" t="n"/>
      <c r="AJ62" s="96" t="inlineStr">
        <is>
          <t>BARKLAYS LOGISTICS (SHANGHAI)</t>
        </is>
      </c>
      <c r="AK62" s="130" t="n"/>
    </row>
    <row r="63" ht="12" customHeight="1">
      <c r="A63" s="108" t="inlineStr">
        <is>
          <t>HLHU8597202</t>
        </is>
      </c>
      <c r="B63" s="108" t="inlineStr">
        <is>
          <t>LCH06</t>
        </is>
      </c>
      <c r="C63" s="108" t="inlineStr">
        <is>
          <t>IFV</t>
        </is>
      </c>
      <c r="D63" s="172" t="inlineStr">
        <is>
          <t>2026-09-19</t>
        </is>
      </c>
      <c r="E63" s="173" t="inlineStr">
        <is>
          <t>1307</t>
        </is>
      </c>
      <c r="F63" s="96" t="inlineStr">
        <is>
          <t>HASLS22260900441</t>
        </is>
      </c>
      <c r="G63" s="96" t="inlineStr">
        <is>
          <t>BARKLAYS LOGISTICS (THAILAND) CO., LTD.</t>
        </is>
      </c>
      <c r="H63" s="111" t="inlineStr">
        <is>
          <t>45GP</t>
        </is>
      </c>
      <c r="I63" s="96" t="inlineStr">
        <is>
          <t>FTP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HASLS22260900441</t>
        </is>
      </c>
      <c r="N63" s="96" t="inlineStr">
        <is>
          <t xml:space="preserve">40Hx15 </t>
        </is>
      </c>
      <c r="O63" s="111" t="inlineStr">
        <is>
          <t>2025</t>
        </is>
      </c>
      <c r="P63" s="111" t="n"/>
      <c r="Q63" s="111" t="n"/>
      <c r="R63" s="96" t="inlineStr">
        <is>
          <t>HAB</t>
        </is>
      </c>
      <c r="S63" s="96" t="inlineStr">
        <is>
          <t>2611N</t>
        </is>
      </c>
      <c r="T63" s="96" t="inlineStr">
        <is>
          <t>LCH06</t>
        </is>
      </c>
      <c r="U63" s="96" t="inlineStr">
        <is>
          <t>THLCH</t>
        </is>
      </c>
      <c r="V63" s="161" t="inlineStr">
        <is>
          <t>2026-10-07</t>
        </is>
      </c>
      <c r="W63" s="96" t="inlineStr">
        <is>
          <t>CNSHA</t>
        </is>
      </c>
      <c r="X63" s="161" t="inlineStr">
        <is>
          <t>2026-10-13</t>
        </is>
      </c>
      <c r="Y63" s="97" t="n"/>
      <c r="Z63" s="97" t="n"/>
      <c r="AA63" s="97" t="n"/>
      <c r="AB63" s="97" t="n"/>
      <c r="AC63" s="97" t="n"/>
      <c r="AD63" s="161" t="inlineStr">
        <is>
          <t>2026-09-19</t>
        </is>
      </c>
      <c r="AE63" s="174" t="inlineStr">
        <is>
          <t>1621</t>
        </is>
      </c>
      <c r="AF63" s="96" t="inlineStr">
        <is>
          <t>EDI2</t>
        </is>
      </c>
      <c r="AG63" s="97" t="n"/>
      <c r="AH63" s="97" t="n"/>
      <c r="AI63" s="97" t="n"/>
      <c r="AJ63" s="96" t="inlineStr">
        <is>
          <t>BARKLAYS LOGISTICS (SHANGHAI)</t>
        </is>
      </c>
      <c r="AK63" s="130" t="n"/>
    </row>
    <row r="64" ht="12" customHeight="1">
      <c r="A64" s="108" t="inlineStr">
        <is>
          <t>SEGU1754869</t>
        </is>
      </c>
      <c r="B64" s="108" t="inlineStr">
        <is>
          <t>LCH06</t>
        </is>
      </c>
      <c r="C64" s="108" t="inlineStr">
        <is>
          <t>IFV</t>
        </is>
      </c>
      <c r="D64" s="172" t="inlineStr">
        <is>
          <t>2026-09-27</t>
        </is>
      </c>
      <c r="E64" s="173" t="inlineStr">
        <is>
          <t>1138</t>
        </is>
      </c>
      <c r="F64" s="96" t="inlineStr">
        <is>
          <t>HASLS22260901674</t>
        </is>
      </c>
      <c r="G64" s="96" t="inlineStr">
        <is>
          <t>WHA GC LOGISTICS COMPANY LIMITED</t>
        </is>
      </c>
      <c r="H64" s="111" t="inlineStr">
        <is>
          <t>22GP</t>
        </is>
      </c>
      <c r="I64" s="96" t="inlineStr">
        <is>
          <t>FTP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HASLS22260901674</t>
        </is>
      </c>
      <c r="N64" s="96" t="inlineStr">
        <is>
          <t xml:space="preserve">20'x1 </t>
        </is>
      </c>
      <c r="O64" s="111" t="inlineStr">
        <is>
          <t>2013</t>
        </is>
      </c>
      <c r="P64" s="111" t="n"/>
      <c r="Q64" s="111" t="n"/>
      <c r="R64" s="96" t="inlineStr">
        <is>
          <t>SWVG</t>
        </is>
      </c>
      <c r="S64" s="96" t="inlineStr">
        <is>
          <t>2612N</t>
        </is>
      </c>
      <c r="T64" s="96" t="inlineStr">
        <is>
          <t>LCH06</t>
        </is>
      </c>
      <c r="U64" s="96" t="inlineStr">
        <is>
          <t>THLCH</t>
        </is>
      </c>
      <c r="V64" s="161" t="inlineStr">
        <is>
          <t>2026-10-07</t>
        </is>
      </c>
      <c r="W64" s="96" t="inlineStr">
        <is>
          <t>JPSMZ</t>
        </is>
      </c>
      <c r="X64" s="161" t="inlineStr">
        <is>
          <t>2026-10-15</t>
        </is>
      </c>
      <c r="Y64" s="97" t="n"/>
      <c r="Z64" s="97" t="n"/>
      <c r="AA64" s="97" t="n"/>
      <c r="AB64" s="97" t="n"/>
      <c r="AC64" s="97" t="n"/>
      <c r="AD64" s="161" t="inlineStr">
        <is>
          <t>2026-09-27</t>
        </is>
      </c>
      <c r="AE64" s="174" t="inlineStr">
        <is>
          <t>1418</t>
        </is>
      </c>
      <c r="AF64" s="96" t="inlineStr">
        <is>
          <t>EDI2</t>
        </is>
      </c>
      <c r="AG64" s="97" t="n"/>
      <c r="AH64" s="97" t="n"/>
      <c r="AI64" s="97" t="n"/>
      <c r="AJ64" s="96" t="inlineStr">
        <is>
          <t>MARUBENI INNOVEXIS CORPORATION</t>
        </is>
      </c>
      <c r="AK64" s="130" t="n"/>
    </row>
    <row r="65" ht="12" customHeight="1">
      <c r="A65" s="108" t="inlineStr">
        <is>
          <t>SEKU4434992</t>
        </is>
      </c>
      <c r="B65" s="108" t="inlineStr">
        <is>
          <t>LCH06</t>
        </is>
      </c>
      <c r="C65" s="108" t="inlineStr">
        <is>
          <t>IFV</t>
        </is>
      </c>
      <c r="D65" s="172" t="inlineStr">
        <is>
          <t>2026-09-19</t>
        </is>
      </c>
      <c r="E65" s="173" t="inlineStr">
        <is>
          <t>1710</t>
        </is>
      </c>
      <c r="F65" s="96" t="inlineStr">
        <is>
          <t>HASLS22260900441</t>
        </is>
      </c>
      <c r="G65" s="96" t="inlineStr">
        <is>
          <t>BARKLAYS LOGISTICS (THAILAND) CO., LTD.</t>
        </is>
      </c>
      <c r="H65" s="111" t="inlineStr">
        <is>
          <t>45GP</t>
        </is>
      </c>
      <c r="I65" s="96" t="inlineStr">
        <is>
          <t>FTP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HASLS22260900441</t>
        </is>
      </c>
      <c r="N65" s="96" t="inlineStr">
        <is>
          <t xml:space="preserve">40Hx15 </t>
        </is>
      </c>
      <c r="O65" s="111" t="inlineStr">
        <is>
          <t>2020</t>
        </is>
      </c>
      <c r="P65" s="111" t="n"/>
      <c r="Q65" s="111" t="n"/>
      <c r="R65" s="96" t="inlineStr">
        <is>
          <t>HAB</t>
        </is>
      </c>
      <c r="S65" s="96" t="inlineStr">
        <is>
          <t>2611N</t>
        </is>
      </c>
      <c r="T65" s="96" t="inlineStr">
        <is>
          <t>LCH06</t>
        </is>
      </c>
      <c r="U65" s="96" t="inlineStr">
        <is>
          <t>THLCH</t>
        </is>
      </c>
      <c r="V65" s="161" t="inlineStr">
        <is>
          <t>2026-10-07</t>
        </is>
      </c>
      <c r="W65" s="96" t="inlineStr">
        <is>
          <t>CNSHA</t>
        </is>
      </c>
      <c r="X65" s="161" t="inlineStr">
        <is>
          <t>2026-10-13</t>
        </is>
      </c>
      <c r="Y65" s="97" t="n"/>
      <c r="Z65" s="97" t="n"/>
      <c r="AA65" s="97" t="n"/>
      <c r="AB65" s="97" t="n"/>
      <c r="AC65" s="97" t="n"/>
      <c r="AD65" s="161" t="inlineStr">
        <is>
          <t>2026-09-19</t>
        </is>
      </c>
      <c r="AE65" s="174" t="inlineStr">
        <is>
          <t>1951</t>
        </is>
      </c>
      <c r="AF65" s="96" t="inlineStr">
        <is>
          <t>EDI2</t>
        </is>
      </c>
      <c r="AG65" s="97" t="n"/>
      <c r="AH65" s="97" t="n"/>
      <c r="AI65" s="97" t="n"/>
      <c r="AJ65" s="96" t="inlineStr">
        <is>
          <t>BARKLAYS LOGISTICS (SHANGHAI)</t>
        </is>
      </c>
      <c r="AK65" s="130" t="n"/>
    </row>
    <row r="66" ht="12" customHeight="1">
      <c r="A66" s="108" t="inlineStr">
        <is>
          <t>SEKU4980822</t>
        </is>
      </c>
      <c r="B66" s="108" t="inlineStr">
        <is>
          <t>LCH06</t>
        </is>
      </c>
      <c r="C66" s="108" t="inlineStr">
        <is>
          <t>IFV</t>
        </is>
      </c>
      <c r="D66" s="172" t="inlineStr">
        <is>
          <t>2026-09-28</t>
        </is>
      </c>
      <c r="E66" s="173" t="inlineStr">
        <is>
          <t>2255</t>
        </is>
      </c>
      <c r="F66" s="96" t="inlineStr">
        <is>
          <t>HASLS22260901309</t>
        </is>
      </c>
      <c r="G66" s="96" t="inlineStr">
        <is>
          <t>WHA GC LOGISTICS COMPANY LIMITED</t>
        </is>
      </c>
      <c r="H66" s="111" t="inlineStr">
        <is>
          <t>45GP</t>
        </is>
      </c>
      <c r="I66" s="96" t="inlineStr">
        <is>
          <t>FTP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HASLS22260901309</t>
        </is>
      </c>
      <c r="N66" s="96" t="inlineStr">
        <is>
          <t xml:space="preserve">40Hx6 </t>
        </is>
      </c>
      <c r="O66" s="111" t="inlineStr">
        <is>
          <t>2021</t>
        </is>
      </c>
      <c r="P66" s="111" t="n"/>
      <c r="Q66" s="111" t="n"/>
      <c r="R66" s="96" t="inlineStr">
        <is>
          <t>SWVG</t>
        </is>
      </c>
      <c r="S66" s="96" t="inlineStr">
        <is>
          <t>2612N</t>
        </is>
      </c>
      <c r="T66" s="96" t="inlineStr">
        <is>
          <t>LCH06</t>
        </is>
      </c>
      <c r="U66" s="96" t="inlineStr">
        <is>
          <t>THLCH</t>
        </is>
      </c>
      <c r="V66" s="161" t="inlineStr">
        <is>
          <t>2026-10-07</t>
        </is>
      </c>
      <c r="W66" s="96" t="inlineStr">
        <is>
          <t>CNSHA</t>
        </is>
      </c>
      <c r="X66" s="161" t="inlineStr">
        <is>
          <t>2026-10-13</t>
        </is>
      </c>
      <c r="Y66" s="97" t="n"/>
      <c r="Z66" s="97" t="n"/>
      <c r="AA66" s="97" t="n"/>
      <c r="AB66" s="97" t="n"/>
      <c r="AC66" s="97" t="n"/>
      <c r="AD66" s="161" t="inlineStr">
        <is>
          <t>2026-09-29</t>
        </is>
      </c>
      <c r="AE66" s="174" t="inlineStr">
        <is>
          <t>0138</t>
        </is>
      </c>
      <c r="AF66" s="96" t="inlineStr">
        <is>
          <t>EDI2</t>
        </is>
      </c>
      <c r="AG66" s="97" t="n"/>
      <c r="AH66" s="97" t="n"/>
      <c r="AI66" s="97" t="n"/>
      <c r="AJ66" s="96" t="inlineStr">
        <is>
          <t>GC MARKETING SOLUTIONS (SHANGHAI)</t>
        </is>
      </c>
      <c r="AK66" s="130" t="n"/>
    </row>
    <row r="67" ht="12" customHeight="1">
      <c r="A67" s="108" t="inlineStr">
        <is>
          <t>SKHU6206076</t>
        </is>
      </c>
      <c r="B67" s="108" t="inlineStr">
        <is>
          <t>LCH06</t>
        </is>
      </c>
      <c r="C67" s="108" t="inlineStr">
        <is>
          <t>IFV</t>
        </is>
      </c>
      <c r="D67" s="172" t="inlineStr">
        <is>
          <t>2026-09-28</t>
        </is>
      </c>
      <c r="E67" s="173" t="inlineStr">
        <is>
          <t>2309</t>
        </is>
      </c>
      <c r="F67" s="96" t="inlineStr">
        <is>
          <t>HASLS22260901309</t>
        </is>
      </c>
      <c r="G67" s="96" t="inlineStr">
        <is>
          <t>WHA GC LOGISTICS COMPANY LIMITED</t>
        </is>
      </c>
      <c r="H67" s="111" t="inlineStr">
        <is>
          <t>45GP</t>
        </is>
      </c>
      <c r="I67" s="96" t="inlineStr">
        <is>
          <t>FTP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HASLS22260901309</t>
        </is>
      </c>
      <c r="N67" s="96" t="inlineStr">
        <is>
          <t xml:space="preserve">40Hx6 </t>
        </is>
      </c>
      <c r="O67" s="111" t="inlineStr">
        <is>
          <t>2022</t>
        </is>
      </c>
      <c r="P67" s="111" t="n"/>
      <c r="Q67" s="111" t="n"/>
      <c r="R67" s="96" t="inlineStr">
        <is>
          <t>SWVG</t>
        </is>
      </c>
      <c r="S67" s="96" t="inlineStr">
        <is>
          <t>2612N</t>
        </is>
      </c>
      <c r="T67" s="96" t="inlineStr">
        <is>
          <t>LCH06</t>
        </is>
      </c>
      <c r="U67" s="96" t="inlineStr">
        <is>
          <t>THLCH</t>
        </is>
      </c>
      <c r="V67" s="161" t="inlineStr">
        <is>
          <t>2026-10-07</t>
        </is>
      </c>
      <c r="W67" s="96" t="inlineStr">
        <is>
          <t>CNSHA</t>
        </is>
      </c>
      <c r="X67" s="161" t="inlineStr">
        <is>
          <t>2026-10-13</t>
        </is>
      </c>
      <c r="Y67" s="97" t="n"/>
      <c r="Z67" s="97" t="n"/>
      <c r="AA67" s="97" t="n"/>
      <c r="AB67" s="97" t="n"/>
      <c r="AC67" s="97" t="n"/>
      <c r="AD67" s="161" t="inlineStr">
        <is>
          <t>2026-09-29</t>
        </is>
      </c>
      <c r="AE67" s="174" t="inlineStr">
        <is>
          <t>0138</t>
        </is>
      </c>
      <c r="AF67" s="96" t="inlineStr">
        <is>
          <t>EDI2</t>
        </is>
      </c>
      <c r="AG67" s="97" t="n"/>
      <c r="AH67" s="97" t="n"/>
      <c r="AI67" s="97" t="n"/>
      <c r="AJ67" s="96" t="inlineStr">
        <is>
          <t>GC MARKETING SOLUTIONS (SHANGHAI)</t>
        </is>
      </c>
      <c r="AK67" s="130" t="n"/>
    </row>
    <row r="68" ht="12" customHeight="1">
      <c r="A68" s="108" t="inlineStr">
        <is>
          <t>SKHU6206420</t>
        </is>
      </c>
      <c r="B68" s="108" t="inlineStr">
        <is>
          <t>LCH06</t>
        </is>
      </c>
      <c r="C68" s="108" t="inlineStr">
        <is>
          <t>IFV</t>
        </is>
      </c>
      <c r="D68" s="172" t="inlineStr">
        <is>
          <t>2026-09-28</t>
        </is>
      </c>
      <c r="E68" s="173" t="inlineStr">
        <is>
          <t>1558</t>
        </is>
      </c>
      <c r="F68" s="96" t="inlineStr">
        <is>
          <t>HASLS22260900408</t>
        </is>
      </c>
      <c r="G68" s="96" t="inlineStr">
        <is>
          <t>RHENUS LOGISTICS CO., LTD.</t>
        </is>
      </c>
      <c r="H68" s="111" t="inlineStr">
        <is>
          <t>45GP</t>
        </is>
      </c>
      <c r="I68" s="96" t="inlineStr">
        <is>
          <t>FTP</t>
        </is>
      </c>
      <c r="J68" s="96" t="inlineStr">
        <is>
          <t>EDI2</t>
        </is>
      </c>
      <c r="K68" s="96" t="n"/>
      <c r="L68" s="111" t="inlineStr">
        <is>
          <t>Full</t>
        </is>
      </c>
      <c r="M68" s="96" t="inlineStr">
        <is>
          <t>HASLS22260900408</t>
        </is>
      </c>
      <c r="N68" s="96" t="inlineStr">
        <is>
          <t xml:space="preserve">40Hx1 </t>
        </is>
      </c>
      <c r="O68" s="111" t="inlineStr">
        <is>
          <t>2022</t>
        </is>
      </c>
      <c r="P68" s="111" t="n"/>
      <c r="Q68" s="111" t="n"/>
      <c r="R68" s="96" t="inlineStr">
        <is>
          <t>SWVG</t>
        </is>
      </c>
      <c r="S68" s="96" t="inlineStr">
        <is>
          <t>2612N</t>
        </is>
      </c>
      <c r="T68" s="96" t="inlineStr">
        <is>
          <t>LCH06</t>
        </is>
      </c>
      <c r="U68" s="96" t="inlineStr">
        <is>
          <t>THLCH</t>
        </is>
      </c>
      <c r="V68" s="161" t="inlineStr">
        <is>
          <t>2026-10-07</t>
        </is>
      </c>
      <c r="W68" s="96" t="inlineStr">
        <is>
          <t>CNSHA</t>
        </is>
      </c>
      <c r="X68" s="161" t="inlineStr">
        <is>
          <t>2026-10-13</t>
        </is>
      </c>
      <c r="Y68" s="97" t="n"/>
      <c r="Z68" s="97" t="n"/>
      <c r="AA68" s="97" t="n"/>
      <c r="AB68" s="97" t="n"/>
      <c r="AC68" s="97" t="n"/>
      <c r="AD68" s="161" t="inlineStr">
        <is>
          <t>2026-09-28</t>
        </is>
      </c>
      <c r="AE68" s="174" t="inlineStr">
        <is>
          <t>1834</t>
        </is>
      </c>
      <c r="AF68" s="96" t="inlineStr">
        <is>
          <t>EDI2</t>
        </is>
      </c>
      <c r="AG68" s="97" t="n"/>
      <c r="AH68" s="97" t="n"/>
      <c r="AI68" s="97" t="n"/>
      <c r="AJ68" s="96" t="inlineStr">
        <is>
          <t>RHENUS LOGISTICS CHINA LTD.</t>
        </is>
      </c>
      <c r="AK68" s="130" t="n"/>
    </row>
    <row r="69" ht="12" customHeight="1">
      <c r="A69" s="108" t="inlineStr">
        <is>
          <t>SKHU6309623</t>
        </is>
      </c>
      <c r="B69" s="108" t="inlineStr">
        <is>
          <t>LCH06</t>
        </is>
      </c>
      <c r="C69" s="108" t="inlineStr">
        <is>
          <t>IFV</t>
        </is>
      </c>
      <c r="D69" s="172" t="inlineStr">
        <is>
          <t>2026-09-28</t>
        </is>
      </c>
      <c r="E69" s="173" t="inlineStr">
        <is>
          <t>2330</t>
        </is>
      </c>
      <c r="F69" s="96" t="inlineStr">
        <is>
          <t>HASLS22260802507</t>
        </is>
      </c>
      <c r="G69" s="96" t="inlineStr">
        <is>
          <t>WHA GC LOGISTICS COMPANY LIMITED</t>
        </is>
      </c>
      <c r="H69" s="111" t="inlineStr">
        <is>
          <t>45GP</t>
        </is>
      </c>
      <c r="I69" s="96" t="inlineStr">
        <is>
          <t>FTP</t>
        </is>
      </c>
      <c r="J69" s="96" t="inlineStr">
        <is>
          <t>EDI2</t>
        </is>
      </c>
      <c r="K69" s="96" t="n"/>
      <c r="L69" s="111" t="inlineStr">
        <is>
          <t>Full</t>
        </is>
      </c>
      <c r="M69" s="96" t="inlineStr">
        <is>
          <t>HASLS22260802507</t>
        </is>
      </c>
      <c r="N69" s="96" t="inlineStr">
        <is>
          <t xml:space="preserve">40Hx10 </t>
        </is>
      </c>
      <c r="O69" s="111" t="inlineStr">
        <is>
          <t>2023</t>
        </is>
      </c>
      <c r="P69" s="111" t="n"/>
      <c r="Q69" s="111" t="n"/>
      <c r="R69" s="96" t="inlineStr">
        <is>
          <t>SWVG</t>
        </is>
      </c>
      <c r="S69" s="96" t="inlineStr">
        <is>
          <t>2612N</t>
        </is>
      </c>
      <c r="T69" s="96" t="inlineStr">
        <is>
          <t>LCH06</t>
        </is>
      </c>
      <c r="U69" s="96" t="inlineStr">
        <is>
          <t>THLCH</t>
        </is>
      </c>
      <c r="V69" s="161" t="inlineStr">
        <is>
          <t>2026-10-07</t>
        </is>
      </c>
      <c r="W69" s="96" t="inlineStr">
        <is>
          <t>CNSHA</t>
        </is>
      </c>
      <c r="X69" s="161" t="inlineStr">
        <is>
          <t>2026-10-13</t>
        </is>
      </c>
      <c r="Y69" s="97" t="n"/>
      <c r="Z69" s="97" t="n"/>
      <c r="AA69" s="97" t="n"/>
      <c r="AB69" s="97" t="n"/>
      <c r="AC69" s="97" t="n"/>
      <c r="AD69" s="161" t="inlineStr">
        <is>
          <t>2026-09-29</t>
        </is>
      </c>
      <c r="AE69" s="174" t="inlineStr">
        <is>
          <t>0208</t>
        </is>
      </c>
      <c r="AF69" s="96" t="inlineStr">
        <is>
          <t>EDI2</t>
        </is>
      </c>
      <c r="AG69" s="97" t="n"/>
      <c r="AH69" s="97" t="n"/>
      <c r="AI69" s="97" t="n"/>
      <c r="AJ69" s="96" t="inlineStr">
        <is>
          <t>GC MARKETING SOLUTIONS (SHANGHAI)</t>
        </is>
      </c>
      <c r="AK69" s="130" t="n"/>
    </row>
    <row r="70" ht="12" customHeight="1">
      <c r="A70" s="108" t="inlineStr">
        <is>
          <t>SKHU6310521</t>
        </is>
      </c>
      <c r="B70" s="108" t="inlineStr">
        <is>
          <t>LCH06</t>
        </is>
      </c>
      <c r="C70" s="108" t="inlineStr">
        <is>
          <t>IFV</t>
        </is>
      </c>
      <c r="D70" s="172" t="inlineStr">
        <is>
          <t>2026-09-24</t>
        </is>
      </c>
      <c r="E70" s="173" t="inlineStr">
        <is>
          <t>2320</t>
        </is>
      </c>
      <c r="F70" s="96" t="inlineStr">
        <is>
          <t>HASLS22260802388</t>
        </is>
      </c>
      <c r="G70" s="96" t="inlineStr">
        <is>
          <t>SCGJWD LOGISTICS PUBLIC COMPANY LIMITED</t>
        </is>
      </c>
      <c r="H70" s="111" t="inlineStr">
        <is>
          <t>45GP</t>
        </is>
      </c>
      <c r="I70" s="96" t="inlineStr">
        <is>
          <t>FTP</t>
        </is>
      </c>
      <c r="J70" s="96" t="inlineStr">
        <is>
          <t>EDI2</t>
        </is>
      </c>
      <c r="K70" s="96" t="n"/>
      <c r="L70" s="111" t="inlineStr">
        <is>
          <t>Full</t>
        </is>
      </c>
      <c r="M70" s="96" t="inlineStr">
        <is>
          <t>HASLS22260802388</t>
        </is>
      </c>
      <c r="N70" s="96" t="inlineStr">
        <is>
          <t xml:space="preserve">40Hx4 </t>
        </is>
      </c>
      <c r="O70" s="111" t="inlineStr">
        <is>
          <t>2023</t>
        </is>
      </c>
      <c r="P70" s="111" t="n"/>
      <c r="Q70" s="111" t="n"/>
      <c r="R70" s="96" t="inlineStr">
        <is>
          <t>SWVG</t>
        </is>
      </c>
      <c r="S70" s="96" t="inlineStr">
        <is>
          <t>2612N</t>
        </is>
      </c>
      <c r="T70" s="96" t="inlineStr">
        <is>
          <t>LCH06</t>
        </is>
      </c>
      <c r="U70" s="96" t="inlineStr">
        <is>
          <t>THLCH</t>
        </is>
      </c>
      <c r="V70" s="161" t="inlineStr">
        <is>
          <t>2026-10-07</t>
        </is>
      </c>
      <c r="W70" s="96" t="inlineStr">
        <is>
          <t>CNSHA</t>
        </is>
      </c>
      <c r="X70" s="161" t="inlineStr">
        <is>
          <t>2026-10-13</t>
        </is>
      </c>
      <c r="Y70" s="97" t="n"/>
      <c r="Z70" s="97" t="n"/>
      <c r="AA70" s="97" t="n"/>
      <c r="AB70" s="97" t="n"/>
      <c r="AC70" s="97" t="n"/>
      <c r="AD70" s="161" t="inlineStr">
        <is>
          <t>2026-09-25</t>
        </is>
      </c>
      <c r="AE70" s="174" t="inlineStr">
        <is>
          <t>0237</t>
        </is>
      </c>
      <c r="AF70" s="96" t="inlineStr">
        <is>
          <t>EDI2</t>
        </is>
      </c>
      <c r="AG70" s="97" t="n"/>
      <c r="AH70" s="97" t="n"/>
      <c r="AI70" s="97" t="n"/>
      <c r="AJ70" s="96" t="inlineStr">
        <is>
          <t>SHANGHAI ZHONGXUAN BUSINESS CO.,LTD</t>
        </is>
      </c>
      <c r="AK70" s="130" t="n"/>
    </row>
    <row r="71" ht="12" customHeight="1">
      <c r="A71" s="108" t="inlineStr">
        <is>
          <t>SKHU6341121</t>
        </is>
      </c>
      <c r="B71" s="108" t="inlineStr">
        <is>
          <t>LCH06</t>
        </is>
      </c>
      <c r="C71" s="108" t="inlineStr">
        <is>
          <t>IFV</t>
        </is>
      </c>
      <c r="D71" s="172" t="inlineStr">
        <is>
          <t>2026-09-19</t>
        </is>
      </c>
      <c r="E71" s="173" t="inlineStr">
        <is>
          <t>1736</t>
        </is>
      </c>
      <c r="F71" s="96" t="inlineStr">
        <is>
          <t>HASLS22260901668</t>
        </is>
      </c>
      <c r="G71" s="96" t="inlineStr">
        <is>
          <t>BARKLAYS LOGISTICS (THAILAND) CO., LTD.</t>
        </is>
      </c>
      <c r="H71" s="111" t="inlineStr">
        <is>
          <t>45GP</t>
        </is>
      </c>
      <c r="I71" s="96" t="inlineStr">
        <is>
          <t>FTP</t>
        </is>
      </c>
      <c r="J71" s="96" t="inlineStr">
        <is>
          <t>EDI2</t>
        </is>
      </c>
      <c r="K71" s="96" t="n"/>
      <c r="L71" s="111" t="inlineStr">
        <is>
          <t>Full</t>
        </is>
      </c>
      <c r="M71" s="96" t="inlineStr">
        <is>
          <t>HASLS22260901668</t>
        </is>
      </c>
      <c r="N71" s="96" t="inlineStr">
        <is>
          <t xml:space="preserve">40Hx15 </t>
        </is>
      </c>
      <c r="O71" s="111" t="inlineStr">
        <is>
          <t>2023</t>
        </is>
      </c>
      <c r="P71" s="111" t="n"/>
      <c r="Q71" s="111" t="n"/>
      <c r="R71" s="96" t="inlineStr">
        <is>
          <t>HAB</t>
        </is>
      </c>
      <c r="S71" s="96" t="inlineStr">
        <is>
          <t>2611N</t>
        </is>
      </c>
      <c r="T71" s="96" t="inlineStr">
        <is>
          <t>LCH06</t>
        </is>
      </c>
      <c r="U71" s="96" t="inlineStr">
        <is>
          <t>THLCH</t>
        </is>
      </c>
      <c r="V71" s="161" t="inlineStr">
        <is>
          <t>2026-10-07</t>
        </is>
      </c>
      <c r="W71" s="96" t="inlineStr">
        <is>
          <t>CNSHA</t>
        </is>
      </c>
      <c r="X71" s="161" t="inlineStr">
        <is>
          <t>2026-10-13</t>
        </is>
      </c>
      <c r="Y71" s="97" t="n"/>
      <c r="Z71" s="97" t="n"/>
      <c r="AA71" s="97" t="n"/>
      <c r="AB71" s="97" t="n"/>
      <c r="AC71" s="97" t="n"/>
      <c r="AD71" s="161" t="inlineStr">
        <is>
          <t>2026-09-19</t>
        </is>
      </c>
      <c r="AE71" s="174" t="inlineStr">
        <is>
          <t>2019</t>
        </is>
      </c>
      <c r="AF71" s="96" t="inlineStr">
        <is>
          <t>EDI2</t>
        </is>
      </c>
      <c r="AG71" s="97" t="n"/>
      <c r="AH71" s="97" t="n"/>
      <c r="AI71" s="97" t="n"/>
      <c r="AJ71" s="96" t="inlineStr">
        <is>
          <t>BARKLAYS LOGISTICS (SHANGHAI)</t>
        </is>
      </c>
      <c r="AK71" s="130" t="n"/>
    </row>
    <row r="72" ht="12" customHeight="1">
      <c r="A72" s="108" t="inlineStr">
        <is>
          <t>SKHU6369936</t>
        </is>
      </c>
      <c r="B72" s="108" t="inlineStr">
        <is>
          <t>LCH06</t>
        </is>
      </c>
      <c r="C72" s="108" t="inlineStr">
        <is>
          <t>IFV</t>
        </is>
      </c>
      <c r="D72" s="172" t="inlineStr">
        <is>
          <t>2026-09-28</t>
        </is>
      </c>
      <c r="E72" s="173" t="inlineStr">
        <is>
          <t>2113</t>
        </is>
      </c>
      <c r="F72" s="96" t="inlineStr">
        <is>
          <t>HASLS22260802507</t>
        </is>
      </c>
      <c r="G72" s="96" t="inlineStr">
        <is>
          <t>WHA GC LOGISTICS COMPANY LIMITED</t>
        </is>
      </c>
      <c r="H72" s="111" t="inlineStr">
        <is>
          <t>45GP</t>
        </is>
      </c>
      <c r="I72" s="96" t="inlineStr">
        <is>
          <t>FTP</t>
        </is>
      </c>
      <c r="J72" s="96" t="inlineStr">
        <is>
          <t>EDI2</t>
        </is>
      </c>
      <c r="K72" s="96" t="n"/>
      <c r="L72" s="111" t="inlineStr">
        <is>
          <t>Full</t>
        </is>
      </c>
      <c r="M72" s="96" t="inlineStr">
        <is>
          <t>HASLS22260802507</t>
        </is>
      </c>
      <c r="N72" s="96" t="inlineStr">
        <is>
          <t xml:space="preserve">40Hx10 </t>
        </is>
      </c>
      <c r="O72" s="111" t="inlineStr">
        <is>
          <t>2023</t>
        </is>
      </c>
      <c r="P72" s="111" t="n"/>
      <c r="Q72" s="111" t="n"/>
      <c r="R72" s="96" t="inlineStr">
        <is>
          <t>SWVG</t>
        </is>
      </c>
      <c r="S72" s="96" t="inlineStr">
        <is>
          <t>2612N</t>
        </is>
      </c>
      <c r="T72" s="96" t="inlineStr">
        <is>
          <t>LCH06</t>
        </is>
      </c>
      <c r="U72" s="96" t="inlineStr">
        <is>
          <t>THLCH</t>
        </is>
      </c>
      <c r="V72" s="161" t="inlineStr">
        <is>
          <t>2026-10-07</t>
        </is>
      </c>
      <c r="W72" s="96" t="inlineStr">
        <is>
          <t>CNSHA</t>
        </is>
      </c>
      <c r="X72" s="161" t="inlineStr">
        <is>
          <t>2026-10-13</t>
        </is>
      </c>
      <c r="Y72" s="97" t="n"/>
      <c r="Z72" s="97" t="n"/>
      <c r="AA72" s="97" t="n"/>
      <c r="AB72" s="97" t="n"/>
      <c r="AC72" s="97" t="n"/>
      <c r="AD72" s="161" t="inlineStr">
        <is>
          <t>2026-09-29</t>
        </is>
      </c>
      <c r="AE72" s="174" t="inlineStr">
        <is>
          <t>0008</t>
        </is>
      </c>
      <c r="AF72" s="96" t="inlineStr">
        <is>
          <t>EDI2</t>
        </is>
      </c>
      <c r="AG72" s="97" t="n"/>
      <c r="AH72" s="97" t="n"/>
      <c r="AI72" s="97" t="n"/>
      <c r="AJ72" s="96" t="inlineStr">
        <is>
          <t>GC MARKETING SOLUTIONS (SHANGHAI)</t>
        </is>
      </c>
      <c r="AK72" s="130" t="n"/>
    </row>
    <row r="73" ht="12" customHeight="1">
      <c r="A73" s="108" t="inlineStr">
        <is>
          <t>SKHU6384740</t>
        </is>
      </c>
      <c r="B73" s="108" t="inlineStr">
        <is>
          <t>LCH06</t>
        </is>
      </c>
      <c r="C73" s="108" t="inlineStr">
        <is>
          <t>IFV</t>
        </is>
      </c>
      <c r="D73" s="172" t="inlineStr">
        <is>
          <t>2026-09-19</t>
        </is>
      </c>
      <c r="E73" s="173" t="inlineStr">
        <is>
          <t>1744</t>
        </is>
      </c>
      <c r="F73" s="96" t="inlineStr">
        <is>
          <t>HASLS22260900441</t>
        </is>
      </c>
      <c r="G73" s="96" t="inlineStr">
        <is>
          <t>BARKLAYS LOGISTICS (THAILAND) CO., LTD.</t>
        </is>
      </c>
      <c r="H73" s="111" t="inlineStr">
        <is>
          <t>45GP</t>
        </is>
      </c>
      <c r="I73" s="96" t="inlineStr">
        <is>
          <t>FTP</t>
        </is>
      </c>
      <c r="J73" s="96" t="inlineStr">
        <is>
          <t>EDI2</t>
        </is>
      </c>
      <c r="K73" s="96" t="n"/>
      <c r="L73" s="111" t="inlineStr">
        <is>
          <t>Full</t>
        </is>
      </c>
      <c r="M73" s="96" t="inlineStr">
        <is>
          <t>HASLS22260900441</t>
        </is>
      </c>
      <c r="N73" s="96" t="inlineStr">
        <is>
          <t xml:space="preserve">40Hx15 </t>
        </is>
      </c>
      <c r="O73" s="111" t="inlineStr">
        <is>
          <t>2023</t>
        </is>
      </c>
      <c r="P73" s="111" t="n"/>
      <c r="Q73" s="111" t="n"/>
      <c r="R73" s="96" t="inlineStr">
        <is>
          <t>HAB</t>
        </is>
      </c>
      <c r="S73" s="96" t="inlineStr">
        <is>
          <t>2611N</t>
        </is>
      </c>
      <c r="T73" s="96" t="inlineStr">
        <is>
          <t>LCH06</t>
        </is>
      </c>
      <c r="U73" s="96" t="inlineStr">
        <is>
          <t>THLCH</t>
        </is>
      </c>
      <c r="V73" s="161" t="inlineStr">
        <is>
          <t>2026-10-07</t>
        </is>
      </c>
      <c r="W73" s="96" t="inlineStr">
        <is>
          <t>CNSHA</t>
        </is>
      </c>
      <c r="X73" s="161" t="inlineStr">
        <is>
          <t>2026-10-13</t>
        </is>
      </c>
      <c r="Y73" s="97" t="n"/>
      <c r="Z73" s="97" t="n"/>
      <c r="AA73" s="97" t="n"/>
      <c r="AB73" s="97" t="n"/>
      <c r="AC73" s="97" t="n"/>
      <c r="AD73" s="161" t="inlineStr">
        <is>
          <t>2026-09-19</t>
        </is>
      </c>
      <c r="AE73" s="174" t="inlineStr">
        <is>
          <t>2019</t>
        </is>
      </c>
      <c r="AF73" s="96" t="inlineStr">
        <is>
          <t>EDI2</t>
        </is>
      </c>
      <c r="AG73" s="97" t="n"/>
      <c r="AH73" s="97" t="n"/>
      <c r="AI73" s="97" t="n"/>
      <c r="AJ73" s="96" t="inlineStr">
        <is>
          <t>BARKLAYS LOGISTICS (SHANGHAI)</t>
        </is>
      </c>
      <c r="AK73" s="130" t="n"/>
    </row>
    <row r="74" ht="12" customHeight="1">
      <c r="A74" s="108" t="inlineStr">
        <is>
          <t>SKHU6387945</t>
        </is>
      </c>
      <c r="B74" s="108" t="inlineStr">
        <is>
          <t>LCH06</t>
        </is>
      </c>
      <c r="C74" s="108" t="inlineStr">
        <is>
          <t>IFV</t>
        </is>
      </c>
      <c r="D74" s="172" t="inlineStr">
        <is>
          <t>2026-09-28</t>
        </is>
      </c>
      <c r="E74" s="173" t="inlineStr">
        <is>
          <t>1144</t>
        </is>
      </c>
      <c r="F74" s="96" t="inlineStr">
        <is>
          <t>HASLS22260802360</t>
        </is>
      </c>
      <c r="G74" s="96" t="inlineStr">
        <is>
          <t>WHA GC LOGISTICS COMPANY LIMITED</t>
        </is>
      </c>
      <c r="H74" s="111" t="inlineStr">
        <is>
          <t>45GP</t>
        </is>
      </c>
      <c r="I74" s="96" t="inlineStr">
        <is>
          <t>FTP</t>
        </is>
      </c>
      <c r="J74" s="96" t="inlineStr">
        <is>
          <t>EDI2</t>
        </is>
      </c>
      <c r="K74" s="96" t="n"/>
      <c r="L74" s="111" t="inlineStr">
        <is>
          <t>Full</t>
        </is>
      </c>
      <c r="M74" s="96" t="inlineStr">
        <is>
          <t>HASLS22260802360</t>
        </is>
      </c>
      <c r="N74" s="96" t="inlineStr">
        <is>
          <t xml:space="preserve">40Hx5 </t>
        </is>
      </c>
      <c r="O74" s="111" t="inlineStr">
        <is>
          <t>2023</t>
        </is>
      </c>
      <c r="P74" s="111" t="n"/>
      <c r="Q74" s="111" t="n"/>
      <c r="R74" s="96" t="inlineStr">
        <is>
          <t>SWVG</t>
        </is>
      </c>
      <c r="S74" s="96" t="inlineStr">
        <is>
          <t>2612N</t>
        </is>
      </c>
      <c r="T74" s="96" t="inlineStr">
        <is>
          <t>LCH06</t>
        </is>
      </c>
      <c r="U74" s="96" t="inlineStr">
        <is>
          <t>THLCH</t>
        </is>
      </c>
      <c r="V74" s="161" t="inlineStr">
        <is>
          <t>2026-10-07</t>
        </is>
      </c>
      <c r="W74" s="96" t="inlineStr">
        <is>
          <t>JPMYJ</t>
        </is>
      </c>
      <c r="X74" s="161" t="inlineStr">
        <is>
          <t>2026-10-15</t>
        </is>
      </c>
      <c r="Y74" s="97" t="n"/>
      <c r="Z74" s="97" t="n"/>
      <c r="AA74" s="97" t="n"/>
      <c r="AB74" s="97" t="n"/>
      <c r="AC74" s="97" t="n"/>
      <c r="AD74" s="161" t="inlineStr">
        <is>
          <t>2026-09-28</t>
        </is>
      </c>
      <c r="AE74" s="174" t="inlineStr">
        <is>
          <t>1432</t>
        </is>
      </c>
      <c r="AF74" s="96" t="inlineStr">
        <is>
          <t>EDI2</t>
        </is>
      </c>
      <c r="AG74" s="97" t="n"/>
      <c r="AH74" s="97" t="n"/>
      <c r="AI74" s="97" t="n"/>
      <c r="AJ74" s="96" t="inlineStr">
        <is>
          <t>INABATA &amp; CO.,LTD</t>
        </is>
      </c>
      <c r="AK74" s="130" t="n"/>
    </row>
    <row r="75" ht="12" customHeight="1">
      <c r="A75" s="108" t="inlineStr">
        <is>
          <t>SKHU6394013</t>
        </is>
      </c>
      <c r="B75" s="108" t="inlineStr">
        <is>
          <t>LCH06</t>
        </is>
      </c>
      <c r="C75" s="108" t="inlineStr">
        <is>
          <t>IFV</t>
        </is>
      </c>
      <c r="D75" s="172" t="inlineStr">
        <is>
          <t>2026-09-27</t>
        </is>
      </c>
      <c r="E75" s="173" t="inlineStr">
        <is>
          <t>1146</t>
        </is>
      </c>
      <c r="F75" s="96" t="inlineStr">
        <is>
          <t>HASLS22260901260</t>
        </is>
      </c>
      <c r="G75" s="96" t="inlineStr">
        <is>
          <t>WHA GC LOGISTICS COMPANY LIMITED</t>
        </is>
      </c>
      <c r="H75" s="111" t="inlineStr">
        <is>
          <t>45GP</t>
        </is>
      </c>
      <c r="I75" s="96" t="inlineStr">
        <is>
          <t>FTP</t>
        </is>
      </c>
      <c r="J75" s="96" t="inlineStr">
        <is>
          <t>EDI2</t>
        </is>
      </c>
      <c r="K75" s="96" t="n"/>
      <c r="L75" s="111" t="inlineStr">
        <is>
          <t>Full</t>
        </is>
      </c>
      <c r="M75" s="96" t="inlineStr">
        <is>
          <t>HASLS22260901260</t>
        </is>
      </c>
      <c r="N75" s="96" t="inlineStr">
        <is>
          <t xml:space="preserve">40Hx2 </t>
        </is>
      </c>
      <c r="O75" s="111" t="inlineStr">
        <is>
          <t>2023</t>
        </is>
      </c>
      <c r="P75" s="111" t="n"/>
      <c r="Q75" s="111" t="n"/>
      <c r="R75" s="96" t="inlineStr">
        <is>
          <t>SWVG</t>
        </is>
      </c>
      <c r="S75" s="96" t="inlineStr">
        <is>
          <t>2612N</t>
        </is>
      </c>
      <c r="T75" s="96" t="inlineStr">
        <is>
          <t>LCH06</t>
        </is>
      </c>
      <c r="U75" s="96" t="inlineStr">
        <is>
          <t>THLCH</t>
        </is>
      </c>
      <c r="V75" s="161" t="inlineStr">
        <is>
          <t>2026-10-07</t>
        </is>
      </c>
      <c r="W75" s="96" t="inlineStr">
        <is>
          <t>CNSHA</t>
        </is>
      </c>
      <c r="X75" s="161" t="inlineStr">
        <is>
          <t>2026-10-13</t>
        </is>
      </c>
      <c r="Y75" s="97" t="n"/>
      <c r="Z75" s="97" t="n"/>
      <c r="AA75" s="97" t="n"/>
      <c r="AB75" s="97" t="n"/>
      <c r="AC75" s="97" t="n"/>
      <c r="AD75" s="161" t="inlineStr">
        <is>
          <t>2026-09-27</t>
        </is>
      </c>
      <c r="AE75" s="174" t="inlineStr">
        <is>
          <t>1418</t>
        </is>
      </c>
      <c r="AF75" s="96" t="inlineStr">
        <is>
          <t>EDI2</t>
        </is>
      </c>
      <c r="AG75" s="97" t="n"/>
      <c r="AH75" s="97" t="n"/>
      <c r="AI75" s="97" t="n"/>
      <c r="AJ75" s="96" t="inlineStr">
        <is>
          <t>GC MARKETING SOLUTIONS (SHANGHAI)</t>
        </is>
      </c>
      <c r="AK75" s="130" t="n"/>
    </row>
    <row r="76" ht="12" customHeight="1">
      <c r="A76" s="108" t="inlineStr">
        <is>
          <t>SKHU6394939</t>
        </is>
      </c>
      <c r="B76" s="108" t="inlineStr">
        <is>
          <t>LCH06</t>
        </is>
      </c>
      <c r="C76" s="108" t="inlineStr">
        <is>
          <t>IFV</t>
        </is>
      </c>
      <c r="D76" s="172" t="inlineStr">
        <is>
          <t>2026-09-25</t>
        </is>
      </c>
      <c r="E76" s="173" t="inlineStr">
        <is>
          <t>0950</t>
        </is>
      </c>
      <c r="F76" s="96" t="inlineStr">
        <is>
          <t>HASLS22260802388</t>
        </is>
      </c>
      <c r="G76" s="96" t="inlineStr">
        <is>
          <t>SCGJWD LOGISTICS PUBLIC COMPANY LIMITED</t>
        </is>
      </c>
      <c r="H76" s="111" t="inlineStr">
        <is>
          <t>45GP</t>
        </is>
      </c>
      <c r="I76" s="96" t="inlineStr">
        <is>
          <t>FTP</t>
        </is>
      </c>
      <c r="J76" s="96" t="inlineStr">
        <is>
          <t>EDI2</t>
        </is>
      </c>
      <c r="K76" s="96" t="n"/>
      <c r="L76" s="111" t="inlineStr">
        <is>
          <t>Full</t>
        </is>
      </c>
      <c r="M76" s="96" t="inlineStr">
        <is>
          <t>HASLS22260802388</t>
        </is>
      </c>
      <c r="N76" s="96" t="inlineStr">
        <is>
          <t xml:space="preserve">40Hx4 </t>
        </is>
      </c>
      <c r="O76" s="111" t="inlineStr">
        <is>
          <t>2023</t>
        </is>
      </c>
      <c r="P76" s="111" t="n"/>
      <c r="Q76" s="111" t="n"/>
      <c r="R76" s="96" t="inlineStr">
        <is>
          <t>SWVG</t>
        </is>
      </c>
      <c r="S76" s="96" t="inlineStr">
        <is>
          <t>2612N</t>
        </is>
      </c>
      <c r="T76" s="96" t="inlineStr">
        <is>
          <t>LCH06</t>
        </is>
      </c>
      <c r="U76" s="96" t="inlineStr">
        <is>
          <t>THLCH</t>
        </is>
      </c>
      <c r="V76" s="161" t="inlineStr">
        <is>
          <t>2026-10-07</t>
        </is>
      </c>
      <c r="W76" s="96" t="inlineStr">
        <is>
          <t>CNSHA</t>
        </is>
      </c>
      <c r="X76" s="161" t="inlineStr">
        <is>
          <t>2026-10-13</t>
        </is>
      </c>
      <c r="Y76" s="97" t="n"/>
      <c r="Z76" s="97" t="n"/>
      <c r="AA76" s="97" t="n"/>
      <c r="AB76" s="97" t="n"/>
      <c r="AC76" s="97" t="n"/>
      <c r="AD76" s="161" t="inlineStr">
        <is>
          <t>2026-09-25</t>
        </is>
      </c>
      <c r="AE76" s="174" t="inlineStr">
        <is>
          <t>1244</t>
        </is>
      </c>
      <c r="AF76" s="96" t="inlineStr">
        <is>
          <t>EDI2</t>
        </is>
      </c>
      <c r="AG76" s="97" t="n"/>
      <c r="AH76" s="97" t="n"/>
      <c r="AI76" s="97" t="n"/>
      <c r="AJ76" s="96" t="inlineStr">
        <is>
          <t>SHANGHAI ZHONGXUAN BUSINESS CO.,LTD</t>
        </is>
      </c>
      <c r="AK76" s="130" t="n"/>
    </row>
    <row r="77" ht="12" customHeight="1">
      <c r="A77" s="108" t="inlineStr">
        <is>
          <t>SKHU6414568</t>
        </is>
      </c>
      <c r="B77" s="108" t="inlineStr">
        <is>
          <t>LCH06</t>
        </is>
      </c>
      <c r="C77" s="108" t="inlineStr">
        <is>
          <t>IFV</t>
        </is>
      </c>
      <c r="D77" s="172" t="inlineStr">
        <is>
          <t>2026-09-28</t>
        </is>
      </c>
      <c r="E77" s="173" t="inlineStr">
        <is>
          <t>2254</t>
        </is>
      </c>
      <c r="F77" s="96" t="inlineStr">
        <is>
          <t>HASLS22260901309</t>
        </is>
      </c>
      <c r="G77" s="96" t="inlineStr">
        <is>
          <t>WHA GC LOGISTICS COMPANY LIMITED</t>
        </is>
      </c>
      <c r="H77" s="111" t="inlineStr">
        <is>
          <t>45GP</t>
        </is>
      </c>
      <c r="I77" s="96" t="inlineStr">
        <is>
          <t>FTP</t>
        </is>
      </c>
      <c r="J77" s="96" t="inlineStr">
        <is>
          <t>EDI2</t>
        </is>
      </c>
      <c r="K77" s="96" t="n"/>
      <c r="L77" s="111" t="inlineStr">
        <is>
          <t>Full</t>
        </is>
      </c>
      <c r="M77" s="96" t="inlineStr">
        <is>
          <t>HASLS22260901309</t>
        </is>
      </c>
      <c r="N77" s="96" t="inlineStr">
        <is>
          <t xml:space="preserve">40Hx6 </t>
        </is>
      </c>
      <c r="O77" s="111" t="inlineStr">
        <is>
          <t>2024</t>
        </is>
      </c>
      <c r="P77" s="111" t="n"/>
      <c r="Q77" s="111" t="n"/>
      <c r="R77" s="96" t="inlineStr">
        <is>
          <t>SWVG</t>
        </is>
      </c>
      <c r="S77" s="96" t="inlineStr">
        <is>
          <t>2612N</t>
        </is>
      </c>
      <c r="T77" s="96" t="inlineStr">
        <is>
          <t>LCH06</t>
        </is>
      </c>
      <c r="U77" s="96" t="inlineStr">
        <is>
          <t>THLCH</t>
        </is>
      </c>
      <c r="V77" s="161" t="inlineStr">
        <is>
          <t>2026-10-07</t>
        </is>
      </c>
      <c r="W77" s="96" t="inlineStr">
        <is>
          <t>CNSHA</t>
        </is>
      </c>
      <c r="X77" s="161" t="inlineStr">
        <is>
          <t>2026-10-13</t>
        </is>
      </c>
      <c r="Y77" s="97" t="n"/>
      <c r="Z77" s="97" t="n"/>
      <c r="AA77" s="97" t="n"/>
      <c r="AB77" s="97" t="n"/>
      <c r="AC77" s="97" t="n"/>
      <c r="AD77" s="161" t="inlineStr">
        <is>
          <t>2026-09-29</t>
        </is>
      </c>
      <c r="AE77" s="174" t="inlineStr">
        <is>
          <t>0138</t>
        </is>
      </c>
      <c r="AF77" s="96" t="inlineStr">
        <is>
          <t>EDI2</t>
        </is>
      </c>
      <c r="AG77" s="97" t="n"/>
      <c r="AH77" s="97" t="n"/>
      <c r="AI77" s="97" t="n"/>
      <c r="AJ77" s="96" t="inlineStr">
        <is>
          <t>GC MARKETING SOLUTIONS (SHANGHAI)</t>
        </is>
      </c>
      <c r="AK77" s="130" t="n"/>
    </row>
    <row r="78" ht="12" customHeight="1">
      <c r="A78" s="108" t="inlineStr">
        <is>
          <t>SKHU6425048</t>
        </is>
      </c>
      <c r="B78" s="108" t="inlineStr">
        <is>
          <t>LCH06</t>
        </is>
      </c>
      <c r="C78" s="108" t="inlineStr">
        <is>
          <t>IFV</t>
        </is>
      </c>
      <c r="D78" s="172" t="inlineStr">
        <is>
          <t>2026-10-03</t>
        </is>
      </c>
      <c r="E78" s="173" t="inlineStr">
        <is>
          <t>0534</t>
        </is>
      </c>
      <c r="F78" s="96" t="inlineStr">
        <is>
          <t>HASLS22260902495</t>
        </is>
      </c>
      <c r="G78" s="96" t="inlineStr">
        <is>
          <t>SCGJWD LOGISTICS PUBLIC COMPANY LIMITED</t>
        </is>
      </c>
      <c r="H78" s="111" t="inlineStr">
        <is>
          <t>45GP</t>
        </is>
      </c>
      <c r="I78" s="96" t="inlineStr">
        <is>
          <t>FTP</t>
        </is>
      </c>
      <c r="J78" s="96" t="inlineStr">
        <is>
          <t>EDI2</t>
        </is>
      </c>
      <c r="K78" s="96" t="n"/>
      <c r="L78" s="111" t="inlineStr">
        <is>
          <t>Full</t>
        </is>
      </c>
      <c r="M78" s="96" t="inlineStr">
        <is>
          <t>HASLS22260902495</t>
        </is>
      </c>
      <c r="N78" s="96" t="inlineStr">
        <is>
          <t xml:space="preserve">40Hx4 </t>
        </is>
      </c>
      <c r="O78" s="111" t="inlineStr">
        <is>
          <t>2024</t>
        </is>
      </c>
      <c r="P78" s="111" t="n"/>
      <c r="Q78" s="111" t="n"/>
      <c r="R78" s="96" t="inlineStr">
        <is>
          <t>SWVG</t>
        </is>
      </c>
      <c r="S78" s="96" t="inlineStr">
        <is>
          <t>2612N</t>
        </is>
      </c>
      <c r="T78" s="96" t="inlineStr">
        <is>
          <t>LCH06</t>
        </is>
      </c>
      <c r="U78" s="96" t="inlineStr">
        <is>
          <t>THLCH</t>
        </is>
      </c>
      <c r="V78" s="161" t="inlineStr">
        <is>
          <t>2026-10-07</t>
        </is>
      </c>
      <c r="W78" s="96" t="inlineStr">
        <is>
          <t>CNSHA</t>
        </is>
      </c>
      <c r="X78" s="161" t="inlineStr">
        <is>
          <t>2026-10-13</t>
        </is>
      </c>
      <c r="Y78" s="97" t="n"/>
      <c r="Z78" s="97" t="n"/>
      <c r="AA78" s="97" t="n"/>
      <c r="AB78" s="97" t="n"/>
      <c r="AC78" s="97" t="n"/>
      <c r="AD78" s="161" t="inlineStr">
        <is>
          <t>2026-10-03</t>
        </is>
      </c>
      <c r="AE78" s="174" t="inlineStr">
        <is>
          <t>0817</t>
        </is>
      </c>
      <c r="AF78" s="96" t="inlineStr">
        <is>
          <t>EDI2</t>
        </is>
      </c>
      <c r="AG78" s="97" t="n"/>
      <c r="AH78" s="97" t="n"/>
      <c r="AI78" s="97" t="n"/>
      <c r="AJ78" s="96" t="inlineStr">
        <is>
          <t>SHANGHAI ZHONGXUAN BUSINESS CO.,LTD</t>
        </is>
      </c>
      <c r="AK78" s="130" t="n"/>
    </row>
    <row r="79" ht="12" customHeight="1">
      <c r="A79" s="108" t="inlineStr">
        <is>
          <t>SKHU6442087</t>
        </is>
      </c>
      <c r="B79" s="108" t="inlineStr">
        <is>
          <t>LCH06</t>
        </is>
      </c>
      <c r="C79" s="108" t="inlineStr">
        <is>
          <t>IFV</t>
        </is>
      </c>
      <c r="D79" s="172" t="inlineStr">
        <is>
          <t>2026-09-19</t>
        </is>
      </c>
      <c r="E79" s="173" t="inlineStr">
        <is>
          <t>1724</t>
        </is>
      </c>
      <c r="F79" s="96" t="inlineStr">
        <is>
          <t>HASLS22260900441</t>
        </is>
      </c>
      <c r="G79" s="96" t="inlineStr">
        <is>
          <t>BARKLAYS LOGISTICS (THAILAND) CO., LTD.</t>
        </is>
      </c>
      <c r="H79" s="111" t="inlineStr">
        <is>
          <t>45GP</t>
        </is>
      </c>
      <c r="I79" s="96" t="inlineStr">
        <is>
          <t>FTP</t>
        </is>
      </c>
      <c r="J79" s="96" t="inlineStr">
        <is>
          <t>EDI2</t>
        </is>
      </c>
      <c r="K79" s="96" t="n"/>
      <c r="L79" s="111" t="inlineStr">
        <is>
          <t>Full</t>
        </is>
      </c>
      <c r="M79" s="96" t="inlineStr">
        <is>
          <t>HASLS22260900441</t>
        </is>
      </c>
      <c r="N79" s="96" t="inlineStr">
        <is>
          <t xml:space="preserve">40Hx15 </t>
        </is>
      </c>
      <c r="O79" s="111" t="inlineStr">
        <is>
          <t>2024</t>
        </is>
      </c>
      <c r="P79" s="111" t="n"/>
      <c r="Q79" s="111" t="n"/>
      <c r="R79" s="96" t="inlineStr">
        <is>
          <t>HAB</t>
        </is>
      </c>
      <c r="S79" s="96" t="inlineStr">
        <is>
          <t>2611N</t>
        </is>
      </c>
      <c r="T79" s="96" t="inlineStr">
        <is>
          <t>LCH06</t>
        </is>
      </c>
      <c r="U79" s="96" t="inlineStr">
        <is>
          <t>THLCH</t>
        </is>
      </c>
      <c r="V79" s="161" t="inlineStr">
        <is>
          <t>2026-10-07</t>
        </is>
      </c>
      <c r="W79" s="96" t="inlineStr">
        <is>
          <t>CNSHA</t>
        </is>
      </c>
      <c r="X79" s="161" t="inlineStr">
        <is>
          <t>2026-10-13</t>
        </is>
      </c>
      <c r="Y79" s="97" t="n"/>
      <c r="Z79" s="97" t="n"/>
      <c r="AA79" s="97" t="n"/>
      <c r="AB79" s="97" t="n"/>
      <c r="AC79" s="97" t="n"/>
      <c r="AD79" s="161" t="inlineStr">
        <is>
          <t>2026-09-19</t>
        </is>
      </c>
      <c r="AE79" s="174" t="inlineStr">
        <is>
          <t>2019</t>
        </is>
      </c>
      <c r="AF79" s="96" t="inlineStr">
        <is>
          <t>EDI2</t>
        </is>
      </c>
      <c r="AG79" s="97" t="n"/>
      <c r="AH79" s="97" t="n"/>
      <c r="AI79" s="97" t="n"/>
      <c r="AJ79" s="96" t="inlineStr">
        <is>
          <t>BARKLAYS LOGISTICS (SHANGHAI)</t>
        </is>
      </c>
      <c r="AK79" s="130" t="n"/>
    </row>
    <row r="80" ht="12" customHeight="1">
      <c r="A80" s="108" t="inlineStr">
        <is>
          <t>SKHU6445342</t>
        </is>
      </c>
      <c r="B80" s="108" t="inlineStr">
        <is>
          <t>LCH06</t>
        </is>
      </c>
      <c r="C80" s="108" t="inlineStr">
        <is>
          <t>IFV</t>
        </is>
      </c>
      <c r="D80" s="172" t="inlineStr">
        <is>
          <t>2026-09-20</t>
        </is>
      </c>
      <c r="E80" s="173" t="inlineStr">
        <is>
          <t>0804</t>
        </is>
      </c>
      <c r="F80" s="96" t="inlineStr">
        <is>
          <t>HASLS22260901668</t>
        </is>
      </c>
      <c r="G80" s="96" t="inlineStr">
        <is>
          <t>BARKLAYS LOGISTICS (THAILAND) CO., LTD.</t>
        </is>
      </c>
      <c r="H80" s="111" t="inlineStr">
        <is>
          <t>45GP</t>
        </is>
      </c>
      <c r="I80" s="96" t="inlineStr">
        <is>
          <t>FTP</t>
        </is>
      </c>
      <c r="J80" s="96" t="inlineStr">
        <is>
          <t>EDI2</t>
        </is>
      </c>
      <c r="K80" s="96" t="n"/>
      <c r="L80" s="111" t="inlineStr">
        <is>
          <t>Full</t>
        </is>
      </c>
      <c r="M80" s="96" t="inlineStr">
        <is>
          <t>HASLS22260901668</t>
        </is>
      </c>
      <c r="N80" s="96" t="inlineStr">
        <is>
          <t xml:space="preserve">40Hx15 </t>
        </is>
      </c>
      <c r="O80" s="111" t="inlineStr">
        <is>
          <t>2024</t>
        </is>
      </c>
      <c r="P80" s="111" t="n"/>
      <c r="Q80" s="111" t="n"/>
      <c r="R80" s="96" t="inlineStr">
        <is>
          <t>HAB</t>
        </is>
      </c>
      <c r="S80" s="96" t="inlineStr">
        <is>
          <t>2611N</t>
        </is>
      </c>
      <c r="T80" s="96" t="inlineStr">
        <is>
          <t>LCH06</t>
        </is>
      </c>
      <c r="U80" s="96" t="inlineStr">
        <is>
          <t>THLCH</t>
        </is>
      </c>
      <c r="V80" s="161" t="inlineStr">
        <is>
          <t>2026-10-07</t>
        </is>
      </c>
      <c r="W80" s="96" t="inlineStr">
        <is>
          <t>CNSHA</t>
        </is>
      </c>
      <c r="X80" s="161" t="inlineStr">
        <is>
          <t>2026-10-13</t>
        </is>
      </c>
      <c r="Y80" s="97" t="n"/>
      <c r="Z80" s="97" t="n"/>
      <c r="AA80" s="97" t="n"/>
      <c r="AB80" s="97" t="n"/>
      <c r="AC80" s="97" t="n"/>
      <c r="AD80" s="161" t="inlineStr">
        <is>
          <t>2026-09-20</t>
        </is>
      </c>
      <c r="AE80" s="174" t="inlineStr">
        <is>
          <t>1024</t>
        </is>
      </c>
      <c r="AF80" s="96" t="inlineStr">
        <is>
          <t>EDI2</t>
        </is>
      </c>
      <c r="AG80" s="97" t="n"/>
      <c r="AH80" s="97" t="n"/>
      <c r="AI80" s="97" t="n"/>
      <c r="AJ80" s="96" t="inlineStr">
        <is>
          <t>BARKLAYS LOGISTICS (SHANGHAI)</t>
        </is>
      </c>
      <c r="AK80" s="130" t="n"/>
    </row>
    <row r="81" ht="12" customHeight="1">
      <c r="A81" s="108" t="inlineStr">
        <is>
          <t>SKHU6445569</t>
        </is>
      </c>
      <c r="B81" s="108" t="inlineStr">
        <is>
          <t>LCH06</t>
        </is>
      </c>
      <c r="C81" s="108" t="inlineStr">
        <is>
          <t>IFV</t>
        </is>
      </c>
      <c r="D81" s="172" t="inlineStr">
        <is>
          <t>2026-10-03</t>
        </is>
      </c>
      <c r="E81" s="173" t="inlineStr">
        <is>
          <t>0549</t>
        </is>
      </c>
      <c r="F81" s="96" t="inlineStr">
        <is>
          <t>HASLS22260902494</t>
        </is>
      </c>
      <c r="G81" s="96" t="inlineStr">
        <is>
          <t>SCGJWD LOGISTICS PUBLIC COMPANY LIMITED</t>
        </is>
      </c>
      <c r="H81" s="111" t="inlineStr">
        <is>
          <t>45GP</t>
        </is>
      </c>
      <c r="I81" s="96" t="inlineStr">
        <is>
          <t>FTP</t>
        </is>
      </c>
      <c r="J81" s="96" t="inlineStr">
        <is>
          <t>EDI2</t>
        </is>
      </c>
      <c r="K81" s="96" t="n"/>
      <c r="L81" s="111" t="inlineStr">
        <is>
          <t>Full</t>
        </is>
      </c>
      <c r="M81" s="96" t="inlineStr">
        <is>
          <t>HASLS22260902494</t>
        </is>
      </c>
      <c r="N81" s="96" t="inlineStr">
        <is>
          <t xml:space="preserve">40Hx4 </t>
        </is>
      </c>
      <c r="O81" s="111" t="inlineStr">
        <is>
          <t>2024</t>
        </is>
      </c>
      <c r="P81" s="111" t="n"/>
      <c r="Q81" s="111" t="n"/>
      <c r="R81" s="96" t="inlineStr">
        <is>
          <t>SWVG</t>
        </is>
      </c>
      <c r="S81" s="96" t="inlineStr">
        <is>
          <t>2612N</t>
        </is>
      </c>
      <c r="T81" s="96" t="inlineStr">
        <is>
          <t>LCH06</t>
        </is>
      </c>
      <c r="U81" s="96" t="inlineStr">
        <is>
          <t>THLCH</t>
        </is>
      </c>
      <c r="V81" s="161" t="inlineStr">
        <is>
          <t>2026-10-07</t>
        </is>
      </c>
      <c r="W81" s="96" t="inlineStr">
        <is>
          <t>CNSHA</t>
        </is>
      </c>
      <c r="X81" s="161" t="inlineStr">
        <is>
          <t>2026-10-13</t>
        </is>
      </c>
      <c r="Y81" s="97" t="n"/>
      <c r="Z81" s="97" t="n"/>
      <c r="AA81" s="97" t="n"/>
      <c r="AB81" s="97" t="n"/>
      <c r="AC81" s="97" t="n"/>
      <c r="AD81" s="161" t="inlineStr">
        <is>
          <t>2026-10-03</t>
        </is>
      </c>
      <c r="AE81" s="174" t="inlineStr">
        <is>
          <t>0849</t>
        </is>
      </c>
      <c r="AF81" s="96" t="inlineStr">
        <is>
          <t>EDI2</t>
        </is>
      </c>
      <c r="AG81" s="97" t="n"/>
      <c r="AH81" s="97" t="n"/>
      <c r="AI81" s="97" t="n"/>
      <c r="AJ81" s="96" t="inlineStr">
        <is>
          <t>TO ORDER</t>
        </is>
      </c>
      <c r="AK81" s="130" t="n"/>
    </row>
    <row r="82" ht="12" customHeight="1">
      <c r="A82" s="108" t="inlineStr">
        <is>
          <t>SKHU6447880</t>
        </is>
      </c>
      <c r="B82" s="108" t="inlineStr">
        <is>
          <t>LCH06</t>
        </is>
      </c>
      <c r="C82" s="108" t="inlineStr">
        <is>
          <t>IFV</t>
        </is>
      </c>
      <c r="D82" s="172" t="inlineStr">
        <is>
          <t>2026-09-27</t>
        </is>
      </c>
      <c r="E82" s="173" t="inlineStr">
        <is>
          <t>2321</t>
        </is>
      </c>
      <c r="F82" s="96" t="inlineStr">
        <is>
          <t>HASLS22260801240</t>
        </is>
      </c>
      <c r="G82" s="96" t="inlineStr">
        <is>
          <t>WHA GC LOGISTICS COMPANY LIMITED</t>
        </is>
      </c>
      <c r="H82" s="111" t="inlineStr">
        <is>
          <t>45GP</t>
        </is>
      </c>
      <c r="I82" s="96" t="inlineStr">
        <is>
          <t>FTP</t>
        </is>
      </c>
      <c r="J82" s="96" t="inlineStr">
        <is>
          <t>EDI2</t>
        </is>
      </c>
      <c r="K82" s="96" t="n"/>
      <c r="L82" s="111" t="inlineStr">
        <is>
          <t>Full</t>
        </is>
      </c>
      <c r="M82" s="96" t="inlineStr">
        <is>
          <t>HASLS22260801240</t>
        </is>
      </c>
      <c r="N82" s="96" t="inlineStr">
        <is>
          <t xml:space="preserve">40Hx9 </t>
        </is>
      </c>
      <c r="O82" s="111" t="inlineStr">
        <is>
          <t>2024</t>
        </is>
      </c>
      <c r="P82" s="111" t="n"/>
      <c r="Q82" s="111" t="n"/>
      <c r="R82" s="96" t="inlineStr">
        <is>
          <t>SWVG</t>
        </is>
      </c>
      <c r="S82" s="96" t="inlineStr">
        <is>
          <t>2612N</t>
        </is>
      </c>
      <c r="T82" s="96" t="inlineStr">
        <is>
          <t>LCH06</t>
        </is>
      </c>
      <c r="U82" s="96" t="inlineStr">
        <is>
          <t>THLCH</t>
        </is>
      </c>
      <c r="V82" s="161" t="inlineStr">
        <is>
          <t>2026-10-07</t>
        </is>
      </c>
      <c r="W82" s="96" t="inlineStr">
        <is>
          <t>CNSHA</t>
        </is>
      </c>
      <c r="X82" s="161" t="inlineStr">
        <is>
          <t>2026-10-13</t>
        </is>
      </c>
      <c r="Y82" s="97" t="n"/>
      <c r="Z82" s="97" t="n"/>
      <c r="AA82" s="97" t="n"/>
      <c r="AB82" s="97" t="n"/>
      <c r="AC82" s="97" t="n"/>
      <c r="AD82" s="161" t="inlineStr">
        <is>
          <t>2026-09-28</t>
        </is>
      </c>
      <c r="AE82" s="174" t="inlineStr">
        <is>
          <t>0151</t>
        </is>
      </c>
      <c r="AF82" s="96" t="inlineStr">
        <is>
          <t>EDI2</t>
        </is>
      </c>
      <c r="AG82" s="97" t="n"/>
      <c r="AH82" s="97" t="n"/>
      <c r="AI82" s="97" t="n"/>
      <c r="AJ82" s="96" t="inlineStr">
        <is>
          <t>GC MARKETING SOLUTIONS (SHANGHAI)</t>
        </is>
      </c>
      <c r="AK82" s="130" t="n"/>
    </row>
    <row r="83" ht="12" customHeight="1">
      <c r="A83" s="108" t="inlineStr">
        <is>
          <t>SKHU6448927</t>
        </is>
      </c>
      <c r="B83" s="108" t="inlineStr">
        <is>
          <t>LCH06</t>
        </is>
      </c>
      <c r="C83" s="108" t="inlineStr">
        <is>
          <t>IFV</t>
        </is>
      </c>
      <c r="D83" s="172" t="inlineStr">
        <is>
          <t>2026-09-28</t>
        </is>
      </c>
      <c r="E83" s="173" t="inlineStr">
        <is>
          <t>2300</t>
        </is>
      </c>
      <c r="F83" s="96" t="inlineStr">
        <is>
          <t>HASLS22260901309</t>
        </is>
      </c>
      <c r="G83" s="96" t="inlineStr">
        <is>
          <t>WHA GC LOGISTICS COMPANY LIMITED</t>
        </is>
      </c>
      <c r="H83" s="111" t="inlineStr">
        <is>
          <t>45GP</t>
        </is>
      </c>
      <c r="I83" s="96" t="inlineStr">
        <is>
          <t>FTP</t>
        </is>
      </c>
      <c r="J83" s="96" t="inlineStr">
        <is>
          <t>EDI2</t>
        </is>
      </c>
      <c r="K83" s="96" t="n"/>
      <c r="L83" s="111" t="inlineStr">
        <is>
          <t>Full</t>
        </is>
      </c>
      <c r="M83" s="96" t="inlineStr">
        <is>
          <t>HASLS22260901309</t>
        </is>
      </c>
      <c r="N83" s="96" t="inlineStr">
        <is>
          <t xml:space="preserve">40Hx6 </t>
        </is>
      </c>
      <c r="O83" s="111" t="inlineStr">
        <is>
          <t>2024</t>
        </is>
      </c>
      <c r="P83" s="111" t="n"/>
      <c r="Q83" s="111" t="n"/>
      <c r="R83" s="96" t="inlineStr">
        <is>
          <t>SWVG</t>
        </is>
      </c>
      <c r="S83" s="96" t="inlineStr">
        <is>
          <t>2612N</t>
        </is>
      </c>
      <c r="T83" s="96" t="inlineStr">
        <is>
          <t>LCH06</t>
        </is>
      </c>
      <c r="U83" s="96" t="inlineStr">
        <is>
          <t>THLCH</t>
        </is>
      </c>
      <c r="V83" s="161" t="inlineStr">
        <is>
          <t>2026-10-07</t>
        </is>
      </c>
      <c r="W83" s="96" t="inlineStr">
        <is>
          <t>CNSHA</t>
        </is>
      </c>
      <c r="X83" s="161" t="inlineStr">
        <is>
          <t>2026-10-13</t>
        </is>
      </c>
      <c r="Y83" s="97" t="n"/>
      <c r="Z83" s="97" t="n"/>
      <c r="AA83" s="97" t="n"/>
      <c r="AB83" s="97" t="n"/>
      <c r="AC83" s="97" t="n"/>
      <c r="AD83" s="161" t="inlineStr">
        <is>
          <t>2026-09-29</t>
        </is>
      </c>
      <c r="AE83" s="174" t="inlineStr">
        <is>
          <t>0138</t>
        </is>
      </c>
      <c r="AF83" s="96" t="inlineStr">
        <is>
          <t>EDI2</t>
        </is>
      </c>
      <c r="AG83" s="97" t="n"/>
      <c r="AH83" s="97" t="n"/>
      <c r="AI83" s="97" t="n"/>
      <c r="AJ83" s="96" t="inlineStr">
        <is>
          <t>GC MARKETING SOLUTIONS (SHANGHAI)</t>
        </is>
      </c>
      <c r="AK83" s="130" t="n"/>
    </row>
    <row r="84" ht="12" customHeight="1">
      <c r="A84" s="108" t="inlineStr">
        <is>
          <t>SKHU6514546</t>
        </is>
      </c>
      <c r="B84" s="108" t="inlineStr">
        <is>
          <t>LCH06</t>
        </is>
      </c>
      <c r="C84" s="108" t="inlineStr">
        <is>
          <t>IFV</t>
        </is>
      </c>
      <c r="D84" s="172" t="inlineStr">
        <is>
          <t>2026-10-03</t>
        </is>
      </c>
      <c r="E84" s="173" t="inlineStr">
        <is>
          <t>0546</t>
        </is>
      </c>
      <c r="F84" s="96" t="inlineStr">
        <is>
          <t>HASLS22260902495</t>
        </is>
      </c>
      <c r="G84" s="96" t="inlineStr">
        <is>
          <t>SCGJWD LOGISTICS PUBLIC COMPANY LIMITED</t>
        </is>
      </c>
      <c r="H84" s="111" t="inlineStr">
        <is>
          <t>45GP</t>
        </is>
      </c>
      <c r="I84" s="96" t="inlineStr">
        <is>
          <t>FTP</t>
        </is>
      </c>
      <c r="J84" s="96" t="inlineStr">
        <is>
          <t>EDI2</t>
        </is>
      </c>
      <c r="K84" s="96" t="n"/>
      <c r="L84" s="111" t="inlineStr">
        <is>
          <t>Full</t>
        </is>
      </c>
      <c r="M84" s="96" t="inlineStr">
        <is>
          <t>HASLS22260902495</t>
        </is>
      </c>
      <c r="N84" s="96" t="inlineStr">
        <is>
          <t xml:space="preserve">40Hx4 </t>
        </is>
      </c>
      <c r="O84" s="111" t="inlineStr">
        <is>
          <t>2025</t>
        </is>
      </c>
      <c r="P84" s="111" t="n"/>
      <c r="Q84" s="111" t="n"/>
      <c r="R84" s="96" t="inlineStr">
        <is>
          <t>SWVG</t>
        </is>
      </c>
      <c r="S84" s="96" t="inlineStr">
        <is>
          <t>2612N</t>
        </is>
      </c>
      <c r="T84" s="96" t="inlineStr">
        <is>
          <t>LCH06</t>
        </is>
      </c>
      <c r="U84" s="96" t="inlineStr">
        <is>
          <t>THLCH</t>
        </is>
      </c>
      <c r="V84" s="161" t="inlineStr">
        <is>
          <t>2026-10-07</t>
        </is>
      </c>
      <c r="W84" s="96" t="inlineStr">
        <is>
          <t>CNSHA</t>
        </is>
      </c>
      <c r="X84" s="161" t="inlineStr">
        <is>
          <t>2026-10-13</t>
        </is>
      </c>
      <c r="Y84" s="97" t="n"/>
      <c r="Z84" s="97" t="n"/>
      <c r="AA84" s="97" t="n"/>
      <c r="AB84" s="97" t="n"/>
      <c r="AC84" s="97" t="n"/>
      <c r="AD84" s="161" t="inlineStr">
        <is>
          <t>2026-10-03</t>
        </is>
      </c>
      <c r="AE84" s="174" t="inlineStr">
        <is>
          <t>0849</t>
        </is>
      </c>
      <c r="AF84" s="96" t="inlineStr">
        <is>
          <t>EDI2</t>
        </is>
      </c>
      <c r="AG84" s="97" t="n"/>
      <c r="AH84" s="97" t="n"/>
      <c r="AI84" s="97" t="n"/>
      <c r="AJ84" s="96" t="inlineStr">
        <is>
          <t>SHANGHAI ZHONGXUAN BUSINESS CO.,LTD</t>
        </is>
      </c>
      <c r="AK84" s="130" t="n"/>
    </row>
    <row r="85" ht="12" customHeight="1">
      <c r="A85" s="108" t="inlineStr">
        <is>
          <t>SKHU6519039</t>
        </is>
      </c>
      <c r="B85" s="108" t="inlineStr">
        <is>
          <t>LCH06</t>
        </is>
      </c>
      <c r="C85" s="108" t="inlineStr">
        <is>
          <t>IFV</t>
        </is>
      </c>
      <c r="D85" s="172" t="inlineStr">
        <is>
          <t>2026-09-25</t>
        </is>
      </c>
      <c r="E85" s="173" t="inlineStr">
        <is>
          <t>1037</t>
        </is>
      </c>
      <c r="F85" s="96" t="inlineStr">
        <is>
          <t>HASLS22260802388</t>
        </is>
      </c>
      <c r="G85" s="96" t="inlineStr">
        <is>
          <t>SCGJWD LOGISTICS PUBLIC COMPANY LIMITED</t>
        </is>
      </c>
      <c r="H85" s="111" t="inlineStr">
        <is>
          <t>45GP</t>
        </is>
      </c>
      <c r="I85" s="96" t="inlineStr">
        <is>
          <t>FTP</t>
        </is>
      </c>
      <c r="J85" s="96" t="inlineStr">
        <is>
          <t>EDI2</t>
        </is>
      </c>
      <c r="K85" s="96" t="n"/>
      <c r="L85" s="111" t="inlineStr">
        <is>
          <t>Full</t>
        </is>
      </c>
      <c r="M85" s="96" t="inlineStr">
        <is>
          <t>HASLS22260802388</t>
        </is>
      </c>
      <c r="N85" s="96" t="inlineStr">
        <is>
          <t xml:space="preserve">40Hx4 </t>
        </is>
      </c>
      <c r="O85" s="111" t="inlineStr">
        <is>
          <t>2025</t>
        </is>
      </c>
      <c r="P85" s="111" t="n"/>
      <c r="Q85" s="111" t="n"/>
      <c r="R85" s="96" t="inlineStr">
        <is>
          <t>SWVG</t>
        </is>
      </c>
      <c r="S85" s="96" t="inlineStr">
        <is>
          <t>2612N</t>
        </is>
      </c>
      <c r="T85" s="96" t="inlineStr">
        <is>
          <t>LCH06</t>
        </is>
      </c>
      <c r="U85" s="96" t="inlineStr">
        <is>
          <t>THLCH</t>
        </is>
      </c>
      <c r="V85" s="161" t="inlineStr">
        <is>
          <t>2026-10-07</t>
        </is>
      </c>
      <c r="W85" s="96" t="inlineStr">
        <is>
          <t>CNSHA</t>
        </is>
      </c>
      <c r="X85" s="161" t="inlineStr">
        <is>
          <t>2026-10-13</t>
        </is>
      </c>
      <c r="Y85" s="97" t="n"/>
      <c r="Z85" s="97" t="n"/>
      <c r="AA85" s="97" t="n"/>
      <c r="AB85" s="97" t="n"/>
      <c r="AC85" s="97" t="n"/>
      <c r="AD85" s="161" t="inlineStr">
        <is>
          <t>2026-09-25</t>
        </is>
      </c>
      <c r="AE85" s="174" t="inlineStr">
        <is>
          <t>1313</t>
        </is>
      </c>
      <c r="AF85" s="96" t="inlineStr">
        <is>
          <t>EDI2</t>
        </is>
      </c>
      <c r="AG85" s="97" t="n"/>
      <c r="AH85" s="97" t="n"/>
      <c r="AI85" s="97" t="n"/>
      <c r="AJ85" s="96" t="inlineStr">
        <is>
          <t>SHANGHAI ZHONGXUAN BUSINESS CO.,LTD</t>
        </is>
      </c>
      <c r="AK85" s="130" t="n"/>
    </row>
    <row r="86" ht="12" customHeight="1">
      <c r="A86" s="108" t="inlineStr">
        <is>
          <t>SKHU6525432</t>
        </is>
      </c>
      <c r="B86" s="108" t="inlineStr">
        <is>
          <t>LCH06</t>
        </is>
      </c>
      <c r="C86" s="108" t="inlineStr">
        <is>
          <t>IFV</t>
        </is>
      </c>
      <c r="D86" s="172" t="inlineStr">
        <is>
          <t>2026-09-19</t>
        </is>
      </c>
      <c r="E86" s="173" t="inlineStr">
        <is>
          <t>1755</t>
        </is>
      </c>
      <c r="F86" s="96" t="inlineStr">
        <is>
          <t>HASLS22260900441</t>
        </is>
      </c>
      <c r="G86" s="96" t="inlineStr">
        <is>
          <t>BARKLAYS LOGISTICS (THAILAND) CO., LTD.</t>
        </is>
      </c>
      <c r="H86" s="111" t="inlineStr">
        <is>
          <t>45GP</t>
        </is>
      </c>
      <c r="I86" s="96" t="inlineStr">
        <is>
          <t>FTP</t>
        </is>
      </c>
      <c r="J86" s="96" t="inlineStr">
        <is>
          <t>EDI2</t>
        </is>
      </c>
      <c r="K86" s="96" t="n"/>
      <c r="L86" s="111" t="inlineStr">
        <is>
          <t>Full</t>
        </is>
      </c>
      <c r="M86" s="96" t="inlineStr">
        <is>
          <t>HASLS22260900441</t>
        </is>
      </c>
      <c r="N86" s="96" t="inlineStr">
        <is>
          <t xml:space="preserve">40Hx15 </t>
        </is>
      </c>
      <c r="O86" s="111" t="inlineStr">
        <is>
          <t>2025</t>
        </is>
      </c>
      <c r="P86" s="111" t="n"/>
      <c r="Q86" s="111" t="n"/>
      <c r="R86" s="96" t="inlineStr">
        <is>
          <t>HAB</t>
        </is>
      </c>
      <c r="S86" s="96" t="inlineStr">
        <is>
          <t>2611N</t>
        </is>
      </c>
      <c r="T86" s="96" t="inlineStr">
        <is>
          <t>LCH06</t>
        </is>
      </c>
      <c r="U86" s="96" t="inlineStr">
        <is>
          <t>THLCH</t>
        </is>
      </c>
      <c r="V86" s="161" t="inlineStr">
        <is>
          <t>2026-10-07</t>
        </is>
      </c>
      <c r="W86" s="96" t="inlineStr">
        <is>
          <t>CNSHA</t>
        </is>
      </c>
      <c r="X86" s="161" t="inlineStr">
        <is>
          <t>2026-10-13</t>
        </is>
      </c>
      <c r="Y86" s="97" t="n"/>
      <c r="Z86" s="97" t="n"/>
      <c r="AA86" s="97" t="n"/>
      <c r="AB86" s="97" t="n"/>
      <c r="AC86" s="97" t="n"/>
      <c r="AD86" s="161" t="inlineStr">
        <is>
          <t>2026-09-19</t>
        </is>
      </c>
      <c r="AE86" s="174" t="inlineStr">
        <is>
          <t>2051</t>
        </is>
      </c>
      <c r="AF86" s="96" t="inlineStr">
        <is>
          <t>EDI2</t>
        </is>
      </c>
      <c r="AG86" s="97" t="n"/>
      <c r="AH86" s="97" t="n"/>
      <c r="AI86" s="97" t="n"/>
      <c r="AJ86" s="96" t="inlineStr">
        <is>
          <t>BARKLAYS LOGISTICS (SHANGHAI)</t>
        </is>
      </c>
      <c r="AK86" s="130" t="n"/>
    </row>
    <row r="87" ht="12" customHeight="1">
      <c r="A87" s="108" t="inlineStr">
        <is>
          <t>SKHU6548654</t>
        </is>
      </c>
      <c r="B87" s="108" t="inlineStr">
        <is>
          <t>LCH06</t>
        </is>
      </c>
      <c r="C87" s="108" t="inlineStr">
        <is>
          <t>IFV</t>
        </is>
      </c>
      <c r="D87" s="172" t="inlineStr">
        <is>
          <t>2026-09-28</t>
        </is>
      </c>
      <c r="E87" s="173" t="inlineStr">
        <is>
          <t>2207</t>
        </is>
      </c>
      <c r="F87" s="96" t="inlineStr">
        <is>
          <t>HASLS22260802507</t>
        </is>
      </c>
      <c r="G87" s="96" t="inlineStr">
        <is>
          <t>WHA GC LOGISTICS COMPANY LIMITED</t>
        </is>
      </c>
      <c r="H87" s="111" t="inlineStr">
        <is>
          <t>45GP</t>
        </is>
      </c>
      <c r="I87" s="96" t="inlineStr">
        <is>
          <t>FTP</t>
        </is>
      </c>
      <c r="J87" s="96" t="inlineStr">
        <is>
          <t>EDI2</t>
        </is>
      </c>
      <c r="K87" s="96" t="n"/>
      <c r="L87" s="111" t="inlineStr">
        <is>
          <t>Full</t>
        </is>
      </c>
      <c r="M87" s="96" t="inlineStr">
        <is>
          <t>HASLS22260802507</t>
        </is>
      </c>
      <c r="N87" s="96" t="inlineStr">
        <is>
          <t xml:space="preserve">40Hx10 </t>
        </is>
      </c>
      <c r="O87" s="111" t="inlineStr">
        <is>
          <t>2025</t>
        </is>
      </c>
      <c r="P87" s="111" t="n"/>
      <c r="Q87" s="111" t="n"/>
      <c r="R87" s="96" t="inlineStr">
        <is>
          <t>SWVG</t>
        </is>
      </c>
      <c r="S87" s="96" t="inlineStr">
        <is>
          <t>2612N</t>
        </is>
      </c>
      <c r="T87" s="96" t="inlineStr">
        <is>
          <t>LCH06</t>
        </is>
      </c>
      <c r="U87" s="96" t="inlineStr">
        <is>
          <t>THLCH</t>
        </is>
      </c>
      <c r="V87" s="161" t="inlineStr">
        <is>
          <t>2026-10-07</t>
        </is>
      </c>
      <c r="W87" s="96" t="inlineStr">
        <is>
          <t>CNSHA</t>
        </is>
      </c>
      <c r="X87" s="161" t="inlineStr">
        <is>
          <t>2026-10-13</t>
        </is>
      </c>
      <c r="Y87" s="97" t="n"/>
      <c r="Z87" s="97" t="n"/>
      <c r="AA87" s="97" t="n"/>
      <c r="AB87" s="97" t="n"/>
      <c r="AC87" s="97" t="n"/>
      <c r="AD87" s="161" t="inlineStr">
        <is>
          <t>2026-09-29</t>
        </is>
      </c>
      <c r="AE87" s="174" t="inlineStr">
        <is>
          <t>0039</t>
        </is>
      </c>
      <c r="AF87" s="96" t="inlineStr">
        <is>
          <t>EDI2</t>
        </is>
      </c>
      <c r="AG87" s="97" t="n"/>
      <c r="AH87" s="97" t="n"/>
      <c r="AI87" s="97" t="n"/>
      <c r="AJ87" s="96" t="inlineStr">
        <is>
          <t>GC MARKETING SOLUTIONS (SHANGHAI)</t>
        </is>
      </c>
      <c r="AK87" s="130" t="n"/>
    </row>
    <row r="88" ht="12" customHeight="1">
      <c r="A88" s="108" t="inlineStr">
        <is>
          <t>SKHU6559010</t>
        </is>
      </c>
      <c r="B88" s="108" t="inlineStr">
        <is>
          <t>LCH06</t>
        </is>
      </c>
      <c r="C88" s="108" t="inlineStr">
        <is>
          <t>IFV</t>
        </is>
      </c>
      <c r="D88" s="172" t="inlineStr">
        <is>
          <t>2026-09-20</t>
        </is>
      </c>
      <c r="E88" s="173" t="inlineStr">
        <is>
          <t>0630</t>
        </is>
      </c>
      <c r="F88" s="96" t="inlineStr">
        <is>
          <t>HASLS22260901668</t>
        </is>
      </c>
      <c r="G88" s="96" t="inlineStr">
        <is>
          <t>BARKLAYS LOGISTICS (THAILAND) CO., LTD.</t>
        </is>
      </c>
      <c r="H88" s="111" t="inlineStr">
        <is>
          <t>45GP</t>
        </is>
      </c>
      <c r="I88" s="96" t="inlineStr">
        <is>
          <t>FTP</t>
        </is>
      </c>
      <c r="J88" s="96" t="inlineStr">
        <is>
          <t>EDI2</t>
        </is>
      </c>
      <c r="K88" s="96" t="n"/>
      <c r="L88" s="111" t="inlineStr">
        <is>
          <t>Full</t>
        </is>
      </c>
      <c r="M88" s="96" t="inlineStr">
        <is>
          <t>HASLS22260901668</t>
        </is>
      </c>
      <c r="N88" s="96" t="inlineStr">
        <is>
          <t xml:space="preserve">40Hx15 </t>
        </is>
      </c>
      <c r="O88" s="111" t="inlineStr">
        <is>
          <t>2025</t>
        </is>
      </c>
      <c r="P88" s="111" t="n"/>
      <c r="Q88" s="111" t="n"/>
      <c r="R88" s="96" t="inlineStr">
        <is>
          <t>HAB</t>
        </is>
      </c>
      <c r="S88" s="96" t="inlineStr">
        <is>
          <t>2611N</t>
        </is>
      </c>
      <c r="T88" s="96" t="inlineStr">
        <is>
          <t>LCH06</t>
        </is>
      </c>
      <c r="U88" s="96" t="inlineStr">
        <is>
          <t>THLCH</t>
        </is>
      </c>
      <c r="V88" s="161" t="inlineStr">
        <is>
          <t>2026-10-07</t>
        </is>
      </c>
      <c r="W88" s="96" t="inlineStr">
        <is>
          <t>CNSHA</t>
        </is>
      </c>
      <c r="X88" s="161" t="inlineStr">
        <is>
          <t>2026-10-13</t>
        </is>
      </c>
      <c r="Y88" s="97" t="n"/>
      <c r="Z88" s="97" t="n"/>
      <c r="AA88" s="97" t="n"/>
      <c r="AB88" s="97" t="n"/>
      <c r="AC88" s="97" t="n"/>
      <c r="AD88" s="161" t="inlineStr">
        <is>
          <t>2026-09-20</t>
        </is>
      </c>
      <c r="AE88" s="174" t="inlineStr">
        <is>
          <t>0923</t>
        </is>
      </c>
      <c r="AF88" s="96" t="inlineStr">
        <is>
          <t>EDI2</t>
        </is>
      </c>
      <c r="AG88" s="97" t="n"/>
      <c r="AH88" s="97" t="n"/>
      <c r="AI88" s="97" t="n"/>
      <c r="AJ88" s="96" t="inlineStr">
        <is>
          <t>BARKLAYS LOGISTICS (SHANGHAI)</t>
        </is>
      </c>
      <c r="AK88" s="130" t="n"/>
    </row>
    <row r="89" ht="12" customHeight="1">
      <c r="A89" s="108" t="inlineStr">
        <is>
          <t>SKHU6565142</t>
        </is>
      </c>
      <c r="B89" s="108" t="inlineStr">
        <is>
          <t>LCH06</t>
        </is>
      </c>
      <c r="C89" s="108" t="inlineStr">
        <is>
          <t>IFV</t>
        </is>
      </c>
      <c r="D89" s="172" t="inlineStr">
        <is>
          <t>2026-09-27</t>
        </is>
      </c>
      <c r="E89" s="173" t="inlineStr">
        <is>
          <t>1609</t>
        </is>
      </c>
      <c r="F89" s="96" t="inlineStr">
        <is>
          <t>HASLS22260801240</t>
        </is>
      </c>
      <c r="G89" s="96" t="inlineStr">
        <is>
          <t>WHA GC LOGISTICS COMPANY LIMITED</t>
        </is>
      </c>
      <c r="H89" s="111" t="inlineStr">
        <is>
          <t>45GP</t>
        </is>
      </c>
      <c r="I89" s="96" t="inlineStr">
        <is>
          <t>FTP</t>
        </is>
      </c>
      <c r="J89" s="96" t="inlineStr">
        <is>
          <t>EDI2</t>
        </is>
      </c>
      <c r="K89" s="96" t="n"/>
      <c r="L89" s="111" t="inlineStr">
        <is>
          <t>Full</t>
        </is>
      </c>
      <c r="M89" s="96" t="inlineStr">
        <is>
          <t>HASLS22260801240</t>
        </is>
      </c>
      <c r="N89" s="96" t="inlineStr">
        <is>
          <t xml:space="preserve">40Hx9 </t>
        </is>
      </c>
      <c r="O89" s="111" t="inlineStr">
        <is>
          <t>2025</t>
        </is>
      </c>
      <c r="P89" s="111" t="n"/>
      <c r="Q89" s="111" t="n"/>
      <c r="R89" s="96" t="inlineStr">
        <is>
          <t>SWVG</t>
        </is>
      </c>
      <c r="S89" s="96" t="inlineStr">
        <is>
          <t>2612N</t>
        </is>
      </c>
      <c r="T89" s="96" t="inlineStr">
        <is>
          <t>LCH06</t>
        </is>
      </c>
      <c r="U89" s="96" t="inlineStr">
        <is>
          <t>THLCH</t>
        </is>
      </c>
      <c r="V89" s="161" t="inlineStr">
        <is>
          <t>2026-10-07</t>
        </is>
      </c>
      <c r="W89" s="96" t="inlineStr">
        <is>
          <t>CNSHA</t>
        </is>
      </c>
      <c r="X89" s="161" t="inlineStr">
        <is>
          <t>2026-10-13</t>
        </is>
      </c>
      <c r="Y89" s="97" t="n"/>
      <c r="Z89" s="97" t="n"/>
      <c r="AA89" s="97" t="n"/>
      <c r="AB89" s="97" t="n"/>
      <c r="AC89" s="97" t="n"/>
      <c r="AD89" s="161" t="inlineStr">
        <is>
          <t>2026-09-27</t>
        </is>
      </c>
      <c r="AE89" s="174" t="inlineStr">
        <is>
          <t>1849</t>
        </is>
      </c>
      <c r="AF89" s="96" t="inlineStr">
        <is>
          <t>EDI2</t>
        </is>
      </c>
      <c r="AG89" s="97" t="n"/>
      <c r="AH89" s="97" t="n"/>
      <c r="AI89" s="97" t="n"/>
      <c r="AJ89" s="96" t="inlineStr">
        <is>
          <t>GC MARKETING SOLUTIONS (SHANGHAI)</t>
        </is>
      </c>
      <c r="AK89" s="130" t="n"/>
    </row>
    <row r="90" ht="12" customHeight="1">
      <c r="A90" s="108" t="inlineStr">
        <is>
          <t>SKHU6591748</t>
        </is>
      </c>
      <c r="B90" s="108" t="inlineStr">
        <is>
          <t>LCH06</t>
        </is>
      </c>
      <c r="C90" s="108" t="inlineStr">
        <is>
          <t>IFV</t>
        </is>
      </c>
      <c r="D90" s="172" t="inlineStr">
        <is>
          <t>2026-09-19</t>
        </is>
      </c>
      <c r="E90" s="173" t="inlineStr">
        <is>
          <t>1908</t>
        </is>
      </c>
      <c r="F90" s="96" t="inlineStr">
        <is>
          <t>HASLS22260900441</t>
        </is>
      </c>
      <c r="G90" s="96" t="inlineStr">
        <is>
          <t>BARKLAYS LOGISTICS (THAILAND) CO., LTD.</t>
        </is>
      </c>
      <c r="H90" s="111" t="inlineStr">
        <is>
          <t>45GP</t>
        </is>
      </c>
      <c r="I90" s="96" t="inlineStr">
        <is>
          <t>FTP</t>
        </is>
      </c>
      <c r="J90" s="96" t="inlineStr">
        <is>
          <t>EDI2</t>
        </is>
      </c>
      <c r="K90" s="96" t="n"/>
      <c r="L90" s="111" t="inlineStr">
        <is>
          <t>Full</t>
        </is>
      </c>
      <c r="M90" s="96" t="inlineStr">
        <is>
          <t>HASLS22260900441</t>
        </is>
      </c>
      <c r="N90" s="96" t="inlineStr">
        <is>
          <t xml:space="preserve">40Hx15 </t>
        </is>
      </c>
      <c r="O90" s="111" t="inlineStr">
        <is>
          <t>2025</t>
        </is>
      </c>
      <c r="P90" s="111" t="n"/>
      <c r="Q90" s="111" t="n"/>
      <c r="R90" s="96" t="inlineStr">
        <is>
          <t>HAB</t>
        </is>
      </c>
      <c r="S90" s="96" t="inlineStr">
        <is>
          <t>2611N</t>
        </is>
      </c>
      <c r="T90" s="96" t="inlineStr">
        <is>
          <t>LCH06</t>
        </is>
      </c>
      <c r="U90" s="96" t="inlineStr">
        <is>
          <t>THLCH</t>
        </is>
      </c>
      <c r="V90" s="161" t="inlineStr">
        <is>
          <t>2026-10-07</t>
        </is>
      </c>
      <c r="W90" s="96" t="inlineStr">
        <is>
          <t>CNSHA</t>
        </is>
      </c>
      <c r="X90" s="161" t="inlineStr">
        <is>
          <t>2026-10-13</t>
        </is>
      </c>
      <c r="Y90" s="97" t="n"/>
      <c r="Z90" s="97" t="n"/>
      <c r="AA90" s="97" t="n"/>
      <c r="AB90" s="97" t="n"/>
      <c r="AC90" s="97" t="n"/>
      <c r="AD90" s="161" t="inlineStr">
        <is>
          <t>2026-09-19</t>
        </is>
      </c>
      <c r="AE90" s="174" t="inlineStr">
        <is>
          <t>2151</t>
        </is>
      </c>
      <c r="AF90" s="96" t="inlineStr">
        <is>
          <t>EDI2</t>
        </is>
      </c>
      <c r="AG90" s="97" t="n"/>
      <c r="AH90" s="97" t="n"/>
      <c r="AI90" s="97" t="n"/>
      <c r="AJ90" s="96" t="inlineStr">
        <is>
          <t>BARKLAYS LOGISTICS (SHANGHAI)</t>
        </is>
      </c>
      <c r="AK90" s="130" t="n"/>
    </row>
    <row r="91" ht="12" customHeight="1">
      <c r="A91" s="108" t="inlineStr">
        <is>
          <t>SKHU6596251</t>
        </is>
      </c>
      <c r="B91" s="108" t="inlineStr">
        <is>
          <t>LCH06</t>
        </is>
      </c>
      <c r="C91" s="108" t="inlineStr">
        <is>
          <t>IFV</t>
        </is>
      </c>
      <c r="D91" s="172" t="inlineStr">
        <is>
          <t>2026-09-19</t>
        </is>
      </c>
      <c r="E91" s="173" t="inlineStr">
        <is>
          <t>2151</t>
        </is>
      </c>
      <c r="F91" s="96" t="inlineStr">
        <is>
          <t>HASLS22260901668</t>
        </is>
      </c>
      <c r="G91" s="96" t="inlineStr">
        <is>
          <t>BARKLAYS LOGISTICS (THAILAND) CO., LTD.</t>
        </is>
      </c>
      <c r="H91" s="111" t="inlineStr">
        <is>
          <t>45GP</t>
        </is>
      </c>
      <c r="I91" s="96" t="inlineStr">
        <is>
          <t>FTP</t>
        </is>
      </c>
      <c r="J91" s="96" t="inlineStr">
        <is>
          <t>EDI2</t>
        </is>
      </c>
      <c r="K91" s="96" t="n"/>
      <c r="L91" s="111" t="inlineStr">
        <is>
          <t>Full</t>
        </is>
      </c>
      <c r="M91" s="96" t="inlineStr">
        <is>
          <t>HASLS22260901668</t>
        </is>
      </c>
      <c r="N91" s="96" t="inlineStr">
        <is>
          <t xml:space="preserve">40Hx15 </t>
        </is>
      </c>
      <c r="O91" s="111" t="inlineStr">
        <is>
          <t>2025</t>
        </is>
      </c>
      <c r="P91" s="111" t="n"/>
      <c r="Q91" s="111" t="n"/>
      <c r="R91" s="96" t="inlineStr">
        <is>
          <t>HAB</t>
        </is>
      </c>
      <c r="S91" s="96" t="inlineStr">
        <is>
          <t>2611N</t>
        </is>
      </c>
      <c r="T91" s="96" t="inlineStr">
        <is>
          <t>LCH06</t>
        </is>
      </c>
      <c r="U91" s="96" t="inlineStr">
        <is>
          <t>THLCH</t>
        </is>
      </c>
      <c r="V91" s="161" t="inlineStr">
        <is>
          <t>2026-10-07</t>
        </is>
      </c>
      <c r="W91" s="96" t="inlineStr">
        <is>
          <t>CNSHA</t>
        </is>
      </c>
      <c r="X91" s="161" t="inlineStr">
        <is>
          <t>2026-10-13</t>
        </is>
      </c>
      <c r="Y91" s="97" t="n"/>
      <c r="Z91" s="97" t="n"/>
      <c r="AA91" s="97" t="n"/>
      <c r="AB91" s="97" t="n"/>
      <c r="AC91" s="97" t="n"/>
      <c r="AD91" s="161" t="inlineStr">
        <is>
          <t>2026-09-20</t>
        </is>
      </c>
      <c r="AE91" s="174" t="inlineStr">
        <is>
          <t>0051</t>
        </is>
      </c>
      <c r="AF91" s="96" t="inlineStr">
        <is>
          <t>EDI2</t>
        </is>
      </c>
      <c r="AG91" s="97" t="n"/>
      <c r="AH91" s="97" t="n"/>
      <c r="AI91" s="97" t="n"/>
      <c r="AJ91" s="96" t="inlineStr">
        <is>
          <t>BARKLAYS LOGISTICS (SHANGHAI)</t>
        </is>
      </c>
      <c r="AK91" s="130" t="n"/>
    </row>
    <row r="92" ht="12" customHeight="1">
      <c r="A92" s="108" t="inlineStr">
        <is>
          <t>SKHU6621673</t>
        </is>
      </c>
      <c r="B92" s="108" t="inlineStr">
        <is>
          <t>LCH06</t>
        </is>
      </c>
      <c r="C92" s="108" t="inlineStr">
        <is>
          <t>IFV</t>
        </is>
      </c>
      <c r="D92" s="172" t="inlineStr">
        <is>
          <t>2026-10-03</t>
        </is>
      </c>
      <c r="E92" s="173" t="inlineStr">
        <is>
          <t>0543</t>
        </is>
      </c>
      <c r="F92" s="96" t="inlineStr">
        <is>
          <t>HASLS22260902495</t>
        </is>
      </c>
      <c r="G92" s="96" t="inlineStr">
        <is>
          <t>SCGJWD LOGISTICS PUBLIC COMPANY LIMITED</t>
        </is>
      </c>
      <c r="H92" s="111" t="inlineStr">
        <is>
          <t>45GP</t>
        </is>
      </c>
      <c r="I92" s="96" t="inlineStr">
        <is>
          <t>FTP</t>
        </is>
      </c>
      <c r="J92" s="96" t="inlineStr">
        <is>
          <t>EDI2</t>
        </is>
      </c>
      <c r="K92" s="96" t="n"/>
      <c r="L92" s="111" t="inlineStr">
        <is>
          <t>Full</t>
        </is>
      </c>
      <c r="M92" s="96" t="inlineStr">
        <is>
          <t>HASLS22260902495</t>
        </is>
      </c>
      <c r="N92" s="96" t="inlineStr">
        <is>
          <t xml:space="preserve">40Hx4 </t>
        </is>
      </c>
      <c r="O92" s="111" t="inlineStr">
        <is>
          <t>2026</t>
        </is>
      </c>
      <c r="P92" s="111" t="n"/>
      <c r="Q92" s="111" t="n"/>
      <c r="R92" s="96" t="inlineStr">
        <is>
          <t>SWVG</t>
        </is>
      </c>
      <c r="S92" s="96" t="inlineStr">
        <is>
          <t>2612N</t>
        </is>
      </c>
      <c r="T92" s="96" t="inlineStr">
        <is>
          <t>LCH06</t>
        </is>
      </c>
      <c r="U92" s="96" t="inlineStr">
        <is>
          <t>THLCH</t>
        </is>
      </c>
      <c r="V92" s="161" t="inlineStr">
        <is>
          <t>2026-10-07</t>
        </is>
      </c>
      <c r="W92" s="96" t="inlineStr">
        <is>
          <t>CNSHA</t>
        </is>
      </c>
      <c r="X92" s="161" t="inlineStr">
        <is>
          <t>2026-10-13</t>
        </is>
      </c>
      <c r="Y92" s="97" t="n"/>
      <c r="Z92" s="97" t="n"/>
      <c r="AA92" s="97" t="n"/>
      <c r="AB92" s="97" t="n"/>
      <c r="AC92" s="97" t="n"/>
      <c r="AD92" s="161" t="inlineStr">
        <is>
          <t>2026-10-03</t>
        </is>
      </c>
      <c r="AE92" s="174" t="inlineStr">
        <is>
          <t>0849</t>
        </is>
      </c>
      <c r="AF92" s="96" t="inlineStr">
        <is>
          <t>EDI2</t>
        </is>
      </c>
      <c r="AG92" s="97" t="n"/>
      <c r="AH92" s="97" t="n"/>
      <c r="AI92" s="97" t="n"/>
      <c r="AJ92" s="96" t="inlineStr">
        <is>
          <t>SHANGHAI ZHONGXUAN BUSINESS CO.,LTD</t>
        </is>
      </c>
      <c r="AK92" s="130" t="n"/>
    </row>
    <row r="93" ht="12" customHeight="1">
      <c r="A93" s="108" t="inlineStr">
        <is>
          <t>SKHU8418496</t>
        </is>
      </c>
      <c r="B93" s="108" t="inlineStr">
        <is>
          <t>LCH06</t>
        </is>
      </c>
      <c r="C93" s="108" t="inlineStr">
        <is>
          <t>IFV</t>
        </is>
      </c>
      <c r="D93" s="172" t="inlineStr">
        <is>
          <t>2026-09-20</t>
        </is>
      </c>
      <c r="E93" s="173" t="inlineStr">
        <is>
          <t>0028</t>
        </is>
      </c>
      <c r="F93" s="96" t="inlineStr">
        <is>
          <t>HASLS22260901668</t>
        </is>
      </c>
      <c r="G93" s="96" t="inlineStr">
        <is>
          <t>BARKLAYS LOGISTICS (THAILAND) CO., LTD.</t>
        </is>
      </c>
      <c r="H93" s="111" t="inlineStr">
        <is>
          <t>45GP</t>
        </is>
      </c>
      <c r="I93" s="96" t="inlineStr">
        <is>
          <t>FTP</t>
        </is>
      </c>
      <c r="J93" s="96" t="inlineStr">
        <is>
          <t>EDI2</t>
        </is>
      </c>
      <c r="K93" s="96" t="n"/>
      <c r="L93" s="111" t="inlineStr">
        <is>
          <t>Full</t>
        </is>
      </c>
      <c r="M93" s="96" t="inlineStr">
        <is>
          <t>HASLS22260901668</t>
        </is>
      </c>
      <c r="N93" s="96" t="inlineStr">
        <is>
          <t xml:space="preserve">40Hx15 </t>
        </is>
      </c>
      <c r="O93" s="111" t="inlineStr">
        <is>
          <t>2024</t>
        </is>
      </c>
      <c r="P93" s="111" t="n"/>
      <c r="Q93" s="111" t="n"/>
      <c r="R93" s="96" t="inlineStr">
        <is>
          <t>HAB</t>
        </is>
      </c>
      <c r="S93" s="96" t="inlineStr">
        <is>
          <t>2611N</t>
        </is>
      </c>
      <c r="T93" s="96" t="inlineStr">
        <is>
          <t>LCH06</t>
        </is>
      </c>
      <c r="U93" s="96" t="inlineStr">
        <is>
          <t>THLCH</t>
        </is>
      </c>
      <c r="V93" s="161" t="inlineStr">
        <is>
          <t>2026-10-07</t>
        </is>
      </c>
      <c r="W93" s="96" t="inlineStr">
        <is>
          <t>CNSHA</t>
        </is>
      </c>
      <c r="X93" s="161" t="inlineStr">
        <is>
          <t>2026-10-13</t>
        </is>
      </c>
      <c r="Y93" s="97" t="n"/>
      <c r="Z93" s="97" t="n"/>
      <c r="AA93" s="97" t="n"/>
      <c r="AB93" s="97" t="n"/>
      <c r="AC93" s="97" t="n"/>
      <c r="AD93" s="161" t="inlineStr">
        <is>
          <t>2026-09-20</t>
        </is>
      </c>
      <c r="AE93" s="174" t="inlineStr">
        <is>
          <t>0323</t>
        </is>
      </c>
      <c r="AF93" s="96" t="inlineStr">
        <is>
          <t>EDI2</t>
        </is>
      </c>
      <c r="AG93" s="97" t="n"/>
      <c r="AH93" s="97" t="n"/>
      <c r="AI93" s="97" t="n"/>
      <c r="AJ93" s="96" t="inlineStr">
        <is>
          <t>BARKLAYS LOGISTICS (SHANGHAI)</t>
        </is>
      </c>
      <c r="AK93" s="130" t="n"/>
    </row>
    <row r="94" ht="12" customHeight="1">
      <c r="A94" s="108" t="inlineStr">
        <is>
          <t>SKHU8426017</t>
        </is>
      </c>
      <c r="B94" s="108" t="inlineStr">
        <is>
          <t>LCH06</t>
        </is>
      </c>
      <c r="C94" s="108" t="inlineStr">
        <is>
          <t>IFV</t>
        </is>
      </c>
      <c r="D94" s="172" t="inlineStr">
        <is>
          <t>2026-09-19</t>
        </is>
      </c>
      <c r="E94" s="173" t="inlineStr">
        <is>
          <t>1517</t>
        </is>
      </c>
      <c r="F94" s="96" t="inlineStr">
        <is>
          <t>HASLS22260900441</t>
        </is>
      </c>
      <c r="G94" s="96" t="inlineStr">
        <is>
          <t>BARKLAYS LOGISTICS (THAILAND) CO., LTD.</t>
        </is>
      </c>
      <c r="H94" s="111" t="inlineStr">
        <is>
          <t>45GP</t>
        </is>
      </c>
      <c r="I94" s="96" t="inlineStr">
        <is>
          <t>FTP</t>
        </is>
      </c>
      <c r="J94" s="96" t="inlineStr">
        <is>
          <t>EDI2</t>
        </is>
      </c>
      <c r="K94" s="96" t="n"/>
      <c r="L94" s="111" t="inlineStr">
        <is>
          <t>Full</t>
        </is>
      </c>
      <c r="M94" s="96" t="inlineStr">
        <is>
          <t>HASLS22260900441</t>
        </is>
      </c>
      <c r="N94" s="96" t="inlineStr">
        <is>
          <t xml:space="preserve">40Hx15 </t>
        </is>
      </c>
      <c r="O94" s="111" t="inlineStr">
        <is>
          <t>2024</t>
        </is>
      </c>
      <c r="P94" s="111" t="n"/>
      <c r="Q94" s="111" t="n"/>
      <c r="R94" s="96" t="inlineStr">
        <is>
          <t>HAB</t>
        </is>
      </c>
      <c r="S94" s="96" t="inlineStr">
        <is>
          <t>2611N</t>
        </is>
      </c>
      <c r="T94" s="96" t="inlineStr">
        <is>
          <t>LCH06</t>
        </is>
      </c>
      <c r="U94" s="96" t="inlineStr">
        <is>
          <t>THLCH</t>
        </is>
      </c>
      <c r="V94" s="161" t="inlineStr">
        <is>
          <t>2026-10-07</t>
        </is>
      </c>
      <c r="W94" s="96" t="inlineStr">
        <is>
          <t>CNSHA</t>
        </is>
      </c>
      <c r="X94" s="161" t="inlineStr">
        <is>
          <t>2026-10-13</t>
        </is>
      </c>
      <c r="Y94" s="97" t="n"/>
      <c r="Z94" s="97" t="n"/>
      <c r="AA94" s="97" t="n"/>
      <c r="AB94" s="97" t="n"/>
      <c r="AC94" s="97" t="n"/>
      <c r="AD94" s="161" t="inlineStr">
        <is>
          <t>2026-09-19</t>
        </is>
      </c>
      <c r="AE94" s="174" t="inlineStr">
        <is>
          <t>1751</t>
        </is>
      </c>
      <c r="AF94" s="96" t="inlineStr">
        <is>
          <t>EDI2</t>
        </is>
      </c>
      <c r="AG94" s="97" t="n"/>
      <c r="AH94" s="97" t="n"/>
      <c r="AI94" s="97" t="n"/>
      <c r="AJ94" s="96" t="inlineStr">
        <is>
          <t>BARKLAYS LOGISTICS (SHANGHAI)</t>
        </is>
      </c>
      <c r="AK94" s="130" t="n"/>
    </row>
    <row r="95" ht="12" customHeight="1">
      <c r="A95" s="108" t="inlineStr">
        <is>
          <t>SKHU8717537</t>
        </is>
      </c>
      <c r="B95" s="108" t="inlineStr">
        <is>
          <t>LCH06</t>
        </is>
      </c>
      <c r="C95" s="108" t="inlineStr">
        <is>
          <t>IFV</t>
        </is>
      </c>
      <c r="D95" s="172" t="inlineStr">
        <is>
          <t>2026-09-30</t>
        </is>
      </c>
      <c r="E95" s="173" t="inlineStr">
        <is>
          <t>1105</t>
        </is>
      </c>
      <c r="F95" s="96" t="inlineStr">
        <is>
          <t>HASLS22260901513</t>
        </is>
      </c>
      <c r="G95" s="96" t="inlineStr">
        <is>
          <t>DOUBLE A (1991) PUBLIC COMPANY LIMITED</t>
        </is>
      </c>
      <c r="H95" s="111" t="inlineStr">
        <is>
          <t>45GP</t>
        </is>
      </c>
      <c r="I95" s="96" t="inlineStr">
        <is>
          <t>FTP</t>
        </is>
      </c>
      <c r="J95" s="96" t="inlineStr">
        <is>
          <t>EDI2</t>
        </is>
      </c>
      <c r="K95" s="96" t="n"/>
      <c r="L95" s="111" t="inlineStr">
        <is>
          <t>Full</t>
        </is>
      </c>
      <c r="M95" s="96" t="inlineStr">
        <is>
          <t>HASLS22260901513</t>
        </is>
      </c>
      <c r="N95" s="96" t="inlineStr">
        <is>
          <t xml:space="preserve">40Hx2 20'x2 </t>
        </is>
      </c>
      <c r="O95" s="111" t="inlineStr">
        <is>
          <t>2007</t>
        </is>
      </c>
      <c r="P95" s="111" t="n"/>
      <c r="Q95" s="111" t="n"/>
      <c r="R95" s="96" t="inlineStr">
        <is>
          <t>SWVG</t>
        </is>
      </c>
      <c r="S95" s="96" t="inlineStr">
        <is>
          <t>2612N</t>
        </is>
      </c>
      <c r="T95" s="96" t="inlineStr">
        <is>
          <t>LCH06</t>
        </is>
      </c>
      <c r="U95" s="96" t="inlineStr">
        <is>
          <t>THLCH</t>
        </is>
      </c>
      <c r="V95" s="161" t="inlineStr">
        <is>
          <t>2026-10-07</t>
        </is>
      </c>
      <c r="W95" s="96" t="inlineStr">
        <is>
          <t>CNSHA</t>
        </is>
      </c>
      <c r="X95" s="161" t="inlineStr">
        <is>
          <t>2026-10-13</t>
        </is>
      </c>
      <c r="Y95" s="97" t="n"/>
      <c r="Z95" s="97" t="n"/>
      <c r="AA95" s="97" t="n"/>
      <c r="AB95" s="97" t="n"/>
      <c r="AC95" s="97" t="n"/>
      <c r="AD95" s="161" t="inlineStr">
        <is>
          <t>2026-09-30</t>
        </is>
      </c>
      <c r="AE95" s="174" t="inlineStr">
        <is>
          <t>1357</t>
        </is>
      </c>
      <c r="AF95" s="96" t="inlineStr">
        <is>
          <t>EDI2</t>
        </is>
      </c>
      <c r="AG95" s="97" t="n"/>
      <c r="AH95" s="97" t="n"/>
      <c r="AI95" s="97" t="n"/>
      <c r="AJ95" s="96" t="inlineStr">
        <is>
          <t>DOUBLE A INTERNATIONAL  TRADING</t>
        </is>
      </c>
      <c r="AK95" s="130" t="n"/>
    </row>
    <row r="96" ht="12" customHeight="1">
      <c r="A96" s="108" t="inlineStr">
        <is>
          <t>SKHU8930516</t>
        </is>
      </c>
      <c r="B96" s="108" t="inlineStr">
        <is>
          <t>LCH06</t>
        </is>
      </c>
      <c r="C96" s="108" t="inlineStr">
        <is>
          <t>IFV</t>
        </is>
      </c>
      <c r="D96" s="172" t="inlineStr">
        <is>
          <t>2026-10-03</t>
        </is>
      </c>
      <c r="E96" s="173" t="inlineStr">
        <is>
          <t>0543</t>
        </is>
      </c>
      <c r="F96" s="96" t="inlineStr">
        <is>
          <t>HASLS22260902522</t>
        </is>
      </c>
      <c r="G96" s="96" t="inlineStr">
        <is>
          <t>AWOT GLOBAL LOGISTICS (THAILAND) CO., LTD.</t>
        </is>
      </c>
      <c r="H96" s="111" t="inlineStr">
        <is>
          <t>45GP</t>
        </is>
      </c>
      <c r="I96" s="96" t="inlineStr">
        <is>
          <t>FTP</t>
        </is>
      </c>
      <c r="J96" s="96" t="inlineStr">
        <is>
          <t>EDI2</t>
        </is>
      </c>
      <c r="K96" s="96" t="n"/>
      <c r="L96" s="111" t="inlineStr">
        <is>
          <t>Full</t>
        </is>
      </c>
      <c r="M96" s="96" t="inlineStr">
        <is>
          <t>HASLS22260902522</t>
        </is>
      </c>
      <c r="N96" s="96" t="inlineStr">
        <is>
          <t xml:space="preserve">40Hx2 </t>
        </is>
      </c>
      <c r="O96" s="111" t="inlineStr">
        <is>
          <t>2019</t>
        </is>
      </c>
      <c r="P96" s="111" t="n"/>
      <c r="Q96" s="111" t="n"/>
      <c r="R96" s="96" t="inlineStr">
        <is>
          <t>SWVG</t>
        </is>
      </c>
      <c r="S96" s="96" t="inlineStr">
        <is>
          <t>2612N</t>
        </is>
      </c>
      <c r="T96" s="96" t="inlineStr">
        <is>
          <t>LCH06</t>
        </is>
      </c>
      <c r="U96" s="96" t="inlineStr">
        <is>
          <t>THLCH</t>
        </is>
      </c>
      <c r="V96" s="161" t="inlineStr">
        <is>
          <t>2026-10-07</t>
        </is>
      </c>
      <c r="W96" s="96" t="inlineStr">
        <is>
          <t>CNSHA</t>
        </is>
      </c>
      <c r="X96" s="161" t="inlineStr">
        <is>
          <t>2026-10-13</t>
        </is>
      </c>
      <c r="Y96" s="97" t="n"/>
      <c r="Z96" s="97" t="n"/>
      <c r="AA96" s="97" t="n"/>
      <c r="AB96" s="97" t="n"/>
      <c r="AC96" s="97" t="n"/>
      <c r="AD96" s="161" t="inlineStr">
        <is>
          <t>2026-10-03</t>
        </is>
      </c>
      <c r="AE96" s="174" t="inlineStr">
        <is>
          <t>0817</t>
        </is>
      </c>
      <c r="AF96" s="96" t="inlineStr">
        <is>
          <t>EDI2</t>
        </is>
      </c>
      <c r="AG96" s="97" t="n"/>
      <c r="AH96" s="97" t="n"/>
      <c r="AI96" s="97" t="n"/>
      <c r="AJ96" s="96" t="inlineStr">
        <is>
          <t>AWOT GLOBAL CORPORATION</t>
        </is>
      </c>
      <c r="AK96" s="130" t="n"/>
    </row>
    <row r="97" ht="12" customHeight="1">
      <c r="A97" s="108" t="inlineStr">
        <is>
          <t>SKHU9207158</t>
        </is>
      </c>
      <c r="B97" s="108" t="inlineStr">
        <is>
          <t>LCH06</t>
        </is>
      </c>
      <c r="C97" s="108" t="inlineStr">
        <is>
          <t>IFV</t>
        </is>
      </c>
      <c r="D97" s="172" t="inlineStr">
        <is>
          <t>2026-09-28</t>
        </is>
      </c>
      <c r="E97" s="173" t="inlineStr">
        <is>
          <t>1107</t>
        </is>
      </c>
      <c r="F97" s="96" t="inlineStr">
        <is>
          <t>HASLS22260901307</t>
        </is>
      </c>
      <c r="G97" s="96" t="inlineStr">
        <is>
          <t>WHA GC LOGISTICS COMPANY LIMITED</t>
        </is>
      </c>
      <c r="H97" s="111" t="inlineStr">
        <is>
          <t>45GP</t>
        </is>
      </c>
      <c r="I97" s="96" t="inlineStr">
        <is>
          <t>FTP</t>
        </is>
      </c>
      <c r="J97" s="96" t="inlineStr">
        <is>
          <t>EDI2</t>
        </is>
      </c>
      <c r="K97" s="96" t="n"/>
      <c r="L97" s="111" t="inlineStr">
        <is>
          <t>Full</t>
        </is>
      </c>
      <c r="M97" s="96" t="inlineStr">
        <is>
          <t>HASLS22260901307</t>
        </is>
      </c>
      <c r="N97" s="96" t="inlineStr">
        <is>
          <t xml:space="preserve">40Hx1 </t>
        </is>
      </c>
      <c r="O97" s="111" t="inlineStr">
        <is>
          <t>2012</t>
        </is>
      </c>
      <c r="P97" s="111" t="n"/>
      <c r="Q97" s="111" t="n"/>
      <c r="R97" s="96" t="inlineStr">
        <is>
          <t>SWVG</t>
        </is>
      </c>
      <c r="S97" s="96" t="inlineStr">
        <is>
          <t>2612N</t>
        </is>
      </c>
      <c r="T97" s="96" t="inlineStr">
        <is>
          <t>LCH06</t>
        </is>
      </c>
      <c r="U97" s="96" t="inlineStr">
        <is>
          <t>THLCH</t>
        </is>
      </c>
      <c r="V97" s="161" t="inlineStr">
        <is>
          <t>2026-10-07</t>
        </is>
      </c>
      <c r="W97" s="96" t="inlineStr">
        <is>
          <t>CNSHA</t>
        </is>
      </c>
      <c r="X97" s="161" t="inlineStr">
        <is>
          <t>2026-10-13</t>
        </is>
      </c>
      <c r="Y97" s="97" t="n"/>
      <c r="Z97" s="97" t="n"/>
      <c r="AA97" s="97" t="n"/>
      <c r="AB97" s="97" t="n"/>
      <c r="AC97" s="97" t="n"/>
      <c r="AD97" s="161" t="inlineStr">
        <is>
          <t>2026-09-28</t>
        </is>
      </c>
      <c r="AE97" s="174" t="inlineStr">
        <is>
          <t>1408</t>
        </is>
      </c>
      <c r="AF97" s="96" t="inlineStr">
        <is>
          <t>EDI2</t>
        </is>
      </c>
      <c r="AG97" s="97" t="n"/>
      <c r="AH97" s="97" t="n"/>
      <c r="AI97" s="97" t="n"/>
      <c r="AJ97" s="96" t="inlineStr">
        <is>
          <t>MITSUI CHEMICALS FUNCTIONAL</t>
        </is>
      </c>
      <c r="AK97" s="130" t="n"/>
    </row>
    <row r="98" ht="12" customHeight="1">
      <c r="A98" s="108" t="inlineStr">
        <is>
          <t>SKHU9516624</t>
        </is>
      </c>
      <c r="B98" s="108" t="inlineStr">
        <is>
          <t>LCH06</t>
        </is>
      </c>
      <c r="C98" s="108" t="inlineStr">
        <is>
          <t>IFV</t>
        </is>
      </c>
      <c r="D98" s="172" t="inlineStr">
        <is>
          <t>2026-10-03</t>
        </is>
      </c>
      <c r="E98" s="173" t="inlineStr">
        <is>
          <t>1212</t>
        </is>
      </c>
      <c r="F98" s="96" t="inlineStr">
        <is>
          <t>HASLS22260901915</t>
        </is>
      </c>
      <c r="G98" s="96" t="inlineStr">
        <is>
          <t>MITSUBISHI LOGISTICS (THAILAND) CO., LTD.</t>
        </is>
      </c>
      <c r="H98" s="111" t="inlineStr">
        <is>
          <t>45GP</t>
        </is>
      </c>
      <c r="I98" s="96" t="inlineStr">
        <is>
          <t>FTP</t>
        </is>
      </c>
      <c r="J98" s="96" t="inlineStr">
        <is>
          <t>EDI2</t>
        </is>
      </c>
      <c r="K98" s="96" t="n"/>
      <c r="L98" s="111" t="inlineStr">
        <is>
          <t>Full</t>
        </is>
      </c>
      <c r="M98" s="96" t="inlineStr">
        <is>
          <t>HASLS22260901915</t>
        </is>
      </c>
      <c r="N98" s="96" t="inlineStr">
        <is>
          <t xml:space="preserve">40Hx1 </t>
        </is>
      </c>
      <c r="O98" s="111" t="inlineStr">
        <is>
          <t>2015</t>
        </is>
      </c>
      <c r="P98" s="111" t="n"/>
      <c r="Q98" s="111" t="n"/>
      <c r="R98" s="96" t="inlineStr">
        <is>
          <t>SWVG</t>
        </is>
      </c>
      <c r="S98" s="96" t="inlineStr">
        <is>
          <t>2612N</t>
        </is>
      </c>
      <c r="T98" s="96" t="inlineStr">
        <is>
          <t>LCH06</t>
        </is>
      </c>
      <c r="U98" s="96" t="inlineStr">
        <is>
          <t>THLCH</t>
        </is>
      </c>
      <c r="V98" s="161" t="inlineStr">
        <is>
          <t>2026-10-07</t>
        </is>
      </c>
      <c r="W98" s="96" t="inlineStr">
        <is>
          <t>CNSHA</t>
        </is>
      </c>
      <c r="X98" s="161" t="inlineStr">
        <is>
          <t>2026-10-13</t>
        </is>
      </c>
      <c r="Y98" s="97" t="n"/>
      <c r="Z98" s="97" t="n"/>
      <c r="AA98" s="97" t="n"/>
      <c r="AB98" s="97" t="n"/>
      <c r="AC98" s="97" t="n"/>
      <c r="AD98" s="161" t="inlineStr">
        <is>
          <t>2026-10-03</t>
        </is>
      </c>
      <c r="AE98" s="174" t="inlineStr">
        <is>
          <t>1618</t>
        </is>
      </c>
      <c r="AF98" s="96" t="inlineStr">
        <is>
          <t>EDI2</t>
        </is>
      </c>
      <c r="AG98" s="97" t="n"/>
      <c r="AH98" s="97" t="n"/>
      <c r="AI98" s="97" t="n"/>
      <c r="AJ98" s="96" t="inlineStr">
        <is>
          <t>SHANGHAI LINGYUN GLOBAL FORWARDING</t>
        </is>
      </c>
      <c r="AK98" s="130" t="n"/>
    </row>
    <row r="99" ht="12" customHeight="1">
      <c r="A99" s="108" t="inlineStr">
        <is>
          <t>SKHU9627870</t>
        </is>
      </c>
      <c r="B99" s="108" t="inlineStr">
        <is>
          <t>LCH06</t>
        </is>
      </c>
      <c r="C99" s="108" t="inlineStr">
        <is>
          <t>IFV</t>
        </is>
      </c>
      <c r="D99" s="172" t="inlineStr">
        <is>
          <t>2026-09-28</t>
        </is>
      </c>
      <c r="E99" s="173" t="inlineStr">
        <is>
          <t>2141</t>
        </is>
      </c>
      <c r="F99" s="96" t="inlineStr">
        <is>
          <t>HASLS22260802507</t>
        </is>
      </c>
      <c r="G99" s="96" t="inlineStr">
        <is>
          <t>WHA GC LOGISTICS COMPANY LIMITED</t>
        </is>
      </c>
      <c r="H99" s="111" t="inlineStr">
        <is>
          <t>45GP</t>
        </is>
      </c>
      <c r="I99" s="96" t="inlineStr">
        <is>
          <t>FTP</t>
        </is>
      </c>
      <c r="J99" s="96" t="inlineStr">
        <is>
          <t>EDI2</t>
        </is>
      </c>
      <c r="K99" s="96" t="n"/>
      <c r="L99" s="111" t="inlineStr">
        <is>
          <t>Full</t>
        </is>
      </c>
      <c r="M99" s="96" t="inlineStr">
        <is>
          <t>HASLS22260802507</t>
        </is>
      </c>
      <c r="N99" s="96" t="inlineStr">
        <is>
          <t xml:space="preserve">40Hx10 </t>
        </is>
      </c>
      <c r="O99" s="111" t="inlineStr">
        <is>
          <t>2016</t>
        </is>
      </c>
      <c r="P99" s="111" t="n"/>
      <c r="Q99" s="111" t="n"/>
      <c r="R99" s="96" t="inlineStr">
        <is>
          <t>SWVG</t>
        </is>
      </c>
      <c r="S99" s="96" t="inlineStr">
        <is>
          <t>2612N</t>
        </is>
      </c>
      <c r="T99" s="96" t="inlineStr">
        <is>
          <t>LCH06</t>
        </is>
      </c>
      <c r="U99" s="96" t="inlineStr">
        <is>
          <t>THLCH</t>
        </is>
      </c>
      <c r="V99" s="161" t="inlineStr">
        <is>
          <t>2026-10-07</t>
        </is>
      </c>
      <c r="W99" s="96" t="inlineStr">
        <is>
          <t>CNSHA</t>
        </is>
      </c>
      <c r="X99" s="161" t="inlineStr">
        <is>
          <t>2026-10-13</t>
        </is>
      </c>
      <c r="Y99" s="97" t="n"/>
      <c r="Z99" s="97" t="n"/>
      <c r="AA99" s="97" t="n"/>
      <c r="AB99" s="97" t="n"/>
      <c r="AC99" s="97" t="n"/>
      <c r="AD99" s="161" t="inlineStr">
        <is>
          <t>2026-09-29</t>
        </is>
      </c>
      <c r="AE99" s="174" t="inlineStr">
        <is>
          <t>0039</t>
        </is>
      </c>
      <c r="AF99" s="96" t="inlineStr">
        <is>
          <t>EDI2</t>
        </is>
      </c>
      <c r="AG99" s="97" t="n"/>
      <c r="AH99" s="97" t="n"/>
      <c r="AI99" s="97" t="n"/>
      <c r="AJ99" s="96" t="inlineStr">
        <is>
          <t>GC MARKETING SOLUTIONS (SHANGHAI)</t>
        </is>
      </c>
      <c r="AK99" s="130" t="n"/>
    </row>
    <row r="100" ht="12" customHeight="1">
      <c r="A100" s="108" t="inlineStr">
        <is>
          <t>SKHU9827842</t>
        </is>
      </c>
      <c r="B100" s="108" t="inlineStr">
        <is>
          <t>LCH06</t>
        </is>
      </c>
      <c r="C100" s="108" t="inlineStr">
        <is>
          <t>IFV</t>
        </is>
      </c>
      <c r="D100" s="172" t="inlineStr">
        <is>
          <t>2026-09-28</t>
        </is>
      </c>
      <c r="E100" s="173" t="inlineStr">
        <is>
          <t>2120</t>
        </is>
      </c>
      <c r="F100" s="96" t="inlineStr">
        <is>
          <t>HASLS22260802507</t>
        </is>
      </c>
      <c r="G100" s="96" t="inlineStr">
        <is>
          <t>WHA GC LOGISTICS COMPANY LIMITED</t>
        </is>
      </c>
      <c r="H100" s="111" t="inlineStr">
        <is>
          <t>45GP</t>
        </is>
      </c>
      <c r="I100" s="96" t="inlineStr">
        <is>
          <t>FTP</t>
        </is>
      </c>
      <c r="J100" s="96" t="inlineStr">
        <is>
          <t>EDI2</t>
        </is>
      </c>
      <c r="K100" s="96" t="n"/>
      <c r="L100" s="111" t="inlineStr">
        <is>
          <t>Full</t>
        </is>
      </c>
      <c r="M100" s="96" t="inlineStr">
        <is>
          <t>HASLS22260802507</t>
        </is>
      </c>
      <c r="N100" s="96" t="inlineStr">
        <is>
          <t xml:space="preserve">40Hx10 </t>
        </is>
      </c>
      <c r="O100" s="111" t="inlineStr">
        <is>
          <t>2018</t>
        </is>
      </c>
      <c r="P100" s="111" t="n"/>
      <c r="Q100" s="111" t="n"/>
      <c r="R100" s="96" t="inlineStr">
        <is>
          <t>SWVG</t>
        </is>
      </c>
      <c r="S100" s="96" t="inlineStr">
        <is>
          <t>2612N</t>
        </is>
      </c>
      <c r="T100" s="96" t="inlineStr">
        <is>
          <t>LCH06</t>
        </is>
      </c>
      <c r="U100" s="96" t="inlineStr">
        <is>
          <t>THLCH</t>
        </is>
      </c>
      <c r="V100" s="161" t="inlineStr">
        <is>
          <t>2026-10-07</t>
        </is>
      </c>
      <c r="W100" s="96" t="inlineStr">
        <is>
          <t>CNSHA</t>
        </is>
      </c>
      <c r="X100" s="161" t="inlineStr">
        <is>
          <t>2026-10-13</t>
        </is>
      </c>
      <c r="Y100" s="97" t="n"/>
      <c r="Z100" s="97" t="n"/>
      <c r="AA100" s="97" t="n"/>
      <c r="AB100" s="97" t="n"/>
      <c r="AC100" s="97" t="n"/>
      <c r="AD100" s="161" t="inlineStr">
        <is>
          <t>2026-09-29</t>
        </is>
      </c>
      <c r="AE100" s="174" t="inlineStr">
        <is>
          <t>0008</t>
        </is>
      </c>
      <c r="AF100" s="96" t="inlineStr">
        <is>
          <t>EDI2</t>
        </is>
      </c>
      <c r="AG100" s="97" t="n"/>
      <c r="AH100" s="97" t="n"/>
      <c r="AI100" s="97" t="n"/>
      <c r="AJ100" s="96" t="inlineStr">
        <is>
          <t>GC MARKETING SOLUTIONS (SHANGHAI)</t>
        </is>
      </c>
      <c r="AK100" s="130" t="n"/>
    </row>
    <row r="101" ht="12" customHeight="1">
      <c r="A101" s="108" t="inlineStr">
        <is>
          <t>SKHU9905122</t>
        </is>
      </c>
      <c r="B101" s="108" t="inlineStr">
        <is>
          <t>LCH06</t>
        </is>
      </c>
      <c r="C101" s="108" t="inlineStr">
        <is>
          <t>IFV</t>
        </is>
      </c>
      <c r="D101" s="172" t="inlineStr">
        <is>
          <t>2026-09-28</t>
        </is>
      </c>
      <c r="E101" s="173" t="inlineStr">
        <is>
          <t>2252</t>
        </is>
      </c>
      <c r="F101" s="96" t="inlineStr">
        <is>
          <t>HASLS22260901309</t>
        </is>
      </c>
      <c r="G101" s="96" t="inlineStr">
        <is>
          <t>WHA GC LOGISTICS COMPANY LIMITED</t>
        </is>
      </c>
      <c r="H101" s="111" t="inlineStr">
        <is>
          <t>45GP</t>
        </is>
      </c>
      <c r="I101" s="96" t="inlineStr">
        <is>
          <t>FTP</t>
        </is>
      </c>
      <c r="J101" s="96" t="inlineStr">
        <is>
          <t>EDI2</t>
        </is>
      </c>
      <c r="K101" s="96" t="n"/>
      <c r="L101" s="111" t="inlineStr">
        <is>
          <t>Full</t>
        </is>
      </c>
      <c r="M101" s="96" t="inlineStr">
        <is>
          <t>HASLS22260901309</t>
        </is>
      </c>
      <c r="N101" s="96" t="inlineStr">
        <is>
          <t xml:space="preserve">40Hx6 </t>
        </is>
      </c>
      <c r="O101" s="111" t="inlineStr">
        <is>
          <t>2019</t>
        </is>
      </c>
      <c r="P101" s="111" t="n"/>
      <c r="Q101" s="111" t="n"/>
      <c r="R101" s="96" t="inlineStr">
        <is>
          <t>SWVG</t>
        </is>
      </c>
      <c r="S101" s="96" t="inlineStr">
        <is>
          <t>2612N</t>
        </is>
      </c>
      <c r="T101" s="96" t="inlineStr">
        <is>
          <t>LCH06</t>
        </is>
      </c>
      <c r="U101" s="96" t="inlineStr">
        <is>
          <t>THLCH</t>
        </is>
      </c>
      <c r="V101" s="161" t="inlineStr">
        <is>
          <t>2026-10-07</t>
        </is>
      </c>
      <c r="W101" s="96" t="inlineStr">
        <is>
          <t>CNSHA</t>
        </is>
      </c>
      <c r="X101" s="161" t="inlineStr">
        <is>
          <t>2026-10-13</t>
        </is>
      </c>
      <c r="Y101" s="97" t="n"/>
      <c r="Z101" s="97" t="n"/>
      <c r="AA101" s="97" t="n"/>
      <c r="AB101" s="97" t="n"/>
      <c r="AC101" s="97" t="n"/>
      <c r="AD101" s="161" t="inlineStr">
        <is>
          <t>2026-09-29</t>
        </is>
      </c>
      <c r="AE101" s="174" t="inlineStr">
        <is>
          <t>0138</t>
        </is>
      </c>
      <c r="AF101" s="96" t="inlineStr">
        <is>
          <t>EDI2</t>
        </is>
      </c>
      <c r="AG101" s="97" t="n"/>
      <c r="AH101" s="97" t="n"/>
      <c r="AI101" s="97" t="n"/>
      <c r="AJ101" s="96" t="inlineStr">
        <is>
          <t>GC MARKETING SOLUTIONS (SHANGHAI)</t>
        </is>
      </c>
      <c r="AK101" s="130" t="n"/>
    </row>
    <row r="102" ht="12" customHeight="1">
      <c r="A102" s="108" t="inlineStr">
        <is>
          <t>SKHU9915413</t>
        </is>
      </c>
      <c r="B102" s="108" t="inlineStr">
        <is>
          <t>LCH06</t>
        </is>
      </c>
      <c r="C102" s="108" t="inlineStr">
        <is>
          <t>IFV</t>
        </is>
      </c>
      <c r="D102" s="172" t="inlineStr">
        <is>
          <t>2026-10-03</t>
        </is>
      </c>
      <c r="E102" s="173" t="inlineStr">
        <is>
          <t>1753</t>
        </is>
      </c>
      <c r="F102" s="96" t="inlineStr">
        <is>
          <t>HASLS22260902147</t>
        </is>
      </c>
      <c r="G102" s="96" t="inlineStr">
        <is>
          <t>DOUBLE A (1991) PUBLIC COMPANY LIMITED</t>
        </is>
      </c>
      <c r="H102" s="111" t="inlineStr">
        <is>
          <t>45GP</t>
        </is>
      </c>
      <c r="I102" s="96" t="inlineStr">
        <is>
          <t>FTP</t>
        </is>
      </c>
      <c r="J102" s="96" t="inlineStr">
        <is>
          <t>EDI2</t>
        </is>
      </c>
      <c r="K102" s="96" t="n"/>
      <c r="L102" s="111" t="inlineStr">
        <is>
          <t>Full</t>
        </is>
      </c>
      <c r="M102" s="96" t="inlineStr">
        <is>
          <t>HASLS22260902147</t>
        </is>
      </c>
      <c r="N102" s="96" t="inlineStr">
        <is>
          <t xml:space="preserve">40Hx1 20'x2 </t>
        </is>
      </c>
      <c r="O102" s="111" t="inlineStr">
        <is>
          <t>2019</t>
        </is>
      </c>
      <c r="P102" s="111" t="n"/>
      <c r="Q102" s="111" t="n"/>
      <c r="R102" s="96" t="inlineStr">
        <is>
          <t>SWVG</t>
        </is>
      </c>
      <c r="S102" s="96" t="inlineStr">
        <is>
          <t>2612N</t>
        </is>
      </c>
      <c r="T102" s="96" t="inlineStr">
        <is>
          <t>LCH06</t>
        </is>
      </c>
      <c r="U102" s="96" t="inlineStr">
        <is>
          <t>THLCH</t>
        </is>
      </c>
      <c r="V102" s="161" t="inlineStr">
        <is>
          <t>2026-10-07</t>
        </is>
      </c>
      <c r="W102" s="96" t="inlineStr">
        <is>
          <t>CNSHA</t>
        </is>
      </c>
      <c r="X102" s="161" t="inlineStr">
        <is>
          <t>2026-10-13</t>
        </is>
      </c>
      <c r="Y102" s="97" t="n"/>
      <c r="Z102" s="97" t="n"/>
      <c r="AA102" s="97" t="n"/>
      <c r="AB102" s="97" t="n"/>
      <c r="AC102" s="97" t="n"/>
      <c r="AD102" s="161" t="inlineStr">
        <is>
          <t>2026-10-03</t>
        </is>
      </c>
      <c r="AE102" s="174" t="inlineStr">
        <is>
          <t>2149</t>
        </is>
      </c>
      <c r="AF102" s="96" t="inlineStr">
        <is>
          <t>EDI2</t>
        </is>
      </c>
      <c r="AG102" s="97" t="n"/>
      <c r="AH102" s="97" t="n"/>
      <c r="AI102" s="97" t="n"/>
      <c r="AJ102" s="96" t="inlineStr">
        <is>
          <t>DOUBLE A INTERNATIONAL TRADING</t>
        </is>
      </c>
      <c r="AK102" s="130" t="n"/>
    </row>
    <row r="103" ht="12" customHeight="1">
      <c r="A103" s="108" t="inlineStr">
        <is>
          <t>SKLU0522579</t>
        </is>
      </c>
      <c r="B103" s="108" t="inlineStr">
        <is>
          <t>LCH06</t>
        </is>
      </c>
      <c r="C103" s="108" t="inlineStr">
        <is>
          <t>IFV</t>
        </is>
      </c>
      <c r="D103" s="172" t="inlineStr">
        <is>
          <t>2026-09-28</t>
        </is>
      </c>
      <c r="E103" s="173" t="inlineStr">
        <is>
          <t>0711</t>
        </is>
      </c>
      <c r="F103" s="96" t="inlineStr">
        <is>
          <t>HASLS22260802504</t>
        </is>
      </c>
      <c r="G103" s="96" t="inlineStr">
        <is>
          <t>WHA GC LOGISTICS COMPANY LIMITED</t>
        </is>
      </c>
      <c r="H103" s="111" t="inlineStr">
        <is>
          <t>22GP</t>
        </is>
      </c>
      <c r="I103" s="96" t="inlineStr">
        <is>
          <t>FTP</t>
        </is>
      </c>
      <c r="J103" s="96" t="inlineStr">
        <is>
          <t>EDI2</t>
        </is>
      </c>
      <c r="K103" s="96" t="n"/>
      <c r="L103" s="111" t="inlineStr">
        <is>
          <t>Full</t>
        </is>
      </c>
      <c r="M103" s="96" t="inlineStr">
        <is>
          <t>HASLS22260802504</t>
        </is>
      </c>
      <c r="N103" s="96" t="inlineStr">
        <is>
          <t xml:space="preserve">20'x2 </t>
        </is>
      </c>
      <c r="O103" s="111" t="inlineStr">
        <is>
          <t>2025</t>
        </is>
      </c>
      <c r="P103" s="111" t="n"/>
      <c r="Q103" s="111" t="n"/>
      <c r="R103" s="96" t="inlineStr">
        <is>
          <t>SWVG</t>
        </is>
      </c>
      <c r="S103" s="96" t="inlineStr">
        <is>
          <t>2612N</t>
        </is>
      </c>
      <c r="T103" s="96" t="inlineStr">
        <is>
          <t>LCH06</t>
        </is>
      </c>
      <c r="U103" s="96" t="inlineStr">
        <is>
          <t>THLCH</t>
        </is>
      </c>
      <c r="V103" s="161" t="inlineStr">
        <is>
          <t>2026-10-07</t>
        </is>
      </c>
      <c r="W103" s="96" t="inlineStr">
        <is>
          <t>CNSHA</t>
        </is>
      </c>
      <c r="X103" s="161" t="inlineStr">
        <is>
          <t>2026-10-13</t>
        </is>
      </c>
      <c r="Y103" s="97" t="n"/>
      <c r="Z103" s="97" t="n"/>
      <c r="AA103" s="97" t="n"/>
      <c r="AB103" s="97" t="n"/>
      <c r="AC103" s="97" t="n"/>
      <c r="AD103" s="161" t="inlineStr">
        <is>
          <t>2026-09-28</t>
        </is>
      </c>
      <c r="AE103" s="174" t="inlineStr">
        <is>
          <t>0952</t>
        </is>
      </c>
      <c r="AF103" s="96" t="inlineStr">
        <is>
          <t>EDI2</t>
        </is>
      </c>
      <c r="AG103" s="97" t="n"/>
      <c r="AH103" s="97" t="n"/>
      <c r="AI103" s="97" t="n"/>
      <c r="AJ103" s="96" t="inlineStr">
        <is>
          <t>CSI CLOSURE SYSTEMS (HANGZHOU)</t>
        </is>
      </c>
      <c r="AK103" s="130" t="n"/>
    </row>
    <row r="104" ht="12" customHeight="1">
      <c r="A104" s="108" t="inlineStr">
        <is>
          <t>SKLU0557981</t>
        </is>
      </c>
      <c r="B104" s="108" t="inlineStr">
        <is>
          <t>LCH06</t>
        </is>
      </c>
      <c r="C104" s="108" t="inlineStr">
        <is>
          <t>IFV</t>
        </is>
      </c>
      <c r="D104" s="172" t="inlineStr">
        <is>
          <t>2026-10-02</t>
        </is>
      </c>
      <c r="E104" s="173" t="inlineStr">
        <is>
          <t>1653</t>
        </is>
      </c>
      <c r="F104" s="96" t="inlineStr">
        <is>
          <t>HASLS22260902059</t>
        </is>
      </c>
      <c r="G104" s="96" t="inlineStr">
        <is>
          <t>SCGJWD LOGISTICS PUBLIC COMPANY LIMITED</t>
        </is>
      </c>
      <c r="H104" s="111" t="inlineStr">
        <is>
          <t>22GP</t>
        </is>
      </c>
      <c r="I104" s="96" t="inlineStr">
        <is>
          <t>FTP</t>
        </is>
      </c>
      <c r="J104" s="96" t="inlineStr">
        <is>
          <t>EDI2</t>
        </is>
      </c>
      <c r="K104" s="96" t="n"/>
      <c r="L104" s="111" t="inlineStr">
        <is>
          <t>Full</t>
        </is>
      </c>
      <c r="M104" s="96" t="inlineStr">
        <is>
          <t>HASLS22260902059</t>
        </is>
      </c>
      <c r="N104" s="96" t="inlineStr">
        <is>
          <t xml:space="preserve">20'x2 </t>
        </is>
      </c>
      <c r="O104" s="111" t="inlineStr">
        <is>
          <t>2025</t>
        </is>
      </c>
      <c r="P104" s="111" t="n"/>
      <c r="Q104" s="111" t="n"/>
      <c r="R104" s="96" t="inlineStr">
        <is>
          <t>SWVG</t>
        </is>
      </c>
      <c r="S104" s="96" t="inlineStr">
        <is>
          <t>2612N</t>
        </is>
      </c>
      <c r="T104" s="96" t="inlineStr">
        <is>
          <t>LCH06</t>
        </is>
      </c>
      <c r="U104" s="96" t="inlineStr">
        <is>
          <t>THLCH</t>
        </is>
      </c>
      <c r="V104" s="161" t="inlineStr">
        <is>
          <t>2026-10-07</t>
        </is>
      </c>
      <c r="W104" s="96" t="inlineStr">
        <is>
          <t>JPHHE</t>
        </is>
      </c>
      <c r="X104" s="161" t="inlineStr">
        <is>
          <t>2026-10-15</t>
        </is>
      </c>
      <c r="Y104" s="97" t="n"/>
      <c r="Z104" s="97" t="n"/>
      <c r="AA104" s="97" t="n"/>
      <c r="AB104" s="97" t="n"/>
      <c r="AC104" s="97" t="n"/>
      <c r="AD104" s="161" t="inlineStr">
        <is>
          <t>2026-10-02</t>
        </is>
      </c>
      <c r="AE104" s="174" t="inlineStr">
        <is>
          <t>2043</t>
        </is>
      </c>
      <c r="AF104" s="96" t="inlineStr">
        <is>
          <t>EDI2</t>
        </is>
      </c>
      <c r="AG104" s="97" t="n"/>
      <c r="AH104" s="97" t="n"/>
      <c r="AI104" s="97" t="n"/>
      <c r="AJ104" s="96" t="inlineStr">
        <is>
          <t>MARUBENI INNOVEXIS CORPORATION</t>
        </is>
      </c>
      <c r="AK104" s="130" t="n"/>
    </row>
    <row r="105" ht="12" customHeight="1">
      <c r="A105" s="108" t="inlineStr">
        <is>
          <t>SKLU0708558</t>
        </is>
      </c>
      <c r="B105" s="108" t="inlineStr">
        <is>
          <t>LCH06</t>
        </is>
      </c>
      <c r="C105" s="108" t="inlineStr">
        <is>
          <t>IFV</t>
        </is>
      </c>
      <c r="D105" s="172" t="inlineStr">
        <is>
          <t>2026-10-01</t>
        </is>
      </c>
      <c r="E105" s="173" t="inlineStr">
        <is>
          <t>1815</t>
        </is>
      </c>
      <c r="F105" s="96" t="inlineStr">
        <is>
          <t>HASLS22260901513</t>
        </is>
      </c>
      <c r="G105" s="96" t="inlineStr">
        <is>
          <t>DOUBLE A (1991) PUBLIC COMPANY LIMITED</t>
        </is>
      </c>
      <c r="H105" s="111" t="inlineStr">
        <is>
          <t>22GP</t>
        </is>
      </c>
      <c r="I105" s="96" t="inlineStr">
        <is>
          <t>FTP</t>
        </is>
      </c>
      <c r="J105" s="96" t="inlineStr">
        <is>
          <t>EDI2</t>
        </is>
      </c>
      <c r="K105" s="96" t="n"/>
      <c r="L105" s="111" t="inlineStr">
        <is>
          <t>Full</t>
        </is>
      </c>
      <c r="M105" s="96" t="inlineStr">
        <is>
          <t>HASLS22260901513</t>
        </is>
      </c>
      <c r="N105" s="96" t="inlineStr">
        <is>
          <t xml:space="preserve">40Hx2 20'x2 </t>
        </is>
      </c>
      <c r="O105" s="111" t="inlineStr">
        <is>
          <t>2007</t>
        </is>
      </c>
      <c r="P105" s="111" t="n"/>
      <c r="Q105" s="111" t="n"/>
      <c r="R105" s="96" t="inlineStr">
        <is>
          <t>SWVG</t>
        </is>
      </c>
      <c r="S105" s="96" t="inlineStr">
        <is>
          <t>2612N</t>
        </is>
      </c>
      <c r="T105" s="96" t="inlineStr">
        <is>
          <t>LCH06</t>
        </is>
      </c>
      <c r="U105" s="96" t="inlineStr">
        <is>
          <t>THLCH</t>
        </is>
      </c>
      <c r="V105" s="161" t="inlineStr">
        <is>
          <t>2026-10-07</t>
        </is>
      </c>
      <c r="W105" s="96" t="inlineStr">
        <is>
          <t>CNSHA</t>
        </is>
      </c>
      <c r="X105" s="161" t="inlineStr">
        <is>
          <t>2026-10-13</t>
        </is>
      </c>
      <c r="Y105" s="97" t="n"/>
      <c r="Z105" s="97" t="n"/>
      <c r="AA105" s="97" t="n"/>
      <c r="AB105" s="97" t="n"/>
      <c r="AC105" s="97" t="n"/>
      <c r="AD105" s="161" t="inlineStr">
        <is>
          <t>2026-10-01</t>
        </is>
      </c>
      <c r="AE105" s="174" t="inlineStr">
        <is>
          <t>2114</t>
        </is>
      </c>
      <c r="AF105" s="96" t="inlineStr">
        <is>
          <t>EDI2</t>
        </is>
      </c>
      <c r="AG105" s="97" t="n"/>
      <c r="AH105" s="97" t="n"/>
      <c r="AI105" s="97" t="n"/>
      <c r="AJ105" s="96" t="inlineStr">
        <is>
          <t>DOUBLE A INTERNATIONAL  TRADING</t>
        </is>
      </c>
      <c r="AK105" s="130" t="n"/>
    </row>
    <row r="106" ht="12" customHeight="1">
      <c r="A106" s="108" t="inlineStr">
        <is>
          <t>SKLU1206106</t>
        </is>
      </c>
      <c r="B106" s="108" t="inlineStr">
        <is>
          <t>LCH06</t>
        </is>
      </c>
      <c r="C106" s="108" t="inlineStr">
        <is>
          <t>IFV</t>
        </is>
      </c>
      <c r="D106" s="172" t="inlineStr">
        <is>
          <t>2026-09-26</t>
        </is>
      </c>
      <c r="E106" s="173" t="inlineStr">
        <is>
          <t>1408</t>
        </is>
      </c>
      <c r="F106" s="96" t="inlineStr">
        <is>
          <t>HASLS22260901104</t>
        </is>
      </c>
      <c r="G106" s="96" t="inlineStr">
        <is>
          <t>TTR FREIGHT AND SERVICE COMPANY LIMITED</t>
        </is>
      </c>
      <c r="H106" s="111" t="inlineStr">
        <is>
          <t>22GP</t>
        </is>
      </c>
      <c r="I106" s="96" t="inlineStr">
        <is>
          <t>FTP</t>
        </is>
      </c>
      <c r="J106" s="96" t="inlineStr">
        <is>
          <t>EDI2</t>
        </is>
      </c>
      <c r="K106" s="96" t="n"/>
      <c r="L106" s="111" t="inlineStr">
        <is>
          <t>Full</t>
        </is>
      </c>
      <c r="M106" s="96" t="inlineStr">
        <is>
          <t>HASLS22260901104</t>
        </is>
      </c>
      <c r="N106" s="96" t="inlineStr">
        <is>
          <t xml:space="preserve">20'x9 </t>
        </is>
      </c>
      <c r="O106" s="111" t="inlineStr">
        <is>
          <t>2012</t>
        </is>
      </c>
      <c r="P106" s="111" t="n"/>
      <c r="Q106" s="111" t="n"/>
      <c r="R106" s="96" t="inlineStr">
        <is>
          <t>HAB</t>
        </is>
      </c>
      <c r="S106" s="96" t="inlineStr">
        <is>
          <t>2611N</t>
        </is>
      </c>
      <c r="T106" s="96" t="inlineStr">
        <is>
          <t>LCH06</t>
        </is>
      </c>
      <c r="U106" s="96" t="inlineStr">
        <is>
          <t>THLCH</t>
        </is>
      </c>
      <c r="V106" s="161" t="inlineStr">
        <is>
          <t>2026-10-07</t>
        </is>
      </c>
      <c r="W106" s="96" t="inlineStr">
        <is>
          <t>CNSHA</t>
        </is>
      </c>
      <c r="X106" s="161" t="inlineStr">
        <is>
          <t>2026-10-13</t>
        </is>
      </c>
      <c r="Y106" s="97" t="n"/>
      <c r="Z106" s="97" t="n"/>
      <c r="AA106" s="97" t="n"/>
      <c r="AB106" s="97" t="n"/>
      <c r="AC106" s="97" t="n"/>
      <c r="AD106" s="161" t="inlineStr">
        <is>
          <t>2026-09-26</t>
        </is>
      </c>
      <c r="AE106" s="174" t="inlineStr">
        <is>
          <t>1647</t>
        </is>
      </c>
      <c r="AF106" s="96" t="inlineStr">
        <is>
          <t>EDI2</t>
        </is>
      </c>
      <c r="AG106" s="97" t="n"/>
      <c r="AH106" s="97" t="n"/>
      <c r="AI106" s="97" t="n"/>
      <c r="AJ106" s="96" t="inlineStr">
        <is>
          <t>ZHANGJIAGANG FREE TRADE ZONE</t>
        </is>
      </c>
      <c r="AK106" s="130" t="n"/>
    </row>
    <row r="107" ht="12" customHeight="1">
      <c r="A107" s="108" t="inlineStr">
        <is>
          <t>SKLU1309969</t>
        </is>
      </c>
      <c r="B107" s="108" t="inlineStr">
        <is>
          <t>LCH06</t>
        </is>
      </c>
      <c r="C107" s="108" t="inlineStr">
        <is>
          <t>IFV</t>
        </is>
      </c>
      <c r="D107" s="172" t="inlineStr">
        <is>
          <t>2026-10-07</t>
        </is>
      </c>
      <c r="E107" s="173" t="inlineStr">
        <is>
          <t>0738</t>
        </is>
      </c>
      <c r="F107" s="96" t="inlineStr">
        <is>
          <t>HASLS22260901686</t>
        </is>
      </c>
      <c r="G107" s="96" t="inlineStr">
        <is>
          <t>L.A.1 CO.,LTD.</t>
        </is>
      </c>
      <c r="H107" s="111" t="inlineStr">
        <is>
          <t>22GP</t>
        </is>
      </c>
      <c r="I107" s="96" t="inlineStr">
        <is>
          <t>FTP</t>
        </is>
      </c>
      <c r="J107" s="96" t="inlineStr">
        <is>
          <t>EDI2</t>
        </is>
      </c>
      <c r="K107" s="96" t="n"/>
      <c r="L107" s="111" t="inlineStr">
        <is>
          <t>Full</t>
        </is>
      </c>
      <c r="M107" s="96" t="inlineStr">
        <is>
          <t>HASLS22260901686</t>
        </is>
      </c>
      <c r="N107" s="96" t="inlineStr">
        <is>
          <t xml:space="preserve">20'x1 </t>
        </is>
      </c>
      <c r="O107" s="111" t="inlineStr">
        <is>
          <t>2013</t>
        </is>
      </c>
      <c r="P107" s="111" t="n"/>
      <c r="Q107" s="111" t="n"/>
      <c r="R107" s="96" t="inlineStr">
        <is>
          <t>SWVG</t>
        </is>
      </c>
      <c r="S107" s="96" t="inlineStr">
        <is>
          <t>2612N</t>
        </is>
      </c>
      <c r="T107" s="96" t="inlineStr">
        <is>
          <t>LCH06</t>
        </is>
      </c>
      <c r="U107" s="96" t="inlineStr">
        <is>
          <t>THLCH</t>
        </is>
      </c>
      <c r="V107" s="161" t="inlineStr">
        <is>
          <t>2026-10-07</t>
        </is>
      </c>
      <c r="W107" s="96" t="inlineStr">
        <is>
          <t>JPNGO</t>
        </is>
      </c>
      <c r="X107" s="161" t="inlineStr">
        <is>
          <t>2026-10-15</t>
        </is>
      </c>
      <c r="Y107" s="97" t="n"/>
      <c r="Z107" s="97" t="n"/>
      <c r="AA107" s="97" t="n"/>
      <c r="AB107" s="97" t="n"/>
      <c r="AC107" s="97" t="n"/>
      <c r="AD107" s="161" t="inlineStr">
        <is>
          <t>2026-10-07</t>
        </is>
      </c>
      <c r="AE107" s="174" t="inlineStr">
        <is>
          <t>1123</t>
        </is>
      </c>
      <c r="AF107" s="96" t="inlineStr">
        <is>
          <t>EDI2</t>
        </is>
      </c>
      <c r="AG107" s="97" t="n"/>
      <c r="AH107" s="97" t="n"/>
      <c r="AI107" s="97" t="n"/>
      <c r="AJ107" s="96" t="inlineStr">
        <is>
          <t>FRONTIER UNITED CO., LTD</t>
        </is>
      </c>
      <c r="AK107" s="130" t="n"/>
    </row>
    <row r="108" ht="12" customHeight="1">
      <c r="A108" s="108" t="inlineStr">
        <is>
          <t>SKLU1344912</t>
        </is>
      </c>
      <c r="B108" s="108" t="inlineStr">
        <is>
          <t>LCH06</t>
        </is>
      </c>
      <c r="C108" s="108" t="inlineStr">
        <is>
          <t>IFV</t>
        </is>
      </c>
      <c r="D108" s="172" t="inlineStr">
        <is>
          <t>2026-09-26</t>
        </is>
      </c>
      <c r="E108" s="173" t="inlineStr">
        <is>
          <t>2113</t>
        </is>
      </c>
      <c r="F108" s="96" t="inlineStr">
        <is>
          <t>HASLS22260901104</t>
        </is>
      </c>
      <c r="G108" s="96" t="inlineStr">
        <is>
          <t>TTR FREIGHT AND SERVICE COMPANY LIMITED</t>
        </is>
      </c>
      <c r="H108" s="111" t="inlineStr">
        <is>
          <t>22GP</t>
        </is>
      </c>
      <c r="I108" s="96" t="inlineStr">
        <is>
          <t>FTP</t>
        </is>
      </c>
      <c r="J108" s="96" t="inlineStr">
        <is>
          <t>EDI2</t>
        </is>
      </c>
      <c r="K108" s="96" t="n"/>
      <c r="L108" s="111" t="inlineStr">
        <is>
          <t>Full</t>
        </is>
      </c>
      <c r="M108" s="96" t="inlineStr">
        <is>
          <t>HASLS22260901104</t>
        </is>
      </c>
      <c r="N108" s="96" t="inlineStr">
        <is>
          <t xml:space="preserve">20'x9 </t>
        </is>
      </c>
      <c r="O108" s="111" t="inlineStr">
        <is>
          <t>2013</t>
        </is>
      </c>
      <c r="P108" s="111" t="n"/>
      <c r="Q108" s="111" t="n"/>
      <c r="R108" s="96" t="inlineStr">
        <is>
          <t>HAB</t>
        </is>
      </c>
      <c r="S108" s="96" t="inlineStr">
        <is>
          <t>2611N</t>
        </is>
      </c>
      <c r="T108" s="96" t="inlineStr">
        <is>
          <t>LCH06</t>
        </is>
      </c>
      <c r="U108" s="96" t="inlineStr">
        <is>
          <t>THLCH</t>
        </is>
      </c>
      <c r="V108" s="161" t="inlineStr">
        <is>
          <t>2026-10-07</t>
        </is>
      </c>
      <c r="W108" s="96" t="inlineStr">
        <is>
          <t>CNSHA</t>
        </is>
      </c>
      <c r="X108" s="161" t="inlineStr">
        <is>
          <t>2026-10-13</t>
        </is>
      </c>
      <c r="Y108" s="97" t="n"/>
      <c r="Z108" s="97" t="n"/>
      <c r="AA108" s="97" t="n"/>
      <c r="AB108" s="97" t="n"/>
      <c r="AC108" s="97" t="n"/>
      <c r="AD108" s="161" t="inlineStr">
        <is>
          <t>2026-09-26</t>
        </is>
      </c>
      <c r="AE108" s="174" t="inlineStr">
        <is>
          <t>2350</t>
        </is>
      </c>
      <c r="AF108" s="96" t="inlineStr">
        <is>
          <t>EDI2</t>
        </is>
      </c>
      <c r="AG108" s="97" t="n"/>
      <c r="AH108" s="97" t="n"/>
      <c r="AI108" s="97" t="n"/>
      <c r="AJ108" s="96" t="inlineStr">
        <is>
          <t>ZHANGJIAGANG FREE TRADE ZONE</t>
        </is>
      </c>
      <c r="AK108" s="130" t="n"/>
    </row>
    <row r="109" ht="12" customHeight="1">
      <c r="A109" s="108" t="inlineStr">
        <is>
          <t>SKLU1417937</t>
        </is>
      </c>
      <c r="B109" s="108" t="inlineStr">
        <is>
          <t>LCH06</t>
        </is>
      </c>
      <c r="C109" s="108" t="inlineStr">
        <is>
          <t>IFV</t>
        </is>
      </c>
      <c r="D109" s="172" t="inlineStr">
        <is>
          <t>2026-09-29</t>
        </is>
      </c>
      <c r="E109" s="173" t="inlineStr">
        <is>
          <t>0513</t>
        </is>
      </c>
      <c r="F109" s="96" t="inlineStr">
        <is>
          <t>HASLS22260901310</t>
        </is>
      </c>
      <c r="G109" s="96" t="inlineStr">
        <is>
          <t>WHA GC LOGISTICS COMPANY LIMITED</t>
        </is>
      </c>
      <c r="H109" s="111" t="inlineStr">
        <is>
          <t>22GP</t>
        </is>
      </c>
      <c r="I109" s="96" t="inlineStr">
        <is>
          <t>FTP</t>
        </is>
      </c>
      <c r="J109" s="96" t="inlineStr">
        <is>
          <t>EDI2</t>
        </is>
      </c>
      <c r="K109" s="96" t="n"/>
      <c r="L109" s="111" t="inlineStr">
        <is>
          <t>Full</t>
        </is>
      </c>
      <c r="M109" s="96" t="inlineStr">
        <is>
          <t>HASLS22260901310</t>
        </is>
      </c>
      <c r="N109" s="96" t="inlineStr">
        <is>
          <t xml:space="preserve">20'x1 </t>
        </is>
      </c>
      <c r="O109" s="111" t="inlineStr">
        <is>
          <t>2014</t>
        </is>
      </c>
      <c r="P109" s="111" t="n"/>
      <c r="Q109" s="111" t="n"/>
      <c r="R109" s="96" t="inlineStr">
        <is>
          <t>SWVG</t>
        </is>
      </c>
      <c r="S109" s="96" t="inlineStr">
        <is>
          <t>2612N</t>
        </is>
      </c>
      <c r="T109" s="96" t="inlineStr">
        <is>
          <t>LCH06</t>
        </is>
      </c>
      <c r="U109" s="96" t="inlineStr">
        <is>
          <t>THLCH</t>
        </is>
      </c>
      <c r="V109" s="161" t="inlineStr">
        <is>
          <t>2026-10-07</t>
        </is>
      </c>
      <c r="W109" s="96" t="inlineStr">
        <is>
          <t>CNSHA</t>
        </is>
      </c>
      <c r="X109" s="161" t="inlineStr">
        <is>
          <t>2026-10-13</t>
        </is>
      </c>
      <c r="Y109" s="97" t="n"/>
      <c r="Z109" s="97" t="n"/>
      <c r="AA109" s="97" t="n"/>
      <c r="AB109" s="97" t="n"/>
      <c r="AC109" s="97" t="n"/>
      <c r="AD109" s="161" t="inlineStr">
        <is>
          <t>2026-09-29</t>
        </is>
      </c>
      <c r="AE109" s="174" t="inlineStr">
        <is>
          <t>0813</t>
        </is>
      </c>
      <c r="AF109" s="96" t="inlineStr">
        <is>
          <t>EDI2</t>
        </is>
      </c>
      <c r="AG109" s="97" t="n"/>
      <c r="AH109" s="97" t="n"/>
      <c r="AI109" s="97" t="n"/>
      <c r="AJ109" s="96" t="inlineStr">
        <is>
          <t>GC MARKETING SOLUTIONS (SHANGHAI)</t>
        </is>
      </c>
      <c r="AK109" s="130" t="n"/>
    </row>
    <row r="110" ht="12" customHeight="1">
      <c r="A110" s="108" t="inlineStr">
        <is>
          <t>SKLU1541470</t>
        </is>
      </c>
      <c r="B110" s="108" t="inlineStr">
        <is>
          <t>LCH06</t>
        </is>
      </c>
      <c r="C110" s="108" t="inlineStr">
        <is>
          <t>IFV</t>
        </is>
      </c>
      <c r="D110" s="172" t="inlineStr">
        <is>
          <t>2026-10-02</t>
        </is>
      </c>
      <c r="E110" s="173" t="inlineStr">
        <is>
          <t>0324</t>
        </is>
      </c>
      <c r="F110" s="96" t="inlineStr">
        <is>
          <t>HASLS22260902060</t>
        </is>
      </c>
      <c r="G110" s="96" t="inlineStr">
        <is>
          <t>SCGJWD LOGISTICS PUBLIC COMPANY LIMITED</t>
        </is>
      </c>
      <c r="H110" s="111" t="inlineStr">
        <is>
          <t>22GP</t>
        </is>
      </c>
      <c r="I110" s="96" t="inlineStr">
        <is>
          <t>FTP</t>
        </is>
      </c>
      <c r="J110" s="96" t="inlineStr">
        <is>
          <t>EDI2</t>
        </is>
      </c>
      <c r="K110" s="96" t="n"/>
      <c r="L110" s="111" t="inlineStr">
        <is>
          <t>Full</t>
        </is>
      </c>
      <c r="M110" s="96" t="inlineStr">
        <is>
          <t>HASLS22260902060</t>
        </is>
      </c>
      <c r="N110" s="96" t="inlineStr">
        <is>
          <t xml:space="preserve">20'x1 </t>
        </is>
      </c>
      <c r="O110" s="111" t="inlineStr">
        <is>
          <t>2015</t>
        </is>
      </c>
      <c r="P110" s="111" t="n"/>
      <c r="Q110" s="111" t="n"/>
      <c r="R110" s="96" t="inlineStr">
        <is>
          <t>SWVG</t>
        </is>
      </c>
      <c r="S110" s="96" t="inlineStr">
        <is>
          <t>2612N</t>
        </is>
      </c>
      <c r="T110" s="96" t="inlineStr">
        <is>
          <t>LCH06</t>
        </is>
      </c>
      <c r="U110" s="96" t="inlineStr">
        <is>
          <t>THLCH</t>
        </is>
      </c>
      <c r="V110" s="161" t="inlineStr">
        <is>
          <t>2026-10-07</t>
        </is>
      </c>
      <c r="W110" s="96" t="inlineStr">
        <is>
          <t>JPISS</t>
        </is>
      </c>
      <c r="X110" s="161" t="inlineStr">
        <is>
          <t>2026-10-15</t>
        </is>
      </c>
      <c r="Y110" s="97" t="n"/>
      <c r="Z110" s="97" t="n"/>
      <c r="AA110" s="97" t="n"/>
      <c r="AB110" s="97" t="n"/>
      <c r="AC110" s="97" t="n"/>
      <c r="AD110" s="161" t="inlineStr">
        <is>
          <t>2026-10-02</t>
        </is>
      </c>
      <c r="AE110" s="174" t="inlineStr">
        <is>
          <t>0912</t>
        </is>
      </c>
      <c r="AF110" s="96" t="inlineStr">
        <is>
          <t>EDI2</t>
        </is>
      </c>
      <c r="AG110" s="97" t="n"/>
      <c r="AH110" s="97" t="n"/>
      <c r="AI110" s="97" t="n"/>
      <c r="AJ110" s="96" t="inlineStr">
        <is>
          <t>ITOCHU CORPORATION</t>
        </is>
      </c>
      <c r="AK110" s="130" t="n"/>
    </row>
    <row r="111" ht="12" customHeight="1">
      <c r="A111" s="108" t="inlineStr">
        <is>
          <t>SKLU1561380</t>
        </is>
      </c>
      <c r="B111" s="108" t="inlineStr">
        <is>
          <t>LCH06</t>
        </is>
      </c>
      <c r="C111" s="108" t="inlineStr">
        <is>
          <t>IFV</t>
        </is>
      </c>
      <c r="D111" s="172" t="inlineStr">
        <is>
          <t>2026-10-04</t>
        </is>
      </c>
      <c r="E111" s="173" t="inlineStr">
        <is>
          <t>0224</t>
        </is>
      </c>
      <c r="F111" s="96" t="inlineStr">
        <is>
          <t>HASLS22260902147</t>
        </is>
      </c>
      <c r="G111" s="96" t="inlineStr">
        <is>
          <t>DOUBLE A (1991) PUBLIC COMPANY LIMITED</t>
        </is>
      </c>
      <c r="H111" s="111" t="inlineStr">
        <is>
          <t>22GP</t>
        </is>
      </c>
      <c r="I111" s="96" t="inlineStr">
        <is>
          <t>FTP</t>
        </is>
      </c>
      <c r="J111" s="96" t="inlineStr">
        <is>
          <t>EDI2</t>
        </is>
      </c>
      <c r="K111" s="96" t="n"/>
      <c r="L111" s="111" t="inlineStr">
        <is>
          <t>Full</t>
        </is>
      </c>
      <c r="M111" s="96" t="inlineStr">
        <is>
          <t>HASLS22260902147</t>
        </is>
      </c>
      <c r="N111" s="96" t="inlineStr">
        <is>
          <t xml:space="preserve">40Hx1 20'x2 </t>
        </is>
      </c>
      <c r="O111" s="111" t="inlineStr">
        <is>
          <t>2015</t>
        </is>
      </c>
      <c r="P111" s="111" t="n"/>
      <c r="Q111" s="111" t="n"/>
      <c r="R111" s="96" t="inlineStr">
        <is>
          <t>SWVG</t>
        </is>
      </c>
      <c r="S111" s="96" t="inlineStr">
        <is>
          <t>2612N</t>
        </is>
      </c>
      <c r="T111" s="96" t="inlineStr">
        <is>
          <t>LCH06</t>
        </is>
      </c>
      <c r="U111" s="96" t="inlineStr">
        <is>
          <t>THLCH</t>
        </is>
      </c>
      <c r="V111" s="161" t="inlineStr">
        <is>
          <t>2026-10-07</t>
        </is>
      </c>
      <c r="W111" s="96" t="inlineStr">
        <is>
          <t>CNSHA</t>
        </is>
      </c>
      <c r="X111" s="161" t="inlineStr">
        <is>
          <t>2026-10-13</t>
        </is>
      </c>
      <c r="Y111" s="97" t="n"/>
      <c r="Z111" s="97" t="n"/>
      <c r="AA111" s="97" t="n"/>
      <c r="AB111" s="97" t="n"/>
      <c r="AC111" s="97" t="n"/>
      <c r="AD111" s="161" t="inlineStr">
        <is>
          <t>2026-10-04</t>
        </is>
      </c>
      <c r="AE111" s="174" t="inlineStr">
        <is>
          <t>0518</t>
        </is>
      </c>
      <c r="AF111" s="96" t="inlineStr">
        <is>
          <t>EDI2</t>
        </is>
      </c>
      <c r="AG111" s="97" t="n"/>
      <c r="AH111" s="97" t="n"/>
      <c r="AI111" s="97" t="n"/>
      <c r="AJ111" s="96" t="inlineStr">
        <is>
          <t>DOUBLE A INTERNATIONAL TRADING</t>
        </is>
      </c>
      <c r="AK111" s="130" t="n"/>
    </row>
    <row r="112" ht="12" customHeight="1">
      <c r="A112" s="108" t="inlineStr">
        <is>
          <t>SKLU1565488</t>
        </is>
      </c>
      <c r="B112" s="108" t="inlineStr">
        <is>
          <t>LCH06</t>
        </is>
      </c>
      <c r="C112" s="108" t="inlineStr">
        <is>
          <t>IFV</t>
        </is>
      </c>
      <c r="D112" s="172" t="inlineStr">
        <is>
          <t>2026-10-03</t>
        </is>
      </c>
      <c r="E112" s="173" t="inlineStr">
        <is>
          <t>1225</t>
        </is>
      </c>
      <c r="F112" s="96" t="inlineStr">
        <is>
          <t>HASLS22260901780</t>
        </is>
      </c>
      <c r="G112" s="96" t="inlineStr">
        <is>
          <t>TRANS-MAKER CO., LTD.</t>
        </is>
      </c>
      <c r="H112" s="111" t="inlineStr">
        <is>
          <t>22GP</t>
        </is>
      </c>
      <c r="I112" s="96" t="inlineStr">
        <is>
          <t>FTP</t>
        </is>
      </c>
      <c r="J112" s="96" t="inlineStr">
        <is>
          <t>EDI2</t>
        </is>
      </c>
      <c r="K112" s="96" t="n"/>
      <c r="L112" s="111" t="inlineStr">
        <is>
          <t>Full</t>
        </is>
      </c>
      <c r="M112" s="96" t="inlineStr">
        <is>
          <t>HASLS22260901780</t>
        </is>
      </c>
      <c r="N112" s="96" t="inlineStr">
        <is>
          <t xml:space="preserve">20'x1 </t>
        </is>
      </c>
      <c r="O112" s="111" t="inlineStr">
        <is>
          <t>2015</t>
        </is>
      </c>
      <c r="P112" s="111" t="n"/>
      <c r="Q112" s="111" t="n"/>
      <c r="R112" s="96" t="inlineStr">
        <is>
          <t>SWVG</t>
        </is>
      </c>
      <c r="S112" s="96" t="inlineStr">
        <is>
          <t>2612N</t>
        </is>
      </c>
      <c r="T112" s="96" t="inlineStr">
        <is>
          <t>LCH06</t>
        </is>
      </c>
      <c r="U112" s="96" t="inlineStr">
        <is>
          <t>THLCH</t>
        </is>
      </c>
      <c r="V112" s="161" t="inlineStr">
        <is>
          <t>2026-10-07</t>
        </is>
      </c>
      <c r="W112" s="96" t="inlineStr">
        <is>
          <t>CNSHA</t>
        </is>
      </c>
      <c r="X112" s="161" t="inlineStr">
        <is>
          <t>2026-10-13</t>
        </is>
      </c>
      <c r="Y112" s="97" t="n"/>
      <c r="Z112" s="97" t="n"/>
      <c r="AA112" s="97" t="n"/>
      <c r="AB112" s="97" t="n"/>
      <c r="AC112" s="97" t="n"/>
      <c r="AD112" s="161" t="inlineStr">
        <is>
          <t>2026-10-03</t>
        </is>
      </c>
      <c r="AE112" s="174" t="inlineStr">
        <is>
          <t>1618</t>
        </is>
      </c>
      <c r="AF112" s="96" t="inlineStr">
        <is>
          <t>EDI2</t>
        </is>
      </c>
      <c r="AG112" s="97" t="n"/>
      <c r="AH112" s="97" t="n"/>
      <c r="AI112" s="97" t="n"/>
      <c r="AJ112" s="96" t="inlineStr">
        <is>
          <t>TFL (CHANGZHOU) CO.,LTD.</t>
        </is>
      </c>
      <c r="AK112" s="130" t="n"/>
    </row>
    <row r="113" ht="12" customHeight="1">
      <c r="A113" s="108" t="inlineStr">
        <is>
          <t>SKLU1604162</t>
        </is>
      </c>
      <c r="B113" s="108" t="inlineStr">
        <is>
          <t>LCH06</t>
        </is>
      </c>
      <c r="C113" s="108" t="inlineStr">
        <is>
          <t>IFV</t>
        </is>
      </c>
      <c r="D113" s="172" t="inlineStr">
        <is>
          <t>2026-10-03</t>
        </is>
      </c>
      <c r="E113" s="173" t="inlineStr">
        <is>
          <t>0352</t>
        </is>
      </c>
      <c r="F113" s="96" t="inlineStr">
        <is>
          <t>HASLS22260901582</t>
        </is>
      </c>
      <c r="G113" s="96" t="inlineStr">
        <is>
          <t>SCGJWD LOGISTICS PUBLIC COMPANY LIMITED</t>
        </is>
      </c>
      <c r="H113" s="111" t="inlineStr">
        <is>
          <t>22GP</t>
        </is>
      </c>
      <c r="I113" s="96" t="inlineStr">
        <is>
          <t>FTP</t>
        </is>
      </c>
      <c r="J113" s="96" t="inlineStr">
        <is>
          <t>EDI2</t>
        </is>
      </c>
      <c r="K113" s="96" t="n"/>
      <c r="L113" s="111" t="inlineStr">
        <is>
          <t>Full</t>
        </is>
      </c>
      <c r="M113" s="96" t="inlineStr">
        <is>
          <t>HASLS22260901582</t>
        </is>
      </c>
      <c r="N113" s="96" t="inlineStr">
        <is>
          <t xml:space="preserve">20'x5 </t>
        </is>
      </c>
      <c r="O113" s="111" t="inlineStr">
        <is>
          <t>2016</t>
        </is>
      </c>
      <c r="P113" s="111" t="n"/>
      <c r="Q113" s="111" t="n"/>
      <c r="R113" s="96" t="inlineStr">
        <is>
          <t>SWVG</t>
        </is>
      </c>
      <c r="S113" s="96" t="inlineStr">
        <is>
          <t>2612N</t>
        </is>
      </c>
      <c r="T113" s="96" t="inlineStr">
        <is>
          <t>LCH06</t>
        </is>
      </c>
      <c r="U113" s="96" t="inlineStr">
        <is>
          <t>THLCH</t>
        </is>
      </c>
      <c r="V113" s="161" t="inlineStr">
        <is>
          <t>2026-10-07</t>
        </is>
      </c>
      <c r="W113" s="96" t="inlineStr">
        <is>
          <t>JPMOJ</t>
        </is>
      </c>
      <c r="X113" s="161" t="inlineStr">
        <is>
          <t>2026-10-15</t>
        </is>
      </c>
      <c r="Y113" s="97" t="n"/>
      <c r="Z113" s="97" t="n"/>
      <c r="AA113" s="97" t="n"/>
      <c r="AB113" s="97" t="n"/>
      <c r="AC113" s="97" t="n"/>
      <c r="AD113" s="161" t="inlineStr">
        <is>
          <t>2026-10-03</t>
        </is>
      </c>
      <c r="AE113" s="174" t="inlineStr">
        <is>
          <t>0718</t>
        </is>
      </c>
      <c r="AF113" s="96" t="inlineStr">
        <is>
          <t>EDI2</t>
        </is>
      </c>
      <c r="AG113" s="97" t="n"/>
      <c r="AH113" s="97" t="n"/>
      <c r="AI113" s="97" t="n"/>
      <c r="AJ113" s="96" t="inlineStr">
        <is>
          <t>TOYOTSU CHEMIPLAS CORPORATION,</t>
        </is>
      </c>
      <c r="AK113" s="130" t="n"/>
    </row>
    <row r="114" ht="12" customHeight="1">
      <c r="A114" s="108" t="inlineStr">
        <is>
          <t>SKLU1607449</t>
        </is>
      </c>
      <c r="B114" s="108" t="inlineStr">
        <is>
          <t>LCH06</t>
        </is>
      </c>
      <c r="C114" s="108" t="inlineStr">
        <is>
          <t>IFV</t>
        </is>
      </c>
      <c r="D114" s="172" t="inlineStr">
        <is>
          <t>2026-09-26</t>
        </is>
      </c>
      <c r="E114" s="173" t="inlineStr">
        <is>
          <t>1331</t>
        </is>
      </c>
      <c r="F114" s="96" t="inlineStr">
        <is>
          <t>HASLS22260901104</t>
        </is>
      </c>
      <c r="G114" s="96" t="inlineStr">
        <is>
          <t>TTR FREIGHT AND SERVICE COMPANY LIMITED</t>
        </is>
      </c>
      <c r="H114" s="111" t="inlineStr">
        <is>
          <t>22GP</t>
        </is>
      </c>
      <c r="I114" s="96" t="inlineStr">
        <is>
          <t>FTP</t>
        </is>
      </c>
      <c r="J114" s="96" t="inlineStr">
        <is>
          <t>EDI2</t>
        </is>
      </c>
      <c r="K114" s="96" t="n"/>
      <c r="L114" s="111" t="inlineStr">
        <is>
          <t>Full</t>
        </is>
      </c>
      <c r="M114" s="96" t="inlineStr">
        <is>
          <t>HASLS22260901104</t>
        </is>
      </c>
      <c r="N114" s="96" t="inlineStr">
        <is>
          <t xml:space="preserve">20'x9 </t>
        </is>
      </c>
      <c r="O114" s="111" t="inlineStr">
        <is>
          <t>2016</t>
        </is>
      </c>
      <c r="P114" s="111" t="n"/>
      <c r="Q114" s="111" t="n"/>
      <c r="R114" s="96" t="inlineStr">
        <is>
          <t>HAB</t>
        </is>
      </c>
      <c r="S114" s="96" t="inlineStr">
        <is>
          <t>2611N</t>
        </is>
      </c>
      <c r="T114" s="96" t="inlineStr">
        <is>
          <t>LCH06</t>
        </is>
      </c>
      <c r="U114" s="96" t="inlineStr">
        <is>
          <t>THLCH</t>
        </is>
      </c>
      <c r="V114" s="161" t="inlineStr">
        <is>
          <t>2026-10-07</t>
        </is>
      </c>
      <c r="W114" s="96" t="inlineStr">
        <is>
          <t>CNSHA</t>
        </is>
      </c>
      <c r="X114" s="161" t="inlineStr">
        <is>
          <t>2026-10-13</t>
        </is>
      </c>
      <c r="Y114" s="97" t="n"/>
      <c r="Z114" s="97" t="n"/>
      <c r="AA114" s="97" t="n"/>
      <c r="AB114" s="97" t="n"/>
      <c r="AC114" s="97" t="n"/>
      <c r="AD114" s="161" t="inlineStr">
        <is>
          <t>2026-09-26</t>
        </is>
      </c>
      <c r="AE114" s="174" t="inlineStr">
        <is>
          <t>1619</t>
        </is>
      </c>
      <c r="AF114" s="96" t="inlineStr">
        <is>
          <t>EDI2</t>
        </is>
      </c>
      <c r="AG114" s="97" t="n"/>
      <c r="AH114" s="97" t="n"/>
      <c r="AI114" s="97" t="n"/>
      <c r="AJ114" s="96" t="inlineStr">
        <is>
          <t>ZHANGJIAGANG FREE TRADE ZONE</t>
        </is>
      </c>
      <c r="AK114" s="130" t="n"/>
    </row>
    <row r="115" ht="12" customHeight="1">
      <c r="A115" s="108" t="inlineStr">
        <is>
          <t>SKLU1613077</t>
        </is>
      </c>
      <c r="B115" s="108" t="inlineStr">
        <is>
          <t>LCH06</t>
        </is>
      </c>
      <c r="C115" s="108" t="inlineStr">
        <is>
          <t>IFV</t>
        </is>
      </c>
      <c r="D115" s="172" t="inlineStr">
        <is>
          <t>2026-10-03</t>
        </is>
      </c>
      <c r="E115" s="173" t="inlineStr">
        <is>
          <t>0308</t>
        </is>
      </c>
      <c r="F115" s="96" t="inlineStr">
        <is>
          <t>HASLS22260901582</t>
        </is>
      </c>
      <c r="G115" s="96" t="inlineStr">
        <is>
          <t>SCGJWD LOGISTICS PUBLIC COMPANY LIMITED</t>
        </is>
      </c>
      <c r="H115" s="111" t="inlineStr">
        <is>
          <t>22GP</t>
        </is>
      </c>
      <c r="I115" s="96" t="inlineStr">
        <is>
          <t>FTP</t>
        </is>
      </c>
      <c r="J115" s="96" t="inlineStr">
        <is>
          <t>EDI2</t>
        </is>
      </c>
      <c r="K115" s="96" t="n"/>
      <c r="L115" s="111" t="inlineStr">
        <is>
          <t>Full</t>
        </is>
      </c>
      <c r="M115" s="96" t="inlineStr">
        <is>
          <t>HASLS22260901582</t>
        </is>
      </c>
      <c r="N115" s="96" t="inlineStr">
        <is>
          <t xml:space="preserve">20'x5 </t>
        </is>
      </c>
      <c r="O115" s="111" t="inlineStr">
        <is>
          <t>2016</t>
        </is>
      </c>
      <c r="P115" s="111" t="n"/>
      <c r="Q115" s="111" t="n"/>
      <c r="R115" s="96" t="inlineStr">
        <is>
          <t>SWVG</t>
        </is>
      </c>
      <c r="S115" s="96" t="inlineStr">
        <is>
          <t>2612N</t>
        </is>
      </c>
      <c r="T115" s="96" t="inlineStr">
        <is>
          <t>LCH06</t>
        </is>
      </c>
      <c r="U115" s="96" t="inlineStr">
        <is>
          <t>THLCH</t>
        </is>
      </c>
      <c r="V115" s="161" t="inlineStr">
        <is>
          <t>2026-10-07</t>
        </is>
      </c>
      <c r="W115" s="96" t="inlineStr">
        <is>
          <t>JPMOJ</t>
        </is>
      </c>
      <c r="X115" s="161" t="inlineStr">
        <is>
          <t>2026-10-15</t>
        </is>
      </c>
      <c r="Y115" s="97" t="n"/>
      <c r="Z115" s="97" t="n"/>
      <c r="AA115" s="97" t="n"/>
      <c r="AB115" s="97" t="n"/>
      <c r="AC115" s="97" t="n"/>
      <c r="AD115" s="161" t="inlineStr">
        <is>
          <t>2026-10-03</t>
        </is>
      </c>
      <c r="AE115" s="174" t="inlineStr">
        <is>
          <t>0718</t>
        </is>
      </c>
      <c r="AF115" s="96" t="inlineStr">
        <is>
          <t>EDI2</t>
        </is>
      </c>
      <c r="AG115" s="97" t="n"/>
      <c r="AH115" s="97" t="n"/>
      <c r="AI115" s="97" t="n"/>
      <c r="AJ115" s="96" t="inlineStr">
        <is>
          <t>TOYOTSU CHEMIPLAS CORPORATION,</t>
        </is>
      </c>
      <c r="AK115" s="130" t="n"/>
    </row>
    <row r="116" ht="12" customHeight="1">
      <c r="A116" s="108" t="inlineStr">
        <is>
          <t>SKLU1614448</t>
        </is>
      </c>
      <c r="B116" s="108" t="inlineStr">
        <is>
          <t>LCH06</t>
        </is>
      </c>
      <c r="C116" s="108" t="inlineStr">
        <is>
          <t>IFV</t>
        </is>
      </c>
      <c r="D116" s="172" t="inlineStr">
        <is>
          <t>2026-10-05</t>
        </is>
      </c>
      <c r="E116" s="173" t="inlineStr">
        <is>
          <t>1128</t>
        </is>
      </c>
      <c r="F116" s="96" t="inlineStr">
        <is>
          <t>HASLS22260902243</t>
        </is>
      </c>
      <c r="G116" s="96" t="inlineStr">
        <is>
          <t>MAJESTIC INTERNATIONAL LOGISTICS CO., LTD.</t>
        </is>
      </c>
      <c r="H116" s="111" t="inlineStr">
        <is>
          <t>22GP</t>
        </is>
      </c>
      <c r="I116" s="96" t="inlineStr">
        <is>
          <t>FTP</t>
        </is>
      </c>
      <c r="J116" s="96" t="inlineStr">
        <is>
          <t>EDI2</t>
        </is>
      </c>
      <c r="K116" s="96" t="n"/>
      <c r="L116" s="111" t="inlineStr">
        <is>
          <t>Full</t>
        </is>
      </c>
      <c r="M116" s="96" t="inlineStr">
        <is>
          <t>HASLS22260902243</t>
        </is>
      </c>
      <c r="N116" s="96" t="inlineStr">
        <is>
          <t xml:space="preserve">20'x1 </t>
        </is>
      </c>
      <c r="O116" s="111" t="inlineStr">
        <is>
          <t>2016</t>
        </is>
      </c>
      <c r="P116" s="111" t="n"/>
      <c r="Q116" s="111" t="n"/>
      <c r="R116" s="96" t="inlineStr">
        <is>
          <t>SWVG</t>
        </is>
      </c>
      <c r="S116" s="96" t="inlineStr">
        <is>
          <t>2612N</t>
        </is>
      </c>
      <c r="T116" s="96" t="inlineStr">
        <is>
          <t>LCH06</t>
        </is>
      </c>
      <c r="U116" s="96" t="inlineStr">
        <is>
          <t>THLCH</t>
        </is>
      </c>
      <c r="V116" s="161" t="inlineStr">
        <is>
          <t>2026-10-07</t>
        </is>
      </c>
      <c r="W116" s="96" t="inlineStr">
        <is>
          <t>CNSHA</t>
        </is>
      </c>
      <c r="X116" s="161" t="inlineStr">
        <is>
          <t>2026-10-13</t>
        </is>
      </c>
      <c r="Y116" s="97" t="n"/>
      <c r="Z116" s="97" t="n"/>
      <c r="AA116" s="97" t="n"/>
      <c r="AB116" s="97" t="n"/>
      <c r="AC116" s="97" t="n"/>
      <c r="AD116" s="161" t="inlineStr">
        <is>
          <t>2026-10-05</t>
        </is>
      </c>
      <c r="AE116" s="174" t="inlineStr">
        <is>
          <t>1434</t>
        </is>
      </c>
      <c r="AF116" s="96" t="inlineStr">
        <is>
          <t>EDI2</t>
        </is>
      </c>
      <c r="AG116" s="97" t="n"/>
      <c r="AH116" s="97" t="n"/>
      <c r="AI116" s="97" t="n"/>
      <c r="AJ116" s="96" t="inlineStr">
        <is>
          <t>GENERAL AIR CONDITIONING</t>
        </is>
      </c>
      <c r="AK116" s="130" t="n"/>
    </row>
    <row r="117" ht="12" customHeight="1">
      <c r="A117" s="108" t="inlineStr">
        <is>
          <t>SKLU1619666</t>
        </is>
      </c>
      <c r="B117" s="108" t="inlineStr">
        <is>
          <t>LCH06</t>
        </is>
      </c>
      <c r="C117" s="108" t="inlineStr">
        <is>
          <t>IFV</t>
        </is>
      </c>
      <c r="D117" s="172" t="inlineStr">
        <is>
          <t>2026-10-03</t>
        </is>
      </c>
      <c r="E117" s="173" t="inlineStr">
        <is>
          <t>0308</t>
        </is>
      </c>
      <c r="F117" s="96" t="inlineStr">
        <is>
          <t>HASLS22260901582</t>
        </is>
      </c>
      <c r="G117" s="96" t="inlineStr">
        <is>
          <t>SCGJWD LOGISTICS PUBLIC COMPANY LIMITED</t>
        </is>
      </c>
      <c r="H117" s="111" t="inlineStr">
        <is>
          <t>22GP</t>
        </is>
      </c>
      <c r="I117" s="96" t="inlineStr">
        <is>
          <t>FTP</t>
        </is>
      </c>
      <c r="J117" s="96" t="inlineStr">
        <is>
          <t>EDI2</t>
        </is>
      </c>
      <c r="K117" s="96" t="n"/>
      <c r="L117" s="111" t="inlineStr">
        <is>
          <t>Full</t>
        </is>
      </c>
      <c r="M117" s="96" t="inlineStr">
        <is>
          <t>HASLS22260901582</t>
        </is>
      </c>
      <c r="N117" s="96" t="inlineStr">
        <is>
          <t xml:space="preserve">20'x5 </t>
        </is>
      </c>
      <c r="O117" s="111" t="inlineStr">
        <is>
          <t>2016</t>
        </is>
      </c>
      <c r="P117" s="111" t="n"/>
      <c r="Q117" s="111" t="n"/>
      <c r="R117" s="96" t="inlineStr">
        <is>
          <t>SWVG</t>
        </is>
      </c>
      <c r="S117" s="96" t="inlineStr">
        <is>
          <t>2612N</t>
        </is>
      </c>
      <c r="T117" s="96" t="inlineStr">
        <is>
          <t>LCH06</t>
        </is>
      </c>
      <c r="U117" s="96" t="inlineStr">
        <is>
          <t>THLCH</t>
        </is>
      </c>
      <c r="V117" s="161" t="inlineStr">
        <is>
          <t>2026-10-07</t>
        </is>
      </c>
      <c r="W117" s="96" t="inlineStr">
        <is>
          <t>JPMOJ</t>
        </is>
      </c>
      <c r="X117" s="161" t="inlineStr">
        <is>
          <t>2026-10-15</t>
        </is>
      </c>
      <c r="Y117" s="97" t="n"/>
      <c r="Z117" s="97" t="n"/>
      <c r="AA117" s="97" t="n"/>
      <c r="AB117" s="97" t="n"/>
      <c r="AC117" s="97" t="n"/>
      <c r="AD117" s="161" t="inlineStr">
        <is>
          <t>2026-10-03</t>
        </is>
      </c>
      <c r="AE117" s="174" t="inlineStr">
        <is>
          <t>0718</t>
        </is>
      </c>
      <c r="AF117" s="96" t="inlineStr">
        <is>
          <t>EDI2</t>
        </is>
      </c>
      <c r="AG117" s="97" t="n"/>
      <c r="AH117" s="97" t="n"/>
      <c r="AI117" s="97" t="n"/>
      <c r="AJ117" s="96" t="inlineStr">
        <is>
          <t>TOYOTSU CHEMIPLAS CORPORATION,</t>
        </is>
      </c>
      <c r="AK117" s="130" t="n"/>
    </row>
    <row r="118" ht="12" customHeight="1">
      <c r="A118" s="108" t="inlineStr">
        <is>
          <t>SKLU1822713</t>
        </is>
      </c>
      <c r="B118" s="108" t="inlineStr">
        <is>
          <t>LCH06</t>
        </is>
      </c>
      <c r="C118" s="108" t="inlineStr">
        <is>
          <t>IFV</t>
        </is>
      </c>
      <c r="D118" s="172" t="inlineStr">
        <is>
          <t>2026-10-03</t>
        </is>
      </c>
      <c r="E118" s="173" t="inlineStr">
        <is>
          <t>0716</t>
        </is>
      </c>
      <c r="F118" s="96" t="inlineStr">
        <is>
          <t>HASLS22260901781</t>
        </is>
      </c>
      <c r="G118" s="96" t="inlineStr">
        <is>
          <t>SCGJWD LOGISTICS PUBLIC COMPANY LIMITED</t>
        </is>
      </c>
      <c r="H118" s="111" t="inlineStr">
        <is>
          <t>22GP</t>
        </is>
      </c>
      <c r="I118" s="96" t="inlineStr">
        <is>
          <t>FTP</t>
        </is>
      </c>
      <c r="J118" s="96" t="inlineStr">
        <is>
          <t>EDI2</t>
        </is>
      </c>
      <c r="K118" s="96" t="n"/>
      <c r="L118" s="111" t="inlineStr">
        <is>
          <t>Full</t>
        </is>
      </c>
      <c r="M118" s="96" t="inlineStr">
        <is>
          <t>HASLS22260901781</t>
        </is>
      </c>
      <c r="N118" s="96" t="inlineStr">
        <is>
          <t xml:space="preserve">20'x1 </t>
        </is>
      </c>
      <c r="O118" s="111" t="inlineStr">
        <is>
          <t>2018</t>
        </is>
      </c>
      <c r="P118" s="111" t="n"/>
      <c r="Q118" s="111" t="n"/>
      <c r="R118" s="96" t="inlineStr">
        <is>
          <t>SWVG</t>
        </is>
      </c>
      <c r="S118" s="96" t="inlineStr">
        <is>
          <t>2612N</t>
        </is>
      </c>
      <c r="T118" s="96" t="inlineStr">
        <is>
          <t>LCH06</t>
        </is>
      </c>
      <c r="U118" s="96" t="inlineStr">
        <is>
          <t>THLCH</t>
        </is>
      </c>
      <c r="V118" s="161" t="inlineStr">
        <is>
          <t>2026-10-07</t>
        </is>
      </c>
      <c r="W118" s="96" t="inlineStr">
        <is>
          <t>CNSHA</t>
        </is>
      </c>
      <c r="X118" s="161" t="inlineStr">
        <is>
          <t>2026-10-13</t>
        </is>
      </c>
      <c r="Y118" s="97" t="n"/>
      <c r="Z118" s="97" t="n"/>
      <c r="AA118" s="97" t="n"/>
      <c r="AB118" s="97" t="n"/>
      <c r="AC118" s="97" t="n"/>
      <c r="AD118" s="161" t="inlineStr">
        <is>
          <t>2026-10-03</t>
        </is>
      </c>
      <c r="AE118" s="174" t="inlineStr">
        <is>
          <t>0947</t>
        </is>
      </c>
      <c r="AF118" s="96" t="inlineStr">
        <is>
          <t>EDI2</t>
        </is>
      </c>
      <c r="AG118" s="97" t="n"/>
      <c r="AH118" s="97" t="n"/>
      <c r="AI118" s="97" t="n"/>
      <c r="AJ118" s="96" t="inlineStr">
        <is>
          <t>SHANGHAI QIZHENG INTERNATIONAL</t>
        </is>
      </c>
      <c r="AK118" s="130" t="n"/>
    </row>
    <row r="119" ht="12" customHeight="1">
      <c r="A119" s="108" t="inlineStr">
        <is>
          <t>SKLU1914168</t>
        </is>
      </c>
      <c r="B119" s="108" t="inlineStr">
        <is>
          <t>LCH06</t>
        </is>
      </c>
      <c r="C119" s="108" t="inlineStr">
        <is>
          <t>IFV</t>
        </is>
      </c>
      <c r="D119" s="172" t="inlineStr">
        <is>
          <t>2026-09-26</t>
        </is>
      </c>
      <c r="E119" s="173" t="inlineStr">
        <is>
          <t>1404</t>
        </is>
      </c>
      <c r="F119" s="96" t="inlineStr">
        <is>
          <t>HASLS22260901104</t>
        </is>
      </c>
      <c r="G119" s="96" t="inlineStr">
        <is>
          <t>TTR FREIGHT AND SERVICE COMPANY LIMITED</t>
        </is>
      </c>
      <c r="H119" s="111" t="inlineStr">
        <is>
          <t>22GP</t>
        </is>
      </c>
      <c r="I119" s="96" t="inlineStr">
        <is>
          <t>FTP</t>
        </is>
      </c>
      <c r="J119" s="96" t="inlineStr">
        <is>
          <t>EDI2</t>
        </is>
      </c>
      <c r="K119" s="96" t="n"/>
      <c r="L119" s="111" t="inlineStr">
        <is>
          <t>Full</t>
        </is>
      </c>
      <c r="M119" s="96" t="inlineStr">
        <is>
          <t>HASLS22260901104</t>
        </is>
      </c>
      <c r="N119" s="96" t="inlineStr">
        <is>
          <t xml:space="preserve">20'x9 </t>
        </is>
      </c>
      <c r="O119" s="111" t="inlineStr">
        <is>
          <t>2019</t>
        </is>
      </c>
      <c r="P119" s="111" t="n"/>
      <c r="Q119" s="111" t="n"/>
      <c r="R119" s="96" t="inlineStr">
        <is>
          <t>HAB</t>
        </is>
      </c>
      <c r="S119" s="96" t="inlineStr">
        <is>
          <t>2611N</t>
        </is>
      </c>
      <c r="T119" s="96" t="inlineStr">
        <is>
          <t>LCH06</t>
        </is>
      </c>
      <c r="U119" s="96" t="inlineStr">
        <is>
          <t>THLCH</t>
        </is>
      </c>
      <c r="V119" s="161" t="inlineStr">
        <is>
          <t>2026-10-07</t>
        </is>
      </c>
      <c r="W119" s="96" t="inlineStr">
        <is>
          <t>CNSHA</t>
        </is>
      </c>
      <c r="X119" s="161" t="inlineStr">
        <is>
          <t>2026-10-13</t>
        </is>
      </c>
      <c r="Y119" s="97" t="n"/>
      <c r="Z119" s="97" t="n"/>
      <c r="AA119" s="97" t="n"/>
      <c r="AB119" s="97" t="n"/>
      <c r="AC119" s="97" t="n"/>
      <c r="AD119" s="161" t="inlineStr">
        <is>
          <t>2026-09-26</t>
        </is>
      </c>
      <c r="AE119" s="174" t="inlineStr">
        <is>
          <t>1647</t>
        </is>
      </c>
      <c r="AF119" s="96" t="inlineStr">
        <is>
          <t>EDI2</t>
        </is>
      </c>
      <c r="AG119" s="97" t="n"/>
      <c r="AH119" s="97" t="n"/>
      <c r="AI119" s="97" t="n"/>
      <c r="AJ119" s="96" t="inlineStr">
        <is>
          <t>ZHANGJIAGANG FREE TRADE ZONE</t>
        </is>
      </c>
      <c r="AK119" s="130" t="n"/>
    </row>
    <row r="120" ht="12" customHeight="1">
      <c r="A120" s="108" t="inlineStr">
        <is>
          <t>SKLU1948147</t>
        </is>
      </c>
      <c r="B120" s="108" t="inlineStr">
        <is>
          <t>LCH06</t>
        </is>
      </c>
      <c r="C120" s="108" t="inlineStr">
        <is>
          <t>IFV</t>
        </is>
      </c>
      <c r="D120" s="172" t="inlineStr">
        <is>
          <t>2026-10-07</t>
        </is>
      </c>
      <c r="E120" s="173" t="inlineStr">
        <is>
          <t>1024</t>
        </is>
      </c>
      <c r="F120" s="96" t="inlineStr">
        <is>
          <t>HASLS22260902022</t>
        </is>
      </c>
      <c r="G120" s="96" t="inlineStr">
        <is>
          <t>RCL LOGISTICS CO., LTD.</t>
        </is>
      </c>
      <c r="H120" s="111" t="inlineStr">
        <is>
          <t>22GP</t>
        </is>
      </c>
      <c r="I120" s="96" t="inlineStr">
        <is>
          <t>FTP</t>
        </is>
      </c>
      <c r="J120" s="96" t="inlineStr">
        <is>
          <t>EDI2</t>
        </is>
      </c>
      <c r="K120" s="96" t="n"/>
      <c r="L120" s="111" t="inlineStr">
        <is>
          <t>Full</t>
        </is>
      </c>
      <c r="M120" s="96" t="inlineStr">
        <is>
          <t>HASLS22260902022</t>
        </is>
      </c>
      <c r="N120" s="96" t="inlineStr">
        <is>
          <t xml:space="preserve">20'x1 </t>
        </is>
      </c>
      <c r="O120" s="111" t="inlineStr">
        <is>
          <t>2019</t>
        </is>
      </c>
      <c r="P120" s="111" t="n"/>
      <c r="Q120" s="111" t="n"/>
      <c r="R120" s="96" t="inlineStr">
        <is>
          <t>SWVG</t>
        </is>
      </c>
      <c r="S120" s="96" t="inlineStr">
        <is>
          <t>2612N</t>
        </is>
      </c>
      <c r="T120" s="96" t="inlineStr">
        <is>
          <t>LCH06</t>
        </is>
      </c>
      <c r="U120" s="96" t="inlineStr">
        <is>
          <t>THLCH</t>
        </is>
      </c>
      <c r="V120" s="161" t="inlineStr">
        <is>
          <t>2026-10-07</t>
        </is>
      </c>
      <c r="W120" s="96" t="inlineStr">
        <is>
          <t>CNSHA</t>
        </is>
      </c>
      <c r="X120" s="161" t="inlineStr">
        <is>
          <t>2026-10-13</t>
        </is>
      </c>
      <c r="Y120" s="97" t="n"/>
      <c r="Z120" s="97" t="n"/>
      <c r="AA120" s="97" t="n"/>
      <c r="AB120" s="97" t="n"/>
      <c r="AC120" s="97" t="n"/>
      <c r="AD120" s="161" t="inlineStr">
        <is>
          <t>2026-10-07</t>
        </is>
      </c>
      <c r="AE120" s="174" t="inlineStr">
        <is>
          <t>1324</t>
        </is>
      </c>
      <c r="AF120" s="96" t="inlineStr">
        <is>
          <t>EDI2</t>
        </is>
      </c>
      <c r="AG120" s="97" t="n"/>
      <c r="AH120" s="97" t="n"/>
      <c r="AI120" s="97" t="n"/>
      <c r="AJ120" s="96" t="inlineStr">
        <is>
          <t>SHANGHAI NET CHEMICAL CO.,LTD.</t>
        </is>
      </c>
      <c r="AK120" s="130" t="n"/>
    </row>
    <row r="121" ht="12" customHeight="1">
      <c r="A121" s="108" t="inlineStr">
        <is>
          <t>SKLU2075931</t>
        </is>
      </c>
      <c r="B121" s="108" t="inlineStr">
        <is>
          <t>LCH06</t>
        </is>
      </c>
      <c r="C121" s="108" t="inlineStr">
        <is>
          <t>IFV</t>
        </is>
      </c>
      <c r="D121" s="172" t="inlineStr">
        <is>
          <t>2026-09-26</t>
        </is>
      </c>
      <c r="E121" s="173" t="inlineStr">
        <is>
          <t>2122</t>
        </is>
      </c>
      <c r="F121" s="96" t="inlineStr">
        <is>
          <t>HASLS22260901104</t>
        </is>
      </c>
      <c r="G121" s="96" t="inlineStr">
        <is>
          <t>TTR FREIGHT AND SERVICE COMPANY LIMITED</t>
        </is>
      </c>
      <c r="H121" s="111" t="inlineStr">
        <is>
          <t>22GP</t>
        </is>
      </c>
      <c r="I121" s="96" t="inlineStr">
        <is>
          <t>FTP</t>
        </is>
      </c>
      <c r="J121" s="96" t="inlineStr">
        <is>
          <t>EDI2</t>
        </is>
      </c>
      <c r="K121" s="96" t="n"/>
      <c r="L121" s="111" t="inlineStr">
        <is>
          <t>Full</t>
        </is>
      </c>
      <c r="M121" s="96" t="inlineStr">
        <is>
          <t>HASLS22260901104</t>
        </is>
      </c>
      <c r="N121" s="96" t="inlineStr">
        <is>
          <t xml:space="preserve">20'x9 </t>
        </is>
      </c>
      <c r="O121" s="111" t="inlineStr">
        <is>
          <t>2019</t>
        </is>
      </c>
      <c r="P121" s="111" t="n"/>
      <c r="Q121" s="111" t="n"/>
      <c r="R121" s="96" t="inlineStr">
        <is>
          <t>HAB</t>
        </is>
      </c>
      <c r="S121" s="96" t="inlineStr">
        <is>
          <t>2611N</t>
        </is>
      </c>
      <c r="T121" s="96" t="inlineStr">
        <is>
          <t>LCH06</t>
        </is>
      </c>
      <c r="U121" s="96" t="inlineStr">
        <is>
          <t>THLCH</t>
        </is>
      </c>
      <c r="V121" s="161" t="inlineStr">
        <is>
          <t>2026-10-07</t>
        </is>
      </c>
      <c r="W121" s="96" t="inlineStr">
        <is>
          <t>CNSHA</t>
        </is>
      </c>
      <c r="X121" s="161" t="inlineStr">
        <is>
          <t>2026-10-13</t>
        </is>
      </c>
      <c r="Y121" s="97" t="n"/>
      <c r="Z121" s="97" t="n"/>
      <c r="AA121" s="97" t="n"/>
      <c r="AB121" s="97" t="n"/>
      <c r="AC121" s="97" t="n"/>
      <c r="AD121" s="161" t="inlineStr">
        <is>
          <t>2026-09-26</t>
        </is>
      </c>
      <c r="AE121" s="174" t="inlineStr">
        <is>
          <t>2350</t>
        </is>
      </c>
      <c r="AF121" s="96" t="inlineStr">
        <is>
          <t>EDI2</t>
        </is>
      </c>
      <c r="AG121" s="97" t="n"/>
      <c r="AH121" s="97" t="n"/>
      <c r="AI121" s="97" t="n"/>
      <c r="AJ121" s="96" t="inlineStr">
        <is>
          <t>ZHANGJIAGANG FREE TRADE ZONE</t>
        </is>
      </c>
      <c r="AK121" s="130" t="n"/>
    </row>
    <row r="122" ht="12" customHeight="1">
      <c r="A122" s="108" t="inlineStr">
        <is>
          <t>SKLU2112212</t>
        </is>
      </c>
      <c r="B122" s="108" t="inlineStr">
        <is>
          <t>LCH06</t>
        </is>
      </c>
      <c r="C122" s="108" t="inlineStr">
        <is>
          <t>IFV</t>
        </is>
      </c>
      <c r="D122" s="172" t="inlineStr">
        <is>
          <t>2026-10-04</t>
        </is>
      </c>
      <c r="E122" s="173" t="inlineStr">
        <is>
          <t>0259</t>
        </is>
      </c>
      <c r="F122" s="96" t="inlineStr">
        <is>
          <t>HASLS22260902147</t>
        </is>
      </c>
      <c r="G122" s="96" t="inlineStr">
        <is>
          <t>DOUBLE A (1991) PUBLIC COMPANY LIMITED</t>
        </is>
      </c>
      <c r="H122" s="111" t="inlineStr">
        <is>
          <t>22GP</t>
        </is>
      </c>
      <c r="I122" s="96" t="inlineStr">
        <is>
          <t>FTP</t>
        </is>
      </c>
      <c r="J122" s="96" t="inlineStr">
        <is>
          <t>EDI2</t>
        </is>
      </c>
      <c r="K122" s="96" t="n"/>
      <c r="L122" s="111" t="inlineStr">
        <is>
          <t>Full</t>
        </is>
      </c>
      <c r="M122" s="96" t="inlineStr">
        <is>
          <t>HASLS22260902147</t>
        </is>
      </c>
      <c r="N122" s="96" t="inlineStr">
        <is>
          <t xml:space="preserve">40Hx1 20'x2 </t>
        </is>
      </c>
      <c r="O122" s="111" t="inlineStr">
        <is>
          <t>2021</t>
        </is>
      </c>
      <c r="P122" s="111" t="n"/>
      <c r="Q122" s="111" t="n"/>
      <c r="R122" s="96" t="inlineStr">
        <is>
          <t>SWVG</t>
        </is>
      </c>
      <c r="S122" s="96" t="inlineStr">
        <is>
          <t>2612N</t>
        </is>
      </c>
      <c r="T122" s="96" t="inlineStr">
        <is>
          <t>LCH06</t>
        </is>
      </c>
      <c r="U122" s="96" t="inlineStr">
        <is>
          <t>THLCH</t>
        </is>
      </c>
      <c r="V122" s="161" t="inlineStr">
        <is>
          <t>2026-10-07</t>
        </is>
      </c>
      <c r="W122" s="96" t="inlineStr">
        <is>
          <t>CNSHA</t>
        </is>
      </c>
      <c r="X122" s="161" t="inlineStr">
        <is>
          <t>2026-10-13</t>
        </is>
      </c>
      <c r="Y122" s="97" t="n"/>
      <c r="Z122" s="97" t="n"/>
      <c r="AA122" s="97" t="n"/>
      <c r="AB122" s="97" t="n"/>
      <c r="AC122" s="97" t="n"/>
      <c r="AD122" s="161" t="inlineStr">
        <is>
          <t>2026-10-04</t>
        </is>
      </c>
      <c r="AE122" s="174" t="inlineStr">
        <is>
          <t>0649</t>
        </is>
      </c>
      <c r="AF122" s="96" t="inlineStr">
        <is>
          <t>EDI2</t>
        </is>
      </c>
      <c r="AG122" s="97" t="n"/>
      <c r="AH122" s="97" t="n"/>
      <c r="AI122" s="97" t="n"/>
      <c r="AJ122" s="96" t="inlineStr">
        <is>
          <t>DOUBLE A INTERNATIONAL TRADING</t>
        </is>
      </c>
      <c r="AK122" s="130" t="n"/>
    </row>
    <row r="123" ht="12" customHeight="1">
      <c r="A123" s="108" t="inlineStr">
        <is>
          <t>SKLU2125992</t>
        </is>
      </c>
      <c r="B123" s="108" t="inlineStr">
        <is>
          <t>LCH06</t>
        </is>
      </c>
      <c r="C123" s="108" t="inlineStr">
        <is>
          <t>IFV</t>
        </is>
      </c>
      <c r="D123" s="172" t="inlineStr">
        <is>
          <t>2026-10-02</t>
        </is>
      </c>
      <c r="E123" s="173" t="inlineStr">
        <is>
          <t>1653</t>
        </is>
      </c>
      <c r="F123" s="96" t="inlineStr">
        <is>
          <t>HASLS22260902059</t>
        </is>
      </c>
      <c r="G123" s="96" t="inlineStr">
        <is>
          <t>SCGJWD LOGISTICS PUBLIC COMPANY LIMITED</t>
        </is>
      </c>
      <c r="H123" s="111" t="inlineStr">
        <is>
          <t>22GP</t>
        </is>
      </c>
      <c r="I123" s="96" t="inlineStr">
        <is>
          <t>FTP</t>
        </is>
      </c>
      <c r="J123" s="96" t="inlineStr">
        <is>
          <t>EDI2</t>
        </is>
      </c>
      <c r="K123" s="96" t="n"/>
      <c r="L123" s="111" t="inlineStr">
        <is>
          <t>Full</t>
        </is>
      </c>
      <c r="M123" s="96" t="inlineStr">
        <is>
          <t>HASLS22260902059</t>
        </is>
      </c>
      <c r="N123" s="96" t="inlineStr">
        <is>
          <t xml:space="preserve">20'x2 </t>
        </is>
      </c>
      <c r="O123" s="111" t="inlineStr">
        <is>
          <t>2021</t>
        </is>
      </c>
      <c r="P123" s="111" t="n"/>
      <c r="Q123" s="111" t="n"/>
      <c r="R123" s="96" t="inlineStr">
        <is>
          <t>SWVG</t>
        </is>
      </c>
      <c r="S123" s="96" t="inlineStr">
        <is>
          <t>2612N</t>
        </is>
      </c>
      <c r="T123" s="96" t="inlineStr">
        <is>
          <t>LCH06</t>
        </is>
      </c>
      <c r="U123" s="96" t="inlineStr">
        <is>
          <t>THLCH</t>
        </is>
      </c>
      <c r="V123" s="161" t="inlineStr">
        <is>
          <t>2026-10-07</t>
        </is>
      </c>
      <c r="W123" s="96" t="inlineStr">
        <is>
          <t>JPHHE</t>
        </is>
      </c>
      <c r="X123" s="161" t="inlineStr">
        <is>
          <t>2026-10-15</t>
        </is>
      </c>
      <c r="Y123" s="97" t="n"/>
      <c r="Z123" s="97" t="n"/>
      <c r="AA123" s="97" t="n"/>
      <c r="AB123" s="97" t="n"/>
      <c r="AC123" s="97" t="n"/>
      <c r="AD123" s="161" t="inlineStr">
        <is>
          <t>2026-10-02</t>
        </is>
      </c>
      <c r="AE123" s="174" t="inlineStr">
        <is>
          <t>2043</t>
        </is>
      </c>
      <c r="AF123" s="96" t="inlineStr">
        <is>
          <t>EDI2</t>
        </is>
      </c>
      <c r="AG123" s="97" t="n"/>
      <c r="AH123" s="97" t="n"/>
      <c r="AI123" s="97" t="n"/>
      <c r="AJ123" s="96" t="inlineStr">
        <is>
          <t>MARUBENI INNOVEXIS CORPORATION</t>
        </is>
      </c>
      <c r="AK123" s="130" t="n"/>
    </row>
    <row r="124" ht="12" customHeight="1">
      <c r="A124" s="108" t="inlineStr">
        <is>
          <t>SKLU2303034</t>
        </is>
      </c>
      <c r="B124" s="108" t="inlineStr">
        <is>
          <t>LCH06</t>
        </is>
      </c>
      <c r="C124" s="108" t="inlineStr">
        <is>
          <t>IFV</t>
        </is>
      </c>
      <c r="D124" s="172" t="inlineStr">
        <is>
          <t>2026-10-05</t>
        </is>
      </c>
      <c r="E124" s="173" t="inlineStr">
        <is>
          <t>1456</t>
        </is>
      </c>
      <c r="F124" s="96" t="inlineStr">
        <is>
          <t>HASLS22260900208</t>
        </is>
      </c>
      <c r="G124" s="96" t="inlineStr">
        <is>
          <t>EXPEDITORS (THAILAND) LTD.</t>
        </is>
      </c>
      <c r="H124" s="111" t="inlineStr">
        <is>
          <t>22GP</t>
        </is>
      </c>
      <c r="I124" s="96" t="inlineStr">
        <is>
          <t>FTP</t>
        </is>
      </c>
      <c r="J124" s="96" t="inlineStr">
        <is>
          <t>EDI2</t>
        </is>
      </c>
      <c r="K124" s="96" t="n"/>
      <c r="L124" s="111" t="inlineStr">
        <is>
          <t>Full</t>
        </is>
      </c>
      <c r="M124" s="96" t="inlineStr">
        <is>
          <t>HASLS22260900208</t>
        </is>
      </c>
      <c r="N124" s="96" t="inlineStr">
        <is>
          <t xml:space="preserve">20'x1 </t>
        </is>
      </c>
      <c r="O124" s="111" t="inlineStr">
        <is>
          <t>2023</t>
        </is>
      </c>
      <c r="P124" s="111" t="n"/>
      <c r="Q124" s="111" t="n"/>
      <c r="R124" s="96" t="inlineStr">
        <is>
          <t>SWVG</t>
        </is>
      </c>
      <c r="S124" s="96" t="inlineStr">
        <is>
          <t>2612N</t>
        </is>
      </c>
      <c r="T124" s="96" t="inlineStr">
        <is>
          <t>LCH06</t>
        </is>
      </c>
      <c r="U124" s="96" t="inlineStr">
        <is>
          <t>THLCH</t>
        </is>
      </c>
      <c r="V124" s="161" t="inlineStr">
        <is>
          <t>2026-10-07</t>
        </is>
      </c>
      <c r="W124" s="96" t="inlineStr">
        <is>
          <t>CNSHA</t>
        </is>
      </c>
      <c r="X124" s="161" t="inlineStr">
        <is>
          <t>2026-10-13</t>
        </is>
      </c>
      <c r="Y124" s="97" t="n"/>
      <c r="Z124" s="97" t="n"/>
      <c r="AA124" s="97" t="n"/>
      <c r="AB124" s="97" t="n"/>
      <c r="AC124" s="97" t="n"/>
      <c r="AD124" s="161" t="inlineStr">
        <is>
          <t>2026-10-05</t>
        </is>
      </c>
      <c r="AE124" s="174" t="inlineStr">
        <is>
          <t>1808</t>
        </is>
      </c>
      <c r="AF124" s="96" t="inlineStr">
        <is>
          <t>EDI2</t>
        </is>
      </c>
      <c r="AG124" s="97" t="n"/>
      <c r="AH124" s="97" t="n"/>
      <c r="AI124" s="97" t="n"/>
      <c r="AJ124" s="96" t="inlineStr">
        <is>
          <t>BEIJING KANG JIE KONG INTERNATIONAL</t>
        </is>
      </c>
      <c r="AK124" s="130" t="n"/>
    </row>
    <row r="125" ht="12" customHeight="1">
      <c r="A125" s="108" t="inlineStr">
        <is>
          <t>SKLU2361365</t>
        </is>
      </c>
      <c r="B125" s="108" t="inlineStr">
        <is>
          <t>LCH06</t>
        </is>
      </c>
      <c r="C125" s="108" t="inlineStr">
        <is>
          <t>IFV</t>
        </is>
      </c>
      <c r="D125" s="172" t="inlineStr">
        <is>
          <t>2026-10-04</t>
        </is>
      </c>
      <c r="E125" s="173" t="inlineStr">
        <is>
          <t>0755</t>
        </is>
      </c>
      <c r="F125" s="96" t="inlineStr">
        <is>
          <t>HASLS22260900438</t>
        </is>
      </c>
      <c r="G125" s="96" t="inlineStr">
        <is>
          <t>DOW CHEMICAL THAILAND LTD.</t>
        </is>
      </c>
      <c r="H125" s="111" t="inlineStr">
        <is>
          <t>22GP</t>
        </is>
      </c>
      <c r="I125" s="96" t="inlineStr">
        <is>
          <t>FTP</t>
        </is>
      </c>
      <c r="J125" s="96" t="inlineStr">
        <is>
          <t>EDI2</t>
        </is>
      </c>
      <c r="K125" s="96" t="n"/>
      <c r="L125" s="111" t="inlineStr">
        <is>
          <t>Full</t>
        </is>
      </c>
      <c r="M125" s="96" t="inlineStr">
        <is>
          <t>HASLS22260900438</t>
        </is>
      </c>
      <c r="N125" s="96" t="inlineStr">
        <is>
          <t xml:space="preserve">20'x1 </t>
        </is>
      </c>
      <c r="O125" s="111" t="inlineStr">
        <is>
          <t>2023</t>
        </is>
      </c>
      <c r="P125" s="111" t="n"/>
      <c r="Q125" s="111" t="n"/>
      <c r="R125" s="96" t="inlineStr">
        <is>
          <t>SWVG</t>
        </is>
      </c>
      <c r="S125" s="96" t="inlineStr">
        <is>
          <t>2612N</t>
        </is>
      </c>
      <c r="T125" s="96" t="inlineStr">
        <is>
          <t>LCH06</t>
        </is>
      </c>
      <c r="U125" s="96" t="inlineStr">
        <is>
          <t>THLCH</t>
        </is>
      </c>
      <c r="V125" s="161" t="inlineStr">
        <is>
          <t>2026-10-07</t>
        </is>
      </c>
      <c r="W125" s="96" t="inlineStr">
        <is>
          <t>JPNGO</t>
        </is>
      </c>
      <c r="X125" s="161" t="inlineStr">
        <is>
          <t>2026-10-15</t>
        </is>
      </c>
      <c r="Y125" s="97" t="n"/>
      <c r="Z125" s="97" t="n"/>
      <c r="AA125" s="97" t="n"/>
      <c r="AB125" s="97" t="n"/>
      <c r="AC125" s="97" t="n"/>
      <c r="AD125" s="161" t="inlineStr">
        <is>
          <t>2026-10-04</t>
        </is>
      </c>
      <c r="AE125" s="174" t="inlineStr">
        <is>
          <t>1055</t>
        </is>
      </c>
      <c r="AF125" s="96" t="inlineStr">
        <is>
          <t>EDI2</t>
        </is>
      </c>
      <c r="AG125" s="97" t="n"/>
      <c r="AH125" s="97" t="n"/>
      <c r="AI125" s="97" t="n"/>
      <c r="AJ125" s="96" t="inlineStr">
        <is>
          <t>DOW CHEMICAL JAPAN LIMITED</t>
        </is>
      </c>
      <c r="AK125" s="130" t="n"/>
    </row>
    <row r="126" ht="12" customHeight="1">
      <c r="A126" s="108" t="inlineStr">
        <is>
          <t>SKLU2409216</t>
        </is>
      </c>
      <c r="B126" s="108" t="inlineStr">
        <is>
          <t>LCH06</t>
        </is>
      </c>
      <c r="C126" s="108" t="inlineStr">
        <is>
          <t>IFV</t>
        </is>
      </c>
      <c r="D126" s="172" t="inlineStr">
        <is>
          <t>2026-10-04</t>
        </is>
      </c>
      <c r="E126" s="173" t="inlineStr">
        <is>
          <t>0720</t>
        </is>
      </c>
      <c r="F126" s="96" t="inlineStr">
        <is>
          <t>HASLS22260900437</t>
        </is>
      </c>
      <c r="G126" s="96" t="inlineStr">
        <is>
          <t>DOW CHEMICAL THAILAND LTD.</t>
        </is>
      </c>
      <c r="H126" s="111" t="inlineStr">
        <is>
          <t>22GP</t>
        </is>
      </c>
      <c r="I126" s="96" t="inlineStr">
        <is>
          <t>FTP</t>
        </is>
      </c>
      <c r="J126" s="96" t="inlineStr">
        <is>
          <t>EDI2</t>
        </is>
      </c>
      <c r="K126" s="96" t="n"/>
      <c r="L126" s="111" t="inlineStr">
        <is>
          <t>Full</t>
        </is>
      </c>
      <c r="M126" s="96" t="inlineStr">
        <is>
          <t>HASLS22260900437</t>
        </is>
      </c>
      <c r="N126" s="96" t="inlineStr">
        <is>
          <t xml:space="preserve">20'x1 </t>
        </is>
      </c>
      <c r="O126" s="111" t="inlineStr">
        <is>
          <t>2024</t>
        </is>
      </c>
      <c r="P126" s="111" t="n"/>
      <c r="Q126" s="111" t="n"/>
      <c r="R126" s="96" t="inlineStr">
        <is>
          <t>SWVG</t>
        </is>
      </c>
      <c r="S126" s="96" t="inlineStr">
        <is>
          <t>2612N</t>
        </is>
      </c>
      <c r="T126" s="96" t="inlineStr">
        <is>
          <t>LCH06</t>
        </is>
      </c>
      <c r="U126" s="96" t="inlineStr">
        <is>
          <t>THLCH</t>
        </is>
      </c>
      <c r="V126" s="161" t="inlineStr">
        <is>
          <t>2026-10-07</t>
        </is>
      </c>
      <c r="W126" s="96" t="inlineStr">
        <is>
          <t>JPNGO</t>
        </is>
      </c>
      <c r="X126" s="161" t="inlineStr">
        <is>
          <t>2026-10-15</t>
        </is>
      </c>
      <c r="Y126" s="97" t="n"/>
      <c r="Z126" s="97" t="n"/>
      <c r="AA126" s="97" t="n"/>
      <c r="AB126" s="97" t="n"/>
      <c r="AC126" s="97" t="n"/>
      <c r="AD126" s="161" t="inlineStr">
        <is>
          <t>2026-10-04</t>
        </is>
      </c>
      <c r="AE126" s="174" t="inlineStr">
        <is>
          <t>0952</t>
        </is>
      </c>
      <c r="AF126" s="96" t="inlineStr">
        <is>
          <t>EDI2</t>
        </is>
      </c>
      <c r="AG126" s="97" t="n"/>
      <c r="AH126" s="97" t="n"/>
      <c r="AI126" s="97" t="n"/>
      <c r="AJ126" s="96" t="inlineStr">
        <is>
          <t>DOW CHEMICAL JAPAN LIMITED</t>
        </is>
      </c>
      <c r="AK126" s="130" t="n"/>
    </row>
    <row r="127" ht="12" customHeight="1">
      <c r="A127" s="108" t="inlineStr">
        <is>
          <t>SKLU2409833</t>
        </is>
      </c>
      <c r="B127" s="108" t="inlineStr">
        <is>
          <t>LCH06</t>
        </is>
      </c>
      <c r="C127" s="108" t="inlineStr">
        <is>
          <t>IFV</t>
        </is>
      </c>
      <c r="D127" s="172" t="inlineStr">
        <is>
          <t>2026-10-03</t>
        </is>
      </c>
      <c r="E127" s="173" t="inlineStr">
        <is>
          <t>0352</t>
        </is>
      </c>
      <c r="F127" s="96" t="inlineStr">
        <is>
          <t>HASLS22260901582</t>
        </is>
      </c>
      <c r="G127" s="96" t="inlineStr">
        <is>
          <t>SCGJWD LOGISTICS PUBLIC COMPANY LIMITED</t>
        </is>
      </c>
      <c r="H127" s="111" t="inlineStr">
        <is>
          <t>22GP</t>
        </is>
      </c>
      <c r="I127" s="96" t="inlineStr">
        <is>
          <t>FTP</t>
        </is>
      </c>
      <c r="J127" s="96" t="inlineStr">
        <is>
          <t>EDI2</t>
        </is>
      </c>
      <c r="K127" s="96" t="n"/>
      <c r="L127" s="111" t="inlineStr">
        <is>
          <t>Full</t>
        </is>
      </c>
      <c r="M127" s="96" t="inlineStr">
        <is>
          <t>HASLS22260901582</t>
        </is>
      </c>
      <c r="N127" s="96" t="inlineStr">
        <is>
          <t xml:space="preserve">20'x5 </t>
        </is>
      </c>
      <c r="O127" s="111" t="inlineStr">
        <is>
          <t>2024</t>
        </is>
      </c>
      <c r="P127" s="111" t="n"/>
      <c r="Q127" s="111" t="n"/>
      <c r="R127" s="96" t="inlineStr">
        <is>
          <t>SWVG</t>
        </is>
      </c>
      <c r="S127" s="96" t="inlineStr">
        <is>
          <t>2612N</t>
        </is>
      </c>
      <c r="T127" s="96" t="inlineStr">
        <is>
          <t>LCH06</t>
        </is>
      </c>
      <c r="U127" s="96" t="inlineStr">
        <is>
          <t>THLCH</t>
        </is>
      </c>
      <c r="V127" s="161" t="inlineStr">
        <is>
          <t>2026-10-07</t>
        </is>
      </c>
      <c r="W127" s="96" t="inlineStr">
        <is>
          <t>JPMOJ</t>
        </is>
      </c>
      <c r="X127" s="161" t="inlineStr">
        <is>
          <t>2026-10-15</t>
        </is>
      </c>
      <c r="Y127" s="97" t="n"/>
      <c r="Z127" s="97" t="n"/>
      <c r="AA127" s="97" t="n"/>
      <c r="AB127" s="97" t="n"/>
      <c r="AC127" s="97" t="n"/>
      <c r="AD127" s="161" t="inlineStr">
        <is>
          <t>2026-10-03</t>
        </is>
      </c>
      <c r="AE127" s="174" t="inlineStr">
        <is>
          <t>0718</t>
        </is>
      </c>
      <c r="AF127" s="96" t="inlineStr">
        <is>
          <t>EDI2</t>
        </is>
      </c>
      <c r="AG127" s="97" t="n"/>
      <c r="AH127" s="97" t="n"/>
      <c r="AI127" s="97" t="n"/>
      <c r="AJ127" s="96" t="inlineStr">
        <is>
          <t>TOYOTSU CHEMIPLAS CORPORATION,</t>
        </is>
      </c>
      <c r="AK127" s="130" t="n"/>
    </row>
    <row r="128" ht="12" customHeight="1">
      <c r="A128" s="108" t="inlineStr">
        <is>
          <t>SKLU2474000</t>
        </is>
      </c>
      <c r="B128" s="108" t="inlineStr">
        <is>
          <t>LCH06</t>
        </is>
      </c>
      <c r="C128" s="108" t="inlineStr">
        <is>
          <t>IFV</t>
        </is>
      </c>
      <c r="D128" s="172" t="inlineStr">
        <is>
          <t>2026-10-05</t>
        </is>
      </c>
      <c r="E128" s="173" t="inlineStr">
        <is>
          <t>2359</t>
        </is>
      </c>
      <c r="F128" s="96" t="inlineStr">
        <is>
          <t>HASLS22260901331</t>
        </is>
      </c>
      <c r="G128" s="96" t="inlineStr">
        <is>
          <t>ROJANA DISTRIBUTION CENTER CO., LTD.</t>
        </is>
      </c>
      <c r="H128" s="111" t="inlineStr">
        <is>
          <t>22GP</t>
        </is>
      </c>
      <c r="I128" s="96" t="inlineStr">
        <is>
          <t>FTP</t>
        </is>
      </c>
      <c r="J128" s="96" t="inlineStr">
        <is>
          <t>EDI2</t>
        </is>
      </c>
      <c r="K128" s="96" t="n"/>
      <c r="L128" s="111" t="inlineStr">
        <is>
          <t>Full</t>
        </is>
      </c>
      <c r="M128" s="96" t="inlineStr">
        <is>
          <t>HASLS22260901331</t>
        </is>
      </c>
      <c r="N128" s="96" t="inlineStr">
        <is>
          <t xml:space="preserve">20'x1 </t>
        </is>
      </c>
      <c r="O128" s="111" t="inlineStr">
        <is>
          <t>2024</t>
        </is>
      </c>
      <c r="P128" s="111" t="n"/>
      <c r="Q128" s="111" t="n"/>
      <c r="R128" s="96" t="inlineStr">
        <is>
          <t>SWVG</t>
        </is>
      </c>
      <c r="S128" s="96" t="inlineStr">
        <is>
          <t>2612N</t>
        </is>
      </c>
      <c r="T128" s="96" t="inlineStr">
        <is>
          <t>LCH06</t>
        </is>
      </c>
      <c r="U128" s="96" t="inlineStr">
        <is>
          <t>THLCH</t>
        </is>
      </c>
      <c r="V128" s="161" t="inlineStr">
        <is>
          <t>2026-10-07</t>
        </is>
      </c>
      <c r="W128" s="96" t="inlineStr">
        <is>
          <t>JPTMK</t>
        </is>
      </c>
      <c r="X128" s="161" t="inlineStr">
        <is>
          <t>2026-10-15</t>
        </is>
      </c>
      <c r="Y128" s="97" t="n"/>
      <c r="Z128" s="97" t="n"/>
      <c r="AA128" s="97" t="n"/>
      <c r="AB128" s="97" t="n"/>
      <c r="AC128" s="97" t="n"/>
      <c r="AD128" s="161" t="inlineStr">
        <is>
          <t>2026-10-06</t>
        </is>
      </c>
      <c r="AE128" s="174" t="inlineStr">
        <is>
          <t>0312</t>
        </is>
      </c>
      <c r="AF128" s="96" t="inlineStr">
        <is>
          <t>EDI2</t>
        </is>
      </c>
      <c r="AG128" s="97" t="n"/>
      <c r="AH128" s="97" t="n"/>
      <c r="AI128" s="97" t="n"/>
      <c r="AJ128" s="96" t="inlineStr">
        <is>
          <t>THE SUMITOMO WAREHOUSE CO., LTD.</t>
        </is>
      </c>
      <c r="AK128" s="130" t="n"/>
    </row>
    <row r="129" ht="12" customHeight="1">
      <c r="A129" s="108" t="inlineStr">
        <is>
          <t>TCLU1829458</t>
        </is>
      </c>
      <c r="B129" s="108" t="inlineStr">
        <is>
          <t>LCH06</t>
        </is>
      </c>
      <c r="C129" s="108" t="inlineStr">
        <is>
          <t>IFV</t>
        </is>
      </c>
      <c r="D129" s="172" t="inlineStr">
        <is>
          <t>2026-09-28</t>
        </is>
      </c>
      <c r="E129" s="173" t="inlineStr">
        <is>
          <t>2150</t>
        </is>
      </c>
      <c r="F129" s="96" t="inlineStr">
        <is>
          <t>HASLS22260802507</t>
        </is>
      </c>
      <c r="G129" s="96" t="inlineStr">
        <is>
          <t>WHA GC LOGISTICS COMPANY LIMITED</t>
        </is>
      </c>
      <c r="H129" s="111" t="inlineStr">
        <is>
          <t>45GP</t>
        </is>
      </c>
      <c r="I129" s="96" t="inlineStr">
        <is>
          <t>FTP</t>
        </is>
      </c>
      <c r="J129" s="96" t="inlineStr">
        <is>
          <t>EDI2</t>
        </is>
      </c>
      <c r="K129" s="96" t="n"/>
      <c r="L129" s="111" t="inlineStr">
        <is>
          <t>Full</t>
        </is>
      </c>
      <c r="M129" s="96" t="inlineStr">
        <is>
          <t>HASLS22260802507</t>
        </is>
      </c>
      <c r="N129" s="96" t="inlineStr">
        <is>
          <t xml:space="preserve">40Hx10 </t>
        </is>
      </c>
      <c r="O129" s="111" t="inlineStr">
        <is>
          <t>2014</t>
        </is>
      </c>
      <c r="P129" s="111" t="n"/>
      <c r="Q129" s="111" t="n"/>
      <c r="R129" s="96" t="inlineStr">
        <is>
          <t>SWVG</t>
        </is>
      </c>
      <c r="S129" s="96" t="inlineStr">
        <is>
          <t>2612N</t>
        </is>
      </c>
      <c r="T129" s="96" t="inlineStr">
        <is>
          <t>LCH06</t>
        </is>
      </c>
      <c r="U129" s="96" t="inlineStr">
        <is>
          <t>THLCH</t>
        </is>
      </c>
      <c r="V129" s="161" t="inlineStr">
        <is>
          <t>2026-10-07</t>
        </is>
      </c>
      <c r="W129" s="96" t="inlineStr">
        <is>
          <t>CNSHA</t>
        </is>
      </c>
      <c r="X129" s="161" t="inlineStr">
        <is>
          <t>2026-10-13</t>
        </is>
      </c>
      <c r="Y129" s="97" t="n"/>
      <c r="Z129" s="97" t="n"/>
      <c r="AA129" s="97" t="n"/>
      <c r="AB129" s="97" t="n"/>
      <c r="AC129" s="97" t="n"/>
      <c r="AD129" s="161" t="inlineStr">
        <is>
          <t>2026-09-29</t>
        </is>
      </c>
      <c r="AE129" s="174" t="inlineStr">
        <is>
          <t>0039</t>
        </is>
      </c>
      <c r="AF129" s="96" t="inlineStr">
        <is>
          <t>EDI2</t>
        </is>
      </c>
      <c r="AG129" s="97" t="n"/>
      <c r="AH129" s="97" t="n"/>
      <c r="AI129" s="97" t="n"/>
      <c r="AJ129" s="96" t="inlineStr">
        <is>
          <t>GC MARKETING SOLUTIONS (SHANGHAI)</t>
        </is>
      </c>
      <c r="AK129" s="130" t="n"/>
    </row>
    <row r="130" ht="12" customHeight="1">
      <c r="A130" s="108" t="inlineStr">
        <is>
          <t>TCLU8724124</t>
        </is>
      </c>
      <c r="B130" s="108" t="inlineStr">
        <is>
          <t>LCH06</t>
        </is>
      </c>
      <c r="C130" s="108" t="inlineStr">
        <is>
          <t>IFV</t>
        </is>
      </c>
      <c r="D130" s="172" t="inlineStr">
        <is>
          <t>2026-09-20</t>
        </is>
      </c>
      <c r="E130" s="173" t="inlineStr">
        <is>
          <t>0551</t>
        </is>
      </c>
      <c r="F130" s="96" t="inlineStr">
        <is>
          <t>HASLS22260901668</t>
        </is>
      </c>
      <c r="G130" s="96" t="inlineStr">
        <is>
          <t>BARKLAYS LOGISTICS (THAILAND) CO., LTD.</t>
        </is>
      </c>
      <c r="H130" s="111" t="inlineStr">
        <is>
          <t>45GP</t>
        </is>
      </c>
      <c r="I130" s="96" t="inlineStr">
        <is>
          <t>FTP</t>
        </is>
      </c>
      <c r="J130" s="96" t="inlineStr">
        <is>
          <t>EDI2</t>
        </is>
      </c>
      <c r="K130" s="96" t="n"/>
      <c r="L130" s="111" t="inlineStr">
        <is>
          <t>Full</t>
        </is>
      </c>
      <c r="M130" s="96" t="inlineStr">
        <is>
          <t>HASLS22260901668</t>
        </is>
      </c>
      <c r="N130" s="96" t="inlineStr">
        <is>
          <t xml:space="preserve">40Hx15 </t>
        </is>
      </c>
      <c r="O130" s="111" t="inlineStr">
        <is>
          <t>2012</t>
        </is>
      </c>
      <c r="P130" s="111" t="n"/>
      <c r="Q130" s="111" t="n"/>
      <c r="R130" s="96" t="inlineStr">
        <is>
          <t>HAB</t>
        </is>
      </c>
      <c r="S130" s="96" t="inlineStr">
        <is>
          <t>2611N</t>
        </is>
      </c>
      <c r="T130" s="96" t="inlineStr">
        <is>
          <t>LCH06</t>
        </is>
      </c>
      <c r="U130" s="96" t="inlineStr">
        <is>
          <t>THLCH</t>
        </is>
      </c>
      <c r="V130" s="161" t="inlineStr">
        <is>
          <t>2026-10-07</t>
        </is>
      </c>
      <c r="W130" s="96" t="inlineStr">
        <is>
          <t>CNSHA</t>
        </is>
      </c>
      <c r="X130" s="161" t="inlineStr">
        <is>
          <t>2026-10-13</t>
        </is>
      </c>
      <c r="Y130" s="97" t="n"/>
      <c r="Z130" s="97" t="n"/>
      <c r="AA130" s="97" t="n"/>
      <c r="AB130" s="97" t="n"/>
      <c r="AC130" s="97" t="n"/>
      <c r="AD130" s="161" t="inlineStr">
        <is>
          <t>2026-09-20</t>
        </is>
      </c>
      <c r="AE130" s="174" t="inlineStr">
        <is>
          <t>0821</t>
        </is>
      </c>
      <c r="AF130" s="96" t="inlineStr">
        <is>
          <t>EDI2</t>
        </is>
      </c>
      <c r="AG130" s="97" t="n"/>
      <c r="AH130" s="97" t="n"/>
      <c r="AI130" s="97" t="n"/>
      <c r="AJ130" s="96" t="inlineStr">
        <is>
          <t>BARKLAYS LOGISTICS (SHANGHAI)</t>
        </is>
      </c>
      <c r="AK130" s="130" t="n"/>
    </row>
    <row r="131" ht="12" customHeight="1">
      <c r="A131" s="108" t="inlineStr">
        <is>
          <t>TCLU8767342</t>
        </is>
      </c>
      <c r="B131" s="108" t="inlineStr">
        <is>
          <t>LCH06</t>
        </is>
      </c>
      <c r="C131" s="108" t="inlineStr">
        <is>
          <t>IFV</t>
        </is>
      </c>
      <c r="D131" s="172" t="inlineStr">
        <is>
          <t>2026-09-19</t>
        </is>
      </c>
      <c r="E131" s="173" t="inlineStr">
        <is>
          <t>1725</t>
        </is>
      </c>
      <c r="F131" s="96" t="inlineStr">
        <is>
          <t>HASLS22260900441</t>
        </is>
      </c>
      <c r="G131" s="96" t="inlineStr">
        <is>
          <t>BARKLAYS LOGISTICS (THAILAND) CO., LTD.</t>
        </is>
      </c>
      <c r="H131" s="111" t="inlineStr">
        <is>
          <t>45GP</t>
        </is>
      </c>
      <c r="I131" s="96" t="inlineStr">
        <is>
          <t>FTP</t>
        </is>
      </c>
      <c r="J131" s="96" t="inlineStr">
        <is>
          <t>EDI2</t>
        </is>
      </c>
      <c r="K131" s="96" t="n"/>
      <c r="L131" s="111" t="inlineStr">
        <is>
          <t>Full</t>
        </is>
      </c>
      <c r="M131" s="96" t="inlineStr">
        <is>
          <t>HASLS22260900441</t>
        </is>
      </c>
      <c r="N131" s="96" t="inlineStr">
        <is>
          <t xml:space="preserve">40Hx15 </t>
        </is>
      </c>
      <c r="O131" s="111" t="inlineStr">
        <is>
          <t>2012</t>
        </is>
      </c>
      <c r="P131" s="111" t="n"/>
      <c r="Q131" s="111" t="n"/>
      <c r="R131" s="96" t="inlineStr">
        <is>
          <t>HAB</t>
        </is>
      </c>
      <c r="S131" s="96" t="inlineStr">
        <is>
          <t>2611N</t>
        </is>
      </c>
      <c r="T131" s="96" t="inlineStr">
        <is>
          <t>LCH06</t>
        </is>
      </c>
      <c r="U131" s="96" t="inlineStr">
        <is>
          <t>THLCH</t>
        </is>
      </c>
      <c r="V131" s="161" t="inlineStr">
        <is>
          <t>2026-10-07</t>
        </is>
      </c>
      <c r="W131" s="96" t="inlineStr">
        <is>
          <t>CNSHA</t>
        </is>
      </c>
      <c r="X131" s="161" t="inlineStr">
        <is>
          <t>2026-10-13</t>
        </is>
      </c>
      <c r="Y131" s="97" t="n"/>
      <c r="Z131" s="97" t="n"/>
      <c r="AA131" s="97" t="n"/>
      <c r="AB131" s="97" t="n"/>
      <c r="AC131" s="97" t="n"/>
      <c r="AD131" s="161" t="inlineStr">
        <is>
          <t>2026-09-19</t>
        </is>
      </c>
      <c r="AE131" s="174" t="inlineStr">
        <is>
          <t>1951</t>
        </is>
      </c>
      <c r="AF131" s="96" t="inlineStr">
        <is>
          <t>EDI2</t>
        </is>
      </c>
      <c r="AG131" s="97" t="n"/>
      <c r="AH131" s="97" t="n"/>
      <c r="AI131" s="97" t="n"/>
      <c r="AJ131" s="96" t="inlineStr">
        <is>
          <t>BARKLAYS LOGISTICS (SHANGHAI)</t>
        </is>
      </c>
      <c r="AK131" s="130" t="n"/>
    </row>
    <row r="132" ht="12" customHeight="1">
      <c r="A132" s="108" t="inlineStr">
        <is>
          <t>TCNU4883212</t>
        </is>
      </c>
      <c r="B132" s="108" t="inlineStr">
        <is>
          <t>LCH06</t>
        </is>
      </c>
      <c r="C132" s="108" t="inlineStr">
        <is>
          <t>IFV</t>
        </is>
      </c>
      <c r="D132" s="172" t="inlineStr">
        <is>
          <t>2026-09-20</t>
        </is>
      </c>
      <c r="E132" s="173" t="inlineStr">
        <is>
          <t>0840</t>
        </is>
      </c>
      <c r="F132" s="96" t="inlineStr">
        <is>
          <t>HASLS22260901668</t>
        </is>
      </c>
      <c r="G132" s="96" t="inlineStr">
        <is>
          <t>BARKLAYS LOGISTICS (THAILAND) CO., LTD.</t>
        </is>
      </c>
      <c r="H132" s="111" t="inlineStr">
        <is>
          <t>45GP</t>
        </is>
      </c>
      <c r="I132" s="96" t="inlineStr">
        <is>
          <t>FTP</t>
        </is>
      </c>
      <c r="J132" s="96" t="inlineStr">
        <is>
          <t>EDI2</t>
        </is>
      </c>
      <c r="K132" s="96" t="n"/>
      <c r="L132" s="111" t="inlineStr">
        <is>
          <t>Full</t>
        </is>
      </c>
      <c r="M132" s="96" t="inlineStr">
        <is>
          <t>HASLS22260901668</t>
        </is>
      </c>
      <c r="N132" s="96" t="inlineStr">
        <is>
          <t xml:space="preserve">40Hx15 </t>
        </is>
      </c>
      <c r="O132" s="111" t="inlineStr">
        <is>
          <t>2014</t>
        </is>
      </c>
      <c r="P132" s="111" t="n"/>
      <c r="Q132" s="111" t="n"/>
      <c r="R132" s="96" t="inlineStr">
        <is>
          <t>HAB</t>
        </is>
      </c>
      <c r="S132" s="96" t="inlineStr">
        <is>
          <t>2611N</t>
        </is>
      </c>
      <c r="T132" s="96" t="inlineStr">
        <is>
          <t>LCH06</t>
        </is>
      </c>
      <c r="U132" s="96" t="inlineStr">
        <is>
          <t>THLCH</t>
        </is>
      </c>
      <c r="V132" s="161" t="inlineStr">
        <is>
          <t>2026-10-07</t>
        </is>
      </c>
      <c r="W132" s="96" t="inlineStr">
        <is>
          <t>CNSHA</t>
        </is>
      </c>
      <c r="X132" s="161" t="inlineStr">
        <is>
          <t>2026-10-13</t>
        </is>
      </c>
      <c r="Y132" s="97" t="n"/>
      <c r="Z132" s="97" t="n"/>
      <c r="AA132" s="97" t="n"/>
      <c r="AB132" s="97" t="n"/>
      <c r="AC132" s="97" t="n"/>
      <c r="AD132" s="161" t="inlineStr">
        <is>
          <t>2026-09-20</t>
        </is>
      </c>
      <c r="AE132" s="174" t="inlineStr">
        <is>
          <t>1134</t>
        </is>
      </c>
      <c r="AF132" s="96" t="inlineStr">
        <is>
          <t>EDI2</t>
        </is>
      </c>
      <c r="AG132" s="97" t="n"/>
      <c r="AH132" s="97" t="n"/>
      <c r="AI132" s="97" t="n"/>
      <c r="AJ132" s="96" t="inlineStr">
        <is>
          <t>BARKLAYS LOGISTICS (SHANGHAI)</t>
        </is>
      </c>
      <c r="AK132" s="130" t="n"/>
    </row>
    <row r="133" ht="12" customHeight="1">
      <c r="A133" s="108" t="inlineStr">
        <is>
          <t>TCNU5131098</t>
        </is>
      </c>
      <c r="B133" s="108" t="inlineStr">
        <is>
          <t>LCH06</t>
        </is>
      </c>
      <c r="C133" s="108" t="inlineStr">
        <is>
          <t>IFV</t>
        </is>
      </c>
      <c r="D133" s="172" t="inlineStr">
        <is>
          <t>2026-10-03</t>
        </is>
      </c>
      <c r="E133" s="173" t="inlineStr">
        <is>
          <t>0502</t>
        </is>
      </c>
      <c r="F133" s="96" t="inlineStr">
        <is>
          <t>HASLS22260902522</t>
        </is>
      </c>
      <c r="G133" s="96" t="inlineStr">
        <is>
          <t>AWOT GLOBAL LOGISTICS (THAILAND) CO., LTD.</t>
        </is>
      </c>
      <c r="H133" s="111" t="inlineStr">
        <is>
          <t>45GP</t>
        </is>
      </c>
      <c r="I133" s="96" t="inlineStr">
        <is>
          <t>FTP</t>
        </is>
      </c>
      <c r="J133" s="96" t="inlineStr">
        <is>
          <t>EDI2</t>
        </is>
      </c>
      <c r="K133" s="96" t="n"/>
      <c r="L133" s="111" t="inlineStr">
        <is>
          <t>Full</t>
        </is>
      </c>
      <c r="M133" s="96" t="inlineStr">
        <is>
          <t>HASLS22260902522</t>
        </is>
      </c>
      <c r="N133" s="96" t="inlineStr">
        <is>
          <t xml:space="preserve">40Hx2 </t>
        </is>
      </c>
      <c r="O133" s="111" t="inlineStr">
        <is>
          <t>2013</t>
        </is>
      </c>
      <c r="P133" s="111" t="n"/>
      <c r="Q133" s="111" t="n"/>
      <c r="R133" s="96" t="inlineStr">
        <is>
          <t>SWVG</t>
        </is>
      </c>
      <c r="S133" s="96" t="inlineStr">
        <is>
          <t>2612N</t>
        </is>
      </c>
      <c r="T133" s="96" t="inlineStr">
        <is>
          <t>LCH06</t>
        </is>
      </c>
      <c r="U133" s="96" t="inlineStr">
        <is>
          <t>THLCH</t>
        </is>
      </c>
      <c r="V133" s="161" t="inlineStr">
        <is>
          <t>2026-10-07</t>
        </is>
      </c>
      <c r="W133" s="96" t="inlineStr">
        <is>
          <t>CNSHA</t>
        </is>
      </c>
      <c r="X133" s="161" t="inlineStr">
        <is>
          <t>2026-10-13</t>
        </is>
      </c>
      <c r="Y133" s="97" t="n"/>
      <c r="Z133" s="97" t="n"/>
      <c r="AA133" s="97" t="n"/>
      <c r="AB133" s="97" t="n"/>
      <c r="AC133" s="97" t="n"/>
      <c r="AD133" s="161" t="inlineStr">
        <is>
          <t>2026-10-03</t>
        </is>
      </c>
      <c r="AE133" s="174" t="inlineStr">
        <is>
          <t>0817</t>
        </is>
      </c>
      <c r="AF133" s="96" t="inlineStr">
        <is>
          <t>EDI2</t>
        </is>
      </c>
      <c r="AG133" s="97" t="n"/>
      <c r="AH133" s="97" t="n"/>
      <c r="AI133" s="97" t="n"/>
      <c r="AJ133" s="96" t="inlineStr">
        <is>
          <t>AWOT GLOBAL CORPORATION</t>
        </is>
      </c>
      <c r="AK133" s="130" t="n"/>
    </row>
    <row r="134" ht="12" customHeight="1">
      <c r="A134" s="108" t="inlineStr">
        <is>
          <t>TCNU6722900</t>
        </is>
      </c>
      <c r="B134" s="108" t="inlineStr">
        <is>
          <t>LCH06</t>
        </is>
      </c>
      <c r="C134" s="108" t="inlineStr">
        <is>
          <t>IFV</t>
        </is>
      </c>
      <c r="D134" s="172" t="inlineStr">
        <is>
          <t>2026-09-19</t>
        </is>
      </c>
      <c r="E134" s="173" t="inlineStr">
        <is>
          <t>1823</t>
        </is>
      </c>
      <c r="F134" s="96" t="inlineStr">
        <is>
          <t>HASLS22260901668</t>
        </is>
      </c>
      <c r="G134" s="96" t="inlineStr">
        <is>
          <t>BARKLAYS LOGISTICS (THAILAND) CO., LTD.</t>
        </is>
      </c>
      <c r="H134" s="111" t="inlineStr">
        <is>
          <t>45GP</t>
        </is>
      </c>
      <c r="I134" s="96" t="inlineStr">
        <is>
          <t>FTP</t>
        </is>
      </c>
      <c r="J134" s="96" t="inlineStr">
        <is>
          <t>EDI2</t>
        </is>
      </c>
      <c r="K134" s="96" t="n"/>
      <c r="L134" s="111" t="inlineStr">
        <is>
          <t>Full</t>
        </is>
      </c>
      <c r="M134" s="96" t="inlineStr">
        <is>
          <t>HASLS22260901668</t>
        </is>
      </c>
      <c r="N134" s="96" t="inlineStr">
        <is>
          <t xml:space="preserve">40Hx15 </t>
        </is>
      </c>
      <c r="O134" s="111" t="inlineStr">
        <is>
          <t>2012</t>
        </is>
      </c>
      <c r="P134" s="111" t="n"/>
      <c r="Q134" s="111" t="n"/>
      <c r="R134" s="96" t="inlineStr">
        <is>
          <t>HAB</t>
        </is>
      </c>
      <c r="S134" s="96" t="inlineStr">
        <is>
          <t>2611N</t>
        </is>
      </c>
      <c r="T134" s="96" t="inlineStr">
        <is>
          <t>LCH06</t>
        </is>
      </c>
      <c r="U134" s="96" t="inlineStr">
        <is>
          <t>THLCH</t>
        </is>
      </c>
      <c r="V134" s="161" t="inlineStr">
        <is>
          <t>2026-10-07</t>
        </is>
      </c>
      <c r="W134" s="96" t="inlineStr">
        <is>
          <t>CNSHA</t>
        </is>
      </c>
      <c r="X134" s="161" t="inlineStr">
        <is>
          <t>2026-10-13</t>
        </is>
      </c>
      <c r="Y134" s="97" t="n"/>
      <c r="Z134" s="97" t="n"/>
      <c r="AA134" s="97" t="n"/>
      <c r="AB134" s="97" t="n"/>
      <c r="AC134" s="97" t="n"/>
      <c r="AD134" s="161" t="inlineStr">
        <is>
          <t>2026-09-19</t>
        </is>
      </c>
      <c r="AE134" s="174" t="inlineStr">
        <is>
          <t>2151</t>
        </is>
      </c>
      <c r="AF134" s="96" t="inlineStr">
        <is>
          <t>EDI2</t>
        </is>
      </c>
      <c r="AG134" s="97" t="n"/>
      <c r="AH134" s="97" t="n"/>
      <c r="AI134" s="97" t="n"/>
      <c r="AJ134" s="96" t="inlineStr">
        <is>
          <t>BARKLAYS LOGISTICS (SHANGHAI)</t>
        </is>
      </c>
      <c r="AK134" s="130" t="n"/>
    </row>
    <row r="135" ht="12" customHeight="1">
      <c r="A135" s="108" t="inlineStr">
        <is>
          <t>TCNU8361453</t>
        </is>
      </c>
      <c r="B135" s="108" t="inlineStr">
        <is>
          <t>LCH06</t>
        </is>
      </c>
      <c r="C135" s="108" t="inlineStr">
        <is>
          <t>IFV</t>
        </is>
      </c>
      <c r="D135" s="172" t="inlineStr">
        <is>
          <t>2026-09-20</t>
        </is>
      </c>
      <c r="E135" s="173" t="inlineStr">
        <is>
          <t>0709</t>
        </is>
      </c>
      <c r="F135" s="96" t="inlineStr">
        <is>
          <t>HASLS22260901668</t>
        </is>
      </c>
      <c r="G135" s="96" t="inlineStr">
        <is>
          <t>BARKLAYS LOGISTICS (THAILAND) CO., LTD.</t>
        </is>
      </c>
      <c r="H135" s="111" t="inlineStr">
        <is>
          <t>45GP</t>
        </is>
      </c>
      <c r="I135" s="96" t="inlineStr">
        <is>
          <t>FTP</t>
        </is>
      </c>
      <c r="J135" s="96" t="inlineStr">
        <is>
          <t>EDI2</t>
        </is>
      </c>
      <c r="K135" s="96" t="n"/>
      <c r="L135" s="111" t="inlineStr">
        <is>
          <t>Full</t>
        </is>
      </c>
      <c r="M135" s="96" t="inlineStr">
        <is>
          <t>HASLS22260901668</t>
        </is>
      </c>
      <c r="N135" s="96" t="inlineStr">
        <is>
          <t xml:space="preserve">40Hx15 </t>
        </is>
      </c>
      <c r="O135" s="111" t="inlineStr">
        <is>
          <t>2010</t>
        </is>
      </c>
      <c r="P135" s="111" t="n"/>
      <c r="Q135" s="111" t="n"/>
      <c r="R135" s="96" t="inlineStr">
        <is>
          <t>HAB</t>
        </is>
      </c>
      <c r="S135" s="96" t="inlineStr">
        <is>
          <t>2611N</t>
        </is>
      </c>
      <c r="T135" s="96" t="inlineStr">
        <is>
          <t>LCH06</t>
        </is>
      </c>
      <c r="U135" s="96" t="inlineStr">
        <is>
          <t>THLCH</t>
        </is>
      </c>
      <c r="V135" s="161" t="inlineStr">
        <is>
          <t>2026-10-07</t>
        </is>
      </c>
      <c r="W135" s="96" t="inlineStr">
        <is>
          <t>CNSHA</t>
        </is>
      </c>
      <c r="X135" s="161" t="inlineStr">
        <is>
          <t>2026-10-13</t>
        </is>
      </c>
      <c r="Y135" s="97" t="n"/>
      <c r="Z135" s="97" t="n"/>
      <c r="AA135" s="97" t="n"/>
      <c r="AB135" s="97" t="n"/>
      <c r="AC135" s="97" t="n"/>
      <c r="AD135" s="161" t="inlineStr">
        <is>
          <t>2026-09-20</t>
        </is>
      </c>
      <c r="AE135" s="174" t="inlineStr">
        <is>
          <t>1024</t>
        </is>
      </c>
      <c r="AF135" s="96" t="inlineStr">
        <is>
          <t>EDI2</t>
        </is>
      </c>
      <c r="AG135" s="97" t="n"/>
      <c r="AH135" s="97" t="n"/>
      <c r="AI135" s="97" t="n"/>
      <c r="AJ135" s="96" t="inlineStr">
        <is>
          <t>BARKLAYS LOGISTICS (SHANGHAI)</t>
        </is>
      </c>
      <c r="AK135" s="130" t="n"/>
    </row>
    <row r="136" ht="12" customHeight="1">
      <c r="A136" s="108" t="inlineStr">
        <is>
          <t>TGBU4383768</t>
        </is>
      </c>
      <c r="B136" s="108" t="inlineStr">
        <is>
          <t>LCH06</t>
        </is>
      </c>
      <c r="C136" s="108" t="inlineStr">
        <is>
          <t>IFV</t>
        </is>
      </c>
      <c r="D136" s="172" t="inlineStr">
        <is>
          <t>2026-09-19</t>
        </is>
      </c>
      <c r="E136" s="173" t="inlineStr">
        <is>
          <t>2230</t>
        </is>
      </c>
      <c r="F136" s="96" t="inlineStr">
        <is>
          <t>HASLS22260901668</t>
        </is>
      </c>
      <c r="G136" s="96" t="inlineStr">
        <is>
          <t>BARKLAYS LOGISTICS (THAILAND) CO., LTD.</t>
        </is>
      </c>
      <c r="H136" s="111" t="inlineStr">
        <is>
          <t>45GP</t>
        </is>
      </c>
      <c r="I136" s="96" t="inlineStr">
        <is>
          <t>FTP</t>
        </is>
      </c>
      <c r="J136" s="96" t="inlineStr">
        <is>
          <t>EDI2</t>
        </is>
      </c>
      <c r="K136" s="96" t="n"/>
      <c r="L136" s="111" t="inlineStr">
        <is>
          <t>Full</t>
        </is>
      </c>
      <c r="M136" s="96" t="inlineStr">
        <is>
          <t>HASLS22260901668</t>
        </is>
      </c>
      <c r="N136" s="96" t="inlineStr">
        <is>
          <t xml:space="preserve">40Hx15 </t>
        </is>
      </c>
      <c r="O136" s="111" t="inlineStr">
        <is>
          <t>2021</t>
        </is>
      </c>
      <c r="P136" s="111" t="n"/>
      <c r="Q136" s="111" t="n"/>
      <c r="R136" s="96" t="inlineStr">
        <is>
          <t>HAB</t>
        </is>
      </c>
      <c r="S136" s="96" t="inlineStr">
        <is>
          <t>2611N</t>
        </is>
      </c>
      <c r="T136" s="96" t="inlineStr">
        <is>
          <t>LCH06</t>
        </is>
      </c>
      <c r="U136" s="96" t="inlineStr">
        <is>
          <t>THLCH</t>
        </is>
      </c>
      <c r="V136" s="161" t="inlineStr">
        <is>
          <t>2026-10-07</t>
        </is>
      </c>
      <c r="W136" s="96" t="inlineStr">
        <is>
          <t>CNSHA</t>
        </is>
      </c>
      <c r="X136" s="161" t="inlineStr">
        <is>
          <t>2026-10-13</t>
        </is>
      </c>
      <c r="Y136" s="97" t="n"/>
      <c r="Z136" s="97" t="n"/>
      <c r="AA136" s="97" t="n"/>
      <c r="AB136" s="97" t="n"/>
      <c r="AC136" s="97" t="n"/>
      <c r="AD136" s="161" t="inlineStr">
        <is>
          <t>2026-09-20</t>
        </is>
      </c>
      <c r="AE136" s="174" t="inlineStr">
        <is>
          <t>0122</t>
        </is>
      </c>
      <c r="AF136" s="96" t="inlineStr">
        <is>
          <t>EDI2</t>
        </is>
      </c>
      <c r="AG136" s="97" t="n"/>
      <c r="AH136" s="97" t="n"/>
      <c r="AI136" s="97" t="n"/>
      <c r="AJ136" s="96" t="inlineStr">
        <is>
          <t>BARKLAYS LOGISTICS (SHANGHAI)</t>
        </is>
      </c>
      <c r="AK136" s="130" t="n"/>
    </row>
    <row r="137" ht="12" customHeight="1">
      <c r="A137" s="108" t="inlineStr">
        <is>
          <t>TGBU5320379</t>
        </is>
      </c>
      <c r="B137" s="108" t="inlineStr">
        <is>
          <t>LCH06</t>
        </is>
      </c>
      <c r="C137" s="108" t="inlineStr">
        <is>
          <t>IFV</t>
        </is>
      </c>
      <c r="D137" s="172" t="inlineStr">
        <is>
          <t>2026-09-19</t>
        </is>
      </c>
      <c r="E137" s="173" t="inlineStr">
        <is>
          <t>1705</t>
        </is>
      </c>
      <c r="F137" s="96" t="inlineStr">
        <is>
          <t>HASLS22260900441</t>
        </is>
      </c>
      <c r="G137" s="96" t="inlineStr">
        <is>
          <t>BARKLAYS LOGISTICS (THAILAND) CO., LTD.</t>
        </is>
      </c>
      <c r="H137" s="111" t="inlineStr">
        <is>
          <t>45GP</t>
        </is>
      </c>
      <c r="I137" s="96" t="inlineStr">
        <is>
          <t>FTP</t>
        </is>
      </c>
      <c r="J137" s="96" t="inlineStr">
        <is>
          <t>EDI2</t>
        </is>
      </c>
      <c r="K137" s="96" t="n"/>
      <c r="L137" s="111" t="inlineStr">
        <is>
          <t>Full</t>
        </is>
      </c>
      <c r="M137" s="96" t="inlineStr">
        <is>
          <t>HASLS22260900441</t>
        </is>
      </c>
      <c r="N137" s="96" t="inlineStr">
        <is>
          <t xml:space="preserve">40Hx15 </t>
        </is>
      </c>
      <c r="O137" s="111" t="inlineStr">
        <is>
          <t>2017</t>
        </is>
      </c>
      <c r="P137" s="111" t="n"/>
      <c r="Q137" s="111" t="n"/>
      <c r="R137" s="96" t="inlineStr">
        <is>
          <t>HAB</t>
        </is>
      </c>
      <c r="S137" s="96" t="inlineStr">
        <is>
          <t>2611N</t>
        </is>
      </c>
      <c r="T137" s="96" t="inlineStr">
        <is>
          <t>LCH06</t>
        </is>
      </c>
      <c r="U137" s="96" t="inlineStr">
        <is>
          <t>THLCH</t>
        </is>
      </c>
      <c r="V137" s="161" t="inlineStr">
        <is>
          <t>2026-10-07</t>
        </is>
      </c>
      <c r="W137" s="96" t="inlineStr">
        <is>
          <t>CNSHA</t>
        </is>
      </c>
      <c r="X137" s="161" t="inlineStr">
        <is>
          <t>2026-10-13</t>
        </is>
      </c>
      <c r="Y137" s="97" t="n"/>
      <c r="Z137" s="97" t="n"/>
      <c r="AA137" s="97" t="n"/>
      <c r="AB137" s="97" t="n"/>
      <c r="AC137" s="97" t="n"/>
      <c r="AD137" s="161" t="inlineStr">
        <is>
          <t>2026-09-19</t>
        </is>
      </c>
      <c r="AE137" s="174" t="inlineStr">
        <is>
          <t>1951</t>
        </is>
      </c>
      <c r="AF137" s="96" t="inlineStr">
        <is>
          <t>EDI2</t>
        </is>
      </c>
      <c r="AG137" s="97" t="n"/>
      <c r="AH137" s="97" t="n"/>
      <c r="AI137" s="97" t="n"/>
      <c r="AJ137" s="96" t="inlineStr">
        <is>
          <t>BARKLAYS LOGISTICS (SHANGHAI)</t>
        </is>
      </c>
      <c r="AK137" s="130" t="n"/>
    </row>
    <row r="138" ht="12" customHeight="1">
      <c r="A138" s="108" t="inlineStr">
        <is>
          <t>TGCU2397581</t>
        </is>
      </c>
      <c r="B138" s="108" t="inlineStr">
        <is>
          <t>LCH06</t>
        </is>
      </c>
      <c r="C138" s="108" t="inlineStr">
        <is>
          <t>IFV</t>
        </is>
      </c>
      <c r="D138" s="172" t="inlineStr">
        <is>
          <t>2026-10-05</t>
        </is>
      </c>
      <c r="E138" s="173" t="inlineStr">
        <is>
          <t>2135</t>
        </is>
      </c>
      <c r="F138" s="96" t="inlineStr">
        <is>
          <t>HASLS22260901408</t>
        </is>
      </c>
      <c r="G138" s="96" t="inlineStr">
        <is>
          <t>ROJANA DISTRIBUTION CENTER CO., LTD.</t>
        </is>
      </c>
      <c r="H138" s="111" t="inlineStr">
        <is>
          <t>22GP</t>
        </is>
      </c>
      <c r="I138" s="96" t="inlineStr">
        <is>
          <t>FTP</t>
        </is>
      </c>
      <c r="J138" s="96" t="inlineStr">
        <is>
          <t>EDI2</t>
        </is>
      </c>
      <c r="K138" s="96" t="n"/>
      <c r="L138" s="111" t="inlineStr">
        <is>
          <t>Full</t>
        </is>
      </c>
      <c r="M138" s="96" t="inlineStr">
        <is>
          <t>HASLS22260901408</t>
        </is>
      </c>
      <c r="N138" s="96" t="inlineStr">
        <is>
          <t xml:space="preserve">20'x1 </t>
        </is>
      </c>
      <c r="O138" s="111" t="inlineStr">
        <is>
          <t>2023</t>
        </is>
      </c>
      <c r="P138" s="111" t="n"/>
      <c r="Q138" s="111" t="n"/>
      <c r="R138" s="96" t="inlineStr">
        <is>
          <t>SWVG</t>
        </is>
      </c>
      <c r="S138" s="96" t="inlineStr">
        <is>
          <t>2612N</t>
        </is>
      </c>
      <c r="T138" s="96" t="inlineStr">
        <is>
          <t>LCH06</t>
        </is>
      </c>
      <c r="U138" s="96" t="inlineStr">
        <is>
          <t>THLCH</t>
        </is>
      </c>
      <c r="V138" s="161" t="inlineStr">
        <is>
          <t>2026-10-07</t>
        </is>
      </c>
      <c r="W138" s="96" t="inlineStr">
        <is>
          <t>JPFKY</t>
        </is>
      </c>
      <c r="X138" s="161" t="inlineStr">
        <is>
          <t>2026-10-15</t>
        </is>
      </c>
      <c r="Y138" s="97" t="n"/>
      <c r="Z138" s="97" t="n"/>
      <c r="AA138" s="97" t="n"/>
      <c r="AB138" s="97" t="n"/>
      <c r="AC138" s="97" t="n"/>
      <c r="AD138" s="161" t="inlineStr">
        <is>
          <t>2026-10-06</t>
        </is>
      </c>
      <c r="AE138" s="174" t="inlineStr">
        <is>
          <t>0113</t>
        </is>
      </c>
      <c r="AF138" s="96" t="inlineStr">
        <is>
          <t>EDI2</t>
        </is>
      </c>
      <c r="AG138" s="97" t="n"/>
      <c r="AH138" s="97" t="n"/>
      <c r="AI138" s="97" t="n"/>
      <c r="AJ138" s="96" t="inlineStr">
        <is>
          <t>THE SUMITOMO WAREHOUSE CO., LTD.</t>
        </is>
      </c>
      <c r="AK138" s="130" t="n"/>
    </row>
    <row r="139" ht="12" customHeight="1">
      <c r="A139" s="108" t="inlineStr">
        <is>
          <t>TRHU5279710</t>
        </is>
      </c>
      <c r="B139" s="108" t="inlineStr">
        <is>
          <t>LCH06</t>
        </is>
      </c>
      <c r="C139" s="108" t="inlineStr">
        <is>
          <t>IFV</t>
        </is>
      </c>
      <c r="D139" s="172" t="inlineStr">
        <is>
          <t>2026-09-29</t>
        </is>
      </c>
      <c r="E139" s="173" t="inlineStr">
        <is>
          <t>2251</t>
        </is>
      </c>
      <c r="F139" s="96" t="inlineStr">
        <is>
          <t>HASLS22260901513</t>
        </is>
      </c>
      <c r="G139" s="96" t="inlineStr">
        <is>
          <t>DOUBLE A (1991) PUBLIC COMPANY LIMITED</t>
        </is>
      </c>
      <c r="H139" s="111" t="inlineStr">
        <is>
          <t>45GP</t>
        </is>
      </c>
      <c r="I139" s="96" t="inlineStr">
        <is>
          <t>FTP</t>
        </is>
      </c>
      <c r="J139" s="96" t="inlineStr">
        <is>
          <t>EDI2</t>
        </is>
      </c>
      <c r="K139" s="96" t="n"/>
      <c r="L139" s="111" t="inlineStr">
        <is>
          <t>Full</t>
        </is>
      </c>
      <c r="M139" s="96" t="inlineStr">
        <is>
          <t>HASLS22260901513</t>
        </is>
      </c>
      <c r="N139" s="96" t="inlineStr">
        <is>
          <t xml:space="preserve">40Hx2 20'x2 </t>
        </is>
      </c>
      <c r="O139" s="111" t="inlineStr">
        <is>
          <t>2021</t>
        </is>
      </c>
      <c r="P139" s="111" t="n"/>
      <c r="Q139" s="111" t="n"/>
      <c r="R139" s="96" t="inlineStr">
        <is>
          <t>SWVG</t>
        </is>
      </c>
      <c r="S139" s="96" t="inlineStr">
        <is>
          <t>2612N</t>
        </is>
      </c>
      <c r="T139" s="96" t="inlineStr">
        <is>
          <t>LCH06</t>
        </is>
      </c>
      <c r="U139" s="96" t="inlineStr">
        <is>
          <t>THLCH</t>
        </is>
      </c>
      <c r="V139" s="161" t="inlineStr">
        <is>
          <t>2026-10-07</t>
        </is>
      </c>
      <c r="W139" s="96" t="inlineStr">
        <is>
          <t>CNSHA</t>
        </is>
      </c>
      <c r="X139" s="161" t="inlineStr">
        <is>
          <t>2026-10-13</t>
        </is>
      </c>
      <c r="Y139" s="97" t="n"/>
      <c r="Z139" s="97" t="n"/>
      <c r="AA139" s="97" t="n"/>
      <c r="AB139" s="97" t="n"/>
      <c r="AC139" s="97" t="n"/>
      <c r="AD139" s="161" t="inlineStr">
        <is>
          <t>2026-09-30</t>
        </is>
      </c>
      <c r="AE139" s="174" t="inlineStr">
        <is>
          <t>0148</t>
        </is>
      </c>
      <c r="AF139" s="96" t="inlineStr">
        <is>
          <t>EDI2</t>
        </is>
      </c>
      <c r="AG139" s="97" t="n"/>
      <c r="AH139" s="97" t="n"/>
      <c r="AI139" s="97" t="n"/>
      <c r="AJ139" s="96" t="inlineStr">
        <is>
          <t>DOUBLE A INTERNATIONAL  TRADING</t>
        </is>
      </c>
      <c r="AK139" s="130" t="n"/>
    </row>
    <row r="140" ht="12" customHeight="1">
      <c r="A140" s="108" t="inlineStr">
        <is>
          <t>TRHU5286339</t>
        </is>
      </c>
      <c r="B140" s="108" t="inlineStr">
        <is>
          <t>LCH06</t>
        </is>
      </c>
      <c r="C140" s="108" t="inlineStr">
        <is>
          <t>IFV</t>
        </is>
      </c>
      <c r="D140" s="172" t="inlineStr">
        <is>
          <t>2026-09-28</t>
        </is>
      </c>
      <c r="E140" s="173" t="inlineStr">
        <is>
          <t>1134</t>
        </is>
      </c>
      <c r="F140" s="96" t="inlineStr">
        <is>
          <t>HASLS22260802360</t>
        </is>
      </c>
      <c r="G140" s="96" t="inlineStr">
        <is>
          <t>WHA GC LOGISTICS COMPANY LIMITED</t>
        </is>
      </c>
      <c r="H140" s="111" t="inlineStr">
        <is>
          <t>45GP</t>
        </is>
      </c>
      <c r="I140" s="96" t="inlineStr">
        <is>
          <t>FTP</t>
        </is>
      </c>
      <c r="J140" s="96" t="inlineStr">
        <is>
          <t>EDI2</t>
        </is>
      </c>
      <c r="K140" s="96" t="n"/>
      <c r="L140" s="111" t="inlineStr">
        <is>
          <t>Full</t>
        </is>
      </c>
      <c r="M140" s="96" t="inlineStr">
        <is>
          <t>HASLS22260802360</t>
        </is>
      </c>
      <c r="N140" s="96" t="inlineStr">
        <is>
          <t xml:space="preserve">40Hx5 </t>
        </is>
      </c>
      <c r="O140" s="111" t="inlineStr">
        <is>
          <t>2021</t>
        </is>
      </c>
      <c r="P140" s="111" t="n"/>
      <c r="Q140" s="111" t="n"/>
      <c r="R140" s="96" t="inlineStr">
        <is>
          <t>SWVG</t>
        </is>
      </c>
      <c r="S140" s="96" t="inlineStr">
        <is>
          <t>2612N</t>
        </is>
      </c>
      <c r="T140" s="96" t="inlineStr">
        <is>
          <t>LCH06</t>
        </is>
      </c>
      <c r="U140" s="96" t="inlineStr">
        <is>
          <t>THLCH</t>
        </is>
      </c>
      <c r="V140" s="161" t="inlineStr">
        <is>
          <t>2026-10-07</t>
        </is>
      </c>
      <c r="W140" s="96" t="inlineStr">
        <is>
          <t>JPMYJ</t>
        </is>
      </c>
      <c r="X140" s="161" t="inlineStr">
        <is>
          <t>2026-10-15</t>
        </is>
      </c>
      <c r="Y140" s="97" t="n"/>
      <c r="Z140" s="97" t="n"/>
      <c r="AA140" s="97" t="n"/>
      <c r="AB140" s="97" t="n"/>
      <c r="AC140" s="97" t="n"/>
      <c r="AD140" s="161" t="inlineStr">
        <is>
          <t>2026-09-28</t>
        </is>
      </c>
      <c r="AE140" s="174" t="inlineStr">
        <is>
          <t>1432</t>
        </is>
      </c>
      <c r="AF140" s="96" t="inlineStr">
        <is>
          <t>EDI2</t>
        </is>
      </c>
      <c r="AG140" s="97" t="n"/>
      <c r="AH140" s="97" t="n"/>
      <c r="AI140" s="97" t="n"/>
      <c r="AJ140" s="96" t="inlineStr">
        <is>
          <t>INABATA &amp; CO.,LTD</t>
        </is>
      </c>
      <c r="AK140" s="130" t="n"/>
    </row>
    <row r="141" ht="12" customHeight="1">
      <c r="A141" s="108" t="inlineStr">
        <is>
          <t>TRHU5288434</t>
        </is>
      </c>
      <c r="B141" s="108" t="inlineStr">
        <is>
          <t>LCH06</t>
        </is>
      </c>
      <c r="C141" s="108" t="inlineStr">
        <is>
          <t>IFV</t>
        </is>
      </c>
      <c r="D141" s="172" t="inlineStr">
        <is>
          <t>2026-09-28</t>
        </is>
      </c>
      <c r="E141" s="173" t="inlineStr">
        <is>
          <t>2219</t>
        </is>
      </c>
      <c r="F141" s="96" t="inlineStr">
        <is>
          <t>HASLS22260900326</t>
        </is>
      </c>
      <c r="G141" s="96" t="inlineStr">
        <is>
          <t>WHA GC LOGISTICS COMPANY LIMITED</t>
        </is>
      </c>
      <c r="H141" s="111" t="inlineStr">
        <is>
          <t>45GP</t>
        </is>
      </c>
      <c r="I141" s="96" t="inlineStr">
        <is>
          <t>FTP</t>
        </is>
      </c>
      <c r="J141" s="96" t="inlineStr">
        <is>
          <t>EDI2</t>
        </is>
      </c>
      <c r="K141" s="96" t="n"/>
      <c r="L141" s="111" t="inlineStr">
        <is>
          <t>Full</t>
        </is>
      </c>
      <c r="M141" s="96" t="inlineStr">
        <is>
          <t>HASLS22260900326</t>
        </is>
      </c>
      <c r="N141" s="96" t="inlineStr">
        <is>
          <t xml:space="preserve">40Hx1 </t>
        </is>
      </c>
      <c r="O141" s="111" t="inlineStr">
        <is>
          <t>2021</t>
        </is>
      </c>
      <c r="P141" s="111" t="n"/>
      <c r="Q141" s="111" t="n"/>
      <c r="R141" s="96" t="inlineStr">
        <is>
          <t>SWVG</t>
        </is>
      </c>
      <c r="S141" s="96" t="inlineStr">
        <is>
          <t>2612N</t>
        </is>
      </c>
      <c r="T141" s="96" t="inlineStr">
        <is>
          <t>LCH06</t>
        </is>
      </c>
      <c r="U141" s="96" t="inlineStr">
        <is>
          <t>THLCH</t>
        </is>
      </c>
      <c r="V141" s="161" t="inlineStr">
        <is>
          <t>2026-10-07</t>
        </is>
      </c>
      <c r="W141" s="96" t="inlineStr">
        <is>
          <t>JPKMJ</t>
        </is>
      </c>
      <c r="X141" s="161" t="inlineStr">
        <is>
          <t>2026-10-15</t>
        </is>
      </c>
      <c r="Y141" s="97" t="n"/>
      <c r="Z141" s="97" t="n"/>
      <c r="AA141" s="97" t="n"/>
      <c r="AB141" s="97" t="n"/>
      <c r="AC141" s="97" t="n"/>
      <c r="AD141" s="161" t="inlineStr">
        <is>
          <t>2026-09-29</t>
        </is>
      </c>
      <c r="AE141" s="174" t="inlineStr">
        <is>
          <t>0114</t>
        </is>
      </c>
      <c r="AF141" s="96" t="inlineStr">
        <is>
          <t>EDI2</t>
        </is>
      </c>
      <c r="AG141" s="97" t="n"/>
      <c r="AH141" s="97" t="n"/>
      <c r="AI141" s="97" t="n"/>
      <c r="AJ141" s="96" t="inlineStr">
        <is>
          <t>MITSUBISHI CORPORATION PLASTICS LTD</t>
        </is>
      </c>
      <c r="AK141" s="130" t="n"/>
    </row>
    <row r="142" ht="12" customHeight="1">
      <c r="A142" s="108" t="inlineStr">
        <is>
          <t>TRHU6242886</t>
        </is>
      </c>
      <c r="B142" s="108" t="inlineStr">
        <is>
          <t>LCH06</t>
        </is>
      </c>
      <c r="C142" s="108" t="inlineStr">
        <is>
          <t>IFV</t>
        </is>
      </c>
      <c r="D142" s="172" t="inlineStr">
        <is>
          <t>2026-09-19</t>
        </is>
      </c>
      <c r="E142" s="173" t="inlineStr">
        <is>
          <t>1829</t>
        </is>
      </c>
      <c r="F142" s="96" t="inlineStr">
        <is>
          <t>HASLS22260901668</t>
        </is>
      </c>
      <c r="G142" s="96" t="inlineStr">
        <is>
          <t>BARKLAYS LOGISTICS (THAILAND) CO., LTD.</t>
        </is>
      </c>
      <c r="H142" s="111" t="inlineStr">
        <is>
          <t>45GP</t>
        </is>
      </c>
      <c r="I142" s="96" t="inlineStr">
        <is>
          <t>FTP</t>
        </is>
      </c>
      <c r="J142" s="96" t="inlineStr">
        <is>
          <t>EDI2</t>
        </is>
      </c>
      <c r="K142" s="96" t="n"/>
      <c r="L142" s="111" t="inlineStr">
        <is>
          <t>Full</t>
        </is>
      </c>
      <c r="M142" s="96" t="inlineStr">
        <is>
          <t>HASLS22260901668</t>
        </is>
      </c>
      <c r="N142" s="96" t="inlineStr">
        <is>
          <t xml:space="preserve">40Hx15 </t>
        </is>
      </c>
      <c r="O142" s="111" t="inlineStr">
        <is>
          <t>2021</t>
        </is>
      </c>
      <c r="P142" s="111" t="n"/>
      <c r="Q142" s="111" t="n"/>
      <c r="R142" s="96" t="inlineStr">
        <is>
          <t>HAB</t>
        </is>
      </c>
      <c r="S142" s="96" t="inlineStr">
        <is>
          <t>2611N</t>
        </is>
      </c>
      <c r="T142" s="96" t="inlineStr">
        <is>
          <t>LCH06</t>
        </is>
      </c>
      <c r="U142" s="96" t="inlineStr">
        <is>
          <t>THLCH</t>
        </is>
      </c>
      <c r="V142" s="161" t="inlineStr">
        <is>
          <t>2026-10-07</t>
        </is>
      </c>
      <c r="W142" s="96" t="inlineStr">
        <is>
          <t>CNSHA</t>
        </is>
      </c>
      <c r="X142" s="161" t="inlineStr">
        <is>
          <t>2026-10-13</t>
        </is>
      </c>
      <c r="Y142" s="97" t="n"/>
      <c r="Z142" s="97" t="n"/>
      <c r="AA142" s="97" t="n"/>
      <c r="AB142" s="97" t="n"/>
      <c r="AC142" s="97" t="n"/>
      <c r="AD142" s="161" t="inlineStr">
        <is>
          <t>2026-09-19</t>
        </is>
      </c>
      <c r="AE142" s="174" t="inlineStr">
        <is>
          <t>2151</t>
        </is>
      </c>
      <c r="AF142" s="96" t="inlineStr">
        <is>
          <t>EDI2</t>
        </is>
      </c>
      <c r="AG142" s="97" t="n"/>
      <c r="AH142" s="97" t="n"/>
      <c r="AI142" s="97" t="n"/>
      <c r="AJ142" s="96" t="inlineStr">
        <is>
          <t>BARKLAYS LOGISTICS (SHANGHAI)</t>
        </is>
      </c>
      <c r="AK142" s="130" t="n"/>
    </row>
    <row r="143" ht="12" customHeight="1">
      <c r="A143" s="108" t="inlineStr">
        <is>
          <t>TRHU6265768</t>
        </is>
      </c>
      <c r="B143" s="108" t="inlineStr">
        <is>
          <t>LCH06</t>
        </is>
      </c>
      <c r="C143" s="108" t="inlineStr">
        <is>
          <t>IFV</t>
        </is>
      </c>
      <c r="D143" s="172" t="inlineStr">
        <is>
          <t>2026-09-27</t>
        </is>
      </c>
      <c r="E143" s="173" t="inlineStr">
        <is>
          <t>0550</t>
        </is>
      </c>
      <c r="F143" s="96" t="inlineStr">
        <is>
          <t>HASLS22260802391</t>
        </is>
      </c>
      <c r="G143" s="96" t="inlineStr">
        <is>
          <t>WHA GC LOGISTICS COMPANY LIMITED</t>
        </is>
      </c>
      <c r="H143" s="111" t="inlineStr">
        <is>
          <t>45GP</t>
        </is>
      </c>
      <c r="I143" s="96" t="inlineStr">
        <is>
          <t>FTP</t>
        </is>
      </c>
      <c r="J143" s="96" t="inlineStr">
        <is>
          <t>EDI2</t>
        </is>
      </c>
      <c r="K143" s="96" t="n"/>
      <c r="L143" s="111" t="inlineStr">
        <is>
          <t>Full</t>
        </is>
      </c>
      <c r="M143" s="96" t="inlineStr">
        <is>
          <t>HASLS22260802391</t>
        </is>
      </c>
      <c r="N143" s="96" t="inlineStr">
        <is>
          <t xml:space="preserve">40Hx4 </t>
        </is>
      </c>
      <c r="O143" s="111" t="inlineStr">
        <is>
          <t>2021</t>
        </is>
      </c>
      <c r="P143" s="111" t="n"/>
      <c r="Q143" s="111" t="n"/>
      <c r="R143" s="96" t="inlineStr">
        <is>
          <t>SWVG</t>
        </is>
      </c>
      <c r="S143" s="96" t="inlineStr">
        <is>
          <t>2612N</t>
        </is>
      </c>
      <c r="T143" s="96" t="inlineStr">
        <is>
          <t>LCH06</t>
        </is>
      </c>
      <c r="U143" s="96" t="inlineStr">
        <is>
          <t>THLCH</t>
        </is>
      </c>
      <c r="V143" s="161" t="inlineStr">
        <is>
          <t>2026-10-07</t>
        </is>
      </c>
      <c r="W143" s="96" t="inlineStr">
        <is>
          <t>JPMYJ</t>
        </is>
      </c>
      <c r="X143" s="161" t="inlineStr">
        <is>
          <t>2026-10-15</t>
        </is>
      </c>
      <c r="Y143" s="97" t="n"/>
      <c r="Z143" s="97" t="n"/>
      <c r="AA143" s="97" t="n"/>
      <c r="AB143" s="97" t="n"/>
      <c r="AC143" s="97" t="n"/>
      <c r="AD143" s="161" t="inlineStr">
        <is>
          <t>2026-09-27</t>
        </is>
      </c>
      <c r="AE143" s="174" t="inlineStr">
        <is>
          <t>0849</t>
        </is>
      </c>
      <c r="AF143" s="96" t="inlineStr">
        <is>
          <t>EDI2</t>
        </is>
      </c>
      <c r="AG143" s="97" t="n"/>
      <c r="AH143" s="97" t="n"/>
      <c r="AI143" s="97" t="n"/>
      <c r="AJ143" s="96" t="inlineStr">
        <is>
          <t>INABATA &amp; CO.,LTD</t>
        </is>
      </c>
      <c r="AK143" s="130" t="n"/>
    </row>
    <row r="144" ht="12" customHeight="1">
      <c r="A144" s="108" t="inlineStr">
        <is>
          <t>TRHU6267478</t>
        </is>
      </c>
      <c r="B144" s="108" t="inlineStr">
        <is>
          <t>LCH06</t>
        </is>
      </c>
      <c r="C144" s="108" t="inlineStr">
        <is>
          <t>IFV</t>
        </is>
      </c>
      <c r="D144" s="172" t="inlineStr">
        <is>
          <t>2026-09-19</t>
        </is>
      </c>
      <c r="E144" s="173" t="inlineStr">
        <is>
          <t>2215</t>
        </is>
      </c>
      <c r="F144" s="96" t="inlineStr">
        <is>
          <t>HASLS22260901668</t>
        </is>
      </c>
      <c r="G144" s="96" t="inlineStr">
        <is>
          <t>BARKLAYS LOGISTICS (THAILAND) CO., LTD.</t>
        </is>
      </c>
      <c r="H144" s="111" t="inlineStr">
        <is>
          <t>45GP</t>
        </is>
      </c>
      <c r="I144" s="96" t="inlineStr">
        <is>
          <t>FTP</t>
        </is>
      </c>
      <c r="J144" s="96" t="inlineStr">
        <is>
          <t>EDI2</t>
        </is>
      </c>
      <c r="K144" s="96" t="n"/>
      <c r="L144" s="111" t="inlineStr">
        <is>
          <t>Full</t>
        </is>
      </c>
      <c r="M144" s="96" t="inlineStr">
        <is>
          <t>HASLS22260901668</t>
        </is>
      </c>
      <c r="N144" s="96" t="inlineStr">
        <is>
          <t xml:space="preserve">40Hx15 </t>
        </is>
      </c>
      <c r="O144" s="111" t="inlineStr">
        <is>
          <t>2021</t>
        </is>
      </c>
      <c r="P144" s="111" t="n"/>
      <c r="Q144" s="111" t="n"/>
      <c r="R144" s="96" t="inlineStr">
        <is>
          <t>HAB</t>
        </is>
      </c>
      <c r="S144" s="96" t="inlineStr">
        <is>
          <t>2611N</t>
        </is>
      </c>
      <c r="T144" s="96" t="inlineStr">
        <is>
          <t>LCH06</t>
        </is>
      </c>
      <c r="U144" s="96" t="inlineStr">
        <is>
          <t>THLCH</t>
        </is>
      </c>
      <c r="V144" s="161" t="inlineStr">
        <is>
          <t>2026-10-07</t>
        </is>
      </c>
      <c r="W144" s="96" t="inlineStr">
        <is>
          <t>CNSHA</t>
        </is>
      </c>
      <c r="X144" s="161" t="inlineStr">
        <is>
          <t>2026-10-13</t>
        </is>
      </c>
      <c r="Y144" s="97" t="n"/>
      <c r="Z144" s="97" t="n"/>
      <c r="AA144" s="97" t="n"/>
      <c r="AB144" s="97" t="n"/>
      <c r="AC144" s="97" t="n"/>
      <c r="AD144" s="161" t="inlineStr">
        <is>
          <t>2026-09-20</t>
        </is>
      </c>
      <c r="AE144" s="174" t="inlineStr">
        <is>
          <t>0122</t>
        </is>
      </c>
      <c r="AF144" s="96" t="inlineStr">
        <is>
          <t>EDI2</t>
        </is>
      </c>
      <c r="AG144" s="97" t="n"/>
      <c r="AH144" s="97" t="n"/>
      <c r="AI144" s="97" t="n"/>
      <c r="AJ144" s="96" t="inlineStr">
        <is>
          <t>BARKLAYS LOGISTICS (SHANGHAI)</t>
        </is>
      </c>
      <c r="AK144" s="130" t="n"/>
    </row>
    <row r="145" ht="12" customHeight="1">
      <c r="A145" s="108" t="inlineStr">
        <is>
          <t>BEAU2989465</t>
        </is>
      </c>
      <c r="B145" s="108" t="n"/>
      <c r="C145" s="108" t="n"/>
      <c r="D145" s="172" t="n"/>
      <c r="E145" s="173" t="n"/>
      <c r="F145" s="96" t="n"/>
      <c r="G145" s="96" t="n"/>
      <c r="H145" s="111" t="n"/>
      <c r="I145" s="96" t="n"/>
      <c r="J145" s="96" t="n"/>
      <c r="K145" s="96" t="n"/>
      <c r="L145" s="111" t="n"/>
      <c r="M145" s="96" t="n"/>
      <c r="N145" s="96" t="n"/>
      <c r="O145" s="111" t="n"/>
      <c r="P145" s="111" t="n"/>
      <c r="Q145" s="111" t="n"/>
      <c r="R145" s="96" t="n"/>
      <c r="S145" s="96" t="n"/>
      <c r="T145" s="96" t="n"/>
      <c r="U145" s="96" t="n"/>
      <c r="V145" s="161" t="n"/>
      <c r="W145" s="96" t="n"/>
      <c r="X145" s="161" t="n"/>
      <c r="Y145" s="97" t="n"/>
      <c r="Z145" s="97" t="n"/>
      <c r="AA145" s="97" t="n"/>
      <c r="AB145" s="97" t="n"/>
      <c r="AC145" s="97" t="n"/>
      <c r="AD145" s="161" t="n"/>
      <c r="AE145" s="174" t="n"/>
      <c r="AF145" s="96" t="n"/>
      <c r="AG145" s="97" t="n"/>
      <c r="AH145" s="97" t="n"/>
      <c r="AI145" s="97" t="n"/>
      <c r="AJ145" s="96" t="n"/>
      <c r="AK145" s="130" t="n"/>
    </row>
    <row r="146" ht="12" customHeight="1">
      <c r="A146" s="108" t="inlineStr">
        <is>
          <t>BMOU5940421</t>
        </is>
      </c>
      <c r="B146" s="108" t="n"/>
      <c r="C146" s="108" t="n"/>
      <c r="D146" s="172" t="n"/>
      <c r="E146" s="173" t="n"/>
      <c r="F146" s="96" t="n"/>
      <c r="G146" s="96" t="n"/>
      <c r="H146" s="111" t="n"/>
      <c r="I146" s="96" t="n"/>
      <c r="J146" s="96" t="n"/>
      <c r="K146" s="96" t="n"/>
      <c r="L146" s="111" t="n"/>
      <c r="M146" s="96" t="n"/>
      <c r="N146" s="96" t="n"/>
      <c r="O146" s="111" t="n"/>
      <c r="P146" s="111" t="n"/>
      <c r="Q146" s="111" t="n"/>
      <c r="R146" s="96" t="n"/>
      <c r="S146" s="96" t="n"/>
      <c r="T146" s="96" t="n"/>
      <c r="U146" s="96" t="n"/>
      <c r="V146" s="161" t="n"/>
      <c r="W146" s="96" t="n"/>
      <c r="X146" s="161" t="n"/>
      <c r="Y146" s="97" t="n"/>
      <c r="Z146" s="97" t="n"/>
      <c r="AA146" s="97" t="n"/>
      <c r="AB146" s="97" t="n"/>
      <c r="AC146" s="97" t="n"/>
      <c r="AD146" s="161" t="n"/>
      <c r="AE146" s="174" t="n"/>
      <c r="AF146" s="96" t="n"/>
      <c r="AG146" s="97" t="n"/>
      <c r="AH146" s="97" t="n"/>
      <c r="AI146" s="97" t="n"/>
      <c r="AJ146" s="96" t="n"/>
      <c r="AK146" s="130" t="n"/>
    </row>
    <row r="147" ht="12" customHeight="1">
      <c r="A147" s="108" t="inlineStr">
        <is>
          <t>CRSU9338660</t>
        </is>
      </c>
      <c r="B147" s="108" t="n"/>
      <c r="C147" s="108" t="n"/>
      <c r="D147" s="172" t="n"/>
      <c r="E147" s="173" t="n"/>
      <c r="F147" s="96" t="n"/>
      <c r="G147" s="96" t="n"/>
      <c r="H147" s="111" t="n"/>
      <c r="I147" s="96" t="n"/>
      <c r="J147" s="96" t="n"/>
      <c r="K147" s="96" t="n"/>
      <c r="L147" s="111" t="n"/>
      <c r="M147" s="96" t="n"/>
      <c r="N147" s="96" t="n"/>
      <c r="O147" s="111" t="n"/>
      <c r="P147" s="111" t="n"/>
      <c r="Q147" s="111" t="n"/>
      <c r="R147" s="96" t="n"/>
      <c r="S147" s="96" t="n"/>
      <c r="T147" s="96" t="n"/>
      <c r="U147" s="96" t="n"/>
      <c r="V147" s="161" t="n"/>
      <c r="W147" s="96" t="n"/>
      <c r="X147" s="161" t="n"/>
      <c r="Y147" s="97" t="n"/>
      <c r="Z147" s="97" t="n"/>
      <c r="AA147" s="97" t="n"/>
      <c r="AB147" s="97" t="n"/>
      <c r="AC147" s="97" t="n"/>
      <c r="AD147" s="161" t="n"/>
      <c r="AE147" s="174" t="n"/>
      <c r="AF147" s="96" t="n"/>
      <c r="AG147" s="97" t="n"/>
      <c r="AH147" s="97" t="n"/>
      <c r="AI147" s="97" t="n"/>
      <c r="AJ147" s="96" t="n"/>
      <c r="AK147" s="130" t="n"/>
    </row>
    <row r="148" ht="12" customHeight="1">
      <c r="A148" s="108" t="inlineStr">
        <is>
          <t>CXDU2308143</t>
        </is>
      </c>
      <c r="B148" s="108" t="n"/>
      <c r="C148" s="108" t="n"/>
      <c r="D148" s="172" t="n"/>
      <c r="E148" s="173" t="n"/>
      <c r="F148" s="96" t="n"/>
      <c r="G148" s="96" t="n"/>
      <c r="H148" s="111" t="n"/>
      <c r="I148" s="96" t="n"/>
      <c r="J148" s="96" t="n"/>
      <c r="K148" s="96" t="n"/>
      <c r="L148" s="111" t="n"/>
      <c r="M148" s="96" t="n"/>
      <c r="N148" s="96" t="n"/>
      <c r="O148" s="111" t="n"/>
      <c r="P148" s="111" t="n"/>
      <c r="Q148" s="111" t="n"/>
      <c r="R148" s="96" t="n"/>
      <c r="S148" s="96" t="n"/>
      <c r="T148" s="96" t="n"/>
      <c r="U148" s="96" t="n"/>
      <c r="V148" s="161" t="n"/>
      <c r="W148" s="96" t="n"/>
      <c r="X148" s="161" t="n"/>
      <c r="Y148" s="97" t="n"/>
      <c r="Z148" s="97" t="n"/>
      <c r="AA148" s="97" t="n"/>
      <c r="AB148" s="97" t="n"/>
      <c r="AC148" s="97" t="n"/>
      <c r="AD148" s="161" t="n"/>
      <c r="AE148" s="174" t="n"/>
      <c r="AF148" s="96" t="n"/>
      <c r="AG148" s="97" t="n"/>
      <c r="AH148" s="97" t="n"/>
      <c r="AI148" s="97" t="n"/>
      <c r="AJ148" s="96" t="n"/>
      <c r="AK148" s="130" t="n"/>
    </row>
    <row r="149" ht="12" customHeight="1">
      <c r="A149" s="108" t="inlineStr">
        <is>
          <t>DFSU3096313</t>
        </is>
      </c>
      <c r="B149" s="108" t="n"/>
      <c r="C149" s="108" t="n"/>
      <c r="D149" s="172" t="n"/>
      <c r="E149" s="173" t="n"/>
      <c r="F149" s="96" t="n"/>
      <c r="G149" s="96" t="n"/>
      <c r="H149" s="111" t="n"/>
      <c r="I149" s="96" t="n"/>
      <c r="J149" s="96" t="n"/>
      <c r="K149" s="96" t="n"/>
      <c r="L149" s="111" t="n"/>
      <c r="M149" s="96" t="n"/>
      <c r="N149" s="96" t="n"/>
      <c r="O149" s="111" t="n"/>
      <c r="P149" s="111" t="n"/>
      <c r="Q149" s="111" t="n"/>
      <c r="R149" s="96" t="n"/>
      <c r="S149" s="96" t="n"/>
      <c r="T149" s="96" t="n"/>
      <c r="U149" s="96" t="n"/>
      <c r="V149" s="161" t="n"/>
      <c r="W149" s="96" t="n"/>
      <c r="X149" s="161" t="n"/>
      <c r="Y149" s="97" t="n"/>
      <c r="Z149" s="97" t="n"/>
      <c r="AA149" s="97" t="n"/>
      <c r="AB149" s="97" t="n"/>
      <c r="AC149" s="97" t="n"/>
      <c r="AD149" s="161" t="n"/>
      <c r="AE149" s="174" t="n"/>
      <c r="AF149" s="96" t="n"/>
      <c r="AG149" s="97" t="n"/>
      <c r="AH149" s="97" t="n"/>
      <c r="AI149" s="97" t="n"/>
      <c r="AJ149" s="96" t="n"/>
      <c r="AK149" s="130" t="n"/>
    </row>
    <row r="150" ht="12" customHeight="1">
      <c r="A150" s="108" t="inlineStr">
        <is>
          <t>FCIU7289678</t>
        </is>
      </c>
      <c r="B150" s="108" t="n"/>
      <c r="C150" s="108" t="n"/>
      <c r="D150" s="172" t="n"/>
      <c r="E150" s="173" t="n"/>
      <c r="F150" s="96" t="n"/>
      <c r="G150" s="96" t="n"/>
      <c r="H150" s="111" t="n"/>
      <c r="I150" s="96" t="n"/>
      <c r="J150" s="96" t="n"/>
      <c r="K150" s="96" t="n"/>
      <c r="L150" s="111" t="n"/>
      <c r="M150" s="96" t="n"/>
      <c r="N150" s="96" t="n"/>
      <c r="O150" s="111" t="n"/>
      <c r="P150" s="111" t="n"/>
      <c r="Q150" s="111" t="n"/>
      <c r="R150" s="96" t="n"/>
      <c r="S150" s="96" t="n"/>
      <c r="T150" s="96" t="n"/>
      <c r="U150" s="96" t="n"/>
      <c r="V150" s="161" t="n"/>
      <c r="W150" s="96" t="n"/>
      <c r="X150" s="161" t="n"/>
      <c r="Y150" s="97" t="n"/>
      <c r="Z150" s="97" t="n"/>
      <c r="AA150" s="97" t="n"/>
      <c r="AB150" s="97" t="n"/>
      <c r="AC150" s="97" t="n"/>
      <c r="AD150" s="161" t="n"/>
      <c r="AE150" s="174" t="n"/>
      <c r="AF150" s="96" t="n"/>
      <c r="AG150" s="97" t="n"/>
      <c r="AH150" s="97" t="n"/>
      <c r="AI150" s="97" t="n"/>
      <c r="AJ150" s="96" t="n"/>
      <c r="AK150" s="130" t="n"/>
    </row>
    <row r="151" ht="12" customHeight="1">
      <c r="A151" s="108" t="inlineStr">
        <is>
          <t>FSCU7114149</t>
        </is>
      </c>
      <c r="B151" s="108" t="n"/>
      <c r="C151" s="108" t="n"/>
      <c r="D151" s="172" t="n"/>
      <c r="E151" s="173" t="n"/>
      <c r="F151" s="96" t="n"/>
      <c r="G151" s="96" t="n"/>
      <c r="H151" s="111" t="n"/>
      <c r="I151" s="96" t="n"/>
      <c r="J151" s="96" t="n"/>
      <c r="K151" s="96" t="n"/>
      <c r="L151" s="111" t="n"/>
      <c r="M151" s="96" t="n"/>
      <c r="N151" s="96" t="n"/>
      <c r="O151" s="111" t="n"/>
      <c r="P151" s="111" t="n"/>
      <c r="Q151" s="111" t="n"/>
      <c r="R151" s="96" t="n"/>
      <c r="S151" s="96" t="n"/>
      <c r="T151" s="96" t="n"/>
      <c r="U151" s="96" t="n"/>
      <c r="V151" s="161" t="n"/>
      <c r="W151" s="96" t="n"/>
      <c r="X151" s="161" t="n"/>
      <c r="Y151" s="97" t="n"/>
      <c r="Z151" s="97" t="n"/>
      <c r="AA151" s="97" t="n"/>
      <c r="AB151" s="97" t="n"/>
      <c r="AC151" s="97" t="n"/>
      <c r="AD151" s="161" t="n"/>
      <c r="AE151" s="174" t="n"/>
      <c r="AF151" s="96" t="n"/>
      <c r="AG151" s="97" t="n"/>
      <c r="AH151" s="97" t="n"/>
      <c r="AI151" s="97" t="n"/>
      <c r="AJ151" s="96" t="n"/>
      <c r="AK151" s="130" t="n"/>
    </row>
    <row r="152" ht="12" customHeight="1">
      <c r="A152" s="108" t="inlineStr">
        <is>
          <t>GCXU6008948</t>
        </is>
      </c>
      <c r="B152" s="108" t="n"/>
      <c r="C152" s="108" t="n"/>
      <c r="D152" s="172" t="n"/>
      <c r="E152" s="173" t="n"/>
      <c r="F152" s="96" t="n"/>
      <c r="G152" s="96" t="n"/>
      <c r="H152" s="111" t="n"/>
      <c r="I152" s="96" t="n"/>
      <c r="J152" s="96" t="n"/>
      <c r="K152" s="96" t="n"/>
      <c r="L152" s="111" t="n"/>
      <c r="M152" s="96" t="n"/>
      <c r="N152" s="96" t="n"/>
      <c r="O152" s="111" t="n"/>
      <c r="P152" s="111" t="n"/>
      <c r="Q152" s="111" t="n"/>
      <c r="R152" s="96" t="n"/>
      <c r="S152" s="96" t="n"/>
      <c r="T152" s="96" t="n"/>
      <c r="U152" s="96" t="n"/>
      <c r="V152" s="161" t="n"/>
      <c r="W152" s="96" t="n"/>
      <c r="X152" s="161" t="n"/>
      <c r="Y152" s="97" t="n"/>
      <c r="Z152" s="97" t="n"/>
      <c r="AA152" s="97" t="n"/>
      <c r="AB152" s="97" t="n"/>
      <c r="AC152" s="97" t="n"/>
      <c r="AD152" s="161" t="n"/>
      <c r="AE152" s="174" t="n"/>
      <c r="AF152" s="96" t="n"/>
      <c r="AG152" s="97" t="n"/>
      <c r="AH152" s="97" t="n"/>
      <c r="AI152" s="97" t="n"/>
      <c r="AJ152" s="96" t="n"/>
      <c r="AK152" s="130" t="n"/>
    </row>
    <row r="153" ht="12" customHeight="1">
      <c r="A153" s="108" t="inlineStr">
        <is>
          <t>GCXU6306808</t>
        </is>
      </c>
      <c r="B153" s="108" t="n"/>
      <c r="C153" s="108" t="n"/>
      <c r="D153" s="172" t="n"/>
      <c r="E153" s="173" t="n"/>
      <c r="F153" s="96" t="n"/>
      <c r="G153" s="96" t="n"/>
      <c r="H153" s="111" t="n"/>
      <c r="I153" s="96" t="n"/>
      <c r="J153" s="96" t="n"/>
      <c r="K153" s="96" t="n"/>
      <c r="L153" s="111" t="n"/>
      <c r="M153" s="96" t="n"/>
      <c r="N153" s="96" t="n"/>
      <c r="O153" s="111" t="n"/>
      <c r="P153" s="111" t="n"/>
      <c r="Q153" s="111" t="n"/>
      <c r="R153" s="96" t="n"/>
      <c r="S153" s="96" t="n"/>
      <c r="T153" s="96" t="n"/>
      <c r="U153" s="96" t="n"/>
      <c r="V153" s="161" t="n"/>
      <c r="W153" s="96" t="n"/>
      <c r="X153" s="161" t="n"/>
      <c r="Y153" s="97" t="n"/>
      <c r="Z153" s="97" t="n"/>
      <c r="AA153" s="97" t="n"/>
      <c r="AB153" s="97" t="n"/>
      <c r="AC153" s="97" t="n"/>
      <c r="AD153" s="161" t="n"/>
      <c r="AE153" s="174" t="n"/>
      <c r="AF153" s="96" t="n"/>
      <c r="AG153" s="97" t="n"/>
      <c r="AH153" s="97" t="n"/>
      <c r="AI153" s="97" t="n"/>
      <c r="AJ153" s="96" t="n"/>
      <c r="AK153" s="130" t="n"/>
    </row>
    <row r="154" ht="12" customHeight="1">
      <c r="A154" s="108" t="inlineStr">
        <is>
          <t>HALU2057900</t>
        </is>
      </c>
      <c r="B154" s="108" t="n"/>
      <c r="C154" s="108" t="n"/>
      <c r="D154" s="172" t="n"/>
      <c r="E154" s="173" t="n"/>
      <c r="F154" s="96" t="n"/>
      <c r="G154" s="96" t="n"/>
      <c r="H154" s="111" t="n"/>
      <c r="I154" s="96" t="n"/>
      <c r="J154" s="96" t="n"/>
      <c r="K154" s="96" t="n"/>
      <c r="L154" s="111" t="n"/>
      <c r="M154" s="96" t="n"/>
      <c r="N154" s="96" t="n"/>
      <c r="O154" s="111" t="n"/>
      <c r="P154" s="111" t="n"/>
      <c r="Q154" s="111" t="n"/>
      <c r="R154" s="96" t="n"/>
      <c r="S154" s="96" t="n"/>
      <c r="T154" s="96" t="n"/>
      <c r="U154" s="96" t="n"/>
      <c r="V154" s="161" t="n"/>
      <c r="W154" s="96" t="n"/>
      <c r="X154" s="161" t="n"/>
      <c r="Y154" s="97" t="n"/>
      <c r="Z154" s="97" t="n"/>
      <c r="AA154" s="97" t="n"/>
      <c r="AB154" s="97" t="n"/>
      <c r="AC154" s="97" t="n"/>
      <c r="AD154" s="161" t="n"/>
      <c r="AE154" s="174" t="n"/>
      <c r="AF154" s="96" t="n"/>
      <c r="AG154" s="97" t="n"/>
      <c r="AH154" s="97" t="n"/>
      <c r="AI154" s="97" t="n"/>
      <c r="AJ154" s="96" t="n"/>
      <c r="AK154" s="130" t="n"/>
    </row>
    <row r="155" ht="12" customHeight="1">
      <c r="A155" s="108" t="inlineStr">
        <is>
          <t>HALU2063312</t>
        </is>
      </c>
      <c r="B155" s="108" t="n"/>
      <c r="C155" s="108" t="n"/>
      <c r="D155" s="172" t="n"/>
      <c r="E155" s="173" t="n"/>
      <c r="F155" s="96" t="n"/>
      <c r="G155" s="96" t="n"/>
      <c r="H155" s="111" t="n"/>
      <c r="I155" s="96" t="n"/>
      <c r="J155" s="96" t="n"/>
      <c r="K155" s="96" t="n"/>
      <c r="L155" s="111" t="n"/>
      <c r="M155" s="96" t="n"/>
      <c r="N155" s="96" t="n"/>
      <c r="O155" s="111" t="n"/>
      <c r="P155" s="111" t="n"/>
      <c r="Q155" s="111" t="n"/>
      <c r="R155" s="96" t="n"/>
      <c r="S155" s="96" t="n"/>
      <c r="T155" s="96" t="n"/>
      <c r="U155" s="96" t="n"/>
      <c r="V155" s="161" t="n"/>
      <c r="W155" s="96" t="n"/>
      <c r="X155" s="161" t="n"/>
      <c r="Y155" s="97" t="n"/>
      <c r="Z155" s="97" t="n"/>
      <c r="AA155" s="97" t="n"/>
      <c r="AB155" s="97" t="n"/>
      <c r="AC155" s="97" t="n"/>
      <c r="AD155" s="161" t="n"/>
      <c r="AE155" s="174" t="n"/>
      <c r="AF155" s="96" t="n"/>
      <c r="AG155" s="97" t="n"/>
      <c r="AH155" s="97" t="n"/>
      <c r="AI155" s="97" t="n"/>
      <c r="AJ155" s="96" t="n"/>
      <c r="AK155" s="130" t="n"/>
    </row>
    <row r="156" ht="12" customHeight="1">
      <c r="A156" s="108" t="inlineStr">
        <is>
          <t>HALU2063760</t>
        </is>
      </c>
      <c r="B156" s="108" t="n"/>
      <c r="C156" s="108" t="n"/>
      <c r="D156" s="172" t="n"/>
      <c r="E156" s="173" t="n"/>
      <c r="F156" s="96" t="n"/>
      <c r="G156" s="96" t="n"/>
      <c r="H156" s="111" t="n"/>
      <c r="I156" s="96" t="n"/>
      <c r="J156" s="96" t="n"/>
      <c r="K156" s="96" t="n"/>
      <c r="L156" s="111" t="n"/>
      <c r="M156" s="96" t="n"/>
      <c r="N156" s="96" t="n"/>
      <c r="O156" s="111" t="n"/>
      <c r="P156" s="111" t="n"/>
      <c r="Q156" s="111" t="n"/>
      <c r="R156" s="96" t="n"/>
      <c r="S156" s="96" t="n"/>
      <c r="T156" s="96" t="n"/>
      <c r="U156" s="96" t="n"/>
      <c r="V156" s="161" t="n"/>
      <c r="W156" s="96" t="n"/>
      <c r="X156" s="161" t="n"/>
      <c r="Y156" s="97" t="n"/>
      <c r="Z156" s="97" t="n"/>
      <c r="AA156" s="97" t="n"/>
      <c r="AB156" s="97" t="n"/>
      <c r="AC156" s="97" t="n"/>
      <c r="AD156" s="161" t="n"/>
      <c r="AE156" s="174" t="n"/>
      <c r="AF156" s="96" t="n"/>
      <c r="AG156" s="97" t="n"/>
      <c r="AH156" s="97" t="n"/>
      <c r="AI156" s="97" t="n"/>
      <c r="AJ156" s="96" t="n"/>
      <c r="AK156" s="130" t="n"/>
    </row>
    <row r="157" ht="12" customHeight="1">
      <c r="A157" s="108" t="inlineStr">
        <is>
          <t>HALU2071278</t>
        </is>
      </c>
      <c r="B157" s="108" t="n"/>
      <c r="C157" s="108" t="n"/>
      <c r="D157" s="172" t="n"/>
      <c r="E157" s="173" t="n"/>
      <c r="F157" s="96" t="n"/>
      <c r="G157" s="96" t="n"/>
      <c r="H157" s="111" t="n"/>
      <c r="I157" s="96" t="n"/>
      <c r="J157" s="96" t="n"/>
      <c r="K157" s="96" t="n"/>
      <c r="L157" s="111" t="n"/>
      <c r="M157" s="96" t="n"/>
      <c r="N157" s="96" t="n"/>
      <c r="O157" s="111" t="n"/>
      <c r="P157" s="111" t="n"/>
      <c r="Q157" s="111" t="n"/>
      <c r="R157" s="96" t="n"/>
      <c r="S157" s="96" t="n"/>
      <c r="T157" s="96" t="n"/>
      <c r="U157" s="96" t="n"/>
      <c r="V157" s="161" t="n"/>
      <c r="W157" s="96" t="n"/>
      <c r="X157" s="161" t="n"/>
      <c r="Y157" s="97" t="n"/>
      <c r="Z157" s="97" t="n"/>
      <c r="AA157" s="97" t="n"/>
      <c r="AB157" s="97" t="n"/>
      <c r="AC157" s="97" t="n"/>
      <c r="AD157" s="161" t="n"/>
      <c r="AE157" s="174" t="n"/>
      <c r="AF157" s="96" t="n"/>
      <c r="AG157" s="97" t="n"/>
      <c r="AH157" s="97" t="n"/>
      <c r="AI157" s="97" t="n"/>
      <c r="AJ157" s="96" t="n"/>
      <c r="AK157" s="130" t="n"/>
    </row>
    <row r="158" ht="12" customHeight="1">
      <c r="A158" s="108" t="inlineStr">
        <is>
          <t>HALU2083659</t>
        </is>
      </c>
      <c r="B158" s="108" t="n"/>
      <c r="C158" s="108" t="n"/>
      <c r="D158" s="172" t="n"/>
      <c r="E158" s="173" t="n"/>
      <c r="F158" s="96" t="n"/>
      <c r="G158" s="96" t="n"/>
      <c r="H158" s="111" t="n"/>
      <c r="I158" s="96" t="n"/>
      <c r="J158" s="96" t="n"/>
      <c r="K158" s="96" t="n"/>
      <c r="L158" s="111" t="n"/>
      <c r="M158" s="96" t="n"/>
      <c r="N158" s="96" t="n"/>
      <c r="O158" s="111" t="n"/>
      <c r="P158" s="111" t="n"/>
      <c r="Q158" s="111" t="n"/>
      <c r="R158" s="96" t="n"/>
      <c r="S158" s="96" t="n"/>
      <c r="T158" s="96" t="n"/>
      <c r="U158" s="96" t="n"/>
      <c r="V158" s="161" t="n"/>
      <c r="W158" s="96" t="n"/>
      <c r="X158" s="161" t="n"/>
      <c r="Y158" s="97" t="n"/>
      <c r="Z158" s="97" t="n"/>
      <c r="AA158" s="97" t="n"/>
      <c r="AB158" s="97" t="n"/>
      <c r="AC158" s="97" t="n"/>
      <c r="AD158" s="161" t="n"/>
      <c r="AE158" s="174" t="n"/>
      <c r="AF158" s="96" t="n"/>
      <c r="AG158" s="97" t="n"/>
      <c r="AH158" s="97" t="n"/>
      <c r="AI158" s="97" t="n"/>
      <c r="AJ158" s="96" t="n"/>
      <c r="AK158" s="130" t="n"/>
    </row>
    <row r="159" ht="12" customHeight="1">
      <c r="A159" s="108" t="inlineStr">
        <is>
          <t>HALU2325048</t>
        </is>
      </c>
      <c r="B159" s="108" t="n"/>
      <c r="C159" s="108" t="n"/>
      <c r="D159" s="172" t="n"/>
      <c r="E159" s="173" t="n"/>
      <c r="F159" s="96" t="n"/>
      <c r="G159" s="96" t="n"/>
      <c r="H159" s="111" t="n"/>
      <c r="I159" s="96" t="n"/>
      <c r="J159" s="96" t="n"/>
      <c r="K159" s="96" t="n"/>
      <c r="L159" s="111" t="n"/>
      <c r="M159" s="96" t="n"/>
      <c r="N159" s="96" t="n"/>
      <c r="O159" s="111" t="n"/>
      <c r="P159" s="111" t="n"/>
      <c r="Q159" s="111" t="n"/>
      <c r="R159" s="96" t="n"/>
      <c r="S159" s="96" t="n"/>
      <c r="T159" s="96" t="n"/>
      <c r="U159" s="96" t="n"/>
      <c r="V159" s="161" t="n"/>
      <c r="W159" s="96" t="n"/>
      <c r="X159" s="161" t="n"/>
      <c r="Y159" s="97" t="n"/>
      <c r="Z159" s="97" t="n"/>
      <c r="AA159" s="97" t="n"/>
      <c r="AB159" s="97" t="n"/>
      <c r="AC159" s="97" t="n"/>
      <c r="AD159" s="161" t="n"/>
      <c r="AE159" s="174" t="n"/>
      <c r="AF159" s="96" t="n"/>
      <c r="AG159" s="97" t="n"/>
      <c r="AH159" s="97" t="n"/>
      <c r="AI159" s="97" t="n"/>
      <c r="AJ159" s="96" t="n"/>
      <c r="AK159" s="130" t="n"/>
    </row>
    <row r="160" ht="12" customHeight="1">
      <c r="A160" s="108" t="inlineStr">
        <is>
          <t>HALU2344496</t>
        </is>
      </c>
      <c r="B160" s="108" t="n"/>
      <c r="C160" s="108" t="n"/>
      <c r="D160" s="172" t="n"/>
      <c r="E160" s="173" t="n"/>
      <c r="F160" s="96" t="n"/>
      <c r="G160" s="96" t="n"/>
      <c r="H160" s="111" t="n"/>
      <c r="I160" s="96" t="n"/>
      <c r="J160" s="96" t="n"/>
      <c r="K160" s="96" t="n"/>
      <c r="L160" s="111" t="n"/>
      <c r="M160" s="96" t="n"/>
      <c r="N160" s="96" t="n"/>
      <c r="O160" s="111" t="n"/>
      <c r="P160" s="111" t="n"/>
      <c r="Q160" s="111" t="n"/>
      <c r="R160" s="96" t="n"/>
      <c r="S160" s="96" t="n"/>
      <c r="T160" s="96" t="n"/>
      <c r="U160" s="96" t="n"/>
      <c r="V160" s="161" t="n"/>
      <c r="W160" s="96" t="n"/>
      <c r="X160" s="161" t="n"/>
      <c r="Y160" s="97" t="n"/>
      <c r="Z160" s="97" t="n"/>
      <c r="AA160" s="97" t="n"/>
      <c r="AB160" s="97" t="n"/>
      <c r="AC160" s="97" t="n"/>
      <c r="AD160" s="161" t="n"/>
      <c r="AE160" s="174" t="n"/>
      <c r="AF160" s="96" t="n"/>
      <c r="AG160" s="97" t="n"/>
      <c r="AH160" s="97" t="n"/>
      <c r="AI160" s="97" t="n"/>
      <c r="AJ160" s="96" t="n"/>
      <c r="AK160" s="130" t="n"/>
    </row>
    <row r="161" ht="12" customHeight="1">
      <c r="A161" s="108" t="inlineStr">
        <is>
          <t>HALU2351448</t>
        </is>
      </c>
      <c r="B161" s="108" t="n"/>
      <c r="C161" s="108" t="n"/>
      <c r="D161" s="172" t="n"/>
      <c r="E161" s="173" t="n"/>
      <c r="F161" s="96" t="n"/>
      <c r="G161" s="96" t="n"/>
      <c r="H161" s="111" t="n"/>
      <c r="I161" s="96" t="n"/>
      <c r="J161" s="96" t="n"/>
      <c r="K161" s="96" t="n"/>
      <c r="L161" s="111" t="n"/>
      <c r="M161" s="96" t="n"/>
      <c r="N161" s="96" t="n"/>
      <c r="O161" s="111" t="n"/>
      <c r="P161" s="111" t="n"/>
      <c r="Q161" s="111" t="n"/>
      <c r="R161" s="96" t="n"/>
      <c r="S161" s="96" t="n"/>
      <c r="T161" s="96" t="n"/>
      <c r="U161" s="96" t="n"/>
      <c r="V161" s="161" t="n"/>
      <c r="W161" s="96" t="n"/>
      <c r="X161" s="161" t="n"/>
      <c r="Y161" s="97" t="n"/>
      <c r="Z161" s="97" t="n"/>
      <c r="AA161" s="97" t="n"/>
      <c r="AB161" s="97" t="n"/>
      <c r="AC161" s="97" t="n"/>
      <c r="AD161" s="161" t="n"/>
      <c r="AE161" s="174" t="n"/>
      <c r="AF161" s="96" t="n"/>
      <c r="AG161" s="97" t="n"/>
      <c r="AH161" s="97" t="n"/>
      <c r="AI161" s="97" t="n"/>
      <c r="AJ161" s="96" t="n"/>
      <c r="AK161" s="130" t="n"/>
    </row>
    <row r="162" ht="12" customHeight="1">
      <c r="A162" s="108" t="inlineStr">
        <is>
          <t>HALU2363752</t>
        </is>
      </c>
      <c r="B162" s="108" t="n"/>
      <c r="C162" s="108" t="n"/>
      <c r="D162" s="172" t="n"/>
      <c r="E162" s="173" t="n"/>
      <c r="F162" s="96" t="n"/>
      <c r="G162" s="96" t="n"/>
      <c r="H162" s="111" t="n"/>
      <c r="I162" s="96" t="n"/>
      <c r="J162" s="96" t="n"/>
      <c r="K162" s="96" t="n"/>
      <c r="L162" s="111" t="n"/>
      <c r="M162" s="96" t="n"/>
      <c r="N162" s="96" t="n"/>
      <c r="O162" s="111" t="n"/>
      <c r="P162" s="111" t="n"/>
      <c r="Q162" s="111" t="n"/>
      <c r="R162" s="96" t="n"/>
      <c r="S162" s="96" t="n"/>
      <c r="T162" s="96" t="n"/>
      <c r="U162" s="96" t="n"/>
      <c r="V162" s="161" t="n"/>
      <c r="W162" s="96" t="n"/>
      <c r="X162" s="161" t="n"/>
      <c r="Y162" s="97" t="n"/>
      <c r="Z162" s="97" t="n"/>
      <c r="AA162" s="97" t="n"/>
      <c r="AB162" s="97" t="n"/>
      <c r="AC162" s="97" t="n"/>
      <c r="AD162" s="161" t="n"/>
      <c r="AE162" s="174" t="n"/>
      <c r="AF162" s="96" t="n"/>
      <c r="AG162" s="97" t="n"/>
      <c r="AH162" s="97" t="n"/>
      <c r="AI162" s="97" t="n"/>
      <c r="AJ162" s="96" t="n"/>
      <c r="AK162" s="130" t="n"/>
    </row>
    <row r="163" ht="12" customHeight="1">
      <c r="A163" s="108" t="inlineStr">
        <is>
          <t>HALU2405879</t>
        </is>
      </c>
      <c r="B163" s="108" t="n"/>
      <c r="C163" s="108" t="n"/>
      <c r="D163" s="172" t="n"/>
      <c r="E163" s="173" t="n"/>
      <c r="F163" s="96" t="n"/>
      <c r="G163" s="96" t="n"/>
      <c r="H163" s="111" t="n"/>
      <c r="I163" s="96" t="n"/>
      <c r="J163" s="96" t="n"/>
      <c r="K163" s="96" t="n"/>
      <c r="L163" s="111" t="n"/>
      <c r="M163" s="96" t="n"/>
      <c r="N163" s="96" t="n"/>
      <c r="O163" s="111" t="n"/>
      <c r="P163" s="111" t="n"/>
      <c r="Q163" s="111" t="n"/>
      <c r="R163" s="96" t="n"/>
      <c r="S163" s="96" t="n"/>
      <c r="T163" s="96" t="n"/>
      <c r="U163" s="96" t="n"/>
      <c r="V163" s="161" t="n"/>
      <c r="W163" s="96" t="n"/>
      <c r="X163" s="161" t="n"/>
      <c r="Y163" s="97" t="n"/>
      <c r="Z163" s="97" t="n"/>
      <c r="AA163" s="97" t="n"/>
      <c r="AB163" s="97" t="n"/>
      <c r="AC163" s="97" t="n"/>
      <c r="AD163" s="161" t="n"/>
      <c r="AE163" s="174" t="n"/>
      <c r="AF163" s="96" t="n"/>
      <c r="AG163" s="97" t="n"/>
      <c r="AH163" s="97" t="n"/>
      <c r="AI163" s="97" t="n"/>
      <c r="AJ163" s="96" t="n"/>
      <c r="AK163" s="130" t="n"/>
    </row>
    <row r="164" ht="12" customHeight="1">
      <c r="A164" s="108" t="inlineStr">
        <is>
          <t>HALU2531429</t>
        </is>
      </c>
      <c r="B164" s="108" t="n"/>
      <c r="C164" s="108" t="n"/>
      <c r="D164" s="172" t="n"/>
      <c r="E164" s="173" t="n"/>
      <c r="F164" s="96" t="n"/>
      <c r="G164" s="96" t="n"/>
      <c r="H164" s="111" t="n"/>
      <c r="I164" s="96" t="n"/>
      <c r="J164" s="96" t="n"/>
      <c r="K164" s="96" t="n"/>
      <c r="L164" s="111" t="n"/>
      <c r="M164" s="96" t="n"/>
      <c r="N164" s="96" t="n"/>
      <c r="O164" s="111" t="n"/>
      <c r="P164" s="111" t="n"/>
      <c r="Q164" s="111" t="n"/>
      <c r="R164" s="96" t="n"/>
      <c r="S164" s="96" t="n"/>
      <c r="T164" s="96" t="n"/>
      <c r="U164" s="96" t="n"/>
      <c r="V164" s="161" t="n"/>
      <c r="W164" s="96" t="n"/>
      <c r="X164" s="161" t="n"/>
      <c r="Y164" s="97" t="n"/>
      <c r="Z164" s="97" t="n"/>
      <c r="AA164" s="97" t="n"/>
      <c r="AB164" s="97" t="n"/>
      <c r="AC164" s="97" t="n"/>
      <c r="AD164" s="161" t="n"/>
      <c r="AE164" s="174" t="n"/>
      <c r="AF164" s="96" t="n"/>
      <c r="AG164" s="97" t="n"/>
      <c r="AH164" s="97" t="n"/>
      <c r="AI164" s="97" t="n"/>
      <c r="AJ164" s="96" t="n"/>
      <c r="AK164" s="130" t="n"/>
    </row>
    <row r="165" ht="12" customHeight="1">
      <c r="A165" s="108" t="inlineStr">
        <is>
          <t>HALU2537659</t>
        </is>
      </c>
      <c r="B165" s="108" t="n"/>
      <c r="C165" s="108" t="n"/>
      <c r="D165" s="172" t="n"/>
      <c r="E165" s="173" t="n"/>
      <c r="F165" s="96" t="n"/>
      <c r="G165" s="96" t="n"/>
      <c r="H165" s="111" t="n"/>
      <c r="I165" s="96" t="n"/>
      <c r="J165" s="96" t="n"/>
      <c r="K165" s="96" t="n"/>
      <c r="L165" s="111" t="n"/>
      <c r="M165" s="96" t="n"/>
      <c r="N165" s="96" t="n"/>
      <c r="O165" s="111" t="n"/>
      <c r="P165" s="111" t="n"/>
      <c r="Q165" s="111" t="n"/>
      <c r="R165" s="96" t="n"/>
      <c r="S165" s="96" t="n"/>
      <c r="T165" s="96" t="n"/>
      <c r="U165" s="96" t="n"/>
      <c r="V165" s="161" t="n"/>
      <c r="W165" s="96" t="n"/>
      <c r="X165" s="161" t="n"/>
      <c r="Y165" s="97" t="n"/>
      <c r="Z165" s="97" t="n"/>
      <c r="AA165" s="97" t="n"/>
      <c r="AB165" s="97" t="n"/>
      <c r="AC165" s="97" t="n"/>
      <c r="AD165" s="161" t="n"/>
      <c r="AE165" s="174" t="n"/>
      <c r="AF165" s="96" t="n"/>
      <c r="AG165" s="97" t="n"/>
      <c r="AH165" s="97" t="n"/>
      <c r="AI165" s="97" t="n"/>
      <c r="AJ165" s="96" t="n"/>
      <c r="AK165" s="130" t="n"/>
    </row>
    <row r="166" ht="12" customHeight="1">
      <c r="A166" s="108" t="inlineStr">
        <is>
          <t>HALU2542660</t>
        </is>
      </c>
      <c r="B166" s="108" t="n"/>
      <c r="C166" s="108" t="n"/>
      <c r="D166" s="172" t="n"/>
      <c r="E166" s="173" t="n"/>
      <c r="F166" s="96" t="n"/>
      <c r="G166" s="96" t="n"/>
      <c r="H166" s="111" t="n"/>
      <c r="I166" s="96" t="n"/>
      <c r="J166" s="96" t="n"/>
      <c r="K166" s="96" t="n"/>
      <c r="L166" s="111" t="n"/>
      <c r="M166" s="96" t="n"/>
      <c r="N166" s="96" t="n"/>
      <c r="O166" s="111" t="n"/>
      <c r="P166" s="111" t="n"/>
      <c r="Q166" s="111" t="n"/>
      <c r="R166" s="96" t="n"/>
      <c r="S166" s="96" t="n"/>
      <c r="T166" s="96" t="n"/>
      <c r="U166" s="96" t="n"/>
      <c r="V166" s="161" t="n"/>
      <c r="W166" s="96" t="n"/>
      <c r="X166" s="161" t="n"/>
      <c r="Y166" s="97" t="n"/>
      <c r="Z166" s="97" t="n"/>
      <c r="AA166" s="97" t="n"/>
      <c r="AB166" s="97" t="n"/>
      <c r="AC166" s="97" t="n"/>
      <c r="AD166" s="161" t="n"/>
      <c r="AE166" s="174" t="n"/>
      <c r="AF166" s="96" t="n"/>
      <c r="AG166" s="97" t="n"/>
      <c r="AH166" s="97" t="n"/>
      <c r="AI166" s="97" t="n"/>
      <c r="AJ166" s="96" t="n"/>
      <c r="AK166" s="130" t="n"/>
    </row>
    <row r="167" ht="12" customHeight="1">
      <c r="A167" s="108" t="inlineStr">
        <is>
          <t>HALU2548910</t>
        </is>
      </c>
      <c r="B167" s="108" t="n"/>
      <c r="C167" s="108" t="n"/>
      <c r="D167" s="172" t="n"/>
      <c r="E167" s="173" t="n"/>
      <c r="F167" s="96" t="n"/>
      <c r="G167" s="96" t="n"/>
      <c r="H167" s="111" t="n"/>
      <c r="I167" s="96" t="n"/>
      <c r="J167" s="96" t="n"/>
      <c r="K167" s="96" t="n"/>
      <c r="L167" s="111" t="n"/>
      <c r="M167" s="96" t="n"/>
      <c r="N167" s="96" t="n"/>
      <c r="O167" s="111" t="n"/>
      <c r="P167" s="111" t="n"/>
      <c r="Q167" s="111" t="n"/>
      <c r="R167" s="96" t="n"/>
      <c r="S167" s="96" t="n"/>
      <c r="T167" s="96" t="n"/>
      <c r="U167" s="96" t="n"/>
      <c r="V167" s="161" t="n"/>
      <c r="W167" s="96" t="n"/>
      <c r="X167" s="161" t="n"/>
      <c r="Y167" s="97" t="n"/>
      <c r="Z167" s="97" t="n"/>
      <c r="AA167" s="97" t="n"/>
      <c r="AB167" s="97" t="n"/>
      <c r="AC167" s="97" t="n"/>
      <c r="AD167" s="161" t="n"/>
      <c r="AE167" s="174" t="n"/>
      <c r="AF167" s="96" t="n"/>
      <c r="AG167" s="97" t="n"/>
      <c r="AH167" s="97" t="n"/>
      <c r="AI167" s="97" t="n"/>
      <c r="AJ167" s="96" t="n"/>
      <c r="AK167" s="130" t="n"/>
    </row>
    <row r="168" ht="12" customHeight="1">
      <c r="A168" s="108" t="inlineStr">
        <is>
          <t>HALU2587979</t>
        </is>
      </c>
      <c r="B168" s="108" t="n"/>
      <c r="C168" s="108" t="n"/>
      <c r="D168" s="172" t="n"/>
      <c r="E168" s="173" t="n"/>
      <c r="F168" s="96" t="n"/>
      <c r="G168" s="96" t="n"/>
      <c r="H168" s="111" t="n"/>
      <c r="I168" s="96" t="n"/>
      <c r="J168" s="96" t="n"/>
      <c r="K168" s="96" t="n"/>
      <c r="L168" s="111" t="n"/>
      <c r="M168" s="96" t="n"/>
      <c r="N168" s="96" t="n"/>
      <c r="O168" s="111" t="n"/>
      <c r="P168" s="111" t="n"/>
      <c r="Q168" s="111" t="n"/>
      <c r="R168" s="96" t="n"/>
      <c r="S168" s="96" t="n"/>
      <c r="T168" s="96" t="n"/>
      <c r="U168" s="96" t="n"/>
      <c r="V168" s="161" t="n"/>
      <c r="W168" s="96" t="n"/>
      <c r="X168" s="161" t="n"/>
      <c r="Y168" s="97" t="n"/>
      <c r="Z168" s="97" t="n"/>
      <c r="AA168" s="97" t="n"/>
      <c r="AB168" s="97" t="n"/>
      <c r="AC168" s="97" t="n"/>
      <c r="AD168" s="161" t="n"/>
      <c r="AE168" s="174" t="n"/>
      <c r="AF168" s="96" t="n"/>
      <c r="AG168" s="97" t="n"/>
      <c r="AH168" s="97" t="n"/>
      <c r="AI168" s="97" t="n"/>
      <c r="AJ168" s="96" t="n"/>
      <c r="AK168" s="130" t="n"/>
    </row>
    <row r="169" ht="12" customHeight="1">
      <c r="A169" s="108" t="inlineStr">
        <is>
          <t>HALU2588614</t>
        </is>
      </c>
      <c r="B169" s="108" t="n"/>
      <c r="C169" s="108" t="n"/>
      <c r="D169" s="172" t="n"/>
      <c r="E169" s="173" t="n"/>
      <c r="F169" s="96" t="n"/>
      <c r="G169" s="96" t="n"/>
      <c r="H169" s="111" t="n"/>
      <c r="I169" s="96" t="n"/>
      <c r="J169" s="96" t="n"/>
      <c r="K169" s="96" t="n"/>
      <c r="L169" s="111" t="n"/>
      <c r="M169" s="96" t="n"/>
      <c r="N169" s="96" t="n"/>
      <c r="O169" s="111" t="n"/>
      <c r="P169" s="111" t="n"/>
      <c r="Q169" s="111" t="n"/>
      <c r="R169" s="96" t="n"/>
      <c r="S169" s="96" t="n"/>
      <c r="T169" s="96" t="n"/>
      <c r="U169" s="96" t="n"/>
      <c r="V169" s="161" t="n"/>
      <c r="W169" s="96" t="n"/>
      <c r="X169" s="161" t="n"/>
      <c r="Y169" s="97" t="n"/>
      <c r="Z169" s="97" t="n"/>
      <c r="AA169" s="97" t="n"/>
      <c r="AB169" s="97" t="n"/>
      <c r="AC169" s="97" t="n"/>
      <c r="AD169" s="161" t="n"/>
      <c r="AE169" s="174" t="n"/>
      <c r="AF169" s="96" t="n"/>
      <c r="AG169" s="97" t="n"/>
      <c r="AH169" s="97" t="n"/>
      <c r="AI169" s="97" t="n"/>
      <c r="AJ169" s="96" t="n"/>
      <c r="AK169" s="130" t="n"/>
    </row>
    <row r="170" ht="12" customHeight="1">
      <c r="A170" s="108" t="inlineStr">
        <is>
          <t>HALU5641142</t>
        </is>
      </c>
      <c r="B170" s="108" t="n"/>
      <c r="C170" s="108" t="n"/>
      <c r="D170" s="172" t="n"/>
      <c r="E170" s="173" t="n"/>
      <c r="F170" s="96" t="n"/>
      <c r="G170" s="96" t="n"/>
      <c r="H170" s="111" t="n"/>
      <c r="I170" s="96" t="n"/>
      <c r="J170" s="96" t="n"/>
      <c r="K170" s="96" t="n"/>
      <c r="L170" s="111" t="n"/>
      <c r="M170" s="96" t="n"/>
      <c r="N170" s="96" t="n"/>
      <c r="O170" s="111" t="n"/>
      <c r="P170" s="111" t="n"/>
      <c r="Q170" s="111" t="n"/>
      <c r="R170" s="96" t="n"/>
      <c r="S170" s="96" t="n"/>
      <c r="T170" s="96" t="n"/>
      <c r="U170" s="96" t="n"/>
      <c r="V170" s="161" t="n"/>
      <c r="W170" s="96" t="n"/>
      <c r="X170" s="161" t="n"/>
      <c r="Y170" s="97" t="n"/>
      <c r="Z170" s="97" t="n"/>
      <c r="AA170" s="97" t="n"/>
      <c r="AB170" s="97" t="n"/>
      <c r="AC170" s="97" t="n"/>
      <c r="AD170" s="161" t="n"/>
      <c r="AE170" s="174" t="n"/>
      <c r="AF170" s="96" t="n"/>
      <c r="AG170" s="97" t="n"/>
      <c r="AH170" s="97" t="n"/>
      <c r="AI170" s="97" t="n"/>
      <c r="AJ170" s="96" t="n"/>
      <c r="AK170" s="130" t="n"/>
    </row>
    <row r="171" ht="12" customHeight="1">
      <c r="A171" s="108" t="inlineStr">
        <is>
          <t>HLHU6410647</t>
        </is>
      </c>
      <c r="B171" s="108" t="n"/>
      <c r="C171" s="108" t="n"/>
      <c r="D171" s="172" t="n"/>
      <c r="E171" s="173" t="n"/>
      <c r="F171" s="96" t="n"/>
      <c r="G171" s="96" t="n"/>
      <c r="H171" s="111" t="n"/>
      <c r="I171" s="96" t="n"/>
      <c r="J171" s="96" t="n"/>
      <c r="K171" s="96" t="n"/>
      <c r="L171" s="111" t="n"/>
      <c r="M171" s="96" t="n"/>
      <c r="N171" s="96" t="n"/>
      <c r="O171" s="111" t="n"/>
      <c r="P171" s="111" t="n"/>
      <c r="Q171" s="111" t="n"/>
      <c r="R171" s="96" t="n"/>
      <c r="S171" s="96" t="n"/>
      <c r="T171" s="96" t="n"/>
      <c r="U171" s="96" t="n"/>
      <c r="V171" s="161" t="n"/>
      <c r="W171" s="96" t="n"/>
      <c r="X171" s="161" t="n"/>
      <c r="Y171" s="97" t="n"/>
      <c r="Z171" s="97" t="n"/>
      <c r="AA171" s="97" t="n"/>
      <c r="AB171" s="97" t="n"/>
      <c r="AC171" s="97" t="n"/>
      <c r="AD171" s="161" t="n"/>
      <c r="AE171" s="174" t="n"/>
      <c r="AF171" s="96" t="n"/>
      <c r="AG171" s="97" t="n"/>
      <c r="AH171" s="97" t="n"/>
      <c r="AI171" s="97" t="n"/>
      <c r="AJ171" s="96" t="n"/>
      <c r="AK171" s="130" t="n"/>
    </row>
    <row r="172" ht="12" customHeight="1">
      <c r="A172" s="108" t="inlineStr">
        <is>
          <t>HLHU6417678</t>
        </is>
      </c>
      <c r="B172" s="108" t="n"/>
      <c r="C172" s="108" t="n"/>
      <c r="D172" s="172" t="n"/>
      <c r="E172" s="173" t="n"/>
      <c r="F172" s="96" t="n"/>
      <c r="G172" s="96" t="n"/>
      <c r="H172" s="111" t="n"/>
      <c r="I172" s="96" t="n"/>
      <c r="J172" s="96" t="n"/>
      <c r="K172" s="96" t="n"/>
      <c r="L172" s="111" t="n"/>
      <c r="M172" s="96" t="n"/>
      <c r="N172" s="96" t="n"/>
      <c r="O172" s="111" t="n"/>
      <c r="P172" s="111" t="n"/>
      <c r="Q172" s="111" t="n"/>
      <c r="R172" s="96" t="n"/>
      <c r="S172" s="96" t="n"/>
      <c r="T172" s="96" t="n"/>
      <c r="U172" s="96" t="n"/>
      <c r="V172" s="161" t="n"/>
      <c r="W172" s="96" t="n"/>
      <c r="X172" s="161" t="n"/>
      <c r="Y172" s="97" t="n"/>
      <c r="Z172" s="97" t="n"/>
      <c r="AA172" s="97" t="n"/>
      <c r="AB172" s="97" t="n"/>
      <c r="AC172" s="97" t="n"/>
      <c r="AD172" s="161" t="n"/>
      <c r="AE172" s="174" t="n"/>
      <c r="AF172" s="96" t="n"/>
      <c r="AG172" s="97" t="n"/>
      <c r="AH172" s="97" t="n"/>
      <c r="AI172" s="97" t="n"/>
      <c r="AJ172" s="96" t="n"/>
      <c r="AK172" s="130" t="n"/>
    </row>
    <row r="173" ht="12" customHeight="1">
      <c r="A173" s="108" t="inlineStr">
        <is>
          <t>HLHU6418967</t>
        </is>
      </c>
      <c r="B173" s="108" t="n"/>
      <c r="C173" s="108" t="n"/>
      <c r="D173" s="172" t="n"/>
      <c r="E173" s="173" t="n"/>
      <c r="F173" s="96" t="n"/>
      <c r="G173" s="96" t="n"/>
      <c r="H173" s="111" t="n"/>
      <c r="I173" s="96" t="n"/>
      <c r="J173" s="96" t="n"/>
      <c r="K173" s="96" t="n"/>
      <c r="L173" s="111" t="n"/>
      <c r="M173" s="96" t="n"/>
      <c r="N173" s="96" t="n"/>
      <c r="O173" s="111" t="n"/>
      <c r="P173" s="111" t="n"/>
      <c r="Q173" s="111" t="n"/>
      <c r="R173" s="96" t="n"/>
      <c r="S173" s="96" t="n"/>
      <c r="T173" s="96" t="n"/>
      <c r="U173" s="96" t="n"/>
      <c r="V173" s="161" t="n"/>
      <c r="W173" s="96" t="n"/>
      <c r="X173" s="161" t="n"/>
      <c r="Y173" s="97" t="n"/>
      <c r="Z173" s="97" t="n"/>
      <c r="AA173" s="97" t="n"/>
      <c r="AB173" s="97" t="n"/>
      <c r="AC173" s="97" t="n"/>
      <c r="AD173" s="161" t="n"/>
      <c r="AE173" s="174" t="n"/>
      <c r="AF173" s="96" t="n"/>
      <c r="AG173" s="97" t="n"/>
      <c r="AH173" s="97" t="n"/>
      <c r="AI173" s="97" t="n"/>
      <c r="AJ173" s="96" t="n"/>
      <c r="AK173" s="130" t="n"/>
    </row>
    <row r="174" ht="12" customHeight="1">
      <c r="A174" s="108" t="inlineStr">
        <is>
          <t>HLHU6419006</t>
        </is>
      </c>
      <c r="B174" s="108" t="n"/>
      <c r="C174" s="108" t="n"/>
      <c r="D174" s="172" t="n"/>
      <c r="E174" s="173" t="n"/>
      <c r="F174" s="96" t="n"/>
      <c r="G174" s="96" t="n"/>
      <c r="H174" s="111" t="n"/>
      <c r="I174" s="96" t="n"/>
      <c r="J174" s="96" t="n"/>
      <c r="K174" s="96" t="n"/>
      <c r="L174" s="111" t="n"/>
      <c r="M174" s="96" t="n"/>
      <c r="N174" s="96" t="n"/>
      <c r="O174" s="111" t="n"/>
      <c r="P174" s="111" t="n"/>
      <c r="Q174" s="111" t="n"/>
      <c r="R174" s="96" t="n"/>
      <c r="S174" s="96" t="n"/>
      <c r="T174" s="96" t="n"/>
      <c r="U174" s="96" t="n"/>
      <c r="V174" s="161" t="n"/>
      <c r="W174" s="96" t="n"/>
      <c r="X174" s="161" t="n"/>
      <c r="Y174" s="97" t="n"/>
      <c r="Z174" s="97" t="n"/>
      <c r="AA174" s="97" t="n"/>
      <c r="AB174" s="97" t="n"/>
      <c r="AC174" s="97" t="n"/>
      <c r="AD174" s="161" t="n"/>
      <c r="AE174" s="174" t="n"/>
      <c r="AF174" s="96" t="n"/>
      <c r="AG174" s="97" t="n"/>
      <c r="AH174" s="97" t="n"/>
      <c r="AI174" s="97" t="n"/>
      <c r="AJ174" s="96" t="n"/>
      <c r="AK174" s="130" t="n"/>
    </row>
    <row r="175" ht="12" customHeight="1">
      <c r="A175" s="108" t="inlineStr">
        <is>
          <t>HLHU8101122</t>
        </is>
      </c>
      <c r="B175" s="108" t="n"/>
      <c r="C175" s="108" t="n"/>
      <c r="D175" s="172" t="n"/>
      <c r="E175" s="173" t="n"/>
      <c r="F175" s="96" t="n"/>
      <c r="G175" s="96" t="n"/>
      <c r="H175" s="111" t="n"/>
      <c r="I175" s="96" t="n"/>
      <c r="J175" s="96" t="n"/>
      <c r="K175" s="96" t="n"/>
      <c r="L175" s="111" t="n"/>
      <c r="M175" s="96" t="n"/>
      <c r="N175" s="96" t="n"/>
      <c r="O175" s="111" t="n"/>
      <c r="P175" s="111" t="n"/>
      <c r="Q175" s="111" t="n"/>
      <c r="R175" s="96" t="n"/>
      <c r="S175" s="96" t="n"/>
      <c r="T175" s="96" t="n"/>
      <c r="U175" s="96" t="n"/>
      <c r="V175" s="161" t="n"/>
      <c r="W175" s="96" t="n"/>
      <c r="X175" s="161" t="n"/>
      <c r="Y175" s="97" t="n"/>
      <c r="Z175" s="97" t="n"/>
      <c r="AA175" s="97" t="n"/>
      <c r="AB175" s="97" t="n"/>
      <c r="AC175" s="97" t="n"/>
      <c r="AD175" s="161" t="n"/>
      <c r="AE175" s="174" t="n"/>
      <c r="AF175" s="96" t="n"/>
      <c r="AG175" s="97" t="n"/>
      <c r="AH175" s="97" t="n"/>
      <c r="AI175" s="97" t="n"/>
      <c r="AJ175" s="96" t="n"/>
      <c r="AK175" s="130" t="n"/>
    </row>
    <row r="176" ht="12" customHeight="1">
      <c r="A176" s="108" t="inlineStr">
        <is>
          <t>HLHU8203253</t>
        </is>
      </c>
      <c r="B176" s="108" t="n"/>
      <c r="C176" s="108" t="n"/>
      <c r="D176" s="172" t="n"/>
      <c r="E176" s="173" t="n"/>
      <c r="F176" s="96" t="n"/>
      <c r="G176" s="96" t="n"/>
      <c r="H176" s="111" t="n"/>
      <c r="I176" s="96" t="n"/>
      <c r="J176" s="96" t="n"/>
      <c r="K176" s="96" t="n"/>
      <c r="L176" s="111" t="n"/>
      <c r="M176" s="96" t="n"/>
      <c r="N176" s="96" t="n"/>
      <c r="O176" s="111" t="n"/>
      <c r="P176" s="111" t="n"/>
      <c r="Q176" s="111" t="n"/>
      <c r="R176" s="96" t="n"/>
      <c r="S176" s="96" t="n"/>
      <c r="T176" s="96" t="n"/>
      <c r="U176" s="96" t="n"/>
      <c r="V176" s="161" t="n"/>
      <c r="W176" s="96" t="n"/>
      <c r="X176" s="161" t="n"/>
      <c r="Y176" s="97" t="n"/>
      <c r="Z176" s="97" t="n"/>
      <c r="AA176" s="97" t="n"/>
      <c r="AB176" s="97" t="n"/>
      <c r="AC176" s="97" t="n"/>
      <c r="AD176" s="161" t="n"/>
      <c r="AE176" s="174" t="n"/>
      <c r="AF176" s="96" t="n"/>
      <c r="AG176" s="97" t="n"/>
      <c r="AH176" s="97" t="n"/>
      <c r="AI176" s="97" t="n"/>
      <c r="AJ176" s="96" t="n"/>
      <c r="AK176" s="130" t="n"/>
    </row>
    <row r="177" ht="12" customHeight="1">
      <c r="A177" s="108" t="inlineStr">
        <is>
          <t>HLHU8300778</t>
        </is>
      </c>
      <c r="B177" s="108" t="n"/>
      <c r="C177" s="108" t="n"/>
      <c r="D177" s="172" t="n"/>
      <c r="E177" s="173" t="n"/>
      <c r="F177" s="96" t="n"/>
      <c r="G177" s="96" t="n"/>
      <c r="H177" s="111" t="n"/>
      <c r="I177" s="96" t="n"/>
      <c r="J177" s="96" t="n"/>
      <c r="K177" s="96" t="n"/>
      <c r="L177" s="111" t="n"/>
      <c r="M177" s="96" t="n"/>
      <c r="N177" s="96" t="n"/>
      <c r="O177" s="111" t="n"/>
      <c r="P177" s="111" t="n"/>
      <c r="Q177" s="111" t="n"/>
      <c r="R177" s="96" t="n"/>
      <c r="S177" s="96" t="n"/>
      <c r="T177" s="96" t="n"/>
      <c r="U177" s="96" t="n"/>
      <c r="V177" s="161" t="n"/>
      <c r="W177" s="96" t="n"/>
      <c r="X177" s="161" t="n"/>
      <c r="Y177" s="97" t="n"/>
      <c r="Z177" s="97" t="n"/>
      <c r="AA177" s="97" t="n"/>
      <c r="AB177" s="97" t="n"/>
      <c r="AC177" s="97" t="n"/>
      <c r="AD177" s="161" t="n"/>
      <c r="AE177" s="174" t="n"/>
      <c r="AF177" s="96" t="n"/>
      <c r="AG177" s="97" t="n"/>
      <c r="AH177" s="97" t="n"/>
      <c r="AI177" s="97" t="n"/>
      <c r="AJ177" s="96" t="n"/>
      <c r="AK177" s="130" t="n"/>
    </row>
    <row r="178" ht="12" customHeight="1">
      <c r="A178" s="108" t="inlineStr">
        <is>
          <t>HLHU8316250</t>
        </is>
      </c>
      <c r="B178" s="108" t="n"/>
      <c r="C178" s="108" t="n"/>
      <c r="D178" s="172" t="n"/>
      <c r="E178" s="173" t="n"/>
      <c r="F178" s="96" t="n"/>
      <c r="G178" s="96" t="n"/>
      <c r="H178" s="111" t="n"/>
      <c r="I178" s="96" t="n"/>
      <c r="J178" s="96" t="n"/>
      <c r="K178" s="96" t="n"/>
      <c r="L178" s="111" t="n"/>
      <c r="M178" s="96" t="n"/>
      <c r="N178" s="96" t="n"/>
      <c r="O178" s="111" t="n"/>
      <c r="P178" s="111" t="n"/>
      <c r="Q178" s="111" t="n"/>
      <c r="R178" s="96" t="n"/>
      <c r="S178" s="96" t="n"/>
      <c r="T178" s="96" t="n"/>
      <c r="U178" s="96" t="n"/>
      <c r="V178" s="161" t="n"/>
      <c r="W178" s="96" t="n"/>
      <c r="X178" s="161" t="n"/>
      <c r="Y178" s="97" t="n"/>
      <c r="Z178" s="97" t="n"/>
      <c r="AA178" s="97" t="n"/>
      <c r="AB178" s="97" t="n"/>
      <c r="AC178" s="97" t="n"/>
      <c r="AD178" s="161" t="n"/>
      <c r="AE178" s="174" t="n"/>
      <c r="AF178" s="96" t="n"/>
      <c r="AG178" s="97" t="n"/>
      <c r="AH178" s="97" t="n"/>
      <c r="AI178" s="97" t="n"/>
      <c r="AJ178" s="96" t="n"/>
      <c r="AK178" s="130" t="n"/>
    </row>
    <row r="179" ht="12" customHeight="1">
      <c r="A179" s="108" t="inlineStr">
        <is>
          <t>HLHU8321404</t>
        </is>
      </c>
      <c r="B179" s="108" t="n"/>
      <c r="C179" s="108" t="n"/>
      <c r="D179" s="172" t="n"/>
      <c r="E179" s="173" t="n"/>
      <c r="F179" s="96" t="n"/>
      <c r="G179" s="96" t="n"/>
      <c r="H179" s="111" t="n"/>
      <c r="I179" s="96" t="n"/>
      <c r="J179" s="96" t="n"/>
      <c r="K179" s="96" t="n"/>
      <c r="L179" s="111" t="n"/>
      <c r="M179" s="96" t="n"/>
      <c r="N179" s="96" t="n"/>
      <c r="O179" s="111" t="n"/>
      <c r="P179" s="111" t="n"/>
      <c r="Q179" s="111" t="n"/>
      <c r="R179" s="96" t="n"/>
      <c r="S179" s="96" t="n"/>
      <c r="T179" s="96" t="n"/>
      <c r="U179" s="96" t="n"/>
      <c r="V179" s="161" t="n"/>
      <c r="W179" s="96" t="n"/>
      <c r="X179" s="161" t="n"/>
      <c r="Y179" s="97" t="n"/>
      <c r="Z179" s="97" t="n"/>
      <c r="AA179" s="97" t="n"/>
      <c r="AB179" s="97" t="n"/>
      <c r="AC179" s="97" t="n"/>
      <c r="AD179" s="161" t="n"/>
      <c r="AE179" s="174" t="n"/>
      <c r="AF179" s="96" t="n"/>
      <c r="AG179" s="97" t="n"/>
      <c r="AH179" s="97" t="n"/>
      <c r="AI179" s="97" t="n"/>
      <c r="AJ179" s="96" t="n"/>
      <c r="AK179" s="130" t="n"/>
    </row>
    <row r="180" ht="12" customHeight="1">
      <c r="A180" s="108" t="inlineStr">
        <is>
          <t>HLHU8331742</t>
        </is>
      </c>
      <c r="B180" s="108" t="n"/>
      <c r="C180" s="108" t="n"/>
      <c r="D180" s="172" t="n"/>
      <c r="E180" s="173" t="n"/>
      <c r="F180" s="96" t="n"/>
      <c r="G180" s="96" t="n"/>
      <c r="H180" s="111" t="n"/>
      <c r="I180" s="96" t="n"/>
      <c r="J180" s="96" t="n"/>
      <c r="K180" s="96" t="n"/>
      <c r="L180" s="111" t="n"/>
      <c r="M180" s="96" t="n"/>
      <c r="N180" s="96" t="n"/>
      <c r="O180" s="111" t="n"/>
      <c r="P180" s="111" t="n"/>
      <c r="Q180" s="111" t="n"/>
      <c r="R180" s="96" t="n"/>
      <c r="S180" s="96" t="n"/>
      <c r="T180" s="96" t="n"/>
      <c r="U180" s="96" t="n"/>
      <c r="V180" s="161" t="n"/>
      <c r="W180" s="96" t="n"/>
      <c r="X180" s="161" t="n"/>
      <c r="Y180" s="97" t="n"/>
      <c r="Z180" s="97" t="n"/>
      <c r="AA180" s="97" t="n"/>
      <c r="AB180" s="97" t="n"/>
      <c r="AC180" s="97" t="n"/>
      <c r="AD180" s="161" t="n"/>
      <c r="AE180" s="174" t="n"/>
      <c r="AF180" s="96" t="n"/>
      <c r="AG180" s="97" t="n"/>
      <c r="AH180" s="97" t="n"/>
      <c r="AI180" s="97" t="n"/>
      <c r="AJ180" s="96" t="n"/>
      <c r="AK180" s="130" t="n"/>
    </row>
    <row r="181" ht="12" customHeight="1">
      <c r="A181" s="108" t="inlineStr">
        <is>
          <t>HLHU8332203</t>
        </is>
      </c>
      <c r="B181" s="108" t="n"/>
      <c r="C181" s="108" t="n"/>
      <c r="D181" s="172" t="n"/>
      <c r="E181" s="173" t="n"/>
      <c r="F181" s="96" t="n"/>
      <c r="G181" s="96" t="n"/>
      <c r="H181" s="111" t="n"/>
      <c r="I181" s="96" t="n"/>
      <c r="J181" s="96" t="n"/>
      <c r="K181" s="96" t="n"/>
      <c r="L181" s="111" t="n"/>
      <c r="M181" s="96" t="n"/>
      <c r="N181" s="96" t="n"/>
      <c r="O181" s="111" t="n"/>
      <c r="P181" s="111" t="n"/>
      <c r="Q181" s="111" t="n"/>
      <c r="R181" s="96" t="n"/>
      <c r="S181" s="96" t="n"/>
      <c r="T181" s="96" t="n"/>
      <c r="U181" s="96" t="n"/>
      <c r="V181" s="161" t="n"/>
      <c r="W181" s="96" t="n"/>
      <c r="X181" s="161" t="n"/>
      <c r="Y181" s="97" t="n"/>
      <c r="Z181" s="97" t="n"/>
      <c r="AA181" s="97" t="n"/>
      <c r="AB181" s="97" t="n"/>
      <c r="AC181" s="97" t="n"/>
      <c r="AD181" s="161" t="n"/>
      <c r="AE181" s="174" t="n"/>
      <c r="AF181" s="96" t="n"/>
      <c r="AG181" s="97" t="n"/>
      <c r="AH181" s="97" t="n"/>
      <c r="AI181" s="97" t="n"/>
      <c r="AJ181" s="96" t="n"/>
      <c r="AK181" s="130" t="n"/>
    </row>
    <row r="182" ht="12" customHeight="1">
      <c r="A182" s="108" t="inlineStr">
        <is>
          <t>HLHU8342897</t>
        </is>
      </c>
      <c r="B182" s="108" t="n"/>
      <c r="C182" s="108" t="n"/>
      <c r="D182" s="172" t="n"/>
      <c r="E182" s="173" t="n"/>
      <c r="F182" s="96" t="n"/>
      <c r="G182" s="96" t="n"/>
      <c r="H182" s="111" t="n"/>
      <c r="I182" s="96" t="n"/>
      <c r="J182" s="96" t="n"/>
      <c r="K182" s="96" t="n"/>
      <c r="L182" s="111" t="n"/>
      <c r="M182" s="96" t="n"/>
      <c r="N182" s="96" t="n"/>
      <c r="O182" s="111" t="n"/>
      <c r="P182" s="111" t="n"/>
      <c r="Q182" s="111" t="n"/>
      <c r="R182" s="96" t="n"/>
      <c r="S182" s="96" t="n"/>
      <c r="T182" s="96" t="n"/>
      <c r="U182" s="96" t="n"/>
      <c r="V182" s="161" t="n"/>
      <c r="W182" s="96" t="n"/>
      <c r="X182" s="161" t="n"/>
      <c r="Y182" s="97" t="n"/>
      <c r="Z182" s="97" t="n"/>
      <c r="AA182" s="97" t="n"/>
      <c r="AB182" s="97" t="n"/>
      <c r="AC182" s="97" t="n"/>
      <c r="AD182" s="161" t="n"/>
      <c r="AE182" s="174" t="n"/>
      <c r="AF182" s="96" t="n"/>
      <c r="AG182" s="97" t="n"/>
      <c r="AH182" s="97" t="n"/>
      <c r="AI182" s="97" t="n"/>
      <c r="AJ182" s="96" t="n"/>
      <c r="AK182" s="130" t="n"/>
    </row>
    <row r="183" ht="12" customHeight="1">
      <c r="A183" s="108" t="inlineStr">
        <is>
          <t>HLHU8356632</t>
        </is>
      </c>
      <c r="B183" s="108" t="n"/>
      <c r="C183" s="108" t="n"/>
      <c r="D183" s="172" t="n"/>
      <c r="E183" s="173" t="n"/>
      <c r="F183" s="96" t="n"/>
      <c r="G183" s="96" t="n"/>
      <c r="H183" s="111" t="n"/>
      <c r="I183" s="96" t="n"/>
      <c r="J183" s="96" t="n"/>
      <c r="K183" s="96" t="n"/>
      <c r="L183" s="111" t="n"/>
      <c r="M183" s="96" t="n"/>
      <c r="N183" s="96" t="n"/>
      <c r="O183" s="111" t="n"/>
      <c r="P183" s="111" t="n"/>
      <c r="Q183" s="111" t="n"/>
      <c r="R183" s="96" t="n"/>
      <c r="S183" s="96" t="n"/>
      <c r="T183" s="96" t="n"/>
      <c r="U183" s="96" t="n"/>
      <c r="V183" s="161" t="n"/>
      <c r="W183" s="96" t="n"/>
      <c r="X183" s="161" t="n"/>
      <c r="Y183" s="97" t="n"/>
      <c r="Z183" s="97" t="n"/>
      <c r="AA183" s="97" t="n"/>
      <c r="AB183" s="97" t="n"/>
      <c r="AC183" s="97" t="n"/>
      <c r="AD183" s="161" t="n"/>
      <c r="AE183" s="174" t="n"/>
      <c r="AF183" s="96" t="n"/>
      <c r="AG183" s="97" t="n"/>
      <c r="AH183" s="97" t="n"/>
      <c r="AI183" s="97" t="n"/>
      <c r="AJ183" s="96" t="n"/>
      <c r="AK183" s="130" t="n"/>
    </row>
    <row r="184" ht="12" customHeight="1">
      <c r="A184" s="108" t="inlineStr">
        <is>
          <t>HLHU8376393</t>
        </is>
      </c>
      <c r="B184" s="108" t="n"/>
      <c r="C184" s="108" t="n"/>
      <c r="D184" s="172" t="n"/>
      <c r="E184" s="173" t="n"/>
      <c r="F184" s="96" t="n"/>
      <c r="G184" s="96" t="n"/>
      <c r="H184" s="111" t="n"/>
      <c r="I184" s="96" t="n"/>
      <c r="J184" s="96" t="n"/>
      <c r="K184" s="96" t="n"/>
      <c r="L184" s="111" t="n"/>
      <c r="M184" s="96" t="n"/>
      <c r="N184" s="96" t="n"/>
      <c r="O184" s="111" t="n"/>
      <c r="P184" s="111" t="n"/>
      <c r="Q184" s="111" t="n"/>
      <c r="R184" s="96" t="n"/>
      <c r="S184" s="96" t="n"/>
      <c r="T184" s="96" t="n"/>
      <c r="U184" s="96" t="n"/>
      <c r="V184" s="161" t="n"/>
      <c r="W184" s="96" t="n"/>
      <c r="X184" s="161" t="n"/>
      <c r="Y184" s="97" t="n"/>
      <c r="Z184" s="97" t="n"/>
      <c r="AA184" s="97" t="n"/>
      <c r="AB184" s="97" t="n"/>
      <c r="AC184" s="97" t="n"/>
      <c r="AD184" s="161" t="n"/>
      <c r="AE184" s="174" t="n"/>
      <c r="AF184" s="96" t="n"/>
      <c r="AG184" s="97" t="n"/>
      <c r="AH184" s="97" t="n"/>
      <c r="AI184" s="97" t="n"/>
      <c r="AJ184" s="96" t="n"/>
      <c r="AK184" s="130" t="n"/>
    </row>
    <row r="185" ht="12" customHeight="1">
      <c r="A185" s="108" t="inlineStr">
        <is>
          <t>HLHU8377050</t>
        </is>
      </c>
      <c r="B185" s="108" t="n"/>
      <c r="C185" s="108" t="n"/>
      <c r="D185" s="172" t="n"/>
      <c r="E185" s="173" t="n"/>
      <c r="F185" s="96" t="n"/>
      <c r="G185" s="96" t="n"/>
      <c r="H185" s="111" t="n"/>
      <c r="I185" s="96" t="n"/>
      <c r="J185" s="96" t="n"/>
      <c r="K185" s="96" t="n"/>
      <c r="L185" s="111" t="n"/>
      <c r="M185" s="96" t="n"/>
      <c r="N185" s="96" t="n"/>
      <c r="O185" s="111" t="n"/>
      <c r="P185" s="111" t="n"/>
      <c r="Q185" s="111" t="n"/>
      <c r="R185" s="96" t="n"/>
      <c r="S185" s="96" t="n"/>
      <c r="T185" s="96" t="n"/>
      <c r="U185" s="96" t="n"/>
      <c r="V185" s="161" t="n"/>
      <c r="W185" s="96" t="n"/>
      <c r="X185" s="161" t="n"/>
      <c r="Y185" s="97" t="n"/>
      <c r="Z185" s="97" t="n"/>
      <c r="AA185" s="97" t="n"/>
      <c r="AB185" s="97" t="n"/>
      <c r="AC185" s="97" t="n"/>
      <c r="AD185" s="161" t="n"/>
      <c r="AE185" s="174" t="n"/>
      <c r="AF185" s="96" t="n"/>
      <c r="AG185" s="97" t="n"/>
      <c r="AH185" s="97" t="n"/>
      <c r="AI185" s="97" t="n"/>
      <c r="AJ185" s="96" t="n"/>
      <c r="AK185" s="130" t="n"/>
    </row>
    <row r="186" ht="12" customHeight="1">
      <c r="A186" s="108" t="inlineStr">
        <is>
          <t>HLHU8415967</t>
        </is>
      </c>
      <c r="B186" s="108" t="n"/>
      <c r="C186" s="108" t="n"/>
      <c r="D186" s="172" t="n"/>
      <c r="E186" s="173" t="n"/>
      <c r="F186" s="96" t="n"/>
      <c r="G186" s="96" t="n"/>
      <c r="H186" s="111" t="n"/>
      <c r="I186" s="96" t="n"/>
      <c r="J186" s="96" t="n"/>
      <c r="K186" s="96" t="n"/>
      <c r="L186" s="111" t="n"/>
      <c r="M186" s="96" t="n"/>
      <c r="N186" s="96" t="n"/>
      <c r="O186" s="111" t="n"/>
      <c r="P186" s="111" t="n"/>
      <c r="Q186" s="111" t="n"/>
      <c r="R186" s="96" t="n"/>
      <c r="S186" s="96" t="n"/>
      <c r="T186" s="96" t="n"/>
      <c r="U186" s="96" t="n"/>
      <c r="V186" s="161" t="n"/>
      <c r="W186" s="96" t="n"/>
      <c r="X186" s="161" t="n"/>
      <c r="Y186" s="97" t="n"/>
      <c r="Z186" s="97" t="n"/>
      <c r="AA186" s="97" t="n"/>
      <c r="AB186" s="97" t="n"/>
      <c r="AC186" s="97" t="n"/>
      <c r="AD186" s="161" t="n"/>
      <c r="AE186" s="174" t="n"/>
      <c r="AF186" s="96" t="n"/>
      <c r="AG186" s="97" t="n"/>
      <c r="AH186" s="97" t="n"/>
      <c r="AI186" s="97" t="n"/>
      <c r="AJ186" s="96" t="n"/>
      <c r="AK186" s="130" t="n"/>
    </row>
    <row r="187" ht="12" customHeight="1">
      <c r="A187" s="108" t="inlineStr">
        <is>
          <t>HLHU8452087</t>
        </is>
      </c>
      <c r="B187" s="108" t="n"/>
      <c r="C187" s="108" t="n"/>
      <c r="D187" s="172" t="n"/>
      <c r="E187" s="173" t="n"/>
      <c r="F187" s="96" t="n"/>
      <c r="G187" s="96" t="n"/>
      <c r="H187" s="111" t="n"/>
      <c r="I187" s="96" t="n"/>
      <c r="J187" s="96" t="n"/>
      <c r="K187" s="96" t="n"/>
      <c r="L187" s="111" t="n"/>
      <c r="M187" s="96" t="n"/>
      <c r="N187" s="96" t="n"/>
      <c r="O187" s="111" t="n"/>
      <c r="P187" s="111" t="n"/>
      <c r="Q187" s="111" t="n"/>
      <c r="R187" s="96" t="n"/>
      <c r="S187" s="96" t="n"/>
      <c r="T187" s="96" t="n"/>
      <c r="U187" s="96" t="n"/>
      <c r="V187" s="161" t="n"/>
      <c r="W187" s="96" t="n"/>
      <c r="X187" s="161" t="n"/>
      <c r="Y187" s="97" t="n"/>
      <c r="Z187" s="97" t="n"/>
      <c r="AA187" s="97" t="n"/>
      <c r="AB187" s="97" t="n"/>
      <c r="AC187" s="97" t="n"/>
      <c r="AD187" s="161" t="n"/>
      <c r="AE187" s="174" t="n"/>
      <c r="AF187" s="96" t="n"/>
      <c r="AG187" s="97" t="n"/>
      <c r="AH187" s="97" t="n"/>
      <c r="AI187" s="97" t="n"/>
      <c r="AJ187" s="96" t="n"/>
      <c r="AK187" s="130" t="n"/>
    </row>
    <row r="188" ht="12" customHeight="1">
      <c r="A188" s="108" t="inlineStr">
        <is>
          <t>HLHU8455065</t>
        </is>
      </c>
      <c r="B188" s="108" t="n"/>
      <c r="C188" s="108" t="n"/>
      <c r="D188" s="172" t="n"/>
      <c r="E188" s="173" t="n"/>
      <c r="F188" s="96" t="n"/>
      <c r="G188" s="96" t="n"/>
      <c r="H188" s="111" t="n"/>
      <c r="I188" s="96" t="n"/>
      <c r="J188" s="96" t="n"/>
      <c r="K188" s="96" t="n"/>
      <c r="L188" s="111" t="n"/>
      <c r="M188" s="96" t="n"/>
      <c r="N188" s="96" t="n"/>
      <c r="O188" s="111" t="n"/>
      <c r="P188" s="111" t="n"/>
      <c r="Q188" s="111" t="n"/>
      <c r="R188" s="96" t="n"/>
      <c r="S188" s="96" t="n"/>
      <c r="T188" s="96" t="n"/>
      <c r="U188" s="96" t="n"/>
      <c r="V188" s="161" t="n"/>
      <c r="W188" s="96" t="n"/>
      <c r="X188" s="161" t="n"/>
      <c r="Y188" s="97" t="n"/>
      <c r="Z188" s="97" t="n"/>
      <c r="AA188" s="97" t="n"/>
      <c r="AB188" s="97" t="n"/>
      <c r="AC188" s="97" t="n"/>
      <c r="AD188" s="161" t="n"/>
      <c r="AE188" s="174" t="n"/>
      <c r="AF188" s="96" t="n"/>
      <c r="AG188" s="97" t="n"/>
      <c r="AH188" s="97" t="n"/>
      <c r="AI188" s="97" t="n"/>
      <c r="AJ188" s="96" t="n"/>
      <c r="AK188" s="130" t="n"/>
    </row>
    <row r="189" ht="12" customHeight="1">
      <c r="A189" s="108" t="inlineStr">
        <is>
          <t>HLHU8462531</t>
        </is>
      </c>
      <c r="B189" s="108" t="n"/>
      <c r="C189" s="108" t="n"/>
      <c r="D189" s="172" t="n"/>
      <c r="E189" s="173" t="n"/>
      <c r="F189" s="96" t="n"/>
      <c r="G189" s="96" t="n"/>
      <c r="H189" s="111" t="n"/>
      <c r="I189" s="96" t="n"/>
      <c r="J189" s="96" t="n"/>
      <c r="K189" s="96" t="n"/>
      <c r="L189" s="111" t="n"/>
      <c r="M189" s="96" t="n"/>
      <c r="N189" s="96" t="n"/>
      <c r="O189" s="111" t="n"/>
      <c r="P189" s="111" t="n"/>
      <c r="Q189" s="111" t="n"/>
      <c r="R189" s="96" t="n"/>
      <c r="S189" s="96" t="n"/>
      <c r="T189" s="96" t="n"/>
      <c r="U189" s="96" t="n"/>
      <c r="V189" s="161" t="n"/>
      <c r="W189" s="96" t="n"/>
      <c r="X189" s="161" t="n"/>
      <c r="Y189" s="97" t="n"/>
      <c r="Z189" s="97" t="n"/>
      <c r="AA189" s="97" t="n"/>
      <c r="AB189" s="97" t="n"/>
      <c r="AC189" s="97" t="n"/>
      <c r="AD189" s="161" t="n"/>
      <c r="AE189" s="174" t="n"/>
      <c r="AF189" s="96" t="n"/>
      <c r="AG189" s="97" t="n"/>
      <c r="AH189" s="97" t="n"/>
      <c r="AI189" s="97" t="n"/>
      <c r="AJ189" s="96" t="n"/>
      <c r="AK189" s="130" t="n"/>
    </row>
    <row r="190" ht="12" customHeight="1">
      <c r="A190" s="108" t="inlineStr">
        <is>
          <t>HLHU8470033</t>
        </is>
      </c>
      <c r="B190" s="108" t="n"/>
      <c r="C190" s="108" t="n"/>
      <c r="D190" s="172" t="n"/>
      <c r="E190" s="173" t="n"/>
      <c r="F190" s="96" t="n"/>
      <c r="G190" s="96" t="n"/>
      <c r="H190" s="111" t="n"/>
      <c r="I190" s="96" t="n"/>
      <c r="J190" s="96" t="n"/>
      <c r="K190" s="96" t="n"/>
      <c r="L190" s="111" t="n"/>
      <c r="M190" s="96" t="n"/>
      <c r="N190" s="96" t="n"/>
      <c r="O190" s="111" t="n"/>
      <c r="P190" s="111" t="n"/>
      <c r="Q190" s="111" t="n"/>
      <c r="R190" s="96" t="n"/>
      <c r="S190" s="96" t="n"/>
      <c r="T190" s="96" t="n"/>
      <c r="U190" s="96" t="n"/>
      <c r="V190" s="161" t="n"/>
      <c r="W190" s="96" t="n"/>
      <c r="X190" s="161" t="n"/>
      <c r="Y190" s="97" t="n"/>
      <c r="Z190" s="97" t="n"/>
      <c r="AA190" s="97" t="n"/>
      <c r="AB190" s="97" t="n"/>
      <c r="AC190" s="97" t="n"/>
      <c r="AD190" s="161" t="n"/>
      <c r="AE190" s="174" t="n"/>
      <c r="AF190" s="96" t="n"/>
      <c r="AG190" s="97" t="n"/>
      <c r="AH190" s="97" t="n"/>
      <c r="AI190" s="97" t="n"/>
      <c r="AJ190" s="96" t="n"/>
      <c r="AK190" s="130" t="n"/>
    </row>
    <row r="191" ht="12" customHeight="1">
      <c r="A191" s="108" t="inlineStr">
        <is>
          <t>HLHU8472951</t>
        </is>
      </c>
      <c r="B191" s="108" t="n"/>
      <c r="C191" s="108" t="n"/>
      <c r="D191" s="172" t="n"/>
      <c r="E191" s="173" t="n"/>
      <c r="F191" s="96" t="n"/>
      <c r="G191" s="96" t="n"/>
      <c r="H191" s="111" t="n"/>
      <c r="I191" s="96" t="n"/>
      <c r="J191" s="96" t="n"/>
      <c r="K191" s="96" t="n"/>
      <c r="L191" s="111" t="n"/>
      <c r="M191" s="96" t="n"/>
      <c r="N191" s="96" t="n"/>
      <c r="O191" s="111" t="n"/>
      <c r="P191" s="111" t="n"/>
      <c r="Q191" s="111" t="n"/>
      <c r="R191" s="96" t="n"/>
      <c r="S191" s="96" t="n"/>
      <c r="T191" s="96" t="n"/>
      <c r="U191" s="96" t="n"/>
      <c r="V191" s="161" t="n"/>
      <c r="W191" s="96" t="n"/>
      <c r="X191" s="161" t="n"/>
      <c r="Y191" s="97" t="n"/>
      <c r="Z191" s="97" t="n"/>
      <c r="AA191" s="97" t="n"/>
      <c r="AB191" s="97" t="n"/>
      <c r="AC191" s="97" t="n"/>
      <c r="AD191" s="161" t="n"/>
      <c r="AE191" s="174" t="n"/>
      <c r="AF191" s="96" t="n"/>
      <c r="AG191" s="97" t="n"/>
      <c r="AH191" s="97" t="n"/>
      <c r="AI191" s="97" t="n"/>
      <c r="AJ191" s="96" t="n"/>
      <c r="AK191" s="130" t="n"/>
    </row>
    <row r="192" ht="12" customHeight="1">
      <c r="A192" s="108" t="inlineStr">
        <is>
          <t>HLHU8474039</t>
        </is>
      </c>
      <c r="B192" s="108" t="n"/>
      <c r="C192" s="108" t="n"/>
      <c r="D192" s="172" t="n"/>
      <c r="E192" s="173" t="n"/>
      <c r="F192" s="96" t="n"/>
      <c r="G192" s="96" t="n"/>
      <c r="H192" s="111" t="n"/>
      <c r="I192" s="96" t="n"/>
      <c r="J192" s="96" t="n"/>
      <c r="K192" s="96" t="n"/>
      <c r="L192" s="111" t="n"/>
      <c r="M192" s="96" t="n"/>
      <c r="N192" s="96" t="n"/>
      <c r="O192" s="111" t="n"/>
      <c r="P192" s="111" t="n"/>
      <c r="Q192" s="111" t="n"/>
      <c r="R192" s="96" t="n"/>
      <c r="S192" s="96" t="n"/>
      <c r="T192" s="96" t="n"/>
      <c r="U192" s="96" t="n"/>
      <c r="V192" s="161" t="n"/>
      <c r="W192" s="96" t="n"/>
      <c r="X192" s="161" t="n"/>
      <c r="Y192" s="97" t="n"/>
      <c r="Z192" s="97" t="n"/>
      <c r="AA192" s="97" t="n"/>
      <c r="AB192" s="97" t="n"/>
      <c r="AC192" s="97" t="n"/>
      <c r="AD192" s="161" t="n"/>
      <c r="AE192" s="174" t="n"/>
      <c r="AF192" s="96" t="n"/>
      <c r="AG192" s="97" t="n"/>
      <c r="AH192" s="97" t="n"/>
      <c r="AI192" s="97" t="n"/>
      <c r="AJ192" s="96" t="n"/>
      <c r="AK192" s="130" t="n"/>
    </row>
    <row r="193" ht="12" customHeight="1">
      <c r="A193" s="108" t="inlineStr">
        <is>
          <t>HLHU8477146</t>
        </is>
      </c>
      <c r="B193" s="108" t="n"/>
      <c r="C193" s="108" t="n"/>
      <c r="D193" s="172" t="n"/>
      <c r="E193" s="173" t="n"/>
      <c r="F193" s="96" t="n"/>
      <c r="G193" s="96" t="n"/>
      <c r="H193" s="111" t="n"/>
      <c r="I193" s="96" t="n"/>
      <c r="J193" s="96" t="n"/>
      <c r="K193" s="96" t="n"/>
      <c r="L193" s="111" t="n"/>
      <c r="M193" s="96" t="n"/>
      <c r="N193" s="96" t="n"/>
      <c r="O193" s="111" t="n"/>
      <c r="P193" s="111" t="n"/>
      <c r="Q193" s="111" t="n"/>
      <c r="R193" s="96" t="n"/>
      <c r="S193" s="96" t="n"/>
      <c r="T193" s="96" t="n"/>
      <c r="U193" s="96" t="n"/>
      <c r="V193" s="161" t="n"/>
      <c r="W193" s="96" t="n"/>
      <c r="X193" s="161" t="n"/>
      <c r="Y193" s="97" t="n"/>
      <c r="Z193" s="97" t="n"/>
      <c r="AA193" s="97" t="n"/>
      <c r="AB193" s="97" t="n"/>
      <c r="AC193" s="97" t="n"/>
      <c r="AD193" s="161" t="n"/>
      <c r="AE193" s="174" t="n"/>
      <c r="AF193" s="96" t="n"/>
      <c r="AG193" s="97" t="n"/>
      <c r="AH193" s="97" t="n"/>
      <c r="AI193" s="97" t="n"/>
      <c r="AJ193" s="96" t="n"/>
      <c r="AK193" s="130" t="n"/>
    </row>
    <row r="194" ht="12" customHeight="1">
      <c r="A194" s="108" t="inlineStr">
        <is>
          <t>HLHU8485732</t>
        </is>
      </c>
      <c r="B194" s="108" t="n"/>
      <c r="C194" s="108" t="n"/>
      <c r="D194" s="172" t="n"/>
      <c r="E194" s="173" t="n"/>
      <c r="F194" s="96" t="n"/>
      <c r="G194" s="96" t="n"/>
      <c r="H194" s="111" t="n"/>
      <c r="I194" s="96" t="n"/>
      <c r="J194" s="96" t="n"/>
      <c r="K194" s="96" t="n"/>
      <c r="L194" s="111" t="n"/>
      <c r="M194" s="96" t="n"/>
      <c r="N194" s="96" t="n"/>
      <c r="O194" s="111" t="n"/>
      <c r="P194" s="111" t="n"/>
      <c r="Q194" s="111" t="n"/>
      <c r="R194" s="96" t="n"/>
      <c r="S194" s="96" t="n"/>
      <c r="T194" s="96" t="n"/>
      <c r="U194" s="96" t="n"/>
      <c r="V194" s="161" t="n"/>
      <c r="W194" s="96" t="n"/>
      <c r="X194" s="161" t="n"/>
      <c r="Y194" s="97" t="n"/>
      <c r="Z194" s="97" t="n"/>
      <c r="AA194" s="97" t="n"/>
      <c r="AB194" s="97" t="n"/>
      <c r="AC194" s="97" t="n"/>
      <c r="AD194" s="161" t="n"/>
      <c r="AE194" s="174" t="n"/>
      <c r="AF194" s="96" t="n"/>
      <c r="AG194" s="97" t="n"/>
      <c r="AH194" s="97" t="n"/>
      <c r="AI194" s="97" t="n"/>
      <c r="AJ194" s="96" t="n"/>
      <c r="AK194" s="130" t="n"/>
    </row>
    <row r="195" ht="12" customHeight="1">
      <c r="A195" s="108" t="inlineStr">
        <is>
          <t>HLHU8492388</t>
        </is>
      </c>
      <c r="B195" s="108" t="n"/>
      <c r="C195" s="108" t="n"/>
      <c r="D195" s="172" t="n"/>
      <c r="E195" s="173" t="n"/>
      <c r="F195" s="96" t="n"/>
      <c r="G195" s="96" t="n"/>
      <c r="H195" s="111" t="n"/>
      <c r="I195" s="96" t="n"/>
      <c r="J195" s="96" t="n"/>
      <c r="K195" s="96" t="n"/>
      <c r="L195" s="111" t="n"/>
      <c r="M195" s="96" t="n"/>
      <c r="N195" s="96" t="n"/>
      <c r="O195" s="111" t="n"/>
      <c r="P195" s="111" t="n"/>
      <c r="Q195" s="111" t="n"/>
      <c r="R195" s="96" t="n"/>
      <c r="S195" s="96" t="n"/>
      <c r="T195" s="96" t="n"/>
      <c r="U195" s="96" t="n"/>
      <c r="V195" s="161" t="n"/>
      <c r="W195" s="96" t="n"/>
      <c r="X195" s="161" t="n"/>
      <c r="Y195" s="97" t="n"/>
      <c r="Z195" s="97" t="n"/>
      <c r="AA195" s="97" t="n"/>
      <c r="AB195" s="97" t="n"/>
      <c r="AC195" s="97" t="n"/>
      <c r="AD195" s="161" t="n"/>
      <c r="AE195" s="174" t="n"/>
      <c r="AF195" s="96" t="n"/>
      <c r="AG195" s="97" t="n"/>
      <c r="AH195" s="97" t="n"/>
      <c r="AI195" s="97" t="n"/>
      <c r="AJ195" s="96" t="n"/>
      <c r="AK195" s="130" t="n"/>
    </row>
    <row r="196" ht="12" customHeight="1">
      <c r="A196" s="108" t="inlineStr">
        <is>
          <t>HLHU8503944</t>
        </is>
      </c>
      <c r="B196" s="108" t="n"/>
      <c r="C196" s="108" t="n"/>
      <c r="D196" s="172" t="n"/>
      <c r="E196" s="173" t="n"/>
      <c r="F196" s="96" t="n"/>
      <c r="G196" s="96" t="n"/>
      <c r="H196" s="111" t="n"/>
      <c r="I196" s="96" t="n"/>
      <c r="J196" s="96" t="n"/>
      <c r="K196" s="96" t="n"/>
      <c r="L196" s="111" t="n"/>
      <c r="M196" s="96" t="n"/>
      <c r="N196" s="96" t="n"/>
      <c r="O196" s="111" t="n"/>
      <c r="P196" s="111" t="n"/>
      <c r="Q196" s="111" t="n"/>
      <c r="R196" s="96" t="n"/>
      <c r="S196" s="96" t="n"/>
      <c r="T196" s="96" t="n"/>
      <c r="U196" s="96" t="n"/>
      <c r="V196" s="161" t="n"/>
      <c r="W196" s="96" t="n"/>
      <c r="X196" s="161" t="n"/>
      <c r="Y196" s="97" t="n"/>
      <c r="Z196" s="97" t="n"/>
      <c r="AA196" s="97" t="n"/>
      <c r="AB196" s="97" t="n"/>
      <c r="AC196" s="97" t="n"/>
      <c r="AD196" s="161" t="n"/>
      <c r="AE196" s="174" t="n"/>
      <c r="AF196" s="96" t="n"/>
      <c r="AG196" s="97" t="n"/>
      <c r="AH196" s="97" t="n"/>
      <c r="AI196" s="97" t="n"/>
      <c r="AJ196" s="96" t="n"/>
      <c r="AK196" s="130" t="n"/>
    </row>
    <row r="197" ht="12" customHeight="1">
      <c r="A197" s="108" t="inlineStr">
        <is>
          <t>HLHU8516366</t>
        </is>
      </c>
      <c r="B197" s="108" t="n"/>
      <c r="C197" s="108" t="n"/>
      <c r="D197" s="172" t="n"/>
      <c r="E197" s="173" t="n"/>
      <c r="F197" s="96" t="n"/>
      <c r="G197" s="96" t="n"/>
      <c r="H197" s="111" t="n"/>
      <c r="I197" s="96" t="n"/>
      <c r="J197" s="96" t="n"/>
      <c r="K197" s="96" t="n"/>
      <c r="L197" s="111" t="n"/>
      <c r="M197" s="96" t="n"/>
      <c r="N197" s="96" t="n"/>
      <c r="O197" s="111" t="n"/>
      <c r="P197" s="111" t="n"/>
      <c r="Q197" s="111" t="n"/>
      <c r="R197" s="96" t="n"/>
      <c r="S197" s="96" t="n"/>
      <c r="T197" s="96" t="n"/>
      <c r="U197" s="96" t="n"/>
      <c r="V197" s="161" t="n"/>
      <c r="W197" s="96" t="n"/>
      <c r="X197" s="161" t="n"/>
      <c r="Y197" s="97" t="n"/>
      <c r="Z197" s="97" t="n"/>
      <c r="AA197" s="97" t="n"/>
      <c r="AB197" s="97" t="n"/>
      <c r="AC197" s="97" t="n"/>
      <c r="AD197" s="161" t="n"/>
      <c r="AE197" s="174" t="n"/>
      <c r="AF197" s="96" t="n"/>
      <c r="AG197" s="97" t="n"/>
      <c r="AH197" s="97" t="n"/>
      <c r="AI197" s="97" t="n"/>
      <c r="AJ197" s="96" t="n"/>
      <c r="AK197" s="130" t="n"/>
    </row>
    <row r="198" ht="12" customHeight="1">
      <c r="A198" s="108" t="inlineStr">
        <is>
          <t>HLHU8524680</t>
        </is>
      </c>
      <c r="B198" s="108" t="n"/>
      <c r="C198" s="108" t="n"/>
      <c r="D198" s="172" t="n"/>
      <c r="E198" s="173" t="n"/>
      <c r="F198" s="96" t="n"/>
      <c r="G198" s="96" t="n"/>
      <c r="H198" s="111" t="n"/>
      <c r="I198" s="96" t="n"/>
      <c r="J198" s="96" t="n"/>
      <c r="K198" s="96" t="n"/>
      <c r="L198" s="111" t="n"/>
      <c r="M198" s="96" t="n"/>
      <c r="N198" s="96" t="n"/>
      <c r="O198" s="111" t="n"/>
      <c r="P198" s="111" t="n"/>
      <c r="Q198" s="111" t="n"/>
      <c r="R198" s="96" t="n"/>
      <c r="S198" s="96" t="n"/>
      <c r="T198" s="96" t="n"/>
      <c r="U198" s="96" t="n"/>
      <c r="V198" s="161" t="n"/>
      <c r="W198" s="96" t="n"/>
      <c r="X198" s="161" t="n"/>
      <c r="Y198" s="97" t="n"/>
      <c r="Z198" s="97" t="n"/>
      <c r="AA198" s="97" t="n"/>
      <c r="AB198" s="97" t="n"/>
      <c r="AC198" s="97" t="n"/>
      <c r="AD198" s="161" t="n"/>
      <c r="AE198" s="174" t="n"/>
      <c r="AF198" s="96" t="n"/>
      <c r="AG198" s="97" t="n"/>
      <c r="AH198" s="97" t="n"/>
      <c r="AI198" s="97" t="n"/>
      <c r="AJ198" s="96" t="n"/>
      <c r="AK198" s="130" t="n"/>
    </row>
    <row r="199" ht="12" customHeight="1">
      <c r="A199" s="108" t="inlineStr">
        <is>
          <t>HLHU8528515</t>
        </is>
      </c>
      <c r="B199" s="108" t="n"/>
      <c r="C199" s="108" t="n"/>
      <c r="D199" s="172" t="n"/>
      <c r="E199" s="173" t="n"/>
      <c r="F199" s="96" t="n"/>
      <c r="G199" s="96" t="n"/>
      <c r="H199" s="111" t="n"/>
      <c r="I199" s="96" t="n"/>
      <c r="J199" s="96" t="n"/>
      <c r="K199" s="96" t="n"/>
      <c r="L199" s="111" t="n"/>
      <c r="M199" s="96" t="n"/>
      <c r="N199" s="96" t="n"/>
      <c r="O199" s="111" t="n"/>
      <c r="P199" s="111" t="n"/>
      <c r="Q199" s="111" t="n"/>
      <c r="R199" s="96" t="n"/>
      <c r="S199" s="96" t="n"/>
      <c r="T199" s="96" t="n"/>
      <c r="U199" s="96" t="n"/>
      <c r="V199" s="161" t="n"/>
      <c r="W199" s="96" t="n"/>
      <c r="X199" s="161" t="n"/>
      <c r="Y199" s="97" t="n"/>
      <c r="Z199" s="97" t="n"/>
      <c r="AA199" s="97" t="n"/>
      <c r="AB199" s="97" t="n"/>
      <c r="AC199" s="97" t="n"/>
      <c r="AD199" s="161" t="n"/>
      <c r="AE199" s="174" t="n"/>
      <c r="AF199" s="96" t="n"/>
      <c r="AG199" s="97" t="n"/>
      <c r="AH199" s="97" t="n"/>
      <c r="AI199" s="97" t="n"/>
      <c r="AJ199" s="96" t="n"/>
      <c r="AK199" s="130" t="n"/>
    </row>
    <row r="200" ht="12" customHeight="1">
      <c r="A200" s="108" t="inlineStr">
        <is>
          <t>HLHU8532069</t>
        </is>
      </c>
      <c r="B200" s="108" t="n"/>
      <c r="C200" s="108" t="n"/>
      <c r="D200" s="172" t="n"/>
      <c r="E200" s="173" t="n"/>
      <c r="F200" s="96" t="n"/>
      <c r="G200" s="96" t="n"/>
      <c r="H200" s="111" t="n"/>
      <c r="I200" s="96" t="n"/>
      <c r="J200" s="96" t="n"/>
      <c r="K200" s="96" t="n"/>
      <c r="L200" s="111" t="n"/>
      <c r="M200" s="96" t="n"/>
      <c r="N200" s="96" t="n"/>
      <c r="O200" s="111" t="n"/>
      <c r="P200" s="111" t="n"/>
      <c r="Q200" s="111" t="n"/>
      <c r="R200" s="96" t="n"/>
      <c r="S200" s="96" t="n"/>
      <c r="T200" s="96" t="n"/>
      <c r="U200" s="96" t="n"/>
      <c r="V200" s="161" t="n"/>
      <c r="W200" s="96" t="n"/>
      <c r="X200" s="161" t="n"/>
      <c r="Y200" s="97" t="n"/>
      <c r="Z200" s="97" t="n"/>
      <c r="AA200" s="97" t="n"/>
      <c r="AB200" s="97" t="n"/>
      <c r="AC200" s="97" t="n"/>
      <c r="AD200" s="161" t="n"/>
      <c r="AE200" s="174" t="n"/>
      <c r="AF200" s="96" t="n"/>
      <c r="AG200" s="97" t="n"/>
      <c r="AH200" s="97" t="n"/>
      <c r="AI200" s="97" t="n"/>
      <c r="AJ200" s="96" t="n"/>
      <c r="AK200" s="130" t="n"/>
    </row>
    <row r="201" ht="12" customHeight="1">
      <c r="A201" s="108" t="inlineStr">
        <is>
          <t>HLHU8539926</t>
        </is>
      </c>
      <c r="B201" s="108" t="n"/>
      <c r="C201" s="108" t="n"/>
      <c r="D201" s="172" t="n"/>
      <c r="E201" s="173" t="n"/>
      <c r="F201" s="96" t="n"/>
      <c r="G201" s="96" t="n"/>
      <c r="H201" s="111" t="n"/>
      <c r="I201" s="96" t="n"/>
      <c r="J201" s="96" t="n"/>
      <c r="K201" s="96" t="n"/>
      <c r="L201" s="111" t="n"/>
      <c r="M201" s="96" t="n"/>
      <c r="N201" s="96" t="n"/>
      <c r="O201" s="111" t="n"/>
      <c r="P201" s="111" t="n"/>
      <c r="Q201" s="111" t="n"/>
      <c r="R201" s="96" t="n"/>
      <c r="S201" s="96" t="n"/>
      <c r="T201" s="96" t="n"/>
      <c r="U201" s="96" t="n"/>
      <c r="V201" s="161" t="n"/>
      <c r="W201" s="96" t="n"/>
      <c r="X201" s="161" t="n"/>
      <c r="Y201" s="97" t="n"/>
      <c r="Z201" s="97" t="n"/>
      <c r="AA201" s="97" t="n"/>
      <c r="AB201" s="97" t="n"/>
      <c r="AC201" s="97" t="n"/>
      <c r="AD201" s="161" t="n"/>
      <c r="AE201" s="174" t="n"/>
      <c r="AF201" s="96" t="n"/>
      <c r="AG201" s="97" t="n"/>
      <c r="AH201" s="97" t="n"/>
      <c r="AI201" s="97" t="n"/>
      <c r="AJ201" s="96" t="n"/>
      <c r="AK201" s="130" t="n"/>
    </row>
    <row r="202" ht="12" customHeight="1">
      <c r="A202" s="108" t="inlineStr">
        <is>
          <t>HLHU8540362</t>
        </is>
      </c>
      <c r="B202" s="108" t="n"/>
      <c r="C202" s="108" t="n"/>
      <c r="D202" s="172" t="n"/>
      <c r="E202" s="173" t="n"/>
      <c r="F202" s="96" t="n"/>
      <c r="G202" s="96" t="n"/>
      <c r="H202" s="111" t="n"/>
      <c r="I202" s="96" t="n"/>
      <c r="J202" s="96" t="n"/>
      <c r="K202" s="96" t="n"/>
      <c r="L202" s="111" t="n"/>
      <c r="M202" s="96" t="n"/>
      <c r="N202" s="96" t="n"/>
      <c r="O202" s="111" t="n"/>
      <c r="P202" s="111" t="n"/>
      <c r="Q202" s="111" t="n"/>
      <c r="R202" s="96" t="n"/>
      <c r="S202" s="96" t="n"/>
      <c r="T202" s="96" t="n"/>
      <c r="U202" s="96" t="n"/>
      <c r="V202" s="161" t="n"/>
      <c r="W202" s="96" t="n"/>
      <c r="X202" s="161" t="n"/>
      <c r="Y202" s="97" t="n"/>
      <c r="Z202" s="97" t="n"/>
      <c r="AA202" s="97" t="n"/>
      <c r="AB202" s="97" t="n"/>
      <c r="AC202" s="97" t="n"/>
      <c r="AD202" s="161" t="n"/>
      <c r="AE202" s="174" t="n"/>
      <c r="AF202" s="96" t="n"/>
      <c r="AG202" s="97" t="n"/>
      <c r="AH202" s="97" t="n"/>
      <c r="AI202" s="97" t="n"/>
      <c r="AJ202" s="96" t="n"/>
      <c r="AK202" s="130" t="n"/>
    </row>
    <row r="203" ht="12" customHeight="1">
      <c r="A203" s="108" t="inlineStr">
        <is>
          <t>HLHU8547006</t>
        </is>
      </c>
      <c r="B203" s="108" t="n"/>
      <c r="C203" s="108" t="n"/>
      <c r="D203" s="172" t="n"/>
      <c r="E203" s="173" t="n"/>
      <c r="F203" s="96" t="n"/>
      <c r="G203" s="96" t="n"/>
      <c r="H203" s="111" t="n"/>
      <c r="I203" s="96" t="n"/>
      <c r="J203" s="96" t="n"/>
      <c r="K203" s="96" t="n"/>
      <c r="L203" s="111" t="n"/>
      <c r="M203" s="96" t="n"/>
      <c r="N203" s="96" t="n"/>
      <c r="O203" s="111" t="n"/>
      <c r="P203" s="111" t="n"/>
      <c r="Q203" s="111" t="n"/>
      <c r="R203" s="96" t="n"/>
      <c r="S203" s="96" t="n"/>
      <c r="T203" s="96" t="n"/>
      <c r="U203" s="96" t="n"/>
      <c r="V203" s="161" t="n"/>
      <c r="W203" s="96" t="n"/>
      <c r="X203" s="161" t="n"/>
      <c r="Y203" s="97" t="n"/>
      <c r="Z203" s="97" t="n"/>
      <c r="AA203" s="97" t="n"/>
      <c r="AB203" s="97" t="n"/>
      <c r="AC203" s="97" t="n"/>
      <c r="AD203" s="161" t="n"/>
      <c r="AE203" s="174" t="n"/>
      <c r="AF203" s="96" t="n"/>
      <c r="AG203" s="97" t="n"/>
      <c r="AH203" s="97" t="n"/>
      <c r="AI203" s="97" t="n"/>
      <c r="AJ203" s="96" t="n"/>
      <c r="AK203" s="130" t="n"/>
    </row>
    <row r="204" ht="12" customHeight="1">
      <c r="A204" s="108" t="inlineStr">
        <is>
          <t>HLHU8571039</t>
        </is>
      </c>
      <c r="B204" s="108" t="n"/>
      <c r="C204" s="108" t="n"/>
      <c r="D204" s="172" t="n"/>
      <c r="E204" s="173" t="n"/>
      <c r="F204" s="96" t="n"/>
      <c r="G204" s="96" t="n"/>
      <c r="H204" s="111" t="n"/>
      <c r="I204" s="96" t="n"/>
      <c r="J204" s="96" t="n"/>
      <c r="K204" s="96" t="n"/>
      <c r="L204" s="111" t="n"/>
      <c r="M204" s="96" t="n"/>
      <c r="N204" s="96" t="n"/>
      <c r="O204" s="111" t="n"/>
      <c r="P204" s="111" t="n"/>
      <c r="Q204" s="111" t="n"/>
      <c r="R204" s="96" t="n"/>
      <c r="S204" s="96" t="n"/>
      <c r="T204" s="96" t="n"/>
      <c r="U204" s="96" t="n"/>
      <c r="V204" s="161" t="n"/>
      <c r="W204" s="96" t="n"/>
      <c r="X204" s="161" t="n"/>
      <c r="Y204" s="97" t="n"/>
      <c r="Z204" s="97" t="n"/>
      <c r="AA204" s="97" t="n"/>
      <c r="AB204" s="97" t="n"/>
      <c r="AC204" s="97" t="n"/>
      <c r="AD204" s="161" t="n"/>
      <c r="AE204" s="174" t="n"/>
      <c r="AF204" s="96" t="n"/>
      <c r="AG204" s="97" t="n"/>
      <c r="AH204" s="97" t="n"/>
      <c r="AI204" s="97" t="n"/>
      <c r="AJ204" s="96" t="n"/>
      <c r="AK204" s="130" t="n"/>
    </row>
    <row r="205" ht="12" customHeight="1">
      <c r="A205" s="108" t="inlineStr">
        <is>
          <t>HLHU8571065</t>
        </is>
      </c>
      <c r="B205" s="108" t="n"/>
      <c r="C205" s="108" t="n"/>
      <c r="D205" s="172" t="n"/>
      <c r="E205" s="173" t="n"/>
      <c r="F205" s="96" t="n"/>
      <c r="G205" s="96" t="n"/>
      <c r="H205" s="111" t="n"/>
      <c r="I205" s="96" t="n"/>
      <c r="J205" s="96" t="n"/>
      <c r="K205" s="96" t="n"/>
      <c r="L205" s="111" t="n"/>
      <c r="M205" s="96" t="n"/>
      <c r="N205" s="96" t="n"/>
      <c r="O205" s="111" t="n"/>
      <c r="P205" s="111" t="n"/>
      <c r="Q205" s="111" t="n"/>
      <c r="R205" s="96" t="n"/>
      <c r="S205" s="96" t="n"/>
      <c r="T205" s="96" t="n"/>
      <c r="U205" s="96" t="n"/>
      <c r="V205" s="161" t="n"/>
      <c r="W205" s="96" t="n"/>
      <c r="X205" s="161" t="n"/>
      <c r="Y205" s="97" t="n"/>
      <c r="Z205" s="97" t="n"/>
      <c r="AA205" s="97" t="n"/>
      <c r="AB205" s="97" t="n"/>
      <c r="AC205" s="97" t="n"/>
      <c r="AD205" s="161" t="n"/>
      <c r="AE205" s="174" t="n"/>
      <c r="AF205" s="96" t="n"/>
      <c r="AG205" s="97" t="n"/>
      <c r="AH205" s="97" t="n"/>
      <c r="AI205" s="97" t="n"/>
      <c r="AJ205" s="96" t="n"/>
      <c r="AK205" s="130" t="n"/>
    </row>
    <row r="206" ht="12" customHeight="1">
      <c r="A206" s="108" t="inlineStr">
        <is>
          <t>HLHU8597202</t>
        </is>
      </c>
      <c r="B206" s="108" t="n"/>
      <c r="C206" s="108" t="n"/>
      <c r="D206" s="172" t="n"/>
      <c r="E206" s="173" t="n"/>
      <c r="F206" s="96" t="n"/>
      <c r="G206" s="96" t="n"/>
      <c r="H206" s="111" t="n"/>
      <c r="I206" s="96" t="n"/>
      <c r="J206" s="96" t="n"/>
      <c r="K206" s="96" t="n"/>
      <c r="L206" s="111" t="n"/>
      <c r="M206" s="96" t="n"/>
      <c r="N206" s="96" t="n"/>
      <c r="O206" s="111" t="n"/>
      <c r="P206" s="111" t="n"/>
      <c r="Q206" s="111" t="n"/>
      <c r="R206" s="96" t="n"/>
      <c r="S206" s="96" t="n"/>
      <c r="T206" s="96" t="n"/>
      <c r="U206" s="96" t="n"/>
      <c r="V206" s="161" t="n"/>
      <c r="W206" s="96" t="n"/>
      <c r="X206" s="161" t="n"/>
      <c r="Y206" s="97" t="n"/>
      <c r="Z206" s="97" t="n"/>
      <c r="AA206" s="97" t="n"/>
      <c r="AB206" s="97" t="n"/>
      <c r="AC206" s="97" t="n"/>
      <c r="AD206" s="161" t="n"/>
      <c r="AE206" s="174" t="n"/>
      <c r="AF206" s="96" t="n"/>
      <c r="AG206" s="97" t="n"/>
      <c r="AH206" s="97" t="n"/>
      <c r="AI206" s="97" t="n"/>
      <c r="AJ206" s="96" t="n"/>
      <c r="AK206" s="130" t="n"/>
    </row>
    <row r="207" ht="12" customHeight="1">
      <c r="A207" s="108" t="inlineStr">
        <is>
          <t>SEGU1754869</t>
        </is>
      </c>
      <c r="B207" s="108" t="n"/>
      <c r="C207" s="108" t="n"/>
      <c r="D207" s="172" t="n"/>
      <c r="E207" s="173" t="n"/>
      <c r="F207" s="96" t="n"/>
      <c r="G207" s="96" t="n"/>
      <c r="H207" s="111" t="n"/>
      <c r="I207" s="96" t="n"/>
      <c r="J207" s="96" t="n"/>
      <c r="K207" s="96" t="n"/>
      <c r="L207" s="111" t="n"/>
      <c r="M207" s="96" t="n"/>
      <c r="N207" s="96" t="n"/>
      <c r="O207" s="111" t="n"/>
      <c r="P207" s="111" t="n"/>
      <c r="Q207" s="111" t="n"/>
      <c r="R207" s="96" t="n"/>
      <c r="S207" s="96" t="n"/>
      <c r="T207" s="96" t="n"/>
      <c r="U207" s="96" t="n"/>
      <c r="V207" s="161" t="n"/>
      <c r="W207" s="96" t="n"/>
      <c r="X207" s="161" t="n"/>
      <c r="Y207" s="97" t="n"/>
      <c r="Z207" s="97" t="n"/>
      <c r="AA207" s="97" t="n"/>
      <c r="AB207" s="97" t="n"/>
      <c r="AC207" s="97" t="n"/>
      <c r="AD207" s="161" t="n"/>
      <c r="AE207" s="174" t="n"/>
      <c r="AF207" s="96" t="n"/>
      <c r="AG207" s="97" t="n"/>
      <c r="AH207" s="97" t="n"/>
      <c r="AI207" s="97" t="n"/>
      <c r="AJ207" s="96" t="n"/>
      <c r="AK207" s="130" t="n"/>
    </row>
    <row r="208" ht="12" customHeight="1">
      <c r="A208" s="108" t="inlineStr">
        <is>
          <t>SEKU4434992</t>
        </is>
      </c>
      <c r="B208" s="108" t="n"/>
      <c r="C208" s="108" t="n"/>
      <c r="D208" s="172" t="n"/>
      <c r="E208" s="173" t="n"/>
      <c r="F208" s="96" t="n"/>
      <c r="G208" s="96" t="n"/>
      <c r="H208" s="111" t="n"/>
      <c r="I208" s="96" t="n"/>
      <c r="J208" s="96" t="n"/>
      <c r="K208" s="96" t="n"/>
      <c r="L208" s="111" t="n"/>
      <c r="M208" s="96" t="n"/>
      <c r="N208" s="96" t="n"/>
      <c r="O208" s="111" t="n"/>
      <c r="P208" s="111" t="n"/>
      <c r="Q208" s="111" t="n"/>
      <c r="R208" s="96" t="n"/>
      <c r="S208" s="96" t="n"/>
      <c r="T208" s="96" t="n"/>
      <c r="U208" s="96" t="n"/>
      <c r="V208" s="161" t="n"/>
      <c r="W208" s="96" t="n"/>
      <c r="X208" s="161" t="n"/>
      <c r="Y208" s="97" t="n"/>
      <c r="Z208" s="97" t="n"/>
      <c r="AA208" s="97" t="n"/>
      <c r="AB208" s="97" t="n"/>
      <c r="AC208" s="97" t="n"/>
      <c r="AD208" s="161" t="n"/>
      <c r="AE208" s="174" t="n"/>
      <c r="AF208" s="96" t="n"/>
      <c r="AG208" s="97" t="n"/>
      <c r="AH208" s="97" t="n"/>
      <c r="AI208" s="97" t="n"/>
      <c r="AJ208" s="96" t="n"/>
      <c r="AK208" s="130" t="n"/>
    </row>
    <row r="209" ht="12" customHeight="1">
      <c r="A209" s="108" t="inlineStr">
        <is>
          <t>SEKU4980822</t>
        </is>
      </c>
      <c r="B209" s="108" t="n"/>
      <c r="C209" s="108" t="n"/>
      <c r="D209" s="172" t="n"/>
      <c r="E209" s="173" t="n"/>
      <c r="F209" s="96" t="n"/>
      <c r="G209" s="96" t="n"/>
      <c r="H209" s="111" t="n"/>
      <c r="I209" s="96" t="n"/>
      <c r="J209" s="96" t="n"/>
      <c r="K209" s="96" t="n"/>
      <c r="L209" s="111" t="n"/>
      <c r="M209" s="96" t="n"/>
      <c r="N209" s="96" t="n"/>
      <c r="O209" s="111" t="n"/>
      <c r="P209" s="111" t="n"/>
      <c r="Q209" s="111" t="n"/>
      <c r="R209" s="96" t="n"/>
      <c r="S209" s="96" t="n"/>
      <c r="T209" s="96" t="n"/>
      <c r="U209" s="96" t="n"/>
      <c r="V209" s="161" t="n"/>
      <c r="W209" s="96" t="n"/>
      <c r="X209" s="161" t="n"/>
      <c r="Y209" s="97" t="n"/>
      <c r="Z209" s="97" t="n"/>
      <c r="AA209" s="97" t="n"/>
      <c r="AB209" s="97" t="n"/>
      <c r="AC209" s="97" t="n"/>
      <c r="AD209" s="161" t="n"/>
      <c r="AE209" s="174" t="n"/>
      <c r="AF209" s="96" t="n"/>
      <c r="AG209" s="97" t="n"/>
      <c r="AH209" s="97" t="n"/>
      <c r="AI209" s="97" t="n"/>
      <c r="AJ209" s="96" t="n"/>
      <c r="AK209" s="130" t="n"/>
    </row>
    <row r="210" ht="12" customHeight="1">
      <c r="A210" s="108" t="inlineStr">
        <is>
          <t>SKHU6206076</t>
        </is>
      </c>
      <c r="B210" s="108" t="n"/>
      <c r="C210" s="108" t="n"/>
      <c r="D210" s="172" t="n"/>
      <c r="E210" s="173" t="n"/>
      <c r="F210" s="96" t="n"/>
      <c r="G210" s="96" t="n"/>
      <c r="H210" s="111" t="n"/>
      <c r="I210" s="96" t="n"/>
      <c r="J210" s="96" t="n"/>
      <c r="K210" s="96" t="n"/>
      <c r="L210" s="111" t="n"/>
      <c r="M210" s="96" t="n"/>
      <c r="N210" s="96" t="n"/>
      <c r="O210" s="111" t="n"/>
      <c r="P210" s="111" t="n"/>
      <c r="Q210" s="111" t="n"/>
      <c r="R210" s="96" t="n"/>
      <c r="S210" s="96" t="n"/>
      <c r="T210" s="96" t="n"/>
      <c r="U210" s="96" t="n"/>
      <c r="V210" s="161" t="n"/>
      <c r="W210" s="96" t="n"/>
      <c r="X210" s="161" t="n"/>
      <c r="Y210" s="97" t="n"/>
      <c r="Z210" s="97" t="n"/>
      <c r="AA210" s="97" t="n"/>
      <c r="AB210" s="97" t="n"/>
      <c r="AC210" s="97" t="n"/>
      <c r="AD210" s="161" t="n"/>
      <c r="AE210" s="174" t="n"/>
      <c r="AF210" s="96" t="n"/>
      <c r="AG210" s="97" t="n"/>
      <c r="AH210" s="97" t="n"/>
      <c r="AI210" s="97" t="n"/>
      <c r="AJ210" s="96" t="n"/>
      <c r="AK210" s="130" t="n"/>
    </row>
    <row r="211" ht="12" customHeight="1">
      <c r="A211" s="108" t="inlineStr">
        <is>
          <t>SKHU6206420</t>
        </is>
      </c>
      <c r="B211" s="108" t="n"/>
      <c r="C211" s="108" t="n"/>
      <c r="D211" s="172" t="n"/>
      <c r="E211" s="173" t="n"/>
      <c r="F211" s="96" t="n"/>
      <c r="G211" s="96" t="n"/>
      <c r="H211" s="111" t="n"/>
      <c r="I211" s="96" t="n"/>
      <c r="J211" s="96" t="n"/>
      <c r="K211" s="96" t="n"/>
      <c r="L211" s="111" t="n"/>
      <c r="M211" s="96" t="n"/>
      <c r="N211" s="96" t="n"/>
      <c r="O211" s="111" t="n"/>
      <c r="P211" s="111" t="n"/>
      <c r="Q211" s="111" t="n"/>
      <c r="R211" s="96" t="n"/>
      <c r="S211" s="96" t="n"/>
      <c r="T211" s="96" t="n"/>
      <c r="U211" s="96" t="n"/>
      <c r="V211" s="161" t="n"/>
      <c r="W211" s="96" t="n"/>
      <c r="X211" s="161" t="n"/>
      <c r="Y211" s="97" t="n"/>
      <c r="Z211" s="97" t="n"/>
      <c r="AA211" s="97" t="n"/>
      <c r="AB211" s="97" t="n"/>
      <c r="AC211" s="97" t="n"/>
      <c r="AD211" s="161" t="n"/>
      <c r="AE211" s="174" t="n"/>
      <c r="AF211" s="96" t="n"/>
      <c r="AG211" s="97" t="n"/>
      <c r="AH211" s="97" t="n"/>
      <c r="AI211" s="97" t="n"/>
      <c r="AJ211" s="96" t="n"/>
      <c r="AK211" s="130" t="n"/>
    </row>
    <row r="212" ht="12" customHeight="1">
      <c r="A212" s="108" t="inlineStr">
        <is>
          <t>SKHU6309623</t>
        </is>
      </c>
      <c r="B212" s="108" t="n"/>
      <c r="C212" s="108" t="n"/>
      <c r="D212" s="172" t="n"/>
      <c r="E212" s="173" t="n"/>
      <c r="F212" s="96" t="n"/>
      <c r="G212" s="96" t="n"/>
      <c r="H212" s="111" t="n"/>
      <c r="I212" s="96" t="n"/>
      <c r="J212" s="96" t="n"/>
      <c r="K212" s="96" t="n"/>
      <c r="L212" s="111" t="n"/>
      <c r="M212" s="96" t="n"/>
      <c r="N212" s="96" t="n"/>
      <c r="O212" s="111" t="n"/>
      <c r="P212" s="111" t="n"/>
      <c r="Q212" s="111" t="n"/>
      <c r="R212" s="96" t="n"/>
      <c r="S212" s="96" t="n"/>
      <c r="T212" s="96" t="n"/>
      <c r="U212" s="96" t="n"/>
      <c r="V212" s="161" t="n"/>
      <c r="W212" s="96" t="n"/>
      <c r="X212" s="161" t="n"/>
      <c r="Y212" s="97" t="n"/>
      <c r="Z212" s="97" t="n"/>
      <c r="AA212" s="97" t="n"/>
      <c r="AB212" s="97" t="n"/>
      <c r="AC212" s="97" t="n"/>
      <c r="AD212" s="161" t="n"/>
      <c r="AE212" s="174" t="n"/>
      <c r="AF212" s="96" t="n"/>
      <c r="AG212" s="97" t="n"/>
      <c r="AH212" s="97" t="n"/>
      <c r="AI212" s="97" t="n"/>
      <c r="AJ212" s="96" t="n"/>
      <c r="AK212" s="130" t="n"/>
    </row>
    <row r="213" ht="12" customHeight="1">
      <c r="A213" s="108" t="inlineStr">
        <is>
          <t>SKHU6310521</t>
        </is>
      </c>
      <c r="B213" s="108" t="n"/>
      <c r="C213" s="108" t="n"/>
      <c r="D213" s="172" t="n"/>
      <c r="E213" s="173" t="n"/>
      <c r="F213" s="96" t="n"/>
      <c r="G213" s="96" t="n"/>
      <c r="H213" s="111" t="n"/>
      <c r="I213" s="96" t="n"/>
      <c r="J213" s="96" t="n"/>
      <c r="K213" s="96" t="n"/>
      <c r="L213" s="111" t="n"/>
      <c r="M213" s="96" t="n"/>
      <c r="N213" s="96" t="n"/>
      <c r="O213" s="111" t="n"/>
      <c r="P213" s="111" t="n"/>
      <c r="Q213" s="111" t="n"/>
      <c r="R213" s="96" t="n"/>
      <c r="S213" s="96" t="n"/>
      <c r="T213" s="96" t="n"/>
      <c r="U213" s="96" t="n"/>
      <c r="V213" s="161" t="n"/>
      <c r="W213" s="96" t="n"/>
      <c r="X213" s="161" t="n"/>
      <c r="Y213" s="97" t="n"/>
      <c r="Z213" s="97" t="n"/>
      <c r="AA213" s="97" t="n"/>
      <c r="AB213" s="97" t="n"/>
      <c r="AC213" s="97" t="n"/>
      <c r="AD213" s="161" t="n"/>
      <c r="AE213" s="174" t="n"/>
      <c r="AF213" s="96" t="n"/>
      <c r="AG213" s="97" t="n"/>
      <c r="AH213" s="97" t="n"/>
      <c r="AI213" s="97" t="n"/>
      <c r="AJ213" s="96" t="n"/>
      <c r="AK213" s="130" t="n"/>
    </row>
    <row r="214" ht="12" customHeight="1">
      <c r="A214" s="108" t="inlineStr">
        <is>
          <t>SKHU6341121</t>
        </is>
      </c>
      <c r="B214" s="108" t="n"/>
      <c r="C214" s="108" t="n"/>
      <c r="D214" s="172" t="n"/>
      <c r="E214" s="173" t="n"/>
      <c r="F214" s="96" t="n"/>
      <c r="G214" s="96" t="n"/>
      <c r="H214" s="111" t="n"/>
      <c r="I214" s="96" t="n"/>
      <c r="J214" s="96" t="n"/>
      <c r="K214" s="96" t="n"/>
      <c r="L214" s="111" t="n"/>
      <c r="M214" s="96" t="n"/>
      <c r="N214" s="96" t="n"/>
      <c r="O214" s="111" t="n"/>
      <c r="P214" s="111" t="n"/>
      <c r="Q214" s="111" t="n"/>
      <c r="R214" s="96" t="n"/>
      <c r="S214" s="96" t="n"/>
      <c r="T214" s="96" t="n"/>
      <c r="U214" s="96" t="n"/>
      <c r="V214" s="161" t="n"/>
      <c r="W214" s="96" t="n"/>
      <c r="X214" s="161" t="n"/>
      <c r="Y214" s="97" t="n"/>
      <c r="Z214" s="97" t="n"/>
      <c r="AA214" s="97" t="n"/>
      <c r="AB214" s="97" t="n"/>
      <c r="AC214" s="97" t="n"/>
      <c r="AD214" s="161" t="n"/>
      <c r="AE214" s="174" t="n"/>
      <c r="AF214" s="96" t="n"/>
      <c r="AG214" s="97" t="n"/>
      <c r="AH214" s="97" t="n"/>
      <c r="AI214" s="97" t="n"/>
      <c r="AJ214" s="96" t="n"/>
      <c r="AK214" s="130" t="n"/>
    </row>
    <row r="215" ht="12" customHeight="1">
      <c r="A215" s="108" t="inlineStr">
        <is>
          <t>SKHU6369936</t>
        </is>
      </c>
      <c r="B215" s="108" t="n"/>
      <c r="C215" s="108" t="n"/>
      <c r="D215" s="172" t="n"/>
      <c r="E215" s="173" t="n"/>
      <c r="F215" s="96" t="n"/>
      <c r="G215" s="96" t="n"/>
      <c r="H215" s="111" t="n"/>
      <c r="I215" s="96" t="n"/>
      <c r="J215" s="96" t="n"/>
      <c r="K215" s="96" t="n"/>
      <c r="L215" s="111" t="n"/>
      <c r="M215" s="96" t="n"/>
      <c r="N215" s="96" t="n"/>
      <c r="O215" s="111" t="n"/>
      <c r="P215" s="111" t="n"/>
      <c r="Q215" s="111" t="n"/>
      <c r="R215" s="96" t="n"/>
      <c r="S215" s="96" t="n"/>
      <c r="T215" s="96" t="n"/>
      <c r="U215" s="96" t="n"/>
      <c r="V215" s="161" t="n"/>
      <c r="W215" s="96" t="n"/>
      <c r="X215" s="161" t="n"/>
      <c r="Y215" s="97" t="n"/>
      <c r="Z215" s="97" t="n"/>
      <c r="AA215" s="97" t="n"/>
      <c r="AB215" s="97" t="n"/>
      <c r="AC215" s="97" t="n"/>
      <c r="AD215" s="161" t="n"/>
      <c r="AE215" s="174" t="n"/>
      <c r="AF215" s="96" t="n"/>
      <c r="AG215" s="97" t="n"/>
      <c r="AH215" s="97" t="n"/>
      <c r="AI215" s="97" t="n"/>
      <c r="AJ215" s="96" t="n"/>
      <c r="AK215" s="130" t="n"/>
    </row>
    <row r="216" ht="12" customHeight="1">
      <c r="A216" s="108" t="inlineStr">
        <is>
          <t>SKHU6384740</t>
        </is>
      </c>
      <c r="B216" s="108" t="n"/>
      <c r="C216" s="108" t="n"/>
      <c r="D216" s="172" t="n"/>
      <c r="E216" s="173" t="n"/>
      <c r="F216" s="96" t="n"/>
      <c r="G216" s="96" t="n"/>
      <c r="H216" s="111" t="n"/>
      <c r="I216" s="96" t="n"/>
      <c r="J216" s="96" t="n"/>
      <c r="K216" s="96" t="n"/>
      <c r="L216" s="111" t="n"/>
      <c r="M216" s="96" t="n"/>
      <c r="N216" s="96" t="n"/>
      <c r="O216" s="111" t="n"/>
      <c r="P216" s="111" t="n"/>
      <c r="Q216" s="111" t="n"/>
      <c r="R216" s="96" t="n"/>
      <c r="S216" s="96" t="n"/>
      <c r="T216" s="96" t="n"/>
      <c r="U216" s="96" t="n"/>
      <c r="V216" s="161" t="n"/>
      <c r="W216" s="96" t="n"/>
      <c r="X216" s="161" t="n"/>
      <c r="Y216" s="97" t="n"/>
      <c r="Z216" s="97" t="n"/>
      <c r="AA216" s="97" t="n"/>
      <c r="AB216" s="97" t="n"/>
      <c r="AC216" s="97" t="n"/>
      <c r="AD216" s="161" t="n"/>
      <c r="AE216" s="174" t="n"/>
      <c r="AF216" s="96" t="n"/>
      <c r="AG216" s="97" t="n"/>
      <c r="AH216" s="97" t="n"/>
      <c r="AI216" s="97" t="n"/>
      <c r="AJ216" s="96" t="n"/>
      <c r="AK216" s="130" t="n"/>
    </row>
    <row r="217" ht="12" customHeight="1">
      <c r="A217" s="108" t="inlineStr">
        <is>
          <t>SKHU6387945</t>
        </is>
      </c>
      <c r="B217" s="108" t="n"/>
      <c r="C217" s="108" t="n"/>
      <c r="D217" s="172" t="n"/>
      <c r="E217" s="173" t="n"/>
      <c r="F217" s="96" t="n"/>
      <c r="G217" s="96" t="n"/>
      <c r="H217" s="111" t="n"/>
      <c r="I217" s="96" t="n"/>
      <c r="J217" s="96" t="n"/>
      <c r="K217" s="96" t="n"/>
      <c r="L217" s="111" t="n"/>
      <c r="M217" s="96" t="n"/>
      <c r="N217" s="96" t="n"/>
      <c r="O217" s="111" t="n"/>
      <c r="P217" s="111" t="n"/>
      <c r="Q217" s="111" t="n"/>
      <c r="R217" s="96" t="n"/>
      <c r="S217" s="96" t="n"/>
      <c r="T217" s="96" t="n"/>
      <c r="U217" s="96" t="n"/>
      <c r="V217" s="161" t="n"/>
      <c r="W217" s="96" t="n"/>
      <c r="X217" s="161" t="n"/>
      <c r="Y217" s="97" t="n"/>
      <c r="Z217" s="97" t="n"/>
      <c r="AA217" s="97" t="n"/>
      <c r="AB217" s="97" t="n"/>
      <c r="AC217" s="97" t="n"/>
      <c r="AD217" s="161" t="n"/>
      <c r="AE217" s="174" t="n"/>
      <c r="AF217" s="96" t="n"/>
      <c r="AG217" s="97" t="n"/>
      <c r="AH217" s="97" t="n"/>
      <c r="AI217" s="97" t="n"/>
      <c r="AJ217" s="96" t="n"/>
      <c r="AK217" s="130" t="n"/>
    </row>
    <row r="218" ht="12" customHeight="1">
      <c r="A218" s="108" t="inlineStr">
        <is>
          <t>SKHU6394013</t>
        </is>
      </c>
      <c r="B218" s="108" t="n"/>
      <c r="C218" s="108" t="n"/>
      <c r="D218" s="172" t="n"/>
      <c r="E218" s="173" t="n"/>
      <c r="F218" s="96" t="n"/>
      <c r="G218" s="96" t="n"/>
      <c r="H218" s="111" t="n"/>
      <c r="I218" s="96" t="n"/>
      <c r="J218" s="96" t="n"/>
      <c r="K218" s="96" t="n"/>
      <c r="L218" s="111" t="n"/>
      <c r="M218" s="96" t="n"/>
      <c r="N218" s="96" t="n"/>
      <c r="O218" s="111" t="n"/>
      <c r="P218" s="111" t="n"/>
      <c r="Q218" s="111" t="n"/>
      <c r="R218" s="96" t="n"/>
      <c r="S218" s="96" t="n"/>
      <c r="T218" s="96" t="n"/>
      <c r="U218" s="96" t="n"/>
      <c r="V218" s="161" t="n"/>
      <c r="W218" s="96" t="n"/>
      <c r="X218" s="161" t="n"/>
      <c r="Y218" s="97" t="n"/>
      <c r="Z218" s="97" t="n"/>
      <c r="AA218" s="97" t="n"/>
      <c r="AB218" s="97" t="n"/>
      <c r="AC218" s="97" t="n"/>
      <c r="AD218" s="161" t="n"/>
      <c r="AE218" s="174" t="n"/>
      <c r="AF218" s="96" t="n"/>
      <c r="AG218" s="97" t="n"/>
      <c r="AH218" s="97" t="n"/>
      <c r="AI218" s="97" t="n"/>
      <c r="AJ218" s="96" t="n"/>
      <c r="AK218" s="130" t="n"/>
    </row>
    <row r="219" ht="12" customHeight="1">
      <c r="A219" s="108" t="inlineStr">
        <is>
          <t>SKHU6394939</t>
        </is>
      </c>
      <c r="B219" s="108" t="n"/>
      <c r="C219" s="108" t="n"/>
      <c r="D219" s="172" t="n"/>
      <c r="E219" s="173" t="n"/>
      <c r="F219" s="96" t="n"/>
      <c r="G219" s="96" t="n"/>
      <c r="H219" s="111" t="n"/>
      <c r="I219" s="96" t="n"/>
      <c r="J219" s="96" t="n"/>
      <c r="K219" s="96" t="n"/>
      <c r="L219" s="111" t="n"/>
      <c r="M219" s="96" t="n"/>
      <c r="N219" s="96" t="n"/>
      <c r="O219" s="111" t="n"/>
      <c r="P219" s="111" t="n"/>
      <c r="Q219" s="111" t="n"/>
      <c r="R219" s="96" t="n"/>
      <c r="S219" s="96" t="n"/>
      <c r="T219" s="96" t="n"/>
      <c r="U219" s="96" t="n"/>
      <c r="V219" s="161" t="n"/>
      <c r="W219" s="96" t="n"/>
      <c r="X219" s="161" t="n"/>
      <c r="Y219" s="97" t="n"/>
      <c r="Z219" s="97" t="n"/>
      <c r="AA219" s="97" t="n"/>
      <c r="AB219" s="97" t="n"/>
      <c r="AC219" s="97" t="n"/>
      <c r="AD219" s="161" t="n"/>
      <c r="AE219" s="174" t="n"/>
      <c r="AF219" s="96" t="n"/>
      <c r="AG219" s="97" t="n"/>
      <c r="AH219" s="97" t="n"/>
      <c r="AI219" s="97" t="n"/>
      <c r="AJ219" s="96" t="n"/>
      <c r="AK219" s="130" t="n"/>
    </row>
    <row r="220" ht="12" customHeight="1">
      <c r="A220" s="108" t="inlineStr">
        <is>
          <t>SKHU6414568</t>
        </is>
      </c>
      <c r="B220" s="108" t="n"/>
      <c r="C220" s="108" t="n"/>
      <c r="D220" s="172" t="n"/>
      <c r="E220" s="173" t="n"/>
      <c r="F220" s="96" t="n"/>
      <c r="G220" s="96" t="n"/>
      <c r="H220" s="111" t="n"/>
      <c r="I220" s="96" t="n"/>
      <c r="J220" s="96" t="n"/>
      <c r="K220" s="96" t="n"/>
      <c r="L220" s="111" t="n"/>
      <c r="M220" s="96" t="n"/>
      <c r="N220" s="96" t="n"/>
      <c r="O220" s="111" t="n"/>
      <c r="P220" s="111" t="n"/>
      <c r="Q220" s="111" t="n"/>
      <c r="R220" s="96" t="n"/>
      <c r="S220" s="96" t="n"/>
      <c r="T220" s="96" t="n"/>
      <c r="U220" s="96" t="n"/>
      <c r="V220" s="161" t="n"/>
      <c r="W220" s="96" t="n"/>
      <c r="X220" s="161" t="n"/>
      <c r="Y220" s="97" t="n"/>
      <c r="Z220" s="97" t="n"/>
      <c r="AA220" s="97" t="n"/>
      <c r="AB220" s="97" t="n"/>
      <c r="AC220" s="97" t="n"/>
      <c r="AD220" s="161" t="n"/>
      <c r="AE220" s="174" t="n"/>
      <c r="AF220" s="96" t="n"/>
      <c r="AG220" s="97" t="n"/>
      <c r="AH220" s="97" t="n"/>
      <c r="AI220" s="97" t="n"/>
      <c r="AJ220" s="96" t="n"/>
      <c r="AK220" s="130" t="n"/>
    </row>
    <row r="221" ht="12" customHeight="1">
      <c r="A221" s="108" t="inlineStr">
        <is>
          <t>SKHU6425048</t>
        </is>
      </c>
      <c r="B221" s="108" t="n"/>
      <c r="C221" s="108" t="n"/>
      <c r="D221" s="172" t="n"/>
      <c r="E221" s="173" t="n"/>
      <c r="F221" s="96" t="n"/>
      <c r="G221" s="96" t="n"/>
      <c r="H221" s="111" t="n"/>
      <c r="I221" s="96" t="n"/>
      <c r="J221" s="96" t="n"/>
      <c r="K221" s="96" t="n"/>
      <c r="L221" s="111" t="n"/>
      <c r="M221" s="96" t="n"/>
      <c r="N221" s="96" t="n"/>
      <c r="O221" s="111" t="n"/>
      <c r="P221" s="111" t="n"/>
      <c r="Q221" s="111" t="n"/>
      <c r="R221" s="96" t="n"/>
      <c r="S221" s="96" t="n"/>
      <c r="T221" s="96" t="n"/>
      <c r="U221" s="96" t="n"/>
      <c r="V221" s="161" t="n"/>
      <c r="W221" s="96" t="n"/>
      <c r="X221" s="161" t="n"/>
      <c r="Y221" s="97" t="n"/>
      <c r="Z221" s="97" t="n"/>
      <c r="AA221" s="97" t="n"/>
      <c r="AB221" s="97" t="n"/>
      <c r="AC221" s="97" t="n"/>
      <c r="AD221" s="161" t="n"/>
      <c r="AE221" s="174" t="n"/>
      <c r="AF221" s="96" t="n"/>
      <c r="AG221" s="97" t="n"/>
      <c r="AH221" s="97" t="n"/>
      <c r="AI221" s="97" t="n"/>
      <c r="AJ221" s="96" t="n"/>
      <c r="AK221" s="130" t="n"/>
    </row>
    <row r="222" ht="12" customHeight="1">
      <c r="A222" s="108" t="inlineStr">
        <is>
          <t>SKHU6442087</t>
        </is>
      </c>
      <c r="B222" s="108" t="n"/>
      <c r="C222" s="108" t="n"/>
      <c r="D222" s="172" t="n"/>
      <c r="E222" s="173" t="n"/>
      <c r="F222" s="96" t="n"/>
      <c r="G222" s="96" t="n"/>
      <c r="H222" s="111" t="n"/>
      <c r="I222" s="96" t="n"/>
      <c r="J222" s="96" t="n"/>
      <c r="K222" s="96" t="n"/>
      <c r="L222" s="111" t="n"/>
      <c r="M222" s="96" t="n"/>
      <c r="N222" s="96" t="n"/>
      <c r="O222" s="111" t="n"/>
      <c r="P222" s="111" t="n"/>
      <c r="Q222" s="111" t="n"/>
      <c r="R222" s="96" t="n"/>
      <c r="S222" s="96" t="n"/>
      <c r="T222" s="96" t="n"/>
      <c r="U222" s="96" t="n"/>
      <c r="V222" s="161" t="n"/>
      <c r="W222" s="96" t="n"/>
      <c r="X222" s="161" t="n"/>
      <c r="Y222" s="97" t="n"/>
      <c r="Z222" s="97" t="n"/>
      <c r="AA222" s="97" t="n"/>
      <c r="AB222" s="97" t="n"/>
      <c r="AC222" s="97" t="n"/>
      <c r="AD222" s="161" t="n"/>
      <c r="AE222" s="174" t="n"/>
      <c r="AF222" s="96" t="n"/>
      <c r="AG222" s="97" t="n"/>
      <c r="AH222" s="97" t="n"/>
      <c r="AI222" s="97" t="n"/>
      <c r="AJ222" s="96" t="n"/>
      <c r="AK222" s="130" t="n"/>
    </row>
    <row r="223" ht="12" customHeight="1">
      <c r="A223" s="108" t="inlineStr">
        <is>
          <t>SKHU6445342</t>
        </is>
      </c>
      <c r="B223" s="108" t="n"/>
      <c r="C223" s="108" t="n"/>
      <c r="D223" s="172" t="n"/>
      <c r="E223" s="173" t="n"/>
      <c r="F223" s="96" t="n"/>
      <c r="G223" s="96" t="n"/>
      <c r="H223" s="111" t="n"/>
      <c r="I223" s="96" t="n"/>
      <c r="J223" s="96" t="n"/>
      <c r="K223" s="96" t="n"/>
      <c r="L223" s="111" t="n"/>
      <c r="M223" s="96" t="n"/>
      <c r="N223" s="96" t="n"/>
      <c r="O223" s="111" t="n"/>
      <c r="P223" s="111" t="n"/>
      <c r="Q223" s="111" t="n"/>
      <c r="R223" s="96" t="n"/>
      <c r="S223" s="96" t="n"/>
      <c r="T223" s="96" t="n"/>
      <c r="U223" s="96" t="n"/>
      <c r="V223" s="161" t="n"/>
      <c r="W223" s="96" t="n"/>
      <c r="X223" s="161" t="n"/>
      <c r="Y223" s="97" t="n"/>
      <c r="Z223" s="97" t="n"/>
      <c r="AA223" s="97" t="n"/>
      <c r="AB223" s="97" t="n"/>
      <c r="AC223" s="97" t="n"/>
      <c r="AD223" s="161" t="n"/>
      <c r="AE223" s="174" t="n"/>
      <c r="AF223" s="96" t="n"/>
      <c r="AG223" s="97" t="n"/>
      <c r="AH223" s="97" t="n"/>
      <c r="AI223" s="97" t="n"/>
      <c r="AJ223" s="96" t="n"/>
      <c r="AK223" s="130" t="n"/>
    </row>
    <row r="224" ht="12" customHeight="1">
      <c r="A224" s="108" t="inlineStr">
        <is>
          <t>SKHU6445569</t>
        </is>
      </c>
      <c r="B224" s="108" t="n"/>
      <c r="C224" s="108" t="n"/>
      <c r="D224" s="172" t="n"/>
      <c r="E224" s="173" t="n"/>
      <c r="F224" s="96" t="n"/>
      <c r="G224" s="96" t="n"/>
      <c r="H224" s="111" t="n"/>
      <c r="I224" s="96" t="n"/>
      <c r="J224" s="96" t="n"/>
      <c r="K224" s="96" t="n"/>
      <c r="L224" s="111" t="n"/>
      <c r="M224" s="96" t="n"/>
      <c r="N224" s="96" t="n"/>
      <c r="O224" s="111" t="n"/>
      <c r="P224" s="111" t="n"/>
      <c r="Q224" s="111" t="n"/>
      <c r="R224" s="96" t="n"/>
      <c r="S224" s="96" t="n"/>
      <c r="T224" s="96" t="n"/>
      <c r="U224" s="96" t="n"/>
      <c r="V224" s="161" t="n"/>
      <c r="W224" s="96" t="n"/>
      <c r="X224" s="161" t="n"/>
      <c r="Y224" s="97" t="n"/>
      <c r="Z224" s="97" t="n"/>
      <c r="AA224" s="97" t="n"/>
      <c r="AB224" s="97" t="n"/>
      <c r="AC224" s="97" t="n"/>
      <c r="AD224" s="161" t="n"/>
      <c r="AE224" s="174" t="n"/>
      <c r="AF224" s="96" t="n"/>
      <c r="AG224" s="97" t="n"/>
      <c r="AH224" s="97" t="n"/>
      <c r="AI224" s="97" t="n"/>
      <c r="AJ224" s="96" t="n"/>
      <c r="AK224" s="130" t="n"/>
    </row>
    <row r="225" ht="12" customHeight="1">
      <c r="A225" s="108" t="inlineStr">
        <is>
          <t>SKHU6447880</t>
        </is>
      </c>
      <c r="B225" s="108" t="n"/>
      <c r="C225" s="108" t="n"/>
      <c r="D225" s="172" t="n"/>
      <c r="E225" s="173" t="n"/>
      <c r="F225" s="96" t="n"/>
      <c r="G225" s="96" t="n"/>
      <c r="H225" s="111" t="n"/>
      <c r="I225" s="96" t="n"/>
      <c r="J225" s="96" t="n"/>
      <c r="K225" s="96" t="n"/>
      <c r="L225" s="111" t="n"/>
      <c r="M225" s="96" t="n"/>
      <c r="N225" s="96" t="n"/>
      <c r="O225" s="111" t="n"/>
      <c r="P225" s="111" t="n"/>
      <c r="Q225" s="111" t="n"/>
      <c r="R225" s="96" t="n"/>
      <c r="S225" s="96" t="n"/>
      <c r="T225" s="96" t="n"/>
      <c r="U225" s="96" t="n"/>
      <c r="V225" s="161" t="n"/>
      <c r="W225" s="96" t="n"/>
      <c r="X225" s="161" t="n"/>
      <c r="Y225" s="97" t="n"/>
      <c r="Z225" s="97" t="n"/>
      <c r="AA225" s="97" t="n"/>
      <c r="AB225" s="97" t="n"/>
      <c r="AC225" s="97" t="n"/>
      <c r="AD225" s="161" t="n"/>
      <c r="AE225" s="174" t="n"/>
      <c r="AF225" s="96" t="n"/>
      <c r="AG225" s="97" t="n"/>
      <c r="AH225" s="97" t="n"/>
      <c r="AI225" s="97" t="n"/>
      <c r="AJ225" s="96" t="n"/>
      <c r="AK225" s="130" t="n"/>
    </row>
    <row r="226" ht="12" customHeight="1">
      <c r="A226" s="108" t="inlineStr">
        <is>
          <t>SKHU6448927</t>
        </is>
      </c>
      <c r="B226" s="108" t="n"/>
      <c r="C226" s="108" t="n"/>
      <c r="D226" s="172" t="n"/>
      <c r="E226" s="173" t="n"/>
      <c r="F226" s="96" t="n"/>
      <c r="G226" s="96" t="n"/>
      <c r="H226" s="111" t="n"/>
      <c r="I226" s="96" t="n"/>
      <c r="J226" s="96" t="n"/>
      <c r="K226" s="96" t="n"/>
      <c r="L226" s="111" t="n"/>
      <c r="M226" s="96" t="n"/>
      <c r="N226" s="96" t="n"/>
      <c r="O226" s="111" t="n"/>
      <c r="P226" s="111" t="n"/>
      <c r="Q226" s="111" t="n"/>
      <c r="R226" s="96" t="n"/>
      <c r="S226" s="96" t="n"/>
      <c r="T226" s="96" t="n"/>
      <c r="U226" s="96" t="n"/>
      <c r="V226" s="161" t="n"/>
      <c r="W226" s="96" t="n"/>
      <c r="X226" s="161" t="n"/>
      <c r="Y226" s="97" t="n"/>
      <c r="Z226" s="97" t="n"/>
      <c r="AA226" s="97" t="n"/>
      <c r="AB226" s="97" t="n"/>
      <c r="AC226" s="97" t="n"/>
      <c r="AD226" s="161" t="n"/>
      <c r="AE226" s="174" t="n"/>
      <c r="AF226" s="96" t="n"/>
      <c r="AG226" s="97" t="n"/>
      <c r="AH226" s="97" t="n"/>
      <c r="AI226" s="97" t="n"/>
      <c r="AJ226" s="96" t="n"/>
      <c r="AK226" s="130" t="n"/>
    </row>
    <row r="227" ht="12" customHeight="1">
      <c r="A227" s="108" t="inlineStr">
        <is>
          <t>SKHU6514546</t>
        </is>
      </c>
      <c r="B227" s="108" t="n"/>
      <c r="C227" s="108" t="n"/>
      <c r="D227" s="172" t="n"/>
      <c r="E227" s="173" t="n"/>
      <c r="F227" s="96" t="n"/>
      <c r="G227" s="96" t="n"/>
      <c r="H227" s="111" t="n"/>
      <c r="I227" s="96" t="n"/>
      <c r="J227" s="96" t="n"/>
      <c r="K227" s="96" t="n"/>
      <c r="L227" s="111" t="n"/>
      <c r="M227" s="96" t="n"/>
      <c r="N227" s="96" t="n"/>
      <c r="O227" s="111" t="n"/>
      <c r="P227" s="111" t="n"/>
      <c r="Q227" s="111" t="n"/>
      <c r="R227" s="96" t="n"/>
      <c r="S227" s="96" t="n"/>
      <c r="T227" s="96" t="n"/>
      <c r="U227" s="96" t="n"/>
      <c r="V227" s="161" t="n"/>
      <c r="W227" s="96" t="n"/>
      <c r="X227" s="161" t="n"/>
      <c r="Y227" s="97" t="n"/>
      <c r="Z227" s="97" t="n"/>
      <c r="AA227" s="97" t="n"/>
      <c r="AB227" s="97" t="n"/>
      <c r="AC227" s="97" t="n"/>
      <c r="AD227" s="161" t="n"/>
      <c r="AE227" s="174" t="n"/>
      <c r="AF227" s="96" t="n"/>
      <c r="AG227" s="97" t="n"/>
      <c r="AH227" s="97" t="n"/>
      <c r="AI227" s="97" t="n"/>
      <c r="AJ227" s="96" t="n"/>
      <c r="AK227" s="130" t="n"/>
    </row>
    <row r="228" ht="12" customHeight="1">
      <c r="A228" s="108" t="inlineStr">
        <is>
          <t>SKHU6519039</t>
        </is>
      </c>
      <c r="B228" s="108" t="n"/>
      <c r="C228" s="108" t="n"/>
      <c r="D228" s="172" t="n"/>
      <c r="E228" s="173" t="n"/>
      <c r="F228" s="96" t="n"/>
      <c r="G228" s="96" t="n"/>
      <c r="H228" s="111" t="n"/>
      <c r="I228" s="96" t="n"/>
      <c r="J228" s="96" t="n"/>
      <c r="K228" s="96" t="n"/>
      <c r="L228" s="111" t="n"/>
      <c r="M228" s="96" t="n"/>
      <c r="N228" s="96" t="n"/>
      <c r="O228" s="111" t="n"/>
      <c r="P228" s="111" t="n"/>
      <c r="Q228" s="111" t="n"/>
      <c r="R228" s="96" t="n"/>
      <c r="S228" s="96" t="n"/>
      <c r="T228" s="96" t="n"/>
      <c r="U228" s="96" t="n"/>
      <c r="V228" s="161" t="n"/>
      <c r="W228" s="96" t="n"/>
      <c r="X228" s="161" t="n"/>
      <c r="Y228" s="97" t="n"/>
      <c r="Z228" s="97" t="n"/>
      <c r="AA228" s="97" t="n"/>
      <c r="AB228" s="97" t="n"/>
      <c r="AC228" s="97" t="n"/>
      <c r="AD228" s="161" t="n"/>
      <c r="AE228" s="174" t="n"/>
      <c r="AF228" s="96" t="n"/>
      <c r="AG228" s="97" t="n"/>
      <c r="AH228" s="97" t="n"/>
      <c r="AI228" s="97" t="n"/>
      <c r="AJ228" s="96" t="n"/>
      <c r="AK228" s="130" t="n"/>
    </row>
    <row r="229" ht="12" customHeight="1">
      <c r="A229" s="108" t="inlineStr">
        <is>
          <t>SKHU6525432</t>
        </is>
      </c>
      <c r="B229" s="108" t="n"/>
      <c r="C229" s="108" t="n"/>
      <c r="D229" s="172" t="n"/>
      <c r="E229" s="173" t="n"/>
      <c r="F229" s="96" t="n"/>
      <c r="G229" s="96" t="n"/>
      <c r="H229" s="111" t="n"/>
      <c r="I229" s="96" t="n"/>
      <c r="J229" s="96" t="n"/>
      <c r="K229" s="96" t="n"/>
      <c r="L229" s="111" t="n"/>
      <c r="M229" s="96" t="n"/>
      <c r="N229" s="96" t="n"/>
      <c r="O229" s="111" t="n"/>
      <c r="P229" s="111" t="n"/>
      <c r="Q229" s="111" t="n"/>
      <c r="R229" s="96" t="n"/>
      <c r="S229" s="96" t="n"/>
      <c r="T229" s="96" t="n"/>
      <c r="U229" s="96" t="n"/>
      <c r="V229" s="161" t="n"/>
      <c r="W229" s="96" t="n"/>
      <c r="X229" s="161" t="n"/>
      <c r="Y229" s="97" t="n"/>
      <c r="Z229" s="97" t="n"/>
      <c r="AA229" s="97" t="n"/>
      <c r="AB229" s="97" t="n"/>
      <c r="AC229" s="97" t="n"/>
      <c r="AD229" s="161" t="n"/>
      <c r="AE229" s="174" t="n"/>
      <c r="AF229" s="96" t="n"/>
      <c r="AG229" s="97" t="n"/>
      <c r="AH229" s="97" t="n"/>
      <c r="AI229" s="97" t="n"/>
      <c r="AJ229" s="96" t="n"/>
      <c r="AK229" s="130" t="n"/>
    </row>
    <row r="230" ht="12" customHeight="1">
      <c r="A230" s="108" t="inlineStr">
        <is>
          <t>SKHU6548654</t>
        </is>
      </c>
      <c r="B230" s="108" t="n"/>
      <c r="C230" s="108" t="n"/>
      <c r="D230" s="172" t="n"/>
      <c r="E230" s="173" t="n"/>
      <c r="F230" s="96" t="n"/>
      <c r="G230" s="96" t="n"/>
      <c r="H230" s="111" t="n"/>
      <c r="I230" s="96" t="n"/>
      <c r="J230" s="96" t="n"/>
      <c r="K230" s="96" t="n"/>
      <c r="L230" s="111" t="n"/>
      <c r="M230" s="96" t="n"/>
      <c r="N230" s="96" t="n"/>
      <c r="O230" s="111" t="n"/>
      <c r="P230" s="111" t="n"/>
      <c r="Q230" s="111" t="n"/>
      <c r="R230" s="96" t="n"/>
      <c r="S230" s="96" t="n"/>
      <c r="T230" s="96" t="n"/>
      <c r="U230" s="96" t="n"/>
      <c r="V230" s="161" t="n"/>
      <c r="W230" s="96" t="n"/>
      <c r="X230" s="161" t="n"/>
      <c r="Y230" s="97" t="n"/>
      <c r="Z230" s="97" t="n"/>
      <c r="AA230" s="97" t="n"/>
      <c r="AB230" s="97" t="n"/>
      <c r="AC230" s="97" t="n"/>
      <c r="AD230" s="161" t="n"/>
      <c r="AE230" s="174" t="n"/>
      <c r="AF230" s="96" t="n"/>
      <c r="AG230" s="97" t="n"/>
      <c r="AH230" s="97" t="n"/>
      <c r="AI230" s="97" t="n"/>
      <c r="AJ230" s="96" t="n"/>
      <c r="AK230" s="130" t="n"/>
    </row>
    <row r="231" ht="12" customHeight="1">
      <c r="A231" s="108" t="inlineStr">
        <is>
          <t>SKHU6559010</t>
        </is>
      </c>
      <c r="B231" s="108" t="n"/>
      <c r="C231" s="108" t="n"/>
      <c r="D231" s="172" t="n"/>
      <c r="E231" s="173" t="n"/>
      <c r="F231" s="96" t="n"/>
      <c r="G231" s="96" t="n"/>
      <c r="H231" s="111" t="n"/>
      <c r="I231" s="96" t="n"/>
      <c r="J231" s="96" t="n"/>
      <c r="K231" s="96" t="n"/>
      <c r="L231" s="111" t="n"/>
      <c r="M231" s="96" t="n"/>
      <c r="N231" s="96" t="n"/>
      <c r="O231" s="111" t="n"/>
      <c r="P231" s="111" t="n"/>
      <c r="Q231" s="111" t="n"/>
      <c r="R231" s="96" t="n"/>
      <c r="S231" s="96" t="n"/>
      <c r="T231" s="96" t="n"/>
      <c r="U231" s="96" t="n"/>
      <c r="V231" s="161" t="n"/>
      <c r="W231" s="96" t="n"/>
      <c r="X231" s="161" t="n"/>
      <c r="Y231" s="97" t="n"/>
      <c r="Z231" s="97" t="n"/>
      <c r="AA231" s="97" t="n"/>
      <c r="AB231" s="97" t="n"/>
      <c r="AC231" s="97" t="n"/>
      <c r="AD231" s="161" t="n"/>
      <c r="AE231" s="174" t="n"/>
      <c r="AF231" s="96" t="n"/>
      <c r="AG231" s="97" t="n"/>
      <c r="AH231" s="97" t="n"/>
      <c r="AI231" s="97" t="n"/>
      <c r="AJ231" s="96" t="n"/>
      <c r="AK231" s="130" t="n"/>
    </row>
    <row r="232" ht="12" customHeight="1">
      <c r="A232" s="108" t="inlineStr">
        <is>
          <t>SKHU6565142</t>
        </is>
      </c>
      <c r="B232" s="108" t="n"/>
      <c r="C232" s="108" t="n"/>
      <c r="D232" s="172" t="n"/>
      <c r="E232" s="173" t="n"/>
      <c r="F232" s="96" t="n"/>
      <c r="G232" s="96" t="n"/>
      <c r="H232" s="111" t="n"/>
      <c r="I232" s="96" t="n"/>
      <c r="J232" s="96" t="n"/>
      <c r="K232" s="96" t="n"/>
      <c r="L232" s="111" t="n"/>
      <c r="M232" s="96" t="n"/>
      <c r="N232" s="96" t="n"/>
      <c r="O232" s="111" t="n"/>
      <c r="P232" s="111" t="n"/>
      <c r="Q232" s="111" t="n"/>
      <c r="R232" s="96" t="n"/>
      <c r="S232" s="96" t="n"/>
      <c r="T232" s="96" t="n"/>
      <c r="U232" s="96" t="n"/>
      <c r="V232" s="161" t="n"/>
      <c r="W232" s="96" t="n"/>
      <c r="X232" s="161" t="n"/>
      <c r="Y232" s="97" t="n"/>
      <c r="Z232" s="97" t="n"/>
      <c r="AA232" s="97" t="n"/>
      <c r="AB232" s="97" t="n"/>
      <c r="AC232" s="97" t="n"/>
      <c r="AD232" s="161" t="n"/>
      <c r="AE232" s="174" t="n"/>
      <c r="AF232" s="96" t="n"/>
      <c r="AG232" s="97" t="n"/>
      <c r="AH232" s="97" t="n"/>
      <c r="AI232" s="97" t="n"/>
      <c r="AJ232" s="96" t="n"/>
      <c r="AK232" s="130" t="n"/>
    </row>
    <row r="233" ht="12" customHeight="1">
      <c r="A233" s="108" t="inlineStr">
        <is>
          <t>SKHU6591748</t>
        </is>
      </c>
      <c r="B233" s="108" t="n"/>
      <c r="C233" s="108" t="n"/>
      <c r="D233" s="172" t="n"/>
      <c r="E233" s="173" t="n"/>
      <c r="F233" s="96" t="n"/>
      <c r="G233" s="96" t="n"/>
      <c r="H233" s="111" t="n"/>
      <c r="I233" s="96" t="n"/>
      <c r="J233" s="96" t="n"/>
      <c r="K233" s="96" t="n"/>
      <c r="L233" s="111" t="n"/>
      <c r="M233" s="96" t="n"/>
      <c r="N233" s="96" t="n"/>
      <c r="O233" s="111" t="n"/>
      <c r="P233" s="111" t="n"/>
      <c r="Q233" s="111" t="n"/>
      <c r="R233" s="96" t="n"/>
      <c r="S233" s="96" t="n"/>
      <c r="T233" s="96" t="n"/>
      <c r="U233" s="96" t="n"/>
      <c r="V233" s="161" t="n"/>
      <c r="W233" s="96" t="n"/>
      <c r="X233" s="161" t="n"/>
      <c r="Y233" s="97" t="n"/>
      <c r="Z233" s="97" t="n"/>
      <c r="AA233" s="97" t="n"/>
      <c r="AB233" s="97" t="n"/>
      <c r="AC233" s="97" t="n"/>
      <c r="AD233" s="161" t="n"/>
      <c r="AE233" s="174" t="n"/>
      <c r="AF233" s="96" t="n"/>
      <c r="AG233" s="97" t="n"/>
      <c r="AH233" s="97" t="n"/>
      <c r="AI233" s="97" t="n"/>
      <c r="AJ233" s="96" t="n"/>
      <c r="AK233" s="130" t="n"/>
    </row>
    <row r="234" ht="12" customHeight="1">
      <c r="A234" s="108" t="inlineStr">
        <is>
          <t>SKHU6596251</t>
        </is>
      </c>
      <c r="B234" s="108" t="n"/>
      <c r="C234" s="108" t="n"/>
      <c r="D234" s="172" t="n"/>
      <c r="E234" s="173" t="n"/>
      <c r="F234" s="96" t="n"/>
      <c r="G234" s="96" t="n"/>
      <c r="H234" s="111" t="n"/>
      <c r="I234" s="96" t="n"/>
      <c r="J234" s="96" t="n"/>
      <c r="K234" s="96" t="n"/>
      <c r="L234" s="111" t="n"/>
      <c r="M234" s="96" t="n"/>
      <c r="N234" s="96" t="n"/>
      <c r="O234" s="111" t="n"/>
      <c r="P234" s="111" t="n"/>
      <c r="Q234" s="111" t="n"/>
      <c r="R234" s="96" t="n"/>
      <c r="S234" s="96" t="n"/>
      <c r="T234" s="96" t="n"/>
      <c r="U234" s="96" t="n"/>
      <c r="V234" s="161" t="n"/>
      <c r="W234" s="96" t="n"/>
      <c r="X234" s="161" t="n"/>
      <c r="Y234" s="97" t="n"/>
      <c r="Z234" s="97" t="n"/>
      <c r="AA234" s="97" t="n"/>
      <c r="AB234" s="97" t="n"/>
      <c r="AC234" s="97" t="n"/>
      <c r="AD234" s="161" t="n"/>
      <c r="AE234" s="174" t="n"/>
      <c r="AF234" s="96" t="n"/>
      <c r="AG234" s="97" t="n"/>
      <c r="AH234" s="97" t="n"/>
      <c r="AI234" s="97" t="n"/>
      <c r="AJ234" s="96" t="n"/>
      <c r="AK234" s="130" t="n"/>
    </row>
    <row r="235" ht="12" customHeight="1">
      <c r="A235" s="108" t="inlineStr">
        <is>
          <t>SKHU6621673</t>
        </is>
      </c>
      <c r="B235" s="108" t="n"/>
      <c r="C235" s="108" t="n"/>
      <c r="D235" s="172" t="n"/>
      <c r="E235" s="173" t="n"/>
      <c r="F235" s="96" t="n"/>
      <c r="G235" s="96" t="n"/>
      <c r="H235" s="111" t="n"/>
      <c r="I235" s="96" t="n"/>
      <c r="J235" s="96" t="n"/>
      <c r="K235" s="96" t="n"/>
      <c r="L235" s="111" t="n"/>
      <c r="M235" s="96" t="n"/>
      <c r="N235" s="96" t="n"/>
      <c r="O235" s="111" t="n"/>
      <c r="P235" s="111" t="n"/>
      <c r="Q235" s="111" t="n"/>
      <c r="R235" s="96" t="n"/>
      <c r="S235" s="96" t="n"/>
      <c r="T235" s="96" t="n"/>
      <c r="U235" s="96" t="n"/>
      <c r="V235" s="161" t="n"/>
      <c r="W235" s="96" t="n"/>
      <c r="X235" s="161" t="n"/>
      <c r="Y235" s="97" t="n"/>
      <c r="Z235" s="97" t="n"/>
      <c r="AA235" s="97" t="n"/>
      <c r="AB235" s="97" t="n"/>
      <c r="AC235" s="97" t="n"/>
      <c r="AD235" s="161" t="n"/>
      <c r="AE235" s="174" t="n"/>
      <c r="AF235" s="96" t="n"/>
      <c r="AG235" s="97" t="n"/>
      <c r="AH235" s="97" t="n"/>
      <c r="AI235" s="97" t="n"/>
      <c r="AJ235" s="96" t="n"/>
      <c r="AK235" s="130" t="n"/>
    </row>
    <row r="236" ht="12" customHeight="1">
      <c r="A236" s="108" t="inlineStr">
        <is>
          <t>SKHU8418496</t>
        </is>
      </c>
      <c r="B236" s="108" t="n"/>
      <c r="C236" s="108" t="n"/>
      <c r="D236" s="172" t="n"/>
      <c r="E236" s="173" t="n"/>
      <c r="F236" s="96" t="n"/>
      <c r="G236" s="96" t="n"/>
      <c r="H236" s="111" t="n"/>
      <c r="I236" s="96" t="n"/>
      <c r="J236" s="96" t="n"/>
      <c r="K236" s="96" t="n"/>
      <c r="L236" s="111" t="n"/>
      <c r="M236" s="96" t="n"/>
      <c r="N236" s="96" t="n"/>
      <c r="O236" s="111" t="n"/>
      <c r="P236" s="111" t="n"/>
      <c r="Q236" s="111" t="n"/>
      <c r="R236" s="96" t="n"/>
      <c r="S236" s="96" t="n"/>
      <c r="T236" s="96" t="n"/>
      <c r="U236" s="96" t="n"/>
      <c r="V236" s="161" t="n"/>
      <c r="W236" s="96" t="n"/>
      <c r="X236" s="161" t="n"/>
      <c r="Y236" s="97" t="n"/>
      <c r="Z236" s="97" t="n"/>
      <c r="AA236" s="97" t="n"/>
      <c r="AB236" s="97" t="n"/>
      <c r="AC236" s="97" t="n"/>
      <c r="AD236" s="161" t="n"/>
      <c r="AE236" s="174" t="n"/>
      <c r="AF236" s="96" t="n"/>
      <c r="AG236" s="97" t="n"/>
      <c r="AH236" s="97" t="n"/>
      <c r="AI236" s="97" t="n"/>
      <c r="AJ236" s="96" t="n"/>
      <c r="AK236" s="130" t="n"/>
    </row>
    <row r="237" ht="12" customHeight="1">
      <c r="A237" s="108" t="inlineStr">
        <is>
          <t>SKHU8426017</t>
        </is>
      </c>
      <c r="B237" s="108" t="n"/>
      <c r="C237" s="108" t="n"/>
      <c r="D237" s="172" t="n"/>
      <c r="E237" s="173" t="n"/>
      <c r="F237" s="96" t="n"/>
      <c r="G237" s="96" t="n"/>
      <c r="H237" s="111" t="n"/>
      <c r="I237" s="96" t="n"/>
      <c r="J237" s="96" t="n"/>
      <c r="K237" s="96" t="n"/>
      <c r="L237" s="111" t="n"/>
      <c r="M237" s="96" t="n"/>
      <c r="N237" s="96" t="n"/>
      <c r="O237" s="111" t="n"/>
      <c r="P237" s="111" t="n"/>
      <c r="Q237" s="111" t="n"/>
      <c r="R237" s="96" t="n"/>
      <c r="S237" s="96" t="n"/>
      <c r="T237" s="96" t="n"/>
      <c r="U237" s="96" t="n"/>
      <c r="V237" s="161" t="n"/>
      <c r="W237" s="96" t="n"/>
      <c r="X237" s="161" t="n"/>
      <c r="Y237" s="97" t="n"/>
      <c r="Z237" s="97" t="n"/>
      <c r="AA237" s="97" t="n"/>
      <c r="AB237" s="97" t="n"/>
      <c r="AC237" s="97" t="n"/>
      <c r="AD237" s="161" t="n"/>
      <c r="AE237" s="174" t="n"/>
      <c r="AF237" s="96" t="n"/>
      <c r="AG237" s="97" t="n"/>
      <c r="AH237" s="97" t="n"/>
      <c r="AI237" s="97" t="n"/>
      <c r="AJ237" s="96" t="n"/>
      <c r="AK237" s="130" t="n"/>
    </row>
    <row r="238" ht="12" customHeight="1">
      <c r="A238" s="108" t="inlineStr">
        <is>
          <t>SKHU8717537</t>
        </is>
      </c>
      <c r="B238" s="108" t="n"/>
      <c r="C238" s="108" t="n"/>
      <c r="D238" s="172" t="n"/>
      <c r="E238" s="173" t="n"/>
      <c r="F238" s="96" t="n"/>
      <c r="G238" s="96" t="n"/>
      <c r="H238" s="111" t="n"/>
      <c r="I238" s="96" t="n"/>
      <c r="J238" s="96" t="n"/>
      <c r="K238" s="96" t="n"/>
      <c r="L238" s="111" t="n"/>
      <c r="M238" s="96" t="n"/>
      <c r="N238" s="96" t="n"/>
      <c r="O238" s="111" t="n"/>
      <c r="P238" s="111" t="n"/>
      <c r="Q238" s="111" t="n"/>
      <c r="R238" s="96" t="n"/>
      <c r="S238" s="96" t="n"/>
      <c r="T238" s="96" t="n"/>
      <c r="U238" s="96" t="n"/>
      <c r="V238" s="161" t="n"/>
      <c r="W238" s="96" t="n"/>
      <c r="X238" s="161" t="n"/>
      <c r="Y238" s="97" t="n"/>
      <c r="Z238" s="97" t="n"/>
      <c r="AA238" s="97" t="n"/>
      <c r="AB238" s="97" t="n"/>
      <c r="AC238" s="97" t="n"/>
      <c r="AD238" s="161" t="n"/>
      <c r="AE238" s="174" t="n"/>
      <c r="AF238" s="96" t="n"/>
      <c r="AG238" s="97" t="n"/>
      <c r="AH238" s="97" t="n"/>
      <c r="AI238" s="97" t="n"/>
      <c r="AJ238" s="96" t="n"/>
      <c r="AK238" s="130" t="n"/>
    </row>
    <row r="239" ht="12" customHeight="1">
      <c r="A239" s="108" t="inlineStr">
        <is>
          <t>SKHU8930516</t>
        </is>
      </c>
      <c r="B239" s="108" t="n"/>
      <c r="C239" s="108" t="n"/>
      <c r="D239" s="172" t="n"/>
      <c r="E239" s="173" t="n"/>
      <c r="F239" s="96" t="n"/>
      <c r="G239" s="96" t="n"/>
      <c r="H239" s="111" t="n"/>
      <c r="I239" s="96" t="n"/>
      <c r="J239" s="96" t="n"/>
      <c r="K239" s="96" t="n"/>
      <c r="L239" s="111" t="n"/>
      <c r="M239" s="96" t="n"/>
      <c r="N239" s="96" t="n"/>
      <c r="O239" s="111" t="n"/>
      <c r="P239" s="111" t="n"/>
      <c r="Q239" s="111" t="n"/>
      <c r="R239" s="96" t="n"/>
      <c r="S239" s="96" t="n"/>
      <c r="T239" s="96" t="n"/>
      <c r="U239" s="96" t="n"/>
      <c r="V239" s="161" t="n"/>
      <c r="W239" s="96" t="n"/>
      <c r="X239" s="161" t="n"/>
      <c r="Y239" s="97" t="n"/>
      <c r="Z239" s="97" t="n"/>
      <c r="AA239" s="97" t="n"/>
      <c r="AB239" s="97" t="n"/>
      <c r="AC239" s="97" t="n"/>
      <c r="AD239" s="161" t="n"/>
      <c r="AE239" s="174" t="n"/>
      <c r="AF239" s="96" t="n"/>
      <c r="AG239" s="97" t="n"/>
      <c r="AH239" s="97" t="n"/>
      <c r="AI239" s="97" t="n"/>
      <c r="AJ239" s="96" t="n"/>
      <c r="AK239" s="130" t="n"/>
    </row>
    <row r="240" ht="12" customHeight="1">
      <c r="A240" s="108" t="inlineStr">
        <is>
          <t>SKHU9207158</t>
        </is>
      </c>
      <c r="B240" s="108" t="n"/>
      <c r="C240" s="108" t="n"/>
      <c r="D240" s="172" t="n"/>
      <c r="E240" s="173" t="n"/>
      <c r="F240" s="96" t="n"/>
      <c r="G240" s="96" t="n"/>
      <c r="H240" s="111" t="n"/>
      <c r="I240" s="96" t="n"/>
      <c r="J240" s="96" t="n"/>
      <c r="K240" s="96" t="n"/>
      <c r="L240" s="111" t="n"/>
      <c r="M240" s="96" t="n"/>
      <c r="N240" s="96" t="n"/>
      <c r="O240" s="111" t="n"/>
      <c r="P240" s="111" t="n"/>
      <c r="Q240" s="111" t="n"/>
      <c r="R240" s="96" t="n"/>
      <c r="S240" s="96" t="n"/>
      <c r="T240" s="96" t="n"/>
      <c r="U240" s="96" t="n"/>
      <c r="V240" s="161" t="n"/>
      <c r="W240" s="96" t="n"/>
      <c r="X240" s="161" t="n"/>
      <c r="Y240" s="97" t="n"/>
      <c r="Z240" s="97" t="n"/>
      <c r="AA240" s="97" t="n"/>
      <c r="AB240" s="97" t="n"/>
      <c r="AC240" s="97" t="n"/>
      <c r="AD240" s="161" t="n"/>
      <c r="AE240" s="174" t="n"/>
      <c r="AF240" s="96" t="n"/>
      <c r="AG240" s="97" t="n"/>
      <c r="AH240" s="97" t="n"/>
      <c r="AI240" s="97" t="n"/>
      <c r="AJ240" s="96" t="n"/>
      <c r="AK240" s="130" t="n"/>
    </row>
    <row r="241" ht="12" customHeight="1">
      <c r="A241" s="108" t="inlineStr">
        <is>
          <t>SKHU9516624</t>
        </is>
      </c>
      <c r="B241" s="108" t="n"/>
      <c r="C241" s="108" t="n"/>
      <c r="D241" s="172" t="n"/>
      <c r="E241" s="173" t="n"/>
      <c r="F241" s="96" t="n"/>
      <c r="G241" s="96" t="n"/>
      <c r="H241" s="111" t="n"/>
      <c r="I241" s="96" t="n"/>
      <c r="J241" s="96" t="n"/>
      <c r="K241" s="96" t="n"/>
      <c r="L241" s="111" t="n"/>
      <c r="M241" s="96" t="n"/>
      <c r="N241" s="96" t="n"/>
      <c r="O241" s="111" t="n"/>
      <c r="P241" s="111" t="n"/>
      <c r="Q241" s="111" t="n"/>
      <c r="R241" s="96" t="n"/>
      <c r="S241" s="96" t="n"/>
      <c r="T241" s="96" t="n"/>
      <c r="U241" s="96" t="n"/>
      <c r="V241" s="161" t="n"/>
      <c r="W241" s="96" t="n"/>
      <c r="X241" s="161" t="n"/>
      <c r="Y241" s="97" t="n"/>
      <c r="Z241" s="97" t="n"/>
      <c r="AA241" s="97" t="n"/>
      <c r="AB241" s="97" t="n"/>
      <c r="AC241" s="97" t="n"/>
      <c r="AD241" s="161" t="n"/>
      <c r="AE241" s="174" t="n"/>
      <c r="AF241" s="96" t="n"/>
      <c r="AG241" s="97" t="n"/>
      <c r="AH241" s="97" t="n"/>
      <c r="AI241" s="97" t="n"/>
      <c r="AJ241" s="96" t="n"/>
      <c r="AK241" s="130" t="n"/>
    </row>
    <row r="242" ht="12" customHeight="1">
      <c r="A242" s="108" t="inlineStr">
        <is>
          <t>SKHU9627870</t>
        </is>
      </c>
      <c r="B242" s="108" t="n"/>
      <c r="C242" s="108" t="n"/>
      <c r="D242" s="172" t="n"/>
      <c r="E242" s="173" t="n"/>
      <c r="F242" s="96" t="n"/>
      <c r="G242" s="96" t="n"/>
      <c r="H242" s="111" t="n"/>
      <c r="I242" s="96" t="n"/>
      <c r="J242" s="96" t="n"/>
      <c r="K242" s="96" t="n"/>
      <c r="L242" s="111" t="n"/>
      <c r="M242" s="96" t="n"/>
      <c r="N242" s="96" t="n"/>
      <c r="O242" s="111" t="n"/>
      <c r="P242" s="111" t="n"/>
      <c r="Q242" s="111" t="n"/>
      <c r="R242" s="96" t="n"/>
      <c r="S242" s="96" t="n"/>
      <c r="T242" s="96" t="n"/>
      <c r="U242" s="96" t="n"/>
      <c r="V242" s="161" t="n"/>
      <c r="W242" s="96" t="n"/>
      <c r="X242" s="161" t="n"/>
      <c r="Y242" s="97" t="n"/>
      <c r="Z242" s="97" t="n"/>
      <c r="AA242" s="97" t="n"/>
      <c r="AB242" s="97" t="n"/>
      <c r="AC242" s="97" t="n"/>
      <c r="AD242" s="161" t="n"/>
      <c r="AE242" s="174" t="n"/>
      <c r="AF242" s="96" t="n"/>
      <c r="AG242" s="97" t="n"/>
      <c r="AH242" s="97" t="n"/>
      <c r="AI242" s="97" t="n"/>
      <c r="AJ242" s="96" t="n"/>
      <c r="AK242" s="130" t="n"/>
    </row>
    <row r="243" ht="12" customHeight="1">
      <c r="A243" s="108" t="inlineStr">
        <is>
          <t>SKHU9827842</t>
        </is>
      </c>
      <c r="B243" s="108" t="n"/>
      <c r="C243" s="108" t="n"/>
      <c r="D243" s="172" t="n"/>
      <c r="E243" s="173" t="n"/>
      <c r="F243" s="96" t="n"/>
      <c r="G243" s="96" t="n"/>
      <c r="H243" s="111" t="n"/>
      <c r="I243" s="96" t="n"/>
      <c r="J243" s="96" t="n"/>
      <c r="K243" s="96" t="n"/>
      <c r="L243" s="111" t="n"/>
      <c r="M243" s="96" t="n"/>
      <c r="N243" s="96" t="n"/>
      <c r="O243" s="111" t="n"/>
      <c r="P243" s="111" t="n"/>
      <c r="Q243" s="111" t="n"/>
      <c r="R243" s="96" t="n"/>
      <c r="S243" s="96" t="n"/>
      <c r="T243" s="96" t="n"/>
      <c r="U243" s="96" t="n"/>
      <c r="V243" s="161" t="n"/>
      <c r="W243" s="96" t="n"/>
      <c r="X243" s="161" t="n"/>
      <c r="Y243" s="97" t="n"/>
      <c r="Z243" s="97" t="n"/>
      <c r="AA243" s="97" t="n"/>
      <c r="AB243" s="97" t="n"/>
      <c r="AC243" s="97" t="n"/>
      <c r="AD243" s="161" t="n"/>
      <c r="AE243" s="174" t="n"/>
      <c r="AF243" s="96" t="n"/>
      <c r="AG243" s="97" t="n"/>
      <c r="AH243" s="97" t="n"/>
      <c r="AI243" s="97" t="n"/>
      <c r="AJ243" s="96" t="n"/>
      <c r="AK243" s="130" t="n"/>
    </row>
    <row r="244" ht="12" customHeight="1">
      <c r="A244" s="108" t="inlineStr">
        <is>
          <t>SKHU9905122</t>
        </is>
      </c>
      <c r="B244" s="108" t="n"/>
      <c r="C244" s="108" t="n"/>
      <c r="D244" s="172" t="n"/>
      <c r="E244" s="173" t="n"/>
      <c r="F244" s="96" t="n"/>
      <c r="G244" s="96" t="n"/>
      <c r="H244" s="111" t="n"/>
      <c r="I244" s="96" t="n"/>
      <c r="J244" s="96" t="n"/>
      <c r="K244" s="96" t="n"/>
      <c r="L244" s="111" t="n"/>
      <c r="M244" s="96" t="n"/>
      <c r="N244" s="96" t="n"/>
      <c r="O244" s="111" t="n"/>
      <c r="P244" s="111" t="n"/>
      <c r="Q244" s="111" t="n"/>
      <c r="R244" s="96" t="n"/>
      <c r="S244" s="96" t="n"/>
      <c r="T244" s="96" t="n"/>
      <c r="U244" s="96" t="n"/>
      <c r="V244" s="161" t="n"/>
      <c r="W244" s="96" t="n"/>
      <c r="X244" s="161" t="n"/>
      <c r="Y244" s="97" t="n"/>
      <c r="Z244" s="97" t="n"/>
      <c r="AA244" s="97" t="n"/>
      <c r="AB244" s="97" t="n"/>
      <c r="AC244" s="97" t="n"/>
      <c r="AD244" s="161" t="n"/>
      <c r="AE244" s="174" t="n"/>
      <c r="AF244" s="96" t="n"/>
      <c r="AG244" s="97" t="n"/>
      <c r="AH244" s="97" t="n"/>
      <c r="AI244" s="97" t="n"/>
      <c r="AJ244" s="96" t="n"/>
      <c r="AK244" s="130" t="n"/>
    </row>
    <row r="245" ht="12" customHeight="1">
      <c r="A245" s="108" t="inlineStr">
        <is>
          <t>SKHU9915413</t>
        </is>
      </c>
      <c r="B245" s="108" t="n"/>
      <c r="C245" s="108" t="n"/>
      <c r="D245" s="172" t="n"/>
      <c r="E245" s="173" t="n"/>
      <c r="F245" s="96" t="n"/>
      <c r="G245" s="96" t="n"/>
      <c r="H245" s="111" t="n"/>
      <c r="I245" s="96" t="n"/>
      <c r="J245" s="96" t="n"/>
      <c r="K245" s="96" t="n"/>
      <c r="L245" s="111" t="n"/>
      <c r="M245" s="96" t="n"/>
      <c r="N245" s="96" t="n"/>
      <c r="O245" s="111" t="n"/>
      <c r="P245" s="111" t="n"/>
      <c r="Q245" s="111" t="n"/>
      <c r="R245" s="96" t="n"/>
      <c r="S245" s="96" t="n"/>
      <c r="T245" s="96" t="n"/>
      <c r="U245" s="96" t="n"/>
      <c r="V245" s="161" t="n"/>
      <c r="W245" s="96" t="n"/>
      <c r="X245" s="161" t="n"/>
      <c r="Y245" s="97" t="n"/>
      <c r="Z245" s="97" t="n"/>
      <c r="AA245" s="97" t="n"/>
      <c r="AB245" s="97" t="n"/>
      <c r="AC245" s="97" t="n"/>
      <c r="AD245" s="161" t="n"/>
      <c r="AE245" s="174" t="n"/>
      <c r="AF245" s="96" t="n"/>
      <c r="AG245" s="97" t="n"/>
      <c r="AH245" s="97" t="n"/>
      <c r="AI245" s="97" t="n"/>
      <c r="AJ245" s="96" t="n"/>
      <c r="AK245" s="130" t="n"/>
    </row>
    <row r="246" ht="12" customHeight="1">
      <c r="A246" s="108" t="inlineStr">
        <is>
          <t>SKLU0522579</t>
        </is>
      </c>
      <c r="B246" s="108" t="n"/>
      <c r="C246" s="108" t="n"/>
      <c r="D246" s="172" t="n"/>
      <c r="E246" s="173" t="n"/>
      <c r="F246" s="96" t="n"/>
      <c r="G246" s="96" t="n"/>
      <c r="H246" s="111" t="n"/>
      <c r="I246" s="96" t="n"/>
      <c r="J246" s="96" t="n"/>
      <c r="K246" s="96" t="n"/>
      <c r="L246" s="111" t="n"/>
      <c r="M246" s="96" t="n"/>
      <c r="N246" s="96" t="n"/>
      <c r="O246" s="111" t="n"/>
      <c r="P246" s="111" t="n"/>
      <c r="Q246" s="111" t="n"/>
      <c r="R246" s="96" t="n"/>
      <c r="S246" s="96" t="n"/>
      <c r="T246" s="96" t="n"/>
      <c r="U246" s="96" t="n"/>
      <c r="V246" s="161" t="n"/>
      <c r="W246" s="96" t="n"/>
      <c r="X246" s="161" t="n"/>
      <c r="Y246" s="97" t="n"/>
      <c r="Z246" s="97" t="n"/>
      <c r="AA246" s="97" t="n"/>
      <c r="AB246" s="97" t="n"/>
      <c r="AC246" s="97" t="n"/>
      <c r="AD246" s="161" t="n"/>
      <c r="AE246" s="174" t="n"/>
      <c r="AF246" s="96" t="n"/>
      <c r="AG246" s="97" t="n"/>
      <c r="AH246" s="97" t="n"/>
      <c r="AI246" s="97" t="n"/>
      <c r="AJ246" s="96" t="n"/>
      <c r="AK246" s="130" t="n"/>
    </row>
    <row r="247" ht="12" customHeight="1">
      <c r="A247" s="108" t="inlineStr">
        <is>
          <t>SKLU0557981</t>
        </is>
      </c>
      <c r="B247" s="108" t="n"/>
      <c r="C247" s="108" t="n"/>
      <c r="D247" s="172" t="n"/>
      <c r="E247" s="173" t="n"/>
      <c r="F247" s="96" t="n"/>
      <c r="G247" s="96" t="n"/>
      <c r="H247" s="111" t="n"/>
      <c r="I247" s="96" t="n"/>
      <c r="J247" s="96" t="n"/>
      <c r="K247" s="96" t="n"/>
      <c r="L247" s="111" t="n"/>
      <c r="M247" s="96" t="n"/>
      <c r="N247" s="96" t="n"/>
      <c r="O247" s="111" t="n"/>
      <c r="P247" s="111" t="n"/>
      <c r="Q247" s="111" t="n"/>
      <c r="R247" s="96" t="n"/>
      <c r="S247" s="96" t="n"/>
      <c r="T247" s="96" t="n"/>
      <c r="U247" s="96" t="n"/>
      <c r="V247" s="161" t="n"/>
      <c r="W247" s="96" t="n"/>
      <c r="X247" s="161" t="n"/>
      <c r="Y247" s="97" t="n"/>
      <c r="Z247" s="97" t="n"/>
      <c r="AA247" s="97" t="n"/>
      <c r="AB247" s="97" t="n"/>
      <c r="AC247" s="97" t="n"/>
      <c r="AD247" s="161" t="n"/>
      <c r="AE247" s="174" t="n"/>
      <c r="AF247" s="96" t="n"/>
      <c r="AG247" s="97" t="n"/>
      <c r="AH247" s="97" t="n"/>
      <c r="AI247" s="97" t="n"/>
      <c r="AJ247" s="96" t="n"/>
      <c r="AK247" s="130" t="n"/>
    </row>
    <row r="248" ht="12" customHeight="1">
      <c r="A248" s="108" t="inlineStr">
        <is>
          <t>SKLU0708558</t>
        </is>
      </c>
      <c r="B248" s="108" t="n"/>
      <c r="C248" s="108" t="n"/>
      <c r="D248" s="172" t="n"/>
      <c r="E248" s="173" t="n"/>
      <c r="F248" s="96" t="n"/>
      <c r="G248" s="96" t="n"/>
      <c r="H248" s="111" t="n"/>
      <c r="I248" s="96" t="n"/>
      <c r="J248" s="96" t="n"/>
      <c r="K248" s="96" t="n"/>
      <c r="L248" s="111" t="n"/>
      <c r="M248" s="96" t="n"/>
      <c r="N248" s="96" t="n"/>
      <c r="O248" s="111" t="n"/>
      <c r="P248" s="111" t="n"/>
      <c r="Q248" s="111" t="n"/>
      <c r="R248" s="96" t="n"/>
      <c r="S248" s="96" t="n"/>
      <c r="T248" s="96" t="n"/>
      <c r="U248" s="96" t="n"/>
      <c r="V248" s="161" t="n"/>
      <c r="W248" s="96" t="n"/>
      <c r="X248" s="161" t="n"/>
      <c r="Y248" s="97" t="n"/>
      <c r="Z248" s="97" t="n"/>
      <c r="AA248" s="97" t="n"/>
      <c r="AB248" s="97" t="n"/>
      <c r="AC248" s="97" t="n"/>
      <c r="AD248" s="161" t="n"/>
      <c r="AE248" s="174" t="n"/>
      <c r="AF248" s="96" t="n"/>
      <c r="AG248" s="97" t="n"/>
      <c r="AH248" s="97" t="n"/>
      <c r="AI248" s="97" t="n"/>
      <c r="AJ248" s="96" t="n"/>
      <c r="AK248" s="130" t="n"/>
    </row>
    <row r="249" ht="12" customHeight="1">
      <c r="A249" s="108" t="inlineStr">
        <is>
          <t>SKLU1206106</t>
        </is>
      </c>
      <c r="B249" s="108" t="n"/>
      <c r="C249" s="108" t="n"/>
      <c r="D249" s="172" t="n"/>
      <c r="E249" s="173" t="n"/>
      <c r="F249" s="96" t="n"/>
      <c r="G249" s="96" t="n"/>
      <c r="H249" s="111" t="n"/>
      <c r="I249" s="96" t="n"/>
      <c r="J249" s="96" t="n"/>
      <c r="K249" s="96" t="n"/>
      <c r="L249" s="111" t="n"/>
      <c r="M249" s="96" t="n"/>
      <c r="N249" s="96" t="n"/>
      <c r="O249" s="111" t="n"/>
      <c r="P249" s="111" t="n"/>
      <c r="Q249" s="111" t="n"/>
      <c r="R249" s="96" t="n"/>
      <c r="S249" s="96" t="n"/>
      <c r="T249" s="96" t="n"/>
      <c r="U249" s="96" t="n"/>
      <c r="V249" s="161" t="n"/>
      <c r="W249" s="96" t="n"/>
      <c r="X249" s="161" t="n"/>
      <c r="Y249" s="97" t="n"/>
      <c r="Z249" s="97" t="n"/>
      <c r="AA249" s="97" t="n"/>
      <c r="AB249" s="97" t="n"/>
      <c r="AC249" s="97" t="n"/>
      <c r="AD249" s="161" t="n"/>
      <c r="AE249" s="174" t="n"/>
      <c r="AF249" s="96" t="n"/>
      <c r="AG249" s="97" t="n"/>
      <c r="AH249" s="97" t="n"/>
      <c r="AI249" s="97" t="n"/>
      <c r="AJ249" s="96" t="n"/>
      <c r="AK249" s="130" t="n"/>
    </row>
    <row r="250" ht="12" customHeight="1">
      <c r="A250" s="108" t="inlineStr">
        <is>
          <t>SKLU1309969</t>
        </is>
      </c>
      <c r="B250" s="108" t="n"/>
      <c r="C250" s="108" t="n"/>
      <c r="D250" s="172" t="n"/>
      <c r="E250" s="173" t="n"/>
      <c r="F250" s="96" t="n"/>
      <c r="G250" s="96" t="n"/>
      <c r="H250" s="111" t="n"/>
      <c r="I250" s="96" t="n"/>
      <c r="J250" s="96" t="n"/>
      <c r="K250" s="96" t="n"/>
      <c r="L250" s="111" t="n"/>
      <c r="M250" s="96" t="n"/>
      <c r="N250" s="96" t="n"/>
      <c r="O250" s="111" t="n"/>
      <c r="P250" s="111" t="n"/>
      <c r="Q250" s="111" t="n"/>
      <c r="R250" s="96" t="n"/>
      <c r="S250" s="96" t="n"/>
      <c r="T250" s="96" t="n"/>
      <c r="U250" s="96" t="n"/>
      <c r="V250" s="161" t="n"/>
      <c r="W250" s="96" t="n"/>
      <c r="X250" s="161" t="n"/>
      <c r="Y250" s="97" t="n"/>
      <c r="Z250" s="97" t="n"/>
      <c r="AA250" s="97" t="n"/>
      <c r="AB250" s="97" t="n"/>
      <c r="AC250" s="97" t="n"/>
      <c r="AD250" s="161" t="n"/>
      <c r="AE250" s="174" t="n"/>
      <c r="AF250" s="96" t="n"/>
      <c r="AG250" s="97" t="n"/>
      <c r="AH250" s="97" t="n"/>
      <c r="AI250" s="97" t="n"/>
      <c r="AJ250" s="96" t="n"/>
      <c r="AK250" s="130" t="n"/>
    </row>
    <row r="251" ht="12" customHeight="1">
      <c r="A251" s="108" t="inlineStr">
        <is>
          <t>SKLU1344912</t>
        </is>
      </c>
      <c r="B251" s="108" t="n"/>
      <c r="C251" s="108" t="n"/>
      <c r="D251" s="172" t="n"/>
      <c r="E251" s="173" t="n"/>
      <c r="F251" s="96" t="n"/>
      <c r="G251" s="96" t="n"/>
      <c r="H251" s="111" t="n"/>
      <c r="I251" s="96" t="n"/>
      <c r="J251" s="96" t="n"/>
      <c r="K251" s="96" t="n"/>
      <c r="L251" s="111" t="n"/>
      <c r="M251" s="96" t="n"/>
      <c r="N251" s="96" t="n"/>
      <c r="O251" s="111" t="n"/>
      <c r="P251" s="111" t="n"/>
      <c r="Q251" s="111" t="n"/>
      <c r="R251" s="96" t="n"/>
      <c r="S251" s="96" t="n"/>
      <c r="T251" s="96" t="n"/>
      <c r="U251" s="96" t="n"/>
      <c r="V251" s="161" t="n"/>
      <c r="W251" s="96" t="n"/>
      <c r="X251" s="161" t="n"/>
      <c r="Y251" s="97" t="n"/>
      <c r="Z251" s="97" t="n"/>
      <c r="AA251" s="97" t="n"/>
      <c r="AB251" s="97" t="n"/>
      <c r="AC251" s="97" t="n"/>
      <c r="AD251" s="161" t="n"/>
      <c r="AE251" s="174" t="n"/>
      <c r="AF251" s="96" t="n"/>
      <c r="AG251" s="97" t="n"/>
      <c r="AH251" s="97" t="n"/>
      <c r="AI251" s="97" t="n"/>
      <c r="AJ251" s="96" t="n"/>
      <c r="AK251" s="130" t="n"/>
    </row>
    <row r="252" ht="12" customHeight="1">
      <c r="A252" s="108" t="inlineStr">
        <is>
          <t>SKLU1417937</t>
        </is>
      </c>
      <c r="B252" s="108" t="n"/>
      <c r="C252" s="108" t="n"/>
      <c r="D252" s="172" t="n"/>
      <c r="E252" s="173" t="n"/>
      <c r="F252" s="96" t="n"/>
      <c r="G252" s="96" t="n"/>
      <c r="H252" s="111" t="n"/>
      <c r="I252" s="96" t="n"/>
      <c r="J252" s="96" t="n"/>
      <c r="K252" s="96" t="n"/>
      <c r="L252" s="111" t="n"/>
      <c r="M252" s="96" t="n"/>
      <c r="N252" s="96" t="n"/>
      <c r="O252" s="111" t="n"/>
      <c r="P252" s="111" t="n"/>
      <c r="Q252" s="111" t="n"/>
      <c r="R252" s="96" t="n"/>
      <c r="S252" s="96" t="n"/>
      <c r="T252" s="96" t="n"/>
      <c r="U252" s="96" t="n"/>
      <c r="V252" s="161" t="n"/>
      <c r="W252" s="96" t="n"/>
      <c r="X252" s="161" t="n"/>
      <c r="Y252" s="97" t="n"/>
      <c r="Z252" s="97" t="n"/>
      <c r="AA252" s="97" t="n"/>
      <c r="AB252" s="97" t="n"/>
      <c r="AC252" s="97" t="n"/>
      <c r="AD252" s="161" t="n"/>
      <c r="AE252" s="174" t="n"/>
      <c r="AF252" s="96" t="n"/>
      <c r="AG252" s="97" t="n"/>
      <c r="AH252" s="97" t="n"/>
      <c r="AI252" s="97" t="n"/>
      <c r="AJ252" s="96" t="n"/>
      <c r="AK252" s="130" t="n"/>
    </row>
    <row r="253" ht="12" customHeight="1">
      <c r="A253" s="108" t="inlineStr">
        <is>
          <t>SKLU1541470</t>
        </is>
      </c>
      <c r="B253" s="108" t="n"/>
      <c r="C253" s="108" t="n"/>
      <c r="D253" s="172" t="n"/>
      <c r="E253" s="173" t="n"/>
      <c r="F253" s="96" t="n"/>
      <c r="G253" s="96" t="n"/>
      <c r="H253" s="111" t="n"/>
      <c r="I253" s="96" t="n"/>
      <c r="J253" s="96" t="n"/>
      <c r="K253" s="96" t="n"/>
      <c r="L253" s="111" t="n"/>
      <c r="M253" s="96" t="n"/>
      <c r="N253" s="96" t="n"/>
      <c r="O253" s="111" t="n"/>
      <c r="P253" s="111" t="n"/>
      <c r="Q253" s="111" t="n"/>
      <c r="R253" s="96" t="n"/>
      <c r="S253" s="96" t="n"/>
      <c r="T253" s="96" t="n"/>
      <c r="U253" s="96" t="n"/>
      <c r="V253" s="161" t="n"/>
      <c r="W253" s="96" t="n"/>
      <c r="X253" s="161" t="n"/>
      <c r="Y253" s="97" t="n"/>
      <c r="Z253" s="97" t="n"/>
      <c r="AA253" s="97" t="n"/>
      <c r="AB253" s="97" t="n"/>
      <c r="AC253" s="97" t="n"/>
      <c r="AD253" s="161" t="n"/>
      <c r="AE253" s="174" t="n"/>
      <c r="AF253" s="96" t="n"/>
      <c r="AG253" s="97" t="n"/>
      <c r="AH253" s="97" t="n"/>
      <c r="AI253" s="97" t="n"/>
      <c r="AJ253" s="96" t="n"/>
      <c r="AK253" s="130" t="n"/>
    </row>
    <row r="254" ht="12" customHeight="1">
      <c r="A254" s="108" t="inlineStr">
        <is>
          <t>SKLU1561380</t>
        </is>
      </c>
      <c r="B254" s="108" t="n"/>
      <c r="C254" s="108" t="n"/>
      <c r="D254" s="172" t="n"/>
      <c r="E254" s="173" t="n"/>
      <c r="F254" s="96" t="n"/>
      <c r="G254" s="96" t="n"/>
      <c r="H254" s="111" t="n"/>
      <c r="I254" s="96" t="n"/>
      <c r="J254" s="96" t="n"/>
      <c r="K254" s="96" t="n"/>
      <c r="L254" s="111" t="n"/>
      <c r="M254" s="96" t="n"/>
      <c r="N254" s="96" t="n"/>
      <c r="O254" s="111" t="n"/>
      <c r="P254" s="111" t="n"/>
      <c r="Q254" s="111" t="n"/>
      <c r="R254" s="96" t="n"/>
      <c r="S254" s="96" t="n"/>
      <c r="T254" s="96" t="n"/>
      <c r="U254" s="96" t="n"/>
      <c r="V254" s="161" t="n"/>
      <c r="W254" s="96" t="n"/>
      <c r="X254" s="161" t="n"/>
      <c r="Y254" s="97" t="n"/>
      <c r="Z254" s="97" t="n"/>
      <c r="AA254" s="97" t="n"/>
      <c r="AB254" s="97" t="n"/>
      <c r="AC254" s="97" t="n"/>
      <c r="AD254" s="161" t="n"/>
      <c r="AE254" s="174" t="n"/>
      <c r="AF254" s="96" t="n"/>
      <c r="AG254" s="97" t="n"/>
      <c r="AH254" s="97" t="n"/>
      <c r="AI254" s="97" t="n"/>
      <c r="AJ254" s="96" t="n"/>
      <c r="AK254" s="130" t="n"/>
    </row>
    <row r="255" ht="12" customHeight="1">
      <c r="A255" s="108" t="inlineStr">
        <is>
          <t>SKLU1565488</t>
        </is>
      </c>
      <c r="B255" s="108" t="n"/>
      <c r="C255" s="108" t="n"/>
      <c r="D255" s="172" t="n"/>
      <c r="E255" s="173" t="n"/>
      <c r="F255" s="96" t="n"/>
      <c r="G255" s="96" t="n"/>
      <c r="H255" s="111" t="n"/>
      <c r="I255" s="96" t="n"/>
      <c r="J255" s="96" t="n"/>
      <c r="K255" s="96" t="n"/>
      <c r="L255" s="111" t="n"/>
      <c r="M255" s="96" t="n"/>
      <c r="N255" s="96" t="n"/>
      <c r="O255" s="111" t="n"/>
      <c r="P255" s="111" t="n"/>
      <c r="Q255" s="111" t="n"/>
      <c r="R255" s="96" t="n"/>
      <c r="S255" s="96" t="n"/>
      <c r="T255" s="96" t="n"/>
      <c r="U255" s="96" t="n"/>
      <c r="V255" s="161" t="n"/>
      <c r="W255" s="96" t="n"/>
      <c r="X255" s="161" t="n"/>
      <c r="Y255" s="97" t="n"/>
      <c r="Z255" s="97" t="n"/>
      <c r="AA255" s="97" t="n"/>
      <c r="AB255" s="97" t="n"/>
      <c r="AC255" s="97" t="n"/>
      <c r="AD255" s="161" t="n"/>
      <c r="AE255" s="174" t="n"/>
      <c r="AF255" s="96" t="n"/>
      <c r="AG255" s="97" t="n"/>
      <c r="AH255" s="97" t="n"/>
      <c r="AI255" s="97" t="n"/>
      <c r="AJ255" s="96" t="n"/>
      <c r="AK255" s="130" t="n"/>
    </row>
    <row r="256" ht="12" customHeight="1">
      <c r="A256" s="108" t="inlineStr">
        <is>
          <t>SKLU1604162</t>
        </is>
      </c>
      <c r="B256" s="108" t="n"/>
      <c r="C256" s="108" t="n"/>
      <c r="D256" s="172" t="n"/>
      <c r="E256" s="173" t="n"/>
      <c r="F256" s="96" t="n"/>
      <c r="G256" s="96" t="n"/>
      <c r="H256" s="111" t="n"/>
      <c r="I256" s="96" t="n"/>
      <c r="J256" s="96" t="n"/>
      <c r="K256" s="96" t="n"/>
      <c r="L256" s="111" t="n"/>
      <c r="M256" s="96" t="n"/>
      <c r="N256" s="96" t="n"/>
      <c r="O256" s="111" t="n"/>
      <c r="P256" s="111" t="n"/>
      <c r="Q256" s="111" t="n"/>
      <c r="R256" s="96" t="n"/>
      <c r="S256" s="96" t="n"/>
      <c r="T256" s="96" t="n"/>
      <c r="U256" s="96" t="n"/>
      <c r="V256" s="161" t="n"/>
      <c r="W256" s="96" t="n"/>
      <c r="X256" s="161" t="n"/>
      <c r="Y256" s="97" t="n"/>
      <c r="Z256" s="97" t="n"/>
      <c r="AA256" s="97" t="n"/>
      <c r="AB256" s="97" t="n"/>
      <c r="AC256" s="97" t="n"/>
      <c r="AD256" s="161" t="n"/>
      <c r="AE256" s="174" t="n"/>
      <c r="AF256" s="96" t="n"/>
      <c r="AG256" s="97" t="n"/>
      <c r="AH256" s="97" t="n"/>
      <c r="AI256" s="97" t="n"/>
      <c r="AJ256" s="96" t="n"/>
      <c r="AK256" s="130" t="n"/>
    </row>
    <row r="257" ht="12" customHeight="1">
      <c r="A257" s="108" t="inlineStr">
        <is>
          <t>SKLU1607449</t>
        </is>
      </c>
      <c r="B257" s="108" t="n"/>
      <c r="C257" s="108" t="n"/>
      <c r="D257" s="172" t="n"/>
      <c r="E257" s="173" t="n"/>
      <c r="F257" s="96" t="n"/>
      <c r="G257" s="96" t="n"/>
      <c r="H257" s="111" t="n"/>
      <c r="I257" s="96" t="n"/>
      <c r="J257" s="96" t="n"/>
      <c r="K257" s="96" t="n"/>
      <c r="L257" s="111" t="n"/>
      <c r="M257" s="96" t="n"/>
      <c r="N257" s="96" t="n"/>
      <c r="O257" s="111" t="n"/>
      <c r="P257" s="111" t="n"/>
      <c r="Q257" s="111" t="n"/>
      <c r="R257" s="96" t="n"/>
      <c r="S257" s="96" t="n"/>
      <c r="T257" s="96" t="n"/>
      <c r="U257" s="96" t="n"/>
      <c r="V257" s="161" t="n"/>
      <c r="W257" s="96" t="n"/>
      <c r="X257" s="161" t="n"/>
      <c r="Y257" s="97" t="n"/>
      <c r="Z257" s="97" t="n"/>
      <c r="AA257" s="97" t="n"/>
      <c r="AB257" s="97" t="n"/>
      <c r="AC257" s="97" t="n"/>
      <c r="AD257" s="161" t="n"/>
      <c r="AE257" s="174" t="n"/>
      <c r="AF257" s="96" t="n"/>
      <c r="AG257" s="97" t="n"/>
      <c r="AH257" s="97" t="n"/>
      <c r="AI257" s="97" t="n"/>
      <c r="AJ257" s="96" t="n"/>
      <c r="AK257" s="130" t="n"/>
    </row>
    <row r="258" ht="12" customHeight="1">
      <c r="A258" s="108" t="inlineStr">
        <is>
          <t>SKLU1613077</t>
        </is>
      </c>
      <c r="B258" s="108" t="n"/>
      <c r="C258" s="108" t="n"/>
      <c r="D258" s="172" t="n"/>
      <c r="E258" s="173" t="n"/>
      <c r="F258" s="96" t="n"/>
      <c r="G258" s="96" t="n"/>
      <c r="H258" s="111" t="n"/>
      <c r="I258" s="96" t="n"/>
      <c r="J258" s="96" t="n"/>
      <c r="K258" s="96" t="n"/>
      <c r="L258" s="111" t="n"/>
      <c r="M258" s="96" t="n"/>
      <c r="N258" s="96" t="n"/>
      <c r="O258" s="111" t="n"/>
      <c r="P258" s="111" t="n"/>
      <c r="Q258" s="111" t="n"/>
      <c r="R258" s="96" t="n"/>
      <c r="S258" s="96" t="n"/>
      <c r="T258" s="96" t="n"/>
      <c r="U258" s="96" t="n"/>
      <c r="V258" s="161" t="n"/>
      <c r="W258" s="96" t="n"/>
      <c r="X258" s="161" t="n"/>
      <c r="Y258" s="97" t="n"/>
      <c r="Z258" s="97" t="n"/>
      <c r="AA258" s="97" t="n"/>
      <c r="AB258" s="97" t="n"/>
      <c r="AC258" s="97" t="n"/>
      <c r="AD258" s="161" t="n"/>
      <c r="AE258" s="174" t="n"/>
      <c r="AF258" s="96" t="n"/>
      <c r="AG258" s="97" t="n"/>
      <c r="AH258" s="97" t="n"/>
      <c r="AI258" s="97" t="n"/>
      <c r="AJ258" s="96" t="n"/>
      <c r="AK258" s="130" t="n"/>
    </row>
    <row r="259" ht="12" customHeight="1">
      <c r="A259" s="108" t="inlineStr">
        <is>
          <t>SKLU1614448</t>
        </is>
      </c>
      <c r="B259" s="108" t="n"/>
      <c r="C259" s="108" t="n"/>
      <c r="D259" s="172" t="n"/>
      <c r="E259" s="173" t="n"/>
      <c r="F259" s="96" t="n"/>
      <c r="G259" s="96" t="n"/>
      <c r="H259" s="111" t="n"/>
      <c r="I259" s="96" t="n"/>
      <c r="J259" s="96" t="n"/>
      <c r="K259" s="96" t="n"/>
      <c r="L259" s="111" t="n"/>
      <c r="M259" s="96" t="n"/>
      <c r="N259" s="96" t="n"/>
      <c r="O259" s="111" t="n"/>
      <c r="P259" s="111" t="n"/>
      <c r="Q259" s="111" t="n"/>
      <c r="R259" s="96" t="n"/>
      <c r="S259" s="96" t="n"/>
      <c r="T259" s="96" t="n"/>
      <c r="U259" s="96" t="n"/>
      <c r="V259" s="161" t="n"/>
      <c r="W259" s="96" t="n"/>
      <c r="X259" s="161" t="n"/>
      <c r="Y259" s="97" t="n"/>
      <c r="Z259" s="97" t="n"/>
      <c r="AA259" s="97" t="n"/>
      <c r="AB259" s="97" t="n"/>
      <c r="AC259" s="97" t="n"/>
      <c r="AD259" s="161" t="n"/>
      <c r="AE259" s="174" t="n"/>
      <c r="AF259" s="96" t="n"/>
      <c r="AG259" s="97" t="n"/>
      <c r="AH259" s="97" t="n"/>
      <c r="AI259" s="97" t="n"/>
      <c r="AJ259" s="96" t="n"/>
      <c r="AK259" s="130" t="n"/>
    </row>
    <row r="260" ht="12" customHeight="1">
      <c r="A260" s="108" t="inlineStr">
        <is>
          <t>SKLU1619666</t>
        </is>
      </c>
      <c r="B260" s="108" t="n"/>
      <c r="C260" s="108" t="n"/>
      <c r="D260" s="172" t="n"/>
      <c r="E260" s="173" t="n"/>
      <c r="F260" s="96" t="n"/>
      <c r="G260" s="96" t="n"/>
      <c r="H260" s="111" t="n"/>
      <c r="I260" s="96" t="n"/>
      <c r="J260" s="96" t="n"/>
      <c r="K260" s="96" t="n"/>
      <c r="L260" s="111" t="n"/>
      <c r="M260" s="96" t="n"/>
      <c r="N260" s="96" t="n"/>
      <c r="O260" s="111" t="n"/>
      <c r="P260" s="111" t="n"/>
      <c r="Q260" s="111" t="n"/>
      <c r="R260" s="96" t="n"/>
      <c r="S260" s="96" t="n"/>
      <c r="T260" s="96" t="n"/>
      <c r="U260" s="96" t="n"/>
      <c r="V260" s="161" t="n"/>
      <c r="W260" s="96" t="n"/>
      <c r="X260" s="161" t="n"/>
      <c r="Y260" s="97" t="n"/>
      <c r="Z260" s="97" t="n"/>
      <c r="AA260" s="97" t="n"/>
      <c r="AB260" s="97" t="n"/>
      <c r="AC260" s="97" t="n"/>
      <c r="AD260" s="161" t="n"/>
      <c r="AE260" s="174" t="n"/>
      <c r="AF260" s="96" t="n"/>
      <c r="AG260" s="97" t="n"/>
      <c r="AH260" s="97" t="n"/>
      <c r="AI260" s="97" t="n"/>
      <c r="AJ260" s="96" t="n"/>
      <c r="AK260" s="130" t="n"/>
    </row>
    <row r="261" ht="12" customHeight="1">
      <c r="A261" s="108" t="inlineStr">
        <is>
          <t>SKLU1822713</t>
        </is>
      </c>
      <c r="B261" s="108" t="n"/>
      <c r="C261" s="108" t="n"/>
      <c r="D261" s="172" t="n"/>
      <c r="E261" s="173" t="n"/>
      <c r="F261" s="96" t="n"/>
      <c r="G261" s="96" t="n"/>
      <c r="H261" s="111" t="n"/>
      <c r="I261" s="96" t="n"/>
      <c r="J261" s="96" t="n"/>
      <c r="K261" s="96" t="n"/>
      <c r="L261" s="111" t="n"/>
      <c r="M261" s="96" t="n"/>
      <c r="N261" s="96" t="n"/>
      <c r="O261" s="111" t="n"/>
      <c r="P261" s="111" t="n"/>
      <c r="Q261" s="111" t="n"/>
      <c r="R261" s="96" t="n"/>
      <c r="S261" s="96" t="n"/>
      <c r="T261" s="96" t="n"/>
      <c r="U261" s="96" t="n"/>
      <c r="V261" s="161" t="n"/>
      <c r="W261" s="96" t="n"/>
      <c r="X261" s="161" t="n"/>
      <c r="Y261" s="97" t="n"/>
      <c r="Z261" s="97" t="n"/>
      <c r="AA261" s="97" t="n"/>
      <c r="AB261" s="97" t="n"/>
      <c r="AC261" s="97" t="n"/>
      <c r="AD261" s="161" t="n"/>
      <c r="AE261" s="174" t="n"/>
      <c r="AF261" s="96" t="n"/>
      <c r="AG261" s="97" t="n"/>
      <c r="AH261" s="97" t="n"/>
      <c r="AI261" s="97" t="n"/>
      <c r="AJ261" s="96" t="n"/>
      <c r="AK261" s="130" t="n"/>
    </row>
    <row r="262" ht="12" customHeight="1">
      <c r="A262" s="108" t="inlineStr">
        <is>
          <t>SKLU1914168</t>
        </is>
      </c>
      <c r="B262" s="108" t="n"/>
      <c r="C262" s="108" t="n"/>
      <c r="D262" s="172" t="n"/>
      <c r="E262" s="173" t="n"/>
      <c r="F262" s="96" t="n"/>
      <c r="G262" s="96" t="n"/>
      <c r="H262" s="111" t="n"/>
      <c r="I262" s="96" t="n"/>
      <c r="J262" s="96" t="n"/>
      <c r="K262" s="96" t="n"/>
      <c r="L262" s="111" t="n"/>
      <c r="M262" s="96" t="n"/>
      <c r="N262" s="96" t="n"/>
      <c r="O262" s="111" t="n"/>
      <c r="P262" s="111" t="n"/>
      <c r="Q262" s="111" t="n"/>
      <c r="R262" s="96" t="n"/>
      <c r="S262" s="96" t="n"/>
      <c r="T262" s="96" t="n"/>
      <c r="U262" s="96" t="n"/>
      <c r="V262" s="161" t="n"/>
      <c r="W262" s="96" t="n"/>
      <c r="X262" s="161" t="n"/>
      <c r="Y262" s="97" t="n"/>
      <c r="Z262" s="97" t="n"/>
      <c r="AA262" s="97" t="n"/>
      <c r="AB262" s="97" t="n"/>
      <c r="AC262" s="97" t="n"/>
      <c r="AD262" s="161" t="n"/>
      <c r="AE262" s="174" t="n"/>
      <c r="AF262" s="96" t="n"/>
      <c r="AG262" s="97" t="n"/>
      <c r="AH262" s="97" t="n"/>
      <c r="AI262" s="97" t="n"/>
      <c r="AJ262" s="96" t="n"/>
      <c r="AK262" s="130" t="n"/>
    </row>
    <row r="263" ht="12" customHeight="1">
      <c r="A263" s="108" t="inlineStr">
        <is>
          <t>SKLU1948147</t>
        </is>
      </c>
      <c r="B263" s="108" t="n"/>
      <c r="C263" s="108" t="n"/>
      <c r="D263" s="172" t="n"/>
      <c r="E263" s="173" t="n"/>
      <c r="F263" s="96" t="n"/>
      <c r="G263" s="96" t="n"/>
      <c r="H263" s="111" t="n"/>
      <c r="I263" s="96" t="n"/>
      <c r="J263" s="96" t="n"/>
      <c r="K263" s="96" t="n"/>
      <c r="L263" s="111" t="n"/>
      <c r="M263" s="96" t="n"/>
      <c r="N263" s="96" t="n"/>
      <c r="O263" s="111" t="n"/>
      <c r="P263" s="111" t="n"/>
      <c r="Q263" s="111" t="n"/>
      <c r="R263" s="96" t="n"/>
      <c r="S263" s="96" t="n"/>
      <c r="T263" s="96" t="n"/>
      <c r="U263" s="96" t="n"/>
      <c r="V263" s="161" t="n"/>
      <c r="W263" s="96" t="n"/>
      <c r="X263" s="161" t="n"/>
      <c r="Y263" s="97" t="n"/>
      <c r="Z263" s="97" t="n"/>
      <c r="AA263" s="97" t="n"/>
      <c r="AB263" s="97" t="n"/>
      <c r="AC263" s="97" t="n"/>
      <c r="AD263" s="161" t="n"/>
      <c r="AE263" s="174" t="n"/>
      <c r="AF263" s="96" t="n"/>
      <c r="AG263" s="97" t="n"/>
      <c r="AH263" s="97" t="n"/>
      <c r="AI263" s="97" t="n"/>
      <c r="AJ263" s="96" t="n"/>
      <c r="AK263" s="130" t="n"/>
    </row>
    <row r="264" ht="12" customHeight="1">
      <c r="A264" s="108" t="inlineStr">
        <is>
          <t>SKLU2075931</t>
        </is>
      </c>
      <c r="B264" s="108" t="n"/>
      <c r="C264" s="108" t="n"/>
      <c r="D264" s="172" t="n"/>
      <c r="E264" s="173" t="n"/>
      <c r="F264" s="96" t="n"/>
      <c r="G264" s="96" t="n"/>
      <c r="H264" s="111" t="n"/>
      <c r="I264" s="96" t="n"/>
      <c r="J264" s="96" t="n"/>
      <c r="K264" s="96" t="n"/>
      <c r="L264" s="111" t="n"/>
      <c r="M264" s="96" t="n"/>
      <c r="N264" s="96" t="n"/>
      <c r="O264" s="111" t="n"/>
      <c r="P264" s="111" t="n"/>
      <c r="Q264" s="111" t="n"/>
      <c r="R264" s="96" t="n"/>
      <c r="S264" s="96" t="n"/>
      <c r="T264" s="96" t="n"/>
      <c r="U264" s="96" t="n"/>
      <c r="V264" s="161" t="n"/>
      <c r="W264" s="96" t="n"/>
      <c r="X264" s="161" t="n"/>
      <c r="Y264" s="97" t="n"/>
      <c r="Z264" s="97" t="n"/>
      <c r="AA264" s="97" t="n"/>
      <c r="AB264" s="97" t="n"/>
      <c r="AC264" s="97" t="n"/>
      <c r="AD264" s="161" t="n"/>
      <c r="AE264" s="174" t="n"/>
      <c r="AF264" s="96" t="n"/>
      <c r="AG264" s="97" t="n"/>
      <c r="AH264" s="97" t="n"/>
      <c r="AI264" s="97" t="n"/>
      <c r="AJ264" s="96" t="n"/>
      <c r="AK264" s="130" t="n"/>
    </row>
    <row r="265" ht="12" customHeight="1">
      <c r="A265" s="108" t="inlineStr">
        <is>
          <t>SKLU2112212</t>
        </is>
      </c>
      <c r="B265" s="108" t="n"/>
      <c r="C265" s="108" t="n"/>
      <c r="D265" s="172" t="n"/>
      <c r="E265" s="173" t="n"/>
      <c r="F265" s="96" t="n"/>
      <c r="G265" s="96" t="n"/>
      <c r="H265" s="111" t="n"/>
      <c r="I265" s="96" t="n"/>
      <c r="J265" s="96" t="n"/>
      <c r="K265" s="96" t="n"/>
      <c r="L265" s="111" t="n"/>
      <c r="M265" s="96" t="n"/>
      <c r="N265" s="96" t="n"/>
      <c r="O265" s="111" t="n"/>
      <c r="P265" s="111" t="n"/>
      <c r="Q265" s="111" t="n"/>
      <c r="R265" s="96" t="n"/>
      <c r="S265" s="96" t="n"/>
      <c r="T265" s="96" t="n"/>
      <c r="U265" s="96" t="n"/>
      <c r="V265" s="161" t="n"/>
      <c r="W265" s="96" t="n"/>
      <c r="X265" s="161" t="n"/>
      <c r="Y265" s="97" t="n"/>
      <c r="Z265" s="97" t="n"/>
      <c r="AA265" s="97" t="n"/>
      <c r="AB265" s="97" t="n"/>
      <c r="AC265" s="97" t="n"/>
      <c r="AD265" s="161" t="n"/>
      <c r="AE265" s="174" t="n"/>
      <c r="AF265" s="96" t="n"/>
      <c r="AG265" s="97" t="n"/>
      <c r="AH265" s="97" t="n"/>
      <c r="AI265" s="97" t="n"/>
      <c r="AJ265" s="96" t="n"/>
      <c r="AK265" s="130" t="n"/>
    </row>
    <row r="266" ht="12" customHeight="1">
      <c r="A266" s="108" t="inlineStr">
        <is>
          <t>SKLU2125992</t>
        </is>
      </c>
      <c r="B266" s="108" t="n"/>
      <c r="C266" s="108" t="n"/>
      <c r="D266" s="172" t="n"/>
      <c r="E266" s="173" t="n"/>
      <c r="F266" s="96" t="n"/>
      <c r="G266" s="96" t="n"/>
      <c r="H266" s="111" t="n"/>
      <c r="I266" s="96" t="n"/>
      <c r="J266" s="96" t="n"/>
      <c r="K266" s="96" t="n"/>
      <c r="L266" s="111" t="n"/>
      <c r="M266" s="96" t="n"/>
      <c r="N266" s="96" t="n"/>
      <c r="O266" s="111" t="n"/>
      <c r="P266" s="111" t="n"/>
      <c r="Q266" s="111" t="n"/>
      <c r="R266" s="96" t="n"/>
      <c r="S266" s="96" t="n"/>
      <c r="T266" s="96" t="n"/>
      <c r="U266" s="96" t="n"/>
      <c r="V266" s="161" t="n"/>
      <c r="W266" s="96" t="n"/>
      <c r="X266" s="161" t="n"/>
      <c r="Y266" s="97" t="n"/>
      <c r="Z266" s="97" t="n"/>
      <c r="AA266" s="97" t="n"/>
      <c r="AB266" s="97" t="n"/>
      <c r="AC266" s="97" t="n"/>
      <c r="AD266" s="161" t="n"/>
      <c r="AE266" s="174" t="n"/>
      <c r="AF266" s="96" t="n"/>
      <c r="AG266" s="97" t="n"/>
      <c r="AH266" s="97" t="n"/>
      <c r="AI266" s="97" t="n"/>
      <c r="AJ266" s="96" t="n"/>
      <c r="AK266" s="130" t="n"/>
    </row>
    <row r="267" ht="12" customHeight="1">
      <c r="A267" s="108" t="inlineStr">
        <is>
          <t>SKLU2303034</t>
        </is>
      </c>
      <c r="B267" s="108" t="n"/>
      <c r="C267" s="108" t="n"/>
      <c r="D267" s="172" t="n"/>
      <c r="E267" s="173" t="n"/>
      <c r="F267" s="96" t="n"/>
      <c r="G267" s="96" t="n"/>
      <c r="H267" s="111" t="n"/>
      <c r="I267" s="96" t="n"/>
      <c r="J267" s="96" t="n"/>
      <c r="K267" s="96" t="n"/>
      <c r="L267" s="111" t="n"/>
      <c r="M267" s="96" t="n"/>
      <c r="N267" s="96" t="n"/>
      <c r="O267" s="111" t="n"/>
      <c r="P267" s="111" t="n"/>
      <c r="Q267" s="111" t="n"/>
      <c r="R267" s="96" t="n"/>
      <c r="S267" s="96" t="n"/>
      <c r="T267" s="96" t="n"/>
      <c r="U267" s="96" t="n"/>
      <c r="V267" s="161" t="n"/>
      <c r="W267" s="96" t="n"/>
      <c r="X267" s="161" t="n"/>
      <c r="Y267" s="97" t="n"/>
      <c r="Z267" s="97" t="n"/>
      <c r="AA267" s="97" t="n"/>
      <c r="AB267" s="97" t="n"/>
      <c r="AC267" s="97" t="n"/>
      <c r="AD267" s="161" t="n"/>
      <c r="AE267" s="174" t="n"/>
      <c r="AF267" s="96" t="n"/>
      <c r="AG267" s="97" t="n"/>
      <c r="AH267" s="97" t="n"/>
      <c r="AI267" s="97" t="n"/>
      <c r="AJ267" s="96" t="n"/>
      <c r="AK267" s="130" t="n"/>
    </row>
    <row r="268" ht="12" customHeight="1">
      <c r="A268" s="108" t="inlineStr">
        <is>
          <t>SKLU2361365</t>
        </is>
      </c>
      <c r="B268" s="108" t="n"/>
      <c r="C268" s="108" t="n"/>
      <c r="D268" s="172" t="n"/>
      <c r="E268" s="173" t="n"/>
      <c r="F268" s="96" t="n"/>
      <c r="G268" s="96" t="n"/>
      <c r="H268" s="111" t="n"/>
      <c r="I268" s="96" t="n"/>
      <c r="J268" s="96" t="n"/>
      <c r="K268" s="96" t="n"/>
      <c r="L268" s="111" t="n"/>
      <c r="M268" s="96" t="n"/>
      <c r="N268" s="96" t="n"/>
      <c r="O268" s="111" t="n"/>
      <c r="P268" s="111" t="n"/>
      <c r="Q268" s="111" t="n"/>
      <c r="R268" s="96" t="n"/>
      <c r="S268" s="96" t="n"/>
      <c r="T268" s="96" t="n"/>
      <c r="U268" s="96" t="n"/>
      <c r="V268" s="161" t="n"/>
      <c r="W268" s="96" t="n"/>
      <c r="X268" s="161" t="n"/>
      <c r="Y268" s="97" t="n"/>
      <c r="Z268" s="97" t="n"/>
      <c r="AA268" s="97" t="n"/>
      <c r="AB268" s="97" t="n"/>
      <c r="AC268" s="97" t="n"/>
      <c r="AD268" s="161" t="n"/>
      <c r="AE268" s="174" t="n"/>
      <c r="AF268" s="96" t="n"/>
      <c r="AG268" s="97" t="n"/>
      <c r="AH268" s="97" t="n"/>
      <c r="AI268" s="97" t="n"/>
      <c r="AJ268" s="96" t="n"/>
      <c r="AK268" s="130" t="n"/>
    </row>
    <row r="269" ht="12" customHeight="1">
      <c r="A269" s="108" t="inlineStr">
        <is>
          <t>SKLU2409216</t>
        </is>
      </c>
      <c r="B269" s="108" t="n"/>
      <c r="C269" s="108" t="n"/>
      <c r="D269" s="172" t="n"/>
      <c r="E269" s="173" t="n"/>
      <c r="F269" s="96" t="n"/>
      <c r="G269" s="96" t="n"/>
      <c r="H269" s="111" t="n"/>
      <c r="I269" s="96" t="n"/>
      <c r="J269" s="96" t="n"/>
      <c r="K269" s="96" t="n"/>
      <c r="L269" s="111" t="n"/>
      <c r="M269" s="96" t="n"/>
      <c r="N269" s="96" t="n"/>
      <c r="O269" s="111" t="n"/>
      <c r="P269" s="111" t="n"/>
      <c r="Q269" s="111" t="n"/>
      <c r="R269" s="96" t="n"/>
      <c r="S269" s="96" t="n"/>
      <c r="T269" s="96" t="n"/>
      <c r="U269" s="96" t="n"/>
      <c r="V269" s="161" t="n"/>
      <c r="W269" s="96" t="n"/>
      <c r="X269" s="161" t="n"/>
      <c r="Y269" s="97" t="n"/>
      <c r="Z269" s="97" t="n"/>
      <c r="AA269" s="97" t="n"/>
      <c r="AB269" s="97" t="n"/>
      <c r="AC269" s="97" t="n"/>
      <c r="AD269" s="161" t="n"/>
      <c r="AE269" s="174" t="n"/>
      <c r="AF269" s="96" t="n"/>
      <c r="AG269" s="97" t="n"/>
      <c r="AH269" s="97" t="n"/>
      <c r="AI269" s="97" t="n"/>
      <c r="AJ269" s="96" t="n"/>
      <c r="AK269" s="130" t="n"/>
    </row>
    <row r="270" ht="12" customHeight="1">
      <c r="A270" s="108" t="inlineStr">
        <is>
          <t>SKLU2409833</t>
        </is>
      </c>
      <c r="B270" s="108" t="n"/>
      <c r="C270" s="108" t="n"/>
      <c r="D270" s="172" t="n"/>
      <c r="E270" s="173" t="n"/>
      <c r="F270" s="96" t="n"/>
      <c r="G270" s="96" t="n"/>
      <c r="H270" s="111" t="n"/>
      <c r="I270" s="96" t="n"/>
      <c r="J270" s="96" t="n"/>
      <c r="K270" s="96" t="n"/>
      <c r="L270" s="111" t="n"/>
      <c r="M270" s="96" t="n"/>
      <c r="N270" s="96" t="n"/>
      <c r="O270" s="111" t="n"/>
      <c r="P270" s="111" t="n"/>
      <c r="Q270" s="111" t="n"/>
      <c r="R270" s="96" t="n"/>
      <c r="S270" s="96" t="n"/>
      <c r="T270" s="96" t="n"/>
      <c r="U270" s="96" t="n"/>
      <c r="V270" s="161" t="n"/>
      <c r="W270" s="96" t="n"/>
      <c r="X270" s="161" t="n"/>
      <c r="Y270" s="97" t="n"/>
      <c r="Z270" s="97" t="n"/>
      <c r="AA270" s="97" t="n"/>
      <c r="AB270" s="97" t="n"/>
      <c r="AC270" s="97" t="n"/>
      <c r="AD270" s="161" t="n"/>
      <c r="AE270" s="174" t="n"/>
      <c r="AF270" s="96" t="n"/>
      <c r="AG270" s="97" t="n"/>
      <c r="AH270" s="97" t="n"/>
      <c r="AI270" s="97" t="n"/>
      <c r="AJ270" s="96" t="n"/>
      <c r="AK270" s="130" t="n"/>
    </row>
    <row r="271" ht="12" customHeight="1">
      <c r="A271" s="108" t="inlineStr">
        <is>
          <t>SKLU2474000</t>
        </is>
      </c>
      <c r="B271" s="108" t="n"/>
      <c r="C271" s="108" t="n"/>
      <c r="D271" s="172" t="n"/>
      <c r="E271" s="173" t="n"/>
      <c r="F271" s="96" t="n"/>
      <c r="G271" s="96" t="n"/>
      <c r="H271" s="111" t="n"/>
      <c r="I271" s="96" t="n"/>
      <c r="J271" s="96" t="n"/>
      <c r="K271" s="96" t="n"/>
      <c r="L271" s="111" t="n"/>
      <c r="M271" s="96" t="n"/>
      <c r="N271" s="96" t="n"/>
      <c r="O271" s="111" t="n"/>
      <c r="P271" s="111" t="n"/>
      <c r="Q271" s="111" t="n"/>
      <c r="R271" s="96" t="n"/>
      <c r="S271" s="96" t="n"/>
      <c r="T271" s="96" t="n"/>
      <c r="U271" s="96" t="n"/>
      <c r="V271" s="161" t="n"/>
      <c r="W271" s="96" t="n"/>
      <c r="X271" s="161" t="n"/>
      <c r="Y271" s="97" t="n"/>
      <c r="Z271" s="97" t="n"/>
      <c r="AA271" s="97" t="n"/>
      <c r="AB271" s="97" t="n"/>
      <c r="AC271" s="97" t="n"/>
      <c r="AD271" s="161" t="n"/>
      <c r="AE271" s="174" t="n"/>
      <c r="AF271" s="96" t="n"/>
      <c r="AG271" s="97" t="n"/>
      <c r="AH271" s="97" t="n"/>
      <c r="AI271" s="97" t="n"/>
      <c r="AJ271" s="96" t="n"/>
      <c r="AK271" s="130" t="n"/>
    </row>
    <row r="272" ht="12" customHeight="1">
      <c r="A272" s="108" t="inlineStr">
        <is>
          <t>TCLU1829458</t>
        </is>
      </c>
      <c r="B272" s="108" t="n"/>
      <c r="C272" s="108" t="n"/>
      <c r="D272" s="172" t="n"/>
      <c r="E272" s="173" t="n"/>
      <c r="F272" s="96" t="n"/>
      <c r="G272" s="96" t="n"/>
      <c r="H272" s="111" t="n"/>
      <c r="I272" s="96" t="n"/>
      <c r="J272" s="96" t="n"/>
      <c r="K272" s="96" t="n"/>
      <c r="L272" s="111" t="n"/>
      <c r="M272" s="96" t="n"/>
      <c r="N272" s="96" t="n"/>
      <c r="O272" s="111" t="n"/>
      <c r="P272" s="111" t="n"/>
      <c r="Q272" s="111" t="n"/>
      <c r="R272" s="96" t="n"/>
      <c r="S272" s="96" t="n"/>
      <c r="T272" s="96" t="n"/>
      <c r="U272" s="96" t="n"/>
      <c r="V272" s="161" t="n"/>
      <c r="W272" s="96" t="n"/>
      <c r="X272" s="161" t="n"/>
      <c r="Y272" s="97" t="n"/>
      <c r="Z272" s="97" t="n"/>
      <c r="AA272" s="97" t="n"/>
      <c r="AB272" s="97" t="n"/>
      <c r="AC272" s="97" t="n"/>
      <c r="AD272" s="161" t="n"/>
      <c r="AE272" s="174" t="n"/>
      <c r="AF272" s="96" t="n"/>
      <c r="AG272" s="97" t="n"/>
      <c r="AH272" s="97" t="n"/>
      <c r="AI272" s="97" t="n"/>
      <c r="AJ272" s="96" t="n"/>
      <c r="AK272" s="130" t="n"/>
    </row>
    <row r="273" ht="12" customHeight="1">
      <c r="A273" s="108" t="inlineStr">
        <is>
          <t>TCLU8724124</t>
        </is>
      </c>
      <c r="B273" s="108" t="n"/>
      <c r="C273" s="108" t="n"/>
      <c r="D273" s="172" t="n"/>
      <c r="E273" s="173" t="n"/>
      <c r="F273" s="96" t="n"/>
      <c r="G273" s="96" t="n"/>
      <c r="H273" s="111" t="n"/>
      <c r="I273" s="96" t="n"/>
      <c r="J273" s="96" t="n"/>
      <c r="K273" s="96" t="n"/>
      <c r="L273" s="111" t="n"/>
      <c r="M273" s="96" t="n"/>
      <c r="N273" s="96" t="n"/>
      <c r="O273" s="111" t="n"/>
      <c r="P273" s="111" t="n"/>
      <c r="Q273" s="111" t="n"/>
      <c r="R273" s="96" t="n"/>
      <c r="S273" s="96" t="n"/>
      <c r="T273" s="96" t="n"/>
      <c r="U273" s="96" t="n"/>
      <c r="V273" s="161" t="n"/>
      <c r="W273" s="96" t="n"/>
      <c r="X273" s="161" t="n"/>
      <c r="Y273" s="97" t="n"/>
      <c r="Z273" s="97" t="n"/>
      <c r="AA273" s="97" t="n"/>
      <c r="AB273" s="97" t="n"/>
      <c r="AC273" s="97" t="n"/>
      <c r="AD273" s="161" t="n"/>
      <c r="AE273" s="174" t="n"/>
      <c r="AF273" s="96" t="n"/>
      <c r="AG273" s="97" t="n"/>
      <c r="AH273" s="97" t="n"/>
      <c r="AI273" s="97" t="n"/>
      <c r="AJ273" s="96" t="n"/>
      <c r="AK273" s="130" t="n"/>
    </row>
    <row r="274" ht="12" customHeight="1">
      <c r="A274" s="108" t="inlineStr">
        <is>
          <t>TCLU8767342</t>
        </is>
      </c>
      <c r="B274" s="108" t="n"/>
      <c r="C274" s="108" t="n"/>
      <c r="D274" s="172" t="n"/>
      <c r="E274" s="173" t="n"/>
      <c r="F274" s="96" t="n"/>
      <c r="G274" s="96" t="n"/>
      <c r="H274" s="111" t="n"/>
      <c r="I274" s="96" t="n"/>
      <c r="J274" s="96" t="n"/>
      <c r="K274" s="96" t="n"/>
      <c r="L274" s="111" t="n"/>
      <c r="M274" s="96" t="n"/>
      <c r="N274" s="96" t="n"/>
      <c r="O274" s="111" t="n"/>
      <c r="P274" s="111" t="n"/>
      <c r="Q274" s="111" t="n"/>
      <c r="R274" s="96" t="n"/>
      <c r="S274" s="96" t="n"/>
      <c r="T274" s="96" t="n"/>
      <c r="U274" s="96" t="n"/>
      <c r="V274" s="161" t="n"/>
      <c r="W274" s="96" t="n"/>
      <c r="X274" s="161" t="n"/>
      <c r="Y274" s="97" t="n"/>
      <c r="Z274" s="97" t="n"/>
      <c r="AA274" s="97" t="n"/>
      <c r="AB274" s="97" t="n"/>
      <c r="AC274" s="97" t="n"/>
      <c r="AD274" s="161" t="n"/>
      <c r="AE274" s="174" t="n"/>
      <c r="AF274" s="96" t="n"/>
      <c r="AG274" s="97" t="n"/>
      <c r="AH274" s="97" t="n"/>
      <c r="AI274" s="97" t="n"/>
      <c r="AJ274" s="96" t="n"/>
      <c r="AK274" s="130" t="n"/>
    </row>
    <row r="275" ht="12" customHeight="1">
      <c r="A275" s="108" t="inlineStr">
        <is>
          <t>TCNU4883212</t>
        </is>
      </c>
      <c r="B275" s="108" t="n"/>
      <c r="C275" s="108" t="n"/>
      <c r="D275" s="172" t="n"/>
      <c r="E275" s="173" t="n"/>
      <c r="F275" s="96" t="n"/>
      <c r="G275" s="96" t="n"/>
      <c r="H275" s="111" t="n"/>
      <c r="I275" s="96" t="n"/>
      <c r="J275" s="96" t="n"/>
      <c r="K275" s="96" t="n"/>
      <c r="L275" s="111" t="n"/>
      <c r="M275" s="96" t="n"/>
      <c r="N275" s="96" t="n"/>
      <c r="O275" s="111" t="n"/>
      <c r="P275" s="111" t="n"/>
      <c r="Q275" s="111" t="n"/>
      <c r="R275" s="96" t="n"/>
      <c r="S275" s="96" t="n"/>
      <c r="T275" s="96" t="n"/>
      <c r="U275" s="96" t="n"/>
      <c r="V275" s="161" t="n"/>
      <c r="W275" s="96" t="n"/>
      <c r="X275" s="161" t="n"/>
      <c r="Y275" s="97" t="n"/>
      <c r="Z275" s="97" t="n"/>
      <c r="AA275" s="97" t="n"/>
      <c r="AB275" s="97" t="n"/>
      <c r="AC275" s="97" t="n"/>
      <c r="AD275" s="161" t="n"/>
      <c r="AE275" s="174" t="n"/>
      <c r="AF275" s="96" t="n"/>
      <c r="AG275" s="97" t="n"/>
      <c r="AH275" s="97" t="n"/>
      <c r="AI275" s="97" t="n"/>
      <c r="AJ275" s="96" t="n"/>
      <c r="AK275" s="130" t="n"/>
    </row>
    <row r="276" ht="12" customHeight="1">
      <c r="A276" s="108" t="inlineStr">
        <is>
          <t>TCNU5131098</t>
        </is>
      </c>
      <c r="B276" s="108" t="n"/>
      <c r="C276" s="108" t="n"/>
      <c r="D276" s="172" t="n"/>
      <c r="E276" s="173" t="n"/>
      <c r="F276" s="96" t="n"/>
      <c r="G276" s="96" t="n"/>
      <c r="H276" s="111" t="n"/>
      <c r="I276" s="96" t="n"/>
      <c r="J276" s="96" t="n"/>
      <c r="K276" s="96" t="n"/>
      <c r="L276" s="111" t="n"/>
      <c r="M276" s="96" t="n"/>
      <c r="N276" s="96" t="n"/>
      <c r="O276" s="111" t="n"/>
      <c r="P276" s="111" t="n"/>
      <c r="Q276" s="111" t="n"/>
      <c r="R276" s="96" t="n"/>
      <c r="S276" s="96" t="n"/>
      <c r="T276" s="96" t="n"/>
      <c r="U276" s="96" t="n"/>
      <c r="V276" s="161" t="n"/>
      <c r="W276" s="96" t="n"/>
      <c r="X276" s="161" t="n"/>
      <c r="Y276" s="97" t="n"/>
      <c r="Z276" s="97" t="n"/>
      <c r="AA276" s="97" t="n"/>
      <c r="AB276" s="97" t="n"/>
      <c r="AC276" s="97" t="n"/>
      <c r="AD276" s="161" t="n"/>
      <c r="AE276" s="174" t="n"/>
      <c r="AF276" s="96" t="n"/>
      <c r="AG276" s="97" t="n"/>
      <c r="AH276" s="97" t="n"/>
      <c r="AI276" s="97" t="n"/>
      <c r="AJ276" s="96" t="n"/>
      <c r="AK276" s="130" t="n"/>
    </row>
    <row r="277" ht="12" customHeight="1">
      <c r="A277" s="108" t="inlineStr">
        <is>
          <t>TCNU6722900</t>
        </is>
      </c>
      <c r="B277" s="108" t="n"/>
      <c r="C277" s="108" t="n"/>
      <c r="D277" s="172" t="n"/>
      <c r="E277" s="173" t="n"/>
      <c r="F277" s="96" t="n"/>
      <c r="G277" s="96" t="n"/>
      <c r="H277" s="111" t="n"/>
      <c r="I277" s="96" t="n"/>
      <c r="J277" s="96" t="n"/>
      <c r="K277" s="96" t="n"/>
      <c r="L277" s="111" t="n"/>
      <c r="M277" s="96" t="n"/>
      <c r="N277" s="96" t="n"/>
      <c r="O277" s="111" t="n"/>
      <c r="P277" s="111" t="n"/>
      <c r="Q277" s="111" t="n"/>
      <c r="R277" s="96" t="n"/>
      <c r="S277" s="96" t="n"/>
      <c r="T277" s="96" t="n"/>
      <c r="U277" s="96" t="n"/>
      <c r="V277" s="161" t="n"/>
      <c r="W277" s="96" t="n"/>
      <c r="X277" s="161" t="n"/>
      <c r="Y277" s="97" t="n"/>
      <c r="Z277" s="97" t="n"/>
      <c r="AA277" s="97" t="n"/>
      <c r="AB277" s="97" t="n"/>
      <c r="AC277" s="97" t="n"/>
      <c r="AD277" s="161" t="n"/>
      <c r="AE277" s="174" t="n"/>
      <c r="AF277" s="96" t="n"/>
      <c r="AG277" s="97" t="n"/>
      <c r="AH277" s="97" t="n"/>
      <c r="AI277" s="97" t="n"/>
      <c r="AJ277" s="96" t="n"/>
      <c r="AK277" s="130" t="n"/>
    </row>
    <row r="278" ht="12" customHeight="1">
      <c r="A278" s="108" t="inlineStr">
        <is>
          <t>TCNU8361453</t>
        </is>
      </c>
      <c r="B278" s="108" t="n"/>
      <c r="C278" s="108" t="n"/>
      <c r="D278" s="172" t="n"/>
      <c r="E278" s="173" t="n"/>
      <c r="F278" s="96" t="n"/>
      <c r="G278" s="96" t="n"/>
      <c r="H278" s="111" t="n"/>
      <c r="I278" s="96" t="n"/>
      <c r="J278" s="96" t="n"/>
      <c r="K278" s="96" t="n"/>
      <c r="L278" s="111" t="n"/>
      <c r="M278" s="96" t="n"/>
      <c r="N278" s="96" t="n"/>
      <c r="O278" s="111" t="n"/>
      <c r="P278" s="111" t="n"/>
      <c r="Q278" s="111" t="n"/>
      <c r="R278" s="96" t="n"/>
      <c r="S278" s="96" t="n"/>
      <c r="T278" s="96" t="n"/>
      <c r="U278" s="96" t="n"/>
      <c r="V278" s="161" t="n"/>
      <c r="W278" s="96" t="n"/>
      <c r="X278" s="161" t="n"/>
      <c r="Y278" s="97" t="n"/>
      <c r="Z278" s="97" t="n"/>
      <c r="AA278" s="97" t="n"/>
      <c r="AB278" s="97" t="n"/>
      <c r="AC278" s="97" t="n"/>
      <c r="AD278" s="161" t="n"/>
      <c r="AE278" s="174" t="n"/>
      <c r="AF278" s="96" t="n"/>
      <c r="AG278" s="97" t="n"/>
      <c r="AH278" s="97" t="n"/>
      <c r="AI278" s="97" t="n"/>
      <c r="AJ278" s="96" t="n"/>
      <c r="AK278" s="130" t="n"/>
    </row>
    <row r="279" ht="12" customHeight="1">
      <c r="A279" s="108" t="inlineStr">
        <is>
          <t>TGBU4383768</t>
        </is>
      </c>
      <c r="B279" s="108" t="n"/>
      <c r="C279" s="108" t="n"/>
      <c r="D279" s="172" t="n"/>
      <c r="E279" s="173" t="n"/>
      <c r="F279" s="96" t="n"/>
      <c r="G279" s="96" t="n"/>
      <c r="H279" s="111" t="n"/>
      <c r="I279" s="96" t="n"/>
      <c r="J279" s="96" t="n"/>
      <c r="K279" s="96" t="n"/>
      <c r="L279" s="111" t="n"/>
      <c r="M279" s="96" t="n"/>
      <c r="N279" s="96" t="n"/>
      <c r="O279" s="111" t="n"/>
      <c r="P279" s="111" t="n"/>
      <c r="Q279" s="111" t="n"/>
      <c r="R279" s="96" t="n"/>
      <c r="S279" s="96" t="n"/>
      <c r="T279" s="96" t="n"/>
      <c r="U279" s="96" t="n"/>
      <c r="V279" s="161" t="n"/>
      <c r="W279" s="96" t="n"/>
      <c r="X279" s="161" t="n"/>
      <c r="Y279" s="97" t="n"/>
      <c r="Z279" s="97" t="n"/>
      <c r="AA279" s="97" t="n"/>
      <c r="AB279" s="97" t="n"/>
      <c r="AC279" s="97" t="n"/>
      <c r="AD279" s="161" t="n"/>
      <c r="AE279" s="174" t="n"/>
      <c r="AF279" s="96" t="n"/>
      <c r="AG279" s="97" t="n"/>
      <c r="AH279" s="97" t="n"/>
      <c r="AI279" s="97" t="n"/>
      <c r="AJ279" s="96" t="n"/>
      <c r="AK279" s="130" t="n"/>
    </row>
    <row r="280" ht="12" customHeight="1">
      <c r="A280" s="108" t="inlineStr">
        <is>
          <t>TGBU5320379</t>
        </is>
      </c>
      <c r="B280" s="108" t="n"/>
      <c r="C280" s="108" t="n"/>
      <c r="D280" s="172" t="n"/>
      <c r="E280" s="173" t="n"/>
      <c r="F280" s="96" t="n"/>
      <c r="G280" s="96" t="n"/>
      <c r="H280" s="111" t="n"/>
      <c r="I280" s="96" t="n"/>
      <c r="J280" s="96" t="n"/>
      <c r="K280" s="96" t="n"/>
      <c r="L280" s="111" t="n"/>
      <c r="M280" s="96" t="n"/>
      <c r="N280" s="96" t="n"/>
      <c r="O280" s="111" t="n"/>
      <c r="P280" s="111" t="n"/>
      <c r="Q280" s="111" t="n"/>
      <c r="R280" s="96" t="n"/>
      <c r="S280" s="96" t="n"/>
      <c r="T280" s="96" t="n"/>
      <c r="U280" s="96" t="n"/>
      <c r="V280" s="161" t="n"/>
      <c r="W280" s="96" t="n"/>
      <c r="X280" s="161" t="n"/>
      <c r="Y280" s="97" t="n"/>
      <c r="Z280" s="97" t="n"/>
      <c r="AA280" s="97" t="n"/>
      <c r="AB280" s="97" t="n"/>
      <c r="AC280" s="97" t="n"/>
      <c r="AD280" s="161" t="n"/>
      <c r="AE280" s="174" t="n"/>
      <c r="AF280" s="96" t="n"/>
      <c r="AG280" s="97" t="n"/>
      <c r="AH280" s="97" t="n"/>
      <c r="AI280" s="97" t="n"/>
      <c r="AJ280" s="96" t="n"/>
      <c r="AK280" s="130" t="n"/>
    </row>
    <row r="281" ht="12" customHeight="1">
      <c r="A281" s="108" t="inlineStr">
        <is>
          <t>TGCU2397581</t>
        </is>
      </c>
      <c r="B281" s="108" t="n"/>
      <c r="C281" s="108" t="n"/>
      <c r="D281" s="172" t="n"/>
      <c r="E281" s="173" t="n"/>
      <c r="F281" s="96" t="n"/>
      <c r="G281" s="96" t="n"/>
      <c r="H281" s="111" t="n"/>
      <c r="I281" s="96" t="n"/>
      <c r="J281" s="96" t="n"/>
      <c r="K281" s="96" t="n"/>
      <c r="L281" s="111" t="n"/>
      <c r="M281" s="96" t="n"/>
      <c r="N281" s="96" t="n"/>
      <c r="O281" s="111" t="n"/>
      <c r="P281" s="111" t="n"/>
      <c r="Q281" s="111" t="n"/>
      <c r="R281" s="96" t="n"/>
      <c r="S281" s="96" t="n"/>
      <c r="T281" s="96" t="n"/>
      <c r="U281" s="96" t="n"/>
      <c r="V281" s="161" t="n"/>
      <c r="W281" s="96" t="n"/>
      <c r="X281" s="161" t="n"/>
      <c r="Y281" s="97" t="n"/>
      <c r="Z281" s="97" t="n"/>
      <c r="AA281" s="97" t="n"/>
      <c r="AB281" s="97" t="n"/>
      <c r="AC281" s="97" t="n"/>
      <c r="AD281" s="161" t="n"/>
      <c r="AE281" s="174" t="n"/>
      <c r="AF281" s="96" t="n"/>
      <c r="AG281" s="97" t="n"/>
      <c r="AH281" s="97" t="n"/>
      <c r="AI281" s="97" t="n"/>
      <c r="AJ281" s="96" t="n"/>
      <c r="AK281" s="130" t="n"/>
    </row>
    <row r="282" ht="12" customHeight="1">
      <c r="A282" s="108" t="inlineStr">
        <is>
          <t>TRHU5279710</t>
        </is>
      </c>
      <c r="B282" s="108" t="n"/>
      <c r="C282" s="108" t="n"/>
      <c r="D282" s="172" t="n"/>
      <c r="E282" s="173" t="n"/>
      <c r="F282" s="96" t="n"/>
      <c r="G282" s="96" t="n"/>
      <c r="H282" s="111" t="n"/>
      <c r="I282" s="96" t="n"/>
      <c r="J282" s="96" t="n"/>
      <c r="K282" s="96" t="n"/>
      <c r="L282" s="111" t="n"/>
      <c r="M282" s="96" t="n"/>
      <c r="N282" s="96" t="n"/>
      <c r="O282" s="111" t="n"/>
      <c r="P282" s="111" t="n"/>
      <c r="Q282" s="111" t="n"/>
      <c r="R282" s="96" t="n"/>
      <c r="S282" s="96" t="n"/>
      <c r="T282" s="96" t="n"/>
      <c r="U282" s="96" t="n"/>
      <c r="V282" s="161" t="n"/>
      <c r="W282" s="96" t="n"/>
      <c r="X282" s="161" t="n"/>
      <c r="Y282" s="97" t="n"/>
      <c r="Z282" s="97" t="n"/>
      <c r="AA282" s="97" t="n"/>
      <c r="AB282" s="97" t="n"/>
      <c r="AC282" s="97" t="n"/>
      <c r="AD282" s="161" t="n"/>
      <c r="AE282" s="174" t="n"/>
      <c r="AF282" s="96" t="n"/>
      <c r="AG282" s="97" t="n"/>
      <c r="AH282" s="97" t="n"/>
      <c r="AI282" s="97" t="n"/>
      <c r="AJ282" s="96" t="n"/>
      <c r="AK282" s="130" t="n"/>
    </row>
    <row r="283" ht="12" customHeight="1">
      <c r="A283" s="108" t="inlineStr">
        <is>
          <t>TRHU5286339</t>
        </is>
      </c>
      <c r="B283" s="108" t="n"/>
      <c r="C283" s="108" t="n"/>
      <c r="D283" s="172" t="n"/>
      <c r="E283" s="173" t="n"/>
      <c r="F283" s="96" t="n"/>
      <c r="G283" s="96" t="n"/>
      <c r="H283" s="111" t="n"/>
      <c r="I283" s="96" t="n"/>
      <c r="J283" s="96" t="n"/>
      <c r="K283" s="96" t="n"/>
      <c r="L283" s="111" t="n"/>
      <c r="M283" s="96" t="n"/>
      <c r="N283" s="96" t="n"/>
      <c r="O283" s="111" t="n"/>
      <c r="P283" s="111" t="n"/>
      <c r="Q283" s="111" t="n"/>
      <c r="R283" s="96" t="n"/>
      <c r="S283" s="96" t="n"/>
      <c r="T283" s="96" t="n"/>
      <c r="U283" s="96" t="n"/>
      <c r="V283" s="161" t="n"/>
      <c r="W283" s="96" t="n"/>
      <c r="X283" s="161" t="n"/>
      <c r="Y283" s="97" t="n"/>
      <c r="Z283" s="97" t="n"/>
      <c r="AA283" s="97" t="n"/>
      <c r="AB283" s="97" t="n"/>
      <c r="AC283" s="97" t="n"/>
      <c r="AD283" s="161" t="n"/>
      <c r="AE283" s="174" t="n"/>
      <c r="AF283" s="96" t="n"/>
      <c r="AG283" s="97" t="n"/>
      <c r="AH283" s="97" t="n"/>
      <c r="AI283" s="97" t="n"/>
      <c r="AJ283" s="96" t="n"/>
      <c r="AK283" s="130" t="n"/>
    </row>
    <row r="284" ht="12" customHeight="1">
      <c r="A284" s="108" t="inlineStr">
        <is>
          <t>TRHU5288434</t>
        </is>
      </c>
      <c r="B284" s="108" t="n"/>
      <c r="C284" s="108" t="n"/>
      <c r="D284" s="172" t="n"/>
      <c r="E284" s="173" t="n"/>
      <c r="F284" s="96" t="n"/>
      <c r="G284" s="96" t="n"/>
      <c r="H284" s="111" t="n"/>
      <c r="I284" s="96" t="n"/>
      <c r="J284" s="96" t="n"/>
      <c r="K284" s="96" t="n"/>
      <c r="L284" s="111" t="n"/>
      <c r="M284" s="96" t="n"/>
      <c r="N284" s="96" t="n"/>
      <c r="O284" s="111" t="n"/>
      <c r="P284" s="111" t="n"/>
      <c r="Q284" s="111" t="n"/>
      <c r="R284" s="96" t="n"/>
      <c r="S284" s="96" t="n"/>
      <c r="T284" s="96" t="n"/>
      <c r="U284" s="96" t="n"/>
      <c r="V284" s="161" t="n"/>
      <c r="W284" s="96" t="n"/>
      <c r="X284" s="161" t="n"/>
      <c r="Y284" s="97" t="n"/>
      <c r="Z284" s="97" t="n"/>
      <c r="AA284" s="97" t="n"/>
      <c r="AB284" s="97" t="n"/>
      <c r="AC284" s="97" t="n"/>
      <c r="AD284" s="161" t="n"/>
      <c r="AE284" s="174" t="n"/>
      <c r="AF284" s="96" t="n"/>
      <c r="AG284" s="97" t="n"/>
      <c r="AH284" s="97" t="n"/>
      <c r="AI284" s="97" t="n"/>
      <c r="AJ284" s="96" t="n"/>
      <c r="AK284" s="130" t="n"/>
    </row>
    <row r="285" ht="12" customHeight="1">
      <c r="A285" s="108" t="inlineStr">
        <is>
          <t>TRHU6242886</t>
        </is>
      </c>
      <c r="B285" s="108" t="n"/>
      <c r="C285" s="108" t="n"/>
      <c r="D285" s="172" t="n"/>
      <c r="E285" s="173" t="n"/>
      <c r="F285" s="96" t="n"/>
      <c r="G285" s="96" t="n"/>
      <c r="H285" s="111" t="n"/>
      <c r="I285" s="96" t="n"/>
      <c r="J285" s="96" t="n"/>
      <c r="K285" s="96" t="n"/>
      <c r="L285" s="111" t="n"/>
      <c r="M285" s="96" t="n"/>
      <c r="N285" s="96" t="n"/>
      <c r="O285" s="111" t="n"/>
      <c r="P285" s="111" t="n"/>
      <c r="Q285" s="111" t="n"/>
      <c r="R285" s="96" t="n"/>
      <c r="S285" s="96" t="n"/>
      <c r="T285" s="96" t="n"/>
      <c r="U285" s="96" t="n"/>
      <c r="V285" s="161" t="n"/>
      <c r="W285" s="96" t="n"/>
      <c r="X285" s="161" t="n"/>
      <c r="Y285" s="97" t="n"/>
      <c r="Z285" s="97" t="n"/>
      <c r="AA285" s="97" t="n"/>
      <c r="AB285" s="97" t="n"/>
      <c r="AC285" s="97" t="n"/>
      <c r="AD285" s="161" t="n"/>
      <c r="AE285" s="174" t="n"/>
      <c r="AF285" s="96" t="n"/>
      <c r="AG285" s="97" t="n"/>
      <c r="AH285" s="97" t="n"/>
      <c r="AI285" s="97" t="n"/>
      <c r="AJ285" s="96" t="n"/>
      <c r="AK285" s="130" t="n"/>
    </row>
    <row r="286" ht="12" customHeight="1">
      <c r="A286" s="108" t="inlineStr">
        <is>
          <t>TRHU6265768</t>
        </is>
      </c>
      <c r="B286" s="108" t="n"/>
      <c r="C286" s="108" t="n"/>
      <c r="D286" s="172" t="n"/>
      <c r="E286" s="173" t="n"/>
      <c r="F286" s="96" t="n"/>
      <c r="G286" s="96" t="n"/>
      <c r="H286" s="111" t="n"/>
      <c r="I286" s="96" t="n"/>
      <c r="J286" s="96" t="n"/>
      <c r="K286" s="96" t="n"/>
      <c r="L286" s="111" t="n"/>
      <c r="M286" s="96" t="n"/>
      <c r="N286" s="96" t="n"/>
      <c r="O286" s="111" t="n"/>
      <c r="P286" s="111" t="n"/>
      <c r="Q286" s="111" t="n"/>
      <c r="R286" s="96" t="n"/>
      <c r="S286" s="96" t="n"/>
      <c r="T286" s="96" t="n"/>
      <c r="U286" s="96" t="n"/>
      <c r="V286" s="161" t="n"/>
      <c r="W286" s="96" t="n"/>
      <c r="X286" s="161" t="n"/>
      <c r="Y286" s="97" t="n"/>
      <c r="Z286" s="97" t="n"/>
      <c r="AA286" s="97" t="n"/>
      <c r="AB286" s="97" t="n"/>
      <c r="AC286" s="97" t="n"/>
      <c r="AD286" s="161" t="n"/>
      <c r="AE286" s="174" t="n"/>
      <c r="AF286" s="96" t="n"/>
      <c r="AG286" s="97" t="n"/>
      <c r="AH286" s="97" t="n"/>
      <c r="AI286" s="97" t="n"/>
      <c r="AJ286" s="96" t="n"/>
      <c r="AK286" s="130" t="n"/>
    </row>
    <row r="287" ht="12" customHeight="1">
      <c r="A287" s="108" t="inlineStr">
        <is>
          <t>TRHU6267478</t>
        </is>
      </c>
      <c r="B287" s="108" t="n"/>
      <c r="C287" s="108" t="n"/>
      <c r="D287" s="172" t="n"/>
      <c r="E287" s="173" t="n"/>
      <c r="F287" s="96" t="n"/>
      <c r="G287" s="96" t="n"/>
      <c r="H287" s="111" t="n"/>
      <c r="I287" s="96" t="n"/>
      <c r="J287" s="96" t="n"/>
      <c r="K287" s="96" t="n"/>
      <c r="L287" s="111" t="n"/>
      <c r="M287" s="96" t="n"/>
      <c r="N287" s="96" t="n"/>
      <c r="O287" s="111" t="n"/>
      <c r="P287" s="111" t="n"/>
      <c r="Q287" s="111" t="n"/>
      <c r="R287" s="96" t="n"/>
      <c r="S287" s="96" t="n"/>
      <c r="T287" s="96" t="n"/>
      <c r="U287" s="96" t="n"/>
      <c r="V287" s="161" t="n"/>
      <c r="W287" s="96" t="n"/>
      <c r="X287" s="161" t="n"/>
      <c r="Y287" s="97" t="n"/>
      <c r="Z287" s="97" t="n"/>
      <c r="AA287" s="97" t="n"/>
      <c r="AB287" s="97" t="n"/>
      <c r="AC287" s="97" t="n"/>
      <c r="AD287" s="161" t="n"/>
      <c r="AE287" s="174" t="n"/>
      <c r="AF287" s="96" t="n"/>
      <c r="AG287" s="97" t="n"/>
      <c r="AH287" s="97" t="n"/>
      <c r="AI287" s="97" t="n"/>
      <c r="AJ287" s="96" t="n"/>
      <c r="AK287" s="130" t="n"/>
    </row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145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174375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174375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BEAU2989465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LCH06</v>
      </c>
      <c r="D3" s="61" t="str">
        <f>VLOOKUP(A3,'1.Loading'!A:R,17,FALSE)</f>
        <v>HASLS22260901582</v>
      </c>
      <c r="E3" s="62" t="str">
        <f>VLOOKUP(D3,'2.Bookinglist'!A:CT,27,FALSE)</f>
        <v>SCGJWD LOGISTICS PUBLIC COMPANY LIMITED</v>
      </c>
      <c r="F3" s="62" t="str">
        <f>VLOOKUP(D3,'2.Bookinglist'!A:CT,28,FALSE)</f>
        <v>THAI POLYETHYLENE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JPMOJ</v>
      </c>
      <c r="J3" s="61" t="str">
        <f>VLOOKUP(D3,'2.Bookinglist'!A:CT,26,FALSE)</f>
        <v>KRPUS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SWVG</v>
      </c>
      <c r="P3" s="61" t="str">
        <f>VLOOKUP(A3,'1.Loading'!A:R,4,FALSE)</f>
        <v>2612N</v>
      </c>
      <c r="Q3" s="61" t="str">
        <f>VLOOKUP(D3,'2.Bookinglist'!A:CT,12,FALSE)</f>
        <v>PCI2</v>
      </c>
      <c r="R3" s="60" t="str">
        <f>IF(LEFT(K3,2)="22","20'","40'")</f>
        <v>20'</v>
      </c>
      <c r="S3" s="101" t="n"/>
      <c r="T3" s="61" t="str">
        <f>VLOOKUP(A3,'1.Loading'!A:R,2,FALSE)</f>
        <v>2026-10-07</v>
      </c>
      <c r="U3" s="63">
        <f>T3-S3</f>
        <v>46302</v>
      </c>
      <c r="V3" s="178" t="n"/>
      <c r="W3" s="61" t="str">
        <f>VLOOKUP(A3,'3.GateMove'!A:D,4,FALSE)</f>
        <v>2026-10-03</v>
      </c>
      <c r="X3" s="63">
        <f>((T3-W3)+1)</f>
        <v>5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46303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Kanokporn</v>
      </c>
      <c r="AL3" s="60" t="str">
        <f>VLOOKUP(D3,'2.Bookinglist'!A:CW,101,FALSE)</f>
        <v>2026-10-03</v>
      </c>
      <c r="AM3" s="60" t="str">
        <f>VLOOKUP(D3,'2.Bookinglist'!A:BK,63,FALSE)</f>
        <v>LCHY5</v>
      </c>
      <c r="AN3" s="62" t="str">
        <f>VLOOKUP(D3,'2.Bookinglist'!A:AZ,52,FALSE)</f>
        <v>CY-RTN 28-29/09/26 (  INV  3031061852  )</v>
      </c>
      <c r="AO3" s="62">
        <f>VLOOKUP(D3,'2.Bookinglist'!A:CY,103,FALSE)</f>
        <v>0</v>
      </c>
    </row>
    <row r="4" ht="12.95" customHeight="1">
      <c r="A4" s="96" t="inlineStr">
        <is>
          <t>BMOU5940421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LCH06</v>
      </c>
      <c r="D4" s="61" t="str">
        <f>VLOOKUP(A4,'1.Loading'!A:R,17,FALSE)</f>
        <v>HASLS22260901668</v>
      </c>
      <c r="E4" s="62" t="str">
        <f>VLOOKUP(D4,'2.Bookinglist'!A:CT,27,FALSE)</f>
        <v>BARKLAYS LOGISTICS (THAILAND) CO., LTD.</v>
      </c>
      <c r="F4" s="62" t="str">
        <f>VLOOKUP(D4,'2.Bookinglist'!A:CT,28,FALSE)</f>
        <v>GOLDEN CRANE (GOLDEN DRAGON) CO.,LTD.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CNSHA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SWVG</v>
      </c>
      <c r="P4" s="61" t="str">
        <f>VLOOKUP(A4,'1.Loading'!A:R,4,FALSE)</f>
        <v>2612N</v>
      </c>
      <c r="Q4" s="61" t="str">
        <f>VLOOKUP(D4,'2.Bookinglist'!A:CT,12,FALSE)</f>
        <v>PCI2</v>
      </c>
      <c r="R4" s="60" t="str">
        <f>IF(LEFT(K4,2)="22","20'","40'")</f>
        <v>40'</v>
      </c>
      <c r="S4" s="185" t="n"/>
      <c r="T4" s="61" t="str">
        <f>VLOOKUP(A4,'1.Loading'!A:R,2,FALSE)</f>
        <v>2026-10-07</v>
      </c>
      <c r="U4" s="63">
        <f>T4-S4</f>
        <v>46302</v>
      </c>
      <c r="V4" s="186" t="n"/>
      <c r="W4" s="61" t="str">
        <f>VLOOKUP(A4,'3.GateMove'!A:D,4,FALSE)</f>
        <v>2026-09-19</v>
      </c>
      <c r="X4" s="63">
        <f>((T4-W4)+1)</f>
        <v>19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12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4250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46303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4250</v>
      </c>
      <c r="AJ4" s="188" t="n"/>
      <c r="AK4" s="62" t="str">
        <f>VLOOKUP(D4,'2.Bookinglist'!A:CT,40,FALSE)</f>
        <v>Nannaapust Sukporntaweewat</v>
      </c>
      <c r="AL4" s="60" t="str">
        <f>VLOOKUP(D4,'2.Bookinglist'!A:CW,101,FALSE)</f>
        <v>2026-10-08</v>
      </c>
      <c r="AM4" s="60" t="str">
        <f>VLOOKUP(D4,'2.Bookinglist'!A:BK,63,FALSE)</f>
        <v>LCHY5</v>
      </c>
      <c r="AN4" s="62" t="str">
        <f>VLOOKUP(D4,'2.Bookinglist'!A:AZ,52,FALSE)</f>
        <v>Pickup : 2026-09-18, Return : 2026-09-19</v>
      </c>
      <c r="AO4" s="62" t="str">
        <f>VLOOKUP(D4,'2.Bookinglist'!A:CY,103,FALSE)</f>
        <v>ROLL OVER FROM PREVIOUS VSL HAB 2611N  BY ALLOCATION TEAM MS.TARN APPROVED COST IS UNDER HA DD.25/09</v>
      </c>
    </row>
    <row r="5" ht="12.95" customHeight="1">
      <c r="A5" s="96" t="inlineStr">
        <is>
          <t>CRSU9338660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LCH06</v>
      </c>
      <c r="D5" s="61" t="str">
        <f>VLOOKUP(A5,'1.Loading'!A:R,17,FALSE)</f>
        <v>HASLS22260802360</v>
      </c>
      <c r="E5" s="62" t="str">
        <f>VLOOKUP(D5,'2.Bookinglist'!A:CT,27,FALSE)</f>
        <v>WHA GC LOGISTICS COMPANY LIMITED</v>
      </c>
      <c r="F5" s="62" t="str">
        <f>VLOOKUP(D5,'2.Bookinglist'!A:CT,28,FALSE)</f>
        <v>PTT GLOBAL CHEMICAL PUBLIC COMPANY LIMITED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JPMYJ</v>
      </c>
      <c r="J5" s="61" t="str">
        <f>VLOOKUP(D5,'2.Bookinglist'!A:CT,26,FALSE)</f>
        <v>KRPUS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SWVG</v>
      </c>
      <c r="P5" s="61" t="str">
        <f>VLOOKUP(A5,'1.Loading'!A:R,4,FALSE)</f>
        <v>2612N</v>
      </c>
      <c r="Q5" s="61" t="str">
        <f>VLOOKUP(D5,'2.Bookinglist'!A:CT,12,FALSE)</f>
        <v>PCI2</v>
      </c>
      <c r="R5" s="60" t="str">
        <f>IF(LEFT(K5,2)="22","20'","40'")</f>
        <v>40'</v>
      </c>
      <c r="S5" s="185" t="n"/>
      <c r="T5" s="61" t="str">
        <f>VLOOKUP(A5,'1.Loading'!A:R,2,FALSE)</f>
        <v>2026-10-07</v>
      </c>
      <c r="U5" s="63">
        <f>T5-S5</f>
        <v>46302</v>
      </c>
      <c r="V5" s="186" t="n"/>
      <c r="W5" s="61" t="str">
        <f>VLOOKUP(A5,'3.GateMove'!A:D,4,FALSE)</f>
        <v>2026-09-29</v>
      </c>
      <c r="X5" s="63">
        <f>((T5-W5)+1)</f>
        <v>9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2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500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46303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500</v>
      </c>
      <c r="AJ5" s="188" t="n"/>
      <c r="AK5" s="62" t="str">
        <f>VLOOKUP(D5,'2.Bookinglist'!A:CT,40,FALSE)</f>
        <v>Dharaporn</v>
      </c>
      <c r="AL5" s="60" t="str">
        <f>VLOOKUP(D5,'2.Bookinglist'!A:CW,101,FALSE)</f>
        <v>2026-10-03</v>
      </c>
      <c r="AM5" s="60" t="str">
        <f>VLOOKUP(D5,'2.Bookinglist'!A:BK,63,FALSE)</f>
        <v>LCH28</v>
      </c>
      <c r="AN5" s="62" t="str">
        <f>VLOOKUP(D5,'2.Bookinglist'!A:AZ,52,FALSE)</f>
        <v>CY-RTN 23-27/09/26
*PLS CHECK OPEN GATE BEFORE RETURN CTNR*</v>
      </c>
      <c r="AO5" s="62">
        <f>VLOOKUP(D5,'2.Bookinglist'!A:CY,103,FALSE)</f>
        <v>0</v>
      </c>
    </row>
    <row r="6" ht="12.95" customHeight="1">
      <c r="A6" s="96" t="inlineStr">
        <is>
          <t>CXDU2308143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LCH06</v>
      </c>
      <c r="D6" s="61" t="str">
        <f>VLOOKUP(A6,'1.Loading'!A:R,17,FALSE)</f>
        <v>HASLS22260901104</v>
      </c>
      <c r="E6" s="62" t="str">
        <f>VLOOKUP(D6,'2.Bookinglist'!A:CT,27,FALSE)</f>
        <v>TTR FREIGHT AND SERVICE COMPANY LIMITED</v>
      </c>
      <c r="F6" s="62" t="str">
        <f>VLOOKUP(D6,'2.Bookinglist'!A:CT,28,FALSE)</f>
        <v>RAK SYSCOM (THAILAND) COMPANY LIMITD.</v>
      </c>
      <c r="G6" s="60" t="str">
        <f>VLOOKUP(D6,'2.Bookinglist'!A:E,5,FALSE)</f>
        <v>THSRP</v>
      </c>
      <c r="H6" s="61" t="str">
        <f>VLOOKUP(D6,'2.Bookinglist'!A:CT,15,FALSE)</f>
        <v>THLCH</v>
      </c>
      <c r="I6" s="61" t="str">
        <f>VLOOKUP(D6,'2.Bookinglist'!A:CT,19,FALSE)</f>
        <v>CNSHA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SWVG</v>
      </c>
      <c r="P6" s="61" t="str">
        <f>VLOOKUP(A6,'1.Loading'!A:R,4,FALSE)</f>
        <v>2612N</v>
      </c>
      <c r="Q6" s="61" t="str">
        <f>VLOOKUP(D6,'2.Bookinglist'!A:CT,12,FALSE)</f>
        <v>PCI2</v>
      </c>
      <c r="R6" s="60" t="str">
        <f>IF(LEFT(K6,2)="22","20'","40'")</f>
        <v>20'</v>
      </c>
      <c r="S6" s="185" t="n"/>
      <c r="T6" s="61" t="str">
        <f>VLOOKUP(A6,'1.Loading'!A:R,2,FALSE)</f>
        <v>2026-10-07</v>
      </c>
      <c r="U6" s="63">
        <f>T6-S6</f>
        <v>46302</v>
      </c>
      <c r="V6" s="186" t="n"/>
      <c r="W6" s="61" t="str">
        <f>VLOOKUP(A6,'3.GateMove'!A:D,4,FALSE)</f>
        <v>2026-09-26</v>
      </c>
      <c r="X6" s="63">
        <f>((T6-W6)+1)</f>
        <v>12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5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625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46303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625</v>
      </c>
      <c r="AJ6" s="188" t="n"/>
      <c r="AK6" s="62" t="str">
        <f>VLOOKUP(D6,'2.Bookinglist'!A:CT,40,FALSE)</f>
        <v>Arunphat W. (Aiw)</v>
      </c>
      <c r="AL6" s="60" t="str">
        <f>VLOOKUP(D6,'2.Bookinglist'!A:CW,101,FALSE)</f>
        <v>2026-10-08</v>
      </c>
      <c r="AM6" s="60" t="str">
        <f>VLOOKUP(D6,'2.Bookinglist'!A:BK,63,FALSE)</f>
        <v>BKK27</v>
      </c>
      <c r="AN6" s="62" t="str">
        <f>VLOOKUP(D6,'2.Bookinglist'!A:AZ,52,FALSE)</f>
        <v>* APPROVE BY KIM JAE-HYUNG DD 29/09* 
SURVEY 21/09  Pickup : 2026-09-21, Return : 2026-09-24 [PAPERLESS CODE : 2829] 
 CLS TIME 24/09 @22.00 </v>
      </c>
      <c r="AO6" s="62" t="str">
        <f>VLOOKUP(D6,'2.Bookinglist'!A:CY,103,FALSE)</f>
        <v>ROLL OVER FROM PREVIOUS VSL HAB 2611N BY ALLOCATION TEAM MS.TAN APPROVED COST IS UNDER HA DD.26/09</v>
      </c>
    </row>
    <row r="7" ht="12.95" customHeight="1">
      <c r="A7" s="96" t="inlineStr">
        <is>
          <t>DFSU3096313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LCH06</v>
      </c>
      <c r="D7" s="61" t="str">
        <f>VLOOKUP(A7,'1.Loading'!A:R,17,FALSE)</f>
        <v>HASLS22260901513</v>
      </c>
      <c r="E7" s="62" t="str">
        <f>VLOOKUP(D7,'2.Bookinglist'!A:CT,27,FALSE)</f>
        <v>DOUBLE A (1991) PUBLIC COMPANY LIMITED</v>
      </c>
      <c r="F7" s="62" t="str">
        <f>VLOOKUP(D7,'2.Bookinglist'!A:CT,28,FALSE)</f>
        <v>DOUBLE A (1991) PUBLIC COMPANY LIMITED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CNSHA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SWVG</v>
      </c>
      <c r="P7" s="61" t="str">
        <f>VLOOKUP(A7,'1.Loading'!A:R,4,FALSE)</f>
        <v>2612N</v>
      </c>
      <c r="Q7" s="61" t="str">
        <f>VLOOKUP(D7,'2.Bookinglist'!A:CT,12,FALSE)</f>
        <v>PCI2</v>
      </c>
      <c r="R7" s="60" t="str">
        <f>IF(LEFT(K7,2)="22","20'","40'")</f>
        <v>20'</v>
      </c>
      <c r="S7" s="185" t="n"/>
      <c r="T7" s="61" t="str">
        <f>VLOOKUP(A7,'1.Loading'!A:R,2,FALSE)</f>
        <v>2026-10-07</v>
      </c>
      <c r="U7" s="63">
        <f>T7-S7</f>
        <v>46302</v>
      </c>
      <c r="V7" s="186" t="n"/>
      <c r="W7" s="61" t="str">
        <f>VLOOKUP(A7,'3.GateMove'!A:D,4,FALSE)</f>
        <v>2026-09-30</v>
      </c>
      <c r="X7" s="63">
        <f>((T7-W7)+1)</f>
        <v>8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1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125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46303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125</v>
      </c>
      <c r="AJ7" s="188" t="n"/>
      <c r="AK7" s="62" t="str">
        <f>VLOOKUP(D7,'2.Bookinglist'!A:CT,40,FALSE)</f>
        <v>Kanokporn</v>
      </c>
      <c r="AL7" s="60" t="str">
        <f>VLOOKUP(D7,'2.Bookinglist'!A:CW,101,FALSE)</f>
        <v>2026-10-03</v>
      </c>
      <c r="AM7" s="60" t="str">
        <f>VLOOKUP(D7,'2.Bookinglist'!A:BK,63,FALSE)</f>
        <v>LCHY5</v>
      </c>
      <c r="AN7" s="62" t="str">
        <f>VLOOKUP(D7,'2.Bookinglist'!A:AZ,52,FALSE)</f>
        <v>CY-RTN : 25-29/09/2026
REF : PI-CN-TH-DA-26090065,PI-CN-TH-DA-26090066,PI-CN-TH-DA-26090068
FRT 31/20'/31/40'HQ  Freetime 21 days 
</v>
      </c>
      <c r="AO7" s="62">
        <f>VLOOKUP(D7,'2.Bookinglist'!A:CY,103,FALSE)</f>
        <v>0</v>
      </c>
    </row>
    <row r="8" ht="12.95" customHeight="1">
      <c r="A8" s="96" t="inlineStr">
        <is>
          <t>FCIU7289678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LCH06</v>
      </c>
      <c r="D8" s="61" t="str">
        <f>VLOOKUP(A8,'1.Loading'!A:R,17,FALSE)</f>
        <v>HASLS22260900441</v>
      </c>
      <c r="E8" s="62" t="str">
        <f>VLOOKUP(D8,'2.Bookinglist'!A:CT,27,FALSE)</f>
        <v>BARKLAYS LOGISTICS (THAILAND) CO., LTD.</v>
      </c>
      <c r="F8" s="62" t="str">
        <f>VLOOKUP(D8,'2.Bookinglist'!A:CT,28,FALSE)</f>
        <v>GOLDEN CRANE (GOLDEN DRAGON) CO.,LTD.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CNSHA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SWVG</v>
      </c>
      <c r="P8" s="61" t="str">
        <f>VLOOKUP(A8,'1.Loading'!A:R,4,FALSE)</f>
        <v>2612N</v>
      </c>
      <c r="Q8" s="61" t="str">
        <f>VLOOKUP(D8,'2.Bookinglist'!A:CT,12,FALSE)</f>
        <v>PCI2</v>
      </c>
      <c r="R8" s="60" t="str">
        <f>IF(LEFT(K8,2)="22","20'","40'")</f>
        <v>40'</v>
      </c>
      <c r="S8" s="185" t="n"/>
      <c r="T8" s="61" t="str">
        <f>VLOOKUP(A8,'1.Loading'!A:R,2,FALSE)</f>
        <v>2026-10-07</v>
      </c>
      <c r="U8" s="63">
        <f>T8-S8</f>
        <v>46302</v>
      </c>
      <c r="V8" s="186" t="n"/>
      <c r="W8" s="61" t="str">
        <f>VLOOKUP(A8,'3.GateMove'!A:D,4,FALSE)</f>
        <v>2026-09-19</v>
      </c>
      <c r="X8" s="63">
        <f>((T8-W8)+1)</f>
        <v>19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12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4250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46303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4250</v>
      </c>
      <c r="AJ8" s="188" t="n"/>
      <c r="AK8" s="62" t="str">
        <f>VLOOKUP(D8,'2.Bookinglist'!A:CT,40,FALSE)</f>
        <v>Nannaapust Sukporntaweewat</v>
      </c>
      <c r="AL8" s="60" t="str">
        <f>VLOOKUP(D8,'2.Bookinglist'!A:CW,101,FALSE)</f>
        <v>2026-10-08</v>
      </c>
      <c r="AM8" s="60" t="str">
        <f>VLOOKUP(D8,'2.Bookinglist'!A:BK,63,FALSE)</f>
        <v>LCHY5</v>
      </c>
      <c r="AN8" s="62" t="str">
        <f>VLOOKUP(D8,'2.Bookinglist'!A:AZ,52,FALSE)</f>
        <v>Pickup : 2026-09-18, Return : 2026-09-19</v>
      </c>
      <c r="AO8" s="62" t="str">
        <f>VLOOKUP(D8,'2.Bookinglist'!A:CY,103,FALSE)</f>
        <v>ROLL OVER FROM PREVIOUS VSL HAB 2611N  BY ALLOCATION TEAM MS.TARN APPROVED COST IS UNDER HA DD.25/09</v>
      </c>
    </row>
    <row r="9" ht="12.95" customHeight="1">
      <c r="A9" s="96" t="inlineStr">
        <is>
          <t>FSCU7114149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LCH06</v>
      </c>
      <c r="D9" s="61" t="str">
        <f>VLOOKUP(A9,'1.Loading'!A:R,17,FALSE)</f>
        <v>HASLS22260901668</v>
      </c>
      <c r="E9" s="62" t="str">
        <f>VLOOKUP(D9,'2.Bookinglist'!A:CT,27,FALSE)</f>
        <v>BARKLAYS LOGISTICS (THAILAND) CO., LTD.</v>
      </c>
      <c r="F9" s="62" t="str">
        <f>VLOOKUP(D9,'2.Bookinglist'!A:CT,28,FALSE)</f>
        <v>GOLDEN CRANE (GOLDEN DRAGON) CO.,LTD.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CNSHA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SWVG</v>
      </c>
      <c r="P9" s="61" t="str">
        <f>VLOOKUP(A9,'1.Loading'!A:R,4,FALSE)</f>
        <v>2612N</v>
      </c>
      <c r="Q9" s="61" t="str">
        <f>VLOOKUP(D9,'2.Bookinglist'!A:CT,12,FALSE)</f>
        <v>PCI2</v>
      </c>
      <c r="R9" s="60" t="str">
        <f>IF(LEFT(K9,2)="22","20'","40'")</f>
        <v>40'</v>
      </c>
      <c r="S9" s="185" t="n"/>
      <c r="T9" s="61" t="str">
        <f>VLOOKUP(A9,'1.Loading'!A:R,2,FALSE)</f>
        <v>2026-10-07</v>
      </c>
      <c r="U9" s="63">
        <f>T9-S9</f>
        <v>46302</v>
      </c>
      <c r="V9" s="186" t="n"/>
      <c r="W9" s="61" t="str">
        <f>VLOOKUP(A9,'3.GateMove'!A:D,4,FALSE)</f>
        <v>2026-09-19</v>
      </c>
      <c r="X9" s="63">
        <f>((T9-W9)+1)</f>
        <v>19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12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4250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46303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4250</v>
      </c>
      <c r="AJ9" s="188" t="n"/>
      <c r="AK9" s="62" t="str">
        <f>VLOOKUP(D9,'2.Bookinglist'!A:CT,40,FALSE)</f>
        <v>Nannaapust Sukporntaweewat</v>
      </c>
      <c r="AL9" s="60" t="str">
        <f>VLOOKUP(D9,'2.Bookinglist'!A:CW,101,FALSE)</f>
        <v>2026-10-08</v>
      </c>
      <c r="AM9" s="60" t="str">
        <f>VLOOKUP(D9,'2.Bookinglist'!A:BK,63,FALSE)</f>
        <v>LCHY5</v>
      </c>
      <c r="AN9" s="62" t="str">
        <f>VLOOKUP(D9,'2.Bookinglist'!A:AZ,52,FALSE)</f>
        <v>Pickup : 2026-09-18, Return : 2026-09-19</v>
      </c>
      <c r="AO9" s="62" t="str">
        <f>VLOOKUP(D9,'2.Bookinglist'!A:CY,103,FALSE)</f>
        <v>ROLL OVER FROM PREVIOUS VSL HAB 2611N  BY ALLOCATION TEAM MS.TARN APPROVED COST IS UNDER HA DD.25/09</v>
      </c>
    </row>
    <row r="10" ht="12.95" customHeight="1">
      <c r="A10" s="96" t="inlineStr">
        <is>
          <t>GCXU6008948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LCH06</v>
      </c>
      <c r="D10" s="61" t="str">
        <f>VLOOKUP(A10,'1.Loading'!A:R,17,FALSE)</f>
        <v>HASLS22260901914</v>
      </c>
      <c r="E10" s="62" t="str">
        <f>VLOOKUP(D10,'2.Bookinglist'!A:CT,27,FALSE)</f>
        <v>MITSUBISHI LOGISTICS (THAILAND) CO., LTD.</v>
      </c>
      <c r="F10" s="62" t="str">
        <f>VLOOKUP(D10,'2.Bookinglist'!A:CT,28,FALSE)</f>
        <v>SHIN-ETSU SILICONES (THAILAND)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CNSHA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SWVG</v>
      </c>
      <c r="P10" s="61" t="str">
        <f>VLOOKUP(A10,'1.Loading'!A:R,4,FALSE)</f>
        <v>2612N</v>
      </c>
      <c r="Q10" s="61" t="str">
        <f>VLOOKUP(D10,'2.Bookinglist'!A:CT,12,FALSE)</f>
        <v>PCI2</v>
      </c>
      <c r="R10" s="60" t="str">
        <f>IF(LEFT(K10,2)="22","20'","40'")</f>
        <v>40'</v>
      </c>
      <c r="S10" s="185" t="n"/>
      <c r="T10" s="61" t="str">
        <f>VLOOKUP(A10,'1.Loading'!A:R,2,FALSE)</f>
        <v>2026-10-07</v>
      </c>
      <c r="U10" s="63">
        <f>T10-S10</f>
        <v>46302</v>
      </c>
      <c r="V10" s="186" t="n"/>
      <c r="W10" s="61" t="str">
        <f>VLOOKUP(A10,'3.GateMove'!A:D,4,FALSE)</f>
        <v>2026-10-02</v>
      </c>
      <c r="X10" s="63">
        <f>((T10-W10)+1)</f>
        <v>6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46303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Pattarapong Saengthong</v>
      </c>
      <c r="AL10" s="60" t="str">
        <f>VLOOKUP(D10,'2.Bookinglist'!A:CW,101,FALSE)</f>
        <v>2026-10-06</v>
      </c>
      <c r="AM10" s="60" t="str">
        <f>VLOOKUP(D10,'2.Bookinglist'!A:BK,63,FALSE)</f>
        <v>LCH28</v>
      </c>
      <c r="AN10" s="62" t="str">
        <f>VLOOKUP(D10,'2.Bookinglist'!A:AZ,52,FALSE)</f>
        <v>Pickup : 2026-10-01, Return : 2026-10-02 </v>
      </c>
      <c r="AO10" s="62">
        <f>VLOOKUP(D10,'2.Bookinglist'!A:CY,103,FALSE)</f>
        <v>0</v>
      </c>
    </row>
    <row r="11" ht="12.95" customHeight="1">
      <c r="A11" s="96" t="inlineStr">
        <is>
          <t>GCXU6306808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LCH06</v>
      </c>
      <c r="D11" s="61" t="str">
        <f>VLOOKUP(A11,'1.Loading'!A:R,17,FALSE)</f>
        <v>HASLS22260802388</v>
      </c>
      <c r="E11" s="62" t="str">
        <f>VLOOKUP(D11,'2.Bookinglist'!A:CT,27,FALSE)</f>
        <v>SCGJWD LOGISTICS PUBLIC COMPANY LIMITED</v>
      </c>
      <c r="F11" s="62" t="str">
        <f>VLOOKUP(D11,'2.Bookinglist'!A:CT,28,FALSE)</f>
        <v>THAI POLYETHYLENE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CNSHA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SWVG</v>
      </c>
      <c r="P11" s="61" t="str">
        <f>VLOOKUP(A11,'1.Loading'!A:R,4,FALSE)</f>
        <v>2612N</v>
      </c>
      <c r="Q11" s="61" t="str">
        <f>VLOOKUP(D11,'2.Bookinglist'!A:CT,12,FALSE)</f>
        <v>PCI2</v>
      </c>
      <c r="R11" s="60" t="str">
        <f>IF(LEFT(K11,2)="22","20'","40'")</f>
        <v>40'</v>
      </c>
      <c r="S11" s="185" t="n"/>
      <c r="T11" s="61" t="str">
        <f>VLOOKUP(A11,'1.Loading'!A:R,2,FALSE)</f>
        <v>2026-10-07</v>
      </c>
      <c r="U11" s="63">
        <f>T11-S11</f>
        <v>46302</v>
      </c>
      <c r="V11" s="186" t="n"/>
      <c r="W11" s="61" t="str">
        <f>VLOOKUP(A11,'3.GateMove'!A:D,4,FALSE)</f>
        <v>2026-09-24</v>
      </c>
      <c r="X11" s="63">
        <f>((T11-W11)+1)</f>
        <v>14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7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1750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46303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1750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2026-09-28</v>
      </c>
      <c r="AM11" s="60" t="str">
        <f>VLOOKUP(D11,'2.Bookinglist'!A:BK,63,FALSE)</f>
        <v>LCHY5</v>
      </c>
      <c r="AN11" s="62" t="str">
        <f>VLOOKUP(D11,'2.Bookinglist'!A:AZ,52,FALSE)</f>
        <v>CY-RTN :18-22/09/2026 *INV :3031060734*
REQ GOOD AND CLEAN CONT., NO OIL, NO RUSTY
</v>
      </c>
      <c r="AO11" s="62">
        <f>VLOOKUP(D11,'2.Bookinglist'!A:CY,103,FALSE)</f>
        <v>0</v>
      </c>
    </row>
    <row r="12" ht="12.95" customHeight="1">
      <c r="A12" s="96" t="inlineStr">
        <is>
          <t>HALU2057900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LCH06</v>
      </c>
      <c r="D12" s="61" t="str">
        <f>VLOOKUP(A12,'1.Loading'!A:R,17,FALSE)</f>
        <v>HASLS22260900048</v>
      </c>
      <c r="E12" s="62" t="str">
        <f>VLOOKUP(D12,'2.Bookinglist'!A:CT,27,FALSE)</f>
        <v>WHA GC LOGISTICS COMPANY LIMITED</v>
      </c>
      <c r="F12" s="62" t="str">
        <f>VLOOKUP(D12,'2.Bookinglist'!A:CT,28,FALSE)</f>
        <v>PTT GLOBAL CHEMICAL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JPHKT</v>
      </c>
      <c r="J12" s="61" t="str">
        <f>VLOOKUP(D12,'2.Bookinglist'!A:CT,26,FALSE)</f>
        <v>KRPUS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SWVG</v>
      </c>
      <c r="P12" s="61" t="str">
        <f>VLOOKUP(A12,'1.Loading'!A:R,4,FALSE)</f>
        <v>2612N</v>
      </c>
      <c r="Q12" s="61" t="str">
        <f>VLOOKUP(D12,'2.Bookinglist'!A:CT,12,FALSE)</f>
        <v>PCI2</v>
      </c>
      <c r="R12" s="60" t="str">
        <f>IF(LEFT(K12,2)="22","20'","40'")</f>
        <v>20'</v>
      </c>
      <c r="S12" s="185" t="n"/>
      <c r="T12" s="61" t="str">
        <f>VLOOKUP(A12,'1.Loading'!A:R,2,FALSE)</f>
        <v>2026-10-07</v>
      </c>
      <c r="U12" s="63">
        <f>T12-S12</f>
        <v>46302</v>
      </c>
      <c r="V12" s="186" t="n"/>
      <c r="W12" s="61" t="str">
        <f>VLOOKUP(A12,'3.GateMove'!A:D,4,FALSE)</f>
        <v>2026-10-01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46303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2026-10-03</v>
      </c>
      <c r="AM12" s="60" t="str">
        <f>VLOOKUP(D12,'2.Bookinglist'!A:BK,63,FALSE)</f>
        <v>LCHY5</v>
      </c>
      <c r="AN12" s="62" t="str">
        <f>VLOOKUP(D12,'2.Bookinglist'!A:AZ,52,FALSE)</f>
        <v>CY-RTN 26-29/09/26 (PR2610001572)</v>
      </c>
      <c r="AO12" s="62">
        <f>VLOOKUP(D12,'2.Bookinglist'!A:CY,103,FALSE)</f>
        <v>0</v>
      </c>
    </row>
    <row r="13" ht="12.95" customHeight="1">
      <c r="A13" s="96" t="inlineStr">
        <is>
          <t>HALU2063312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LCH06</v>
      </c>
      <c r="D13" s="61" t="str">
        <f>VLOOKUP(A13,'1.Loading'!A:R,17,FALSE)</f>
        <v>HASLS22260901104</v>
      </c>
      <c r="E13" s="62" t="str">
        <f>VLOOKUP(D13,'2.Bookinglist'!A:CT,27,FALSE)</f>
        <v>TTR FREIGHT AND SERVICE COMPANY LIMITED</v>
      </c>
      <c r="F13" s="62" t="str">
        <f>VLOOKUP(D13,'2.Bookinglist'!A:CT,28,FALSE)</f>
        <v>RAK SYSCOM (THAILAND) COMPANY LIMITD.</v>
      </c>
      <c r="G13" s="60" t="str">
        <f>VLOOKUP(D13,'2.Bookinglist'!A:E,5,FALSE)</f>
        <v>THSRP</v>
      </c>
      <c r="H13" s="61" t="str">
        <f>VLOOKUP(D13,'2.Bookinglist'!A:CT,15,FALSE)</f>
        <v>THLCH</v>
      </c>
      <c r="I13" s="61" t="str">
        <f>VLOOKUP(D13,'2.Bookinglist'!A:CT,19,FALSE)</f>
        <v>CNSHA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SWVG</v>
      </c>
      <c r="P13" s="61" t="str">
        <f>VLOOKUP(A13,'1.Loading'!A:R,4,FALSE)</f>
        <v>2612N</v>
      </c>
      <c r="Q13" s="61" t="str">
        <f>VLOOKUP(D13,'2.Bookinglist'!A:CT,12,FALSE)</f>
        <v>PCI2</v>
      </c>
      <c r="R13" s="60" t="str">
        <f>IF(LEFT(K13,2)="22","20'","40'")</f>
        <v>20'</v>
      </c>
      <c r="S13" s="185" t="n"/>
      <c r="T13" s="61" t="str">
        <f>VLOOKUP(A13,'1.Loading'!A:R,2,FALSE)</f>
        <v>2026-10-07</v>
      </c>
      <c r="U13" s="63">
        <f>T13-S13</f>
        <v>46302</v>
      </c>
      <c r="V13" s="186" t="n"/>
      <c r="W13" s="61" t="str">
        <f>VLOOKUP(A13,'3.GateMove'!A:D,4,FALSE)</f>
        <v>2026-09-26</v>
      </c>
      <c r="X13" s="63">
        <f>((T13-W13)+1)</f>
        <v>12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5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625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46303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625</v>
      </c>
      <c r="AJ13" s="188" t="n"/>
      <c r="AK13" s="62" t="str">
        <f>VLOOKUP(D13,'2.Bookinglist'!A:CT,40,FALSE)</f>
        <v>Arunphat W. (Aiw)</v>
      </c>
      <c r="AL13" s="60" t="str">
        <f>VLOOKUP(D13,'2.Bookinglist'!A:CW,101,FALSE)</f>
        <v>2026-10-08</v>
      </c>
      <c r="AM13" s="60" t="str">
        <f>VLOOKUP(D13,'2.Bookinglist'!A:BK,63,FALSE)</f>
        <v>BKK27</v>
      </c>
      <c r="AN13" s="62" t="str">
        <f>VLOOKUP(D13,'2.Bookinglist'!A:AZ,52,FALSE)</f>
        <v>* APPROVE BY KIM JAE-HYUNG DD 29/09* 
SURVEY 21/09  Pickup : 2026-09-21, Return : 2026-09-24 [PAPERLESS CODE : 2829] 
 CLS TIME 24/09 @22.00 </v>
      </c>
      <c r="AO13" s="62" t="str">
        <f>VLOOKUP(D13,'2.Bookinglist'!A:CY,103,FALSE)</f>
        <v>ROLL OVER FROM PREVIOUS VSL HAB 2611N BY ALLOCATION TEAM MS.TAN APPROVED COST IS UNDER HA DD.26/09</v>
      </c>
    </row>
    <row r="14" ht="12.95" customHeight="1">
      <c r="A14" s="96" t="inlineStr">
        <is>
          <t>HALU2063760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LCH06</v>
      </c>
      <c r="D14" s="61" t="str">
        <f>VLOOKUP(A14,'1.Loading'!A:R,17,FALSE)</f>
        <v>HASLS22260901779</v>
      </c>
      <c r="E14" s="62" t="str">
        <f>VLOOKUP(D14,'2.Bookinglist'!A:CT,27,FALSE)</f>
        <v>EXPEDITORS (THAILAND) LTD.</v>
      </c>
      <c r="F14" s="62" t="str">
        <f>VLOOKUP(D14,'2.Bookinglist'!A:CT,28,FALSE)</f>
        <v>GANG YAN DIAMOND TOOLS (THAILAND)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CNSHA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SWVG</v>
      </c>
      <c r="P14" s="61" t="str">
        <f>VLOOKUP(A14,'1.Loading'!A:R,4,FALSE)</f>
        <v>2612N</v>
      </c>
      <c r="Q14" s="61" t="str">
        <f>VLOOKUP(D14,'2.Bookinglist'!A:CT,12,FALSE)</f>
        <v>PCI2</v>
      </c>
      <c r="R14" s="60" t="str">
        <f>IF(LEFT(K14,2)="22","20'","40'")</f>
        <v>20'</v>
      </c>
      <c r="S14" s="185" t="n"/>
      <c r="T14" s="61" t="str">
        <f>VLOOKUP(A14,'1.Loading'!A:R,2,FALSE)</f>
        <v>2026-10-07</v>
      </c>
      <c r="U14" s="63">
        <f>T14-S14</f>
        <v>46302</v>
      </c>
      <c r="V14" s="186" t="n"/>
      <c r="W14" s="61" t="str">
        <f>VLOOKUP(A14,'3.GateMove'!A:D,4,FALSE)</f>
        <v>2026-10-05</v>
      </c>
      <c r="X14" s="63">
        <f>((T14-W14)+1)</f>
        <v>3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46303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2026-10-08</v>
      </c>
      <c r="AM14" s="60" t="str">
        <f>VLOOKUP(D14,'2.Bookinglist'!A:BK,63,FALSE)</f>
        <v>LCHY5</v>
      </c>
      <c r="AN14" s="62" t="str">
        <f>VLOOKUP(D14,'2.Bookinglist'!A:AZ,52,FALSE)</f>
        <v>Pickup : 2026-10-03, Return : 2026-10-05</v>
      </c>
      <c r="AO14" s="62">
        <f>VLOOKUP(D14,'2.Bookinglist'!A:CY,103,FALSE)</f>
        <v>0</v>
      </c>
    </row>
    <row r="15" ht="12.95" customHeight="1">
      <c r="A15" s="96" t="inlineStr">
        <is>
          <t>HALU2071278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LCH06</v>
      </c>
      <c r="D15" s="61" t="str">
        <f>VLOOKUP(A15,'1.Loading'!A:R,17,FALSE)</f>
        <v>HASLS22260901276</v>
      </c>
      <c r="E15" s="62" t="str">
        <f>VLOOKUP(D15,'2.Bookinglist'!A:CT,27,FALSE)</f>
        <v>MITSUBISHI LOGISTICS (THAILAND) CO., LTD.</v>
      </c>
      <c r="F15" s="62" t="str">
        <f>VLOOKUP(D15,'2.Bookinglist'!A:CT,28,FALSE)</f>
        <v>SHIN-ETSU SILICONES (THAILAND)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CNSHA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SWVG</v>
      </c>
      <c r="P15" s="61" t="str">
        <f>VLOOKUP(A15,'1.Loading'!A:R,4,FALSE)</f>
        <v>2612N</v>
      </c>
      <c r="Q15" s="61" t="str">
        <f>VLOOKUP(D15,'2.Bookinglist'!A:CT,12,FALSE)</f>
        <v>PCI2</v>
      </c>
      <c r="R15" s="60" t="str">
        <f>IF(LEFT(K15,2)="22","20'","40'")</f>
        <v>20'</v>
      </c>
      <c r="S15" s="185" t="n"/>
      <c r="T15" s="61" t="str">
        <f>VLOOKUP(A15,'1.Loading'!A:R,2,FALSE)</f>
        <v>2026-10-07</v>
      </c>
      <c r="U15" s="63">
        <f>T15-S15</f>
        <v>46302</v>
      </c>
      <c r="V15" s="186" t="n"/>
      <c r="W15" s="61" t="str">
        <f>VLOOKUP(A15,'3.GateMove'!A:D,4,FALSE)</f>
        <v>2026-10-02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46303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Pattarapong Saengthong</v>
      </c>
      <c r="AL15" s="60" t="str">
        <f>VLOOKUP(D15,'2.Bookinglist'!A:CW,101,FALSE)</f>
        <v>2026-10-07</v>
      </c>
      <c r="AM15" s="60" t="str">
        <f>VLOOKUP(D15,'2.Bookinglist'!A:BK,63,FALSE)</f>
        <v>LCHY5</v>
      </c>
      <c r="AN15" s="62" t="str">
        <f>VLOOKUP(D15,'2.Bookinglist'!A:AZ,52,FALSE)</f>
        <v>Pickup : 2026-10-01, Return : 2026-10-02</v>
      </c>
      <c r="AO15" s="62">
        <f>VLOOKUP(D15,'2.Bookinglist'!A:CY,103,FALSE)</f>
        <v>0</v>
      </c>
    </row>
    <row r="16" ht="12.95" customHeight="1">
      <c r="A16" s="96" t="inlineStr">
        <is>
          <t>HALU2083659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LCH06</v>
      </c>
      <c r="D16" s="61" t="str">
        <f>VLOOKUP(A16,'1.Loading'!A:R,17,FALSE)</f>
        <v>HASLS22260902053</v>
      </c>
      <c r="E16" s="62" t="str">
        <f>VLOOKUP(D16,'2.Bookinglist'!A:CT,27,FALSE)</f>
        <v>WHA GC LOGISTICS COMPANY LIMITED</v>
      </c>
      <c r="F16" s="62" t="str">
        <f>VLOOKUP(D16,'2.Bookinglist'!A:CT,28,FALSE)</f>
        <v>PTT GLOBAL CHEMICAL PUBLIC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CNSHA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SWVG</v>
      </c>
      <c r="P16" s="61" t="str">
        <f>VLOOKUP(A16,'1.Loading'!A:R,4,FALSE)</f>
        <v>2612N</v>
      </c>
      <c r="Q16" s="61" t="str">
        <f>VLOOKUP(D16,'2.Bookinglist'!A:CT,12,FALSE)</f>
        <v>PCI2</v>
      </c>
      <c r="R16" s="60" t="str">
        <f>IF(LEFT(K16,2)="22","20'","40'")</f>
        <v>20'</v>
      </c>
      <c r="S16" s="185" t="n"/>
      <c r="T16" s="61" t="str">
        <f>VLOOKUP(A16,'1.Loading'!A:R,2,FALSE)</f>
        <v>2026-10-07</v>
      </c>
      <c r="U16" s="63">
        <f>T16-S16</f>
        <v>46302</v>
      </c>
      <c r="V16" s="186" t="n"/>
      <c r="W16" s="61" t="str">
        <f>VLOOKUP(A16,'3.GateMove'!A:D,4,FALSE)</f>
        <v>2026-09-29</v>
      </c>
      <c r="X16" s="63">
        <f>((T16-W16)+1)</f>
        <v>9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2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250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46303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250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2026-10-03</v>
      </c>
      <c r="AM16" s="60" t="str">
        <f>VLOOKUP(D16,'2.Bookinglist'!A:BK,63,FALSE)</f>
        <v>LCHY5</v>
      </c>
      <c r="AN16" s="62" t="str">
        <f>VLOOKUP(D16,'2.Bookinglist'!A:AZ,52,FALSE)</f>
        <v>CY-RTN: 23-27/09/2026  (1ST RETURN 30/09/26)</v>
      </c>
      <c r="AO16" s="62">
        <f>VLOOKUP(D16,'2.Bookinglist'!A:CY,103,FALSE)</f>
        <v>0</v>
      </c>
    </row>
    <row r="17" ht="12.95" customHeight="1">
      <c r="A17" s="96" t="inlineStr">
        <is>
          <t>HALU2325048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LCH06</v>
      </c>
      <c r="D17" s="61" t="str">
        <f>VLOOKUP(A17,'1.Loading'!A:R,17,FALSE)</f>
        <v>HASLS22260901104</v>
      </c>
      <c r="E17" s="62" t="str">
        <f>VLOOKUP(D17,'2.Bookinglist'!A:CT,27,FALSE)</f>
        <v>TTR FREIGHT AND SERVICE COMPANY LIMITED</v>
      </c>
      <c r="F17" s="62" t="str">
        <f>VLOOKUP(D17,'2.Bookinglist'!A:CT,28,FALSE)</f>
        <v>RAK SYSCOM (THAILAND) COMPANY LIMITD.</v>
      </c>
      <c r="G17" s="60" t="str">
        <f>VLOOKUP(D17,'2.Bookinglist'!A:E,5,FALSE)</f>
        <v>THSRP</v>
      </c>
      <c r="H17" s="61" t="str">
        <f>VLOOKUP(D17,'2.Bookinglist'!A:CT,15,FALSE)</f>
        <v>THLCH</v>
      </c>
      <c r="I17" s="61" t="str">
        <f>VLOOKUP(D17,'2.Bookinglist'!A:CT,19,FALSE)</f>
        <v>CNSHA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SWVG</v>
      </c>
      <c r="P17" s="61" t="str">
        <f>VLOOKUP(A17,'1.Loading'!A:R,4,FALSE)</f>
        <v>2612N</v>
      </c>
      <c r="Q17" s="61" t="str">
        <f>VLOOKUP(D17,'2.Bookinglist'!A:CT,12,FALSE)</f>
        <v>PCI2</v>
      </c>
      <c r="R17" s="60" t="str">
        <f>IF(LEFT(K17,2)="22","20'","40'")</f>
        <v>20'</v>
      </c>
      <c r="S17" s="185" t="n"/>
      <c r="T17" s="61" t="str">
        <f>VLOOKUP(A17,'1.Loading'!A:R,2,FALSE)</f>
        <v>2026-10-07</v>
      </c>
      <c r="U17" s="63">
        <f>T17-S17</f>
        <v>46302</v>
      </c>
      <c r="V17" s="186" t="n"/>
      <c r="W17" s="61" t="str">
        <f>VLOOKUP(A17,'3.GateMove'!A:D,4,FALSE)</f>
        <v>2026-09-26</v>
      </c>
      <c r="X17" s="63">
        <f>((T17-W17)+1)</f>
        <v>12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5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625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46303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625</v>
      </c>
      <c r="AJ17" s="188" t="n"/>
      <c r="AK17" s="62" t="str">
        <f>VLOOKUP(D17,'2.Bookinglist'!A:CT,40,FALSE)</f>
        <v>Arunphat W. (Aiw)</v>
      </c>
      <c r="AL17" s="60" t="str">
        <f>VLOOKUP(D17,'2.Bookinglist'!A:CW,101,FALSE)</f>
        <v>2026-10-08</v>
      </c>
      <c r="AM17" s="60" t="str">
        <f>VLOOKUP(D17,'2.Bookinglist'!A:BK,63,FALSE)</f>
        <v>BKK27</v>
      </c>
      <c r="AN17" s="62" t="str">
        <f>VLOOKUP(D17,'2.Bookinglist'!A:AZ,52,FALSE)</f>
        <v>* APPROVE BY KIM JAE-HYUNG DD 29/09* 
SURVEY 21/09  Pickup : 2026-09-21, Return : 2026-09-24 [PAPERLESS CODE : 2829] 
 CLS TIME 24/09 @22.00 </v>
      </c>
      <c r="AO17" s="62" t="str">
        <f>VLOOKUP(D17,'2.Bookinglist'!A:CY,103,FALSE)</f>
        <v>ROLL OVER FROM PREVIOUS VSL HAB 2611N BY ALLOCATION TEAM MS.TAN APPROVED COST IS UNDER HA DD.26/09</v>
      </c>
    </row>
    <row r="18" ht="12.95" customHeight="1">
      <c r="A18" s="96" t="inlineStr">
        <is>
          <t>HALU2344496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LCH06</v>
      </c>
      <c r="D18" s="61" t="str">
        <f>VLOOKUP(A18,'1.Loading'!A:R,17,FALSE)</f>
        <v>HASLS22260901570</v>
      </c>
      <c r="E18" s="62" t="str">
        <f>VLOOKUP(D18,'2.Bookinglist'!A:CT,27,FALSE)</f>
        <v>LEO GLOBAL LOGISTICS PUBLIC COMPANY LIMITED</v>
      </c>
      <c r="F18" s="62" t="str">
        <f>VLOOKUP(D18,'2.Bookinglist'!A:CT,28,FALSE)</f>
        <v>BASF (THAI)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KRPUS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SWVG</v>
      </c>
      <c r="P18" s="61" t="str">
        <f>VLOOKUP(A18,'1.Loading'!A:R,4,FALSE)</f>
        <v>2612N</v>
      </c>
      <c r="Q18" s="61" t="str">
        <f>VLOOKUP(D18,'2.Bookinglist'!A:CT,12,FALSE)</f>
        <v>PCI2</v>
      </c>
      <c r="R18" s="60" t="str">
        <f>IF(LEFT(K18,2)="22","20'","40'")</f>
        <v>20'</v>
      </c>
      <c r="S18" s="185" t="n"/>
      <c r="T18" s="61" t="str">
        <f>VLOOKUP(A18,'1.Loading'!A:R,2,FALSE)</f>
        <v>2026-10-07</v>
      </c>
      <c r="U18" s="63">
        <f>T18-S18</f>
        <v>46302</v>
      </c>
      <c r="V18" s="186" t="n"/>
      <c r="W18" s="61" t="str">
        <f>VLOOKUP(A18,'3.GateMove'!A:D,4,FALSE)</f>
        <v>2026-10-03</v>
      </c>
      <c r="X18" s="63">
        <f>((T18-W18)+1)</f>
        <v>5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46303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2026-10-07</v>
      </c>
      <c r="AM18" s="60" t="str">
        <f>VLOOKUP(D18,'2.Bookinglist'!A:BK,63,FALSE)</f>
        <v>LCHY5</v>
      </c>
      <c r="AN18" s="62" t="str">
        <f>VLOOKUP(D18,'2.Bookinglist'!A:AZ,52,FALSE)</f>
        <v>Pickup : 2026-10-02, Return : 2026-10-03</v>
      </c>
      <c r="AO18" s="62">
        <f>VLOOKUP(D18,'2.Bookinglist'!A:CY,103,FALSE)</f>
        <v>0</v>
      </c>
    </row>
    <row r="19" ht="12.95" customHeight="1">
      <c r="A19" s="96" t="inlineStr">
        <is>
          <t>HALU2351448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LCH06</v>
      </c>
      <c r="D19" s="61" t="str">
        <f>VLOOKUP(A19,'1.Loading'!A:R,17,FALSE)</f>
        <v>HASLS22260901193</v>
      </c>
      <c r="E19" s="62" t="str">
        <f>VLOOKUP(D19,'2.Bookinglist'!A:CT,27,FALSE)</f>
        <v>YUSEN LOGISTICS (THAILAND) CO., LTD.</v>
      </c>
      <c r="F19" s="62" t="str">
        <f>VLOOKUP(D19,'2.Bookinglist'!A:CT,28,FALSE)</f>
        <v>THAI NOK CO.,LTD.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CNSHA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SWVG</v>
      </c>
      <c r="P19" s="61" t="str">
        <f>VLOOKUP(A19,'1.Loading'!A:R,4,FALSE)</f>
        <v>2612N</v>
      </c>
      <c r="Q19" s="61" t="str">
        <f>VLOOKUP(D19,'2.Bookinglist'!A:CT,12,FALSE)</f>
        <v>PCI2</v>
      </c>
      <c r="R19" s="60" t="str">
        <f>IF(LEFT(K19,2)="22","20'","40'")</f>
        <v>20'</v>
      </c>
      <c r="S19" s="185" t="n"/>
      <c r="T19" s="61" t="str">
        <f>VLOOKUP(A19,'1.Loading'!A:R,2,FALSE)</f>
        <v>2026-10-07</v>
      </c>
      <c r="U19" s="63">
        <f>T19-S19</f>
        <v>46302</v>
      </c>
      <c r="V19" s="186" t="n"/>
      <c r="W19" s="61" t="str">
        <f>VLOOKUP(A19,'3.GateMove'!A:D,4,FALSE)</f>
        <v>2026-10-03</v>
      </c>
      <c r="X19" s="63">
        <f>((T19-W19)+1)</f>
        <v>5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46303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2026-10-06</v>
      </c>
      <c r="AM19" s="60" t="str">
        <f>VLOOKUP(D19,'2.Bookinglist'!A:BK,63,FALSE)</f>
        <v>LCH27</v>
      </c>
      <c r="AN19" s="62" t="str">
        <f>VLOOKUP(D19,'2.Bookinglist'!A:AZ,52,FALSE)</f>
        <v>Pickup : 2026-10-01, Return : 2026-10-02 </v>
      </c>
      <c r="AO19" s="62">
        <f>VLOOKUP(D19,'2.Bookinglist'!A:CY,103,FALSE)</f>
        <v>0</v>
      </c>
    </row>
    <row r="20" ht="12.95" customHeight="1">
      <c r="A20" s="96" t="inlineStr">
        <is>
          <t>HALU2363752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LCH06</v>
      </c>
      <c r="D20" s="61" t="str">
        <f>VLOOKUP(A20,'1.Loading'!A:R,17,FALSE)</f>
        <v>HASLS22260901104</v>
      </c>
      <c r="E20" s="62" t="str">
        <f>VLOOKUP(D20,'2.Bookinglist'!A:CT,27,FALSE)</f>
        <v>TTR FREIGHT AND SERVICE COMPANY LIMITED</v>
      </c>
      <c r="F20" s="62" t="str">
        <f>VLOOKUP(D20,'2.Bookinglist'!A:CT,28,FALSE)</f>
        <v>RAK SYSCOM (THAILAND) COMPANY LIMITD.</v>
      </c>
      <c r="G20" s="60" t="str">
        <f>VLOOKUP(D20,'2.Bookinglist'!A:E,5,FALSE)</f>
        <v>THSRP</v>
      </c>
      <c r="H20" s="61" t="str">
        <f>VLOOKUP(D20,'2.Bookinglist'!A:CT,15,FALSE)</f>
        <v>THLCH</v>
      </c>
      <c r="I20" s="61" t="str">
        <f>VLOOKUP(D20,'2.Bookinglist'!A:CT,19,FALSE)</f>
        <v>CNSHA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SWVG</v>
      </c>
      <c r="P20" s="61" t="str">
        <f>VLOOKUP(A20,'1.Loading'!A:R,4,FALSE)</f>
        <v>2612N</v>
      </c>
      <c r="Q20" s="61" t="str">
        <f>VLOOKUP(D20,'2.Bookinglist'!A:CT,12,FALSE)</f>
        <v>PCI2</v>
      </c>
      <c r="R20" s="60" t="str">
        <f>IF(LEFT(K20,2)="22","20'","40'")</f>
        <v>20'</v>
      </c>
      <c r="S20" s="185" t="n"/>
      <c r="T20" s="61" t="str">
        <f>VLOOKUP(A20,'1.Loading'!A:R,2,FALSE)</f>
        <v>2026-10-07</v>
      </c>
      <c r="U20" s="63">
        <f>T20-S20</f>
        <v>46302</v>
      </c>
      <c r="V20" s="186" t="n"/>
      <c r="W20" s="61" t="str">
        <f>VLOOKUP(A20,'3.GateMove'!A:D,4,FALSE)</f>
        <v>2026-09-26</v>
      </c>
      <c r="X20" s="63">
        <f>((T20-W20)+1)</f>
        <v>12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5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625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46303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625</v>
      </c>
      <c r="AJ20" s="188" t="n"/>
      <c r="AK20" s="62" t="str">
        <f>VLOOKUP(D20,'2.Bookinglist'!A:CT,40,FALSE)</f>
        <v>Arunphat W. (Aiw)</v>
      </c>
      <c r="AL20" s="60" t="str">
        <f>VLOOKUP(D20,'2.Bookinglist'!A:CW,101,FALSE)</f>
        <v>2026-10-08</v>
      </c>
      <c r="AM20" s="60" t="str">
        <f>VLOOKUP(D20,'2.Bookinglist'!A:BK,63,FALSE)</f>
        <v>BKK27</v>
      </c>
      <c r="AN20" s="62" t="str">
        <f>VLOOKUP(D20,'2.Bookinglist'!A:AZ,52,FALSE)</f>
        <v>* APPROVE BY KIM JAE-HYUNG DD 29/09* 
SURVEY 21/09  Pickup : 2026-09-21, Return : 2026-09-24 [PAPERLESS CODE : 2829] 
 CLS TIME 24/09 @22.00 </v>
      </c>
      <c r="AO20" s="62" t="str">
        <f>VLOOKUP(D20,'2.Bookinglist'!A:CY,103,FALSE)</f>
        <v>ROLL OVER FROM PREVIOUS VSL HAB 2611N BY ALLOCATION TEAM MS.TAN APPROVED COST IS UNDER HA DD.26/09</v>
      </c>
    </row>
    <row r="21" ht="12.95" customHeight="1">
      <c r="A21" s="96" t="inlineStr">
        <is>
          <t>HALU2405879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LCH06</v>
      </c>
      <c r="D21" s="61" t="str">
        <f>VLOOKUP(A21,'1.Loading'!A:R,17,FALSE)</f>
        <v>HASLS22260902058</v>
      </c>
      <c r="E21" s="62" t="str">
        <f>VLOOKUP(D21,'2.Bookinglist'!A:CT,27,FALSE)</f>
        <v>SCGJWD LOGISTICS PUBLIC COMPANY LIMITED</v>
      </c>
      <c r="F21" s="62" t="str">
        <f>VLOOKUP(D21,'2.Bookinglist'!A:CT,28,FALSE)</f>
        <v>THAI POLYETHYLENE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JPMIZ</v>
      </c>
      <c r="J21" s="61" t="str">
        <f>VLOOKUP(D21,'2.Bookinglist'!A:CT,26,FALSE)</f>
        <v>KRPUS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SWVG</v>
      </c>
      <c r="P21" s="61" t="str">
        <f>VLOOKUP(A21,'1.Loading'!A:R,4,FALSE)</f>
        <v>2612N</v>
      </c>
      <c r="Q21" s="61" t="str">
        <f>VLOOKUP(D21,'2.Bookinglist'!A:CT,12,FALSE)</f>
        <v>PCI2</v>
      </c>
      <c r="R21" s="60" t="str">
        <f>IF(LEFT(K21,2)="22","20'","40'")</f>
        <v>20'</v>
      </c>
      <c r="S21" s="185" t="n"/>
      <c r="T21" s="61" t="str">
        <f>VLOOKUP(A21,'1.Loading'!A:R,2,FALSE)</f>
        <v>2026-10-07</v>
      </c>
      <c r="U21" s="63">
        <f>T21-S21</f>
        <v>46302</v>
      </c>
      <c r="V21" s="186" t="n"/>
      <c r="W21" s="61" t="str">
        <f>VLOOKUP(A21,'3.GateMove'!A:D,4,FALSE)</f>
        <v>2026-10-03</v>
      </c>
      <c r="X21" s="63">
        <f>((T21-W21)+1)</f>
        <v>5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46303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Kanokporn</v>
      </c>
      <c r="AL21" s="60" t="str">
        <f>VLOOKUP(D21,'2.Bookinglist'!A:CW,101,FALSE)</f>
        <v>2026-10-06</v>
      </c>
      <c r="AM21" s="60" t="str">
        <f>VLOOKUP(D21,'2.Bookinglist'!A:BK,63,FALSE)</f>
        <v>LCHY5</v>
      </c>
      <c r="AN21" s="62" t="str">
        <f>VLOOKUP(D21,'2.Bookinglist'!A:AZ,52,FALSE)</f>
        <v>CY 28/09/26 , RTN 30/09/26 (Invoice No. 3031060583)</v>
      </c>
      <c r="AO21" s="62">
        <f>VLOOKUP(D21,'2.Bookinglist'!A:CY,103,FALSE)</f>
        <v>0</v>
      </c>
    </row>
    <row r="22" ht="12.95" customHeight="1">
      <c r="A22" s="96" t="inlineStr">
        <is>
          <t>HALU2531429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LCH06</v>
      </c>
      <c r="D22" s="61" t="str">
        <f>VLOOKUP(A22,'1.Loading'!A:R,17,FALSE)</f>
        <v>HASLS22260802505</v>
      </c>
      <c r="E22" s="62" t="str">
        <f>VLOOKUP(D22,'2.Bookinglist'!A:CT,27,FALSE)</f>
        <v>WHA GC LOGISTICS COMPANY LIMITED</v>
      </c>
      <c r="F22" s="62" t="str">
        <f>VLOOKUP(D22,'2.Bookinglist'!A:CT,28,FALSE)</f>
        <v>PTT GLOBAL CHEMICAL PUBLIC COMPANY LIMITED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CNSHA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SWVG</v>
      </c>
      <c r="P22" s="61" t="str">
        <f>VLOOKUP(A22,'1.Loading'!A:R,4,FALSE)</f>
        <v>2612N</v>
      </c>
      <c r="Q22" s="61" t="str">
        <f>VLOOKUP(D22,'2.Bookinglist'!A:CT,12,FALSE)</f>
        <v>PCI2</v>
      </c>
      <c r="R22" s="60" t="str">
        <f>IF(LEFT(K22,2)="22","20'","40'")</f>
        <v>20'</v>
      </c>
      <c r="S22" s="185" t="n"/>
      <c r="T22" s="61" t="str">
        <f>VLOOKUP(A22,'1.Loading'!A:R,2,FALSE)</f>
        <v>2026-10-07</v>
      </c>
      <c r="U22" s="63">
        <f>T22-S22</f>
        <v>46302</v>
      </c>
      <c r="V22" s="186" t="n"/>
      <c r="W22" s="61" t="str">
        <f>VLOOKUP(A22,'3.GateMove'!A:D,4,FALSE)</f>
        <v>2026-09-30</v>
      </c>
      <c r="X22" s="63">
        <f>((T22-W22)+1)</f>
        <v>8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1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125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46303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125</v>
      </c>
      <c r="AJ22" s="188" t="n"/>
      <c r="AK22" s="62" t="str">
        <f>VLOOKUP(D22,'2.Bookinglist'!A:CT,40,FALSE)</f>
        <v>Dharaporn</v>
      </c>
      <c r="AL22" s="60" t="str">
        <f>VLOOKUP(D22,'2.Bookinglist'!A:CW,101,FALSE)</f>
        <v>2026-10-03</v>
      </c>
      <c r="AM22" s="60" t="str">
        <f>VLOOKUP(D22,'2.Bookinglist'!A:BK,63,FALSE)</f>
        <v>LCHY5</v>
      </c>
      <c r="AN22" s="62" t="str">
        <f>VLOOKUP(D22,'2.Bookinglist'!A:AZ,52,FALSE)</f>
        <v>CY -RTN DD.21/09 -27/09/2026 /CHECK OPEN GATE BEFORE RETURN CNTR </v>
      </c>
      <c r="AO22" s="62">
        <f>VLOOKUP(D22,'2.Bookinglist'!A:CY,103,FALSE)</f>
        <v>0</v>
      </c>
    </row>
    <row r="23" ht="12.95" customHeight="1">
      <c r="A23" s="96" t="inlineStr">
        <is>
          <t>HALU2537659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LCH06</v>
      </c>
      <c r="D23" s="61" t="str">
        <f>VLOOKUP(A23,'1.Loading'!A:R,17,FALSE)</f>
        <v>HASLS22260802504</v>
      </c>
      <c r="E23" s="62" t="str">
        <f>VLOOKUP(D23,'2.Bookinglist'!A:CT,27,FALSE)</f>
        <v>WHA GC LOGISTICS COMPANY LIMITED</v>
      </c>
      <c r="F23" s="62" t="str">
        <f>VLOOKUP(D23,'2.Bookinglist'!A:CT,28,FALSE)</f>
        <v>PTT GLOBAL CHEMICAL PUBLIC COMPANY LIMITED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CNSHA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SWVG</v>
      </c>
      <c r="P23" s="61" t="str">
        <f>VLOOKUP(A23,'1.Loading'!A:R,4,FALSE)</f>
        <v>2612N</v>
      </c>
      <c r="Q23" s="61" t="str">
        <f>VLOOKUP(D23,'2.Bookinglist'!A:CT,12,FALSE)</f>
        <v>PCI2</v>
      </c>
      <c r="R23" s="60" t="str">
        <f>IF(LEFT(K23,2)="22","20'","40'")</f>
        <v>20'</v>
      </c>
      <c r="S23" s="185" t="n"/>
      <c r="T23" s="61" t="str">
        <f>VLOOKUP(A23,'1.Loading'!A:R,2,FALSE)</f>
        <v>2026-10-07</v>
      </c>
      <c r="U23" s="63">
        <f>T23-S23</f>
        <v>46302</v>
      </c>
      <c r="V23" s="186" t="n"/>
      <c r="W23" s="61" t="str">
        <f>VLOOKUP(A23,'3.GateMove'!A:D,4,FALSE)</f>
        <v>2026-09-28</v>
      </c>
      <c r="X23" s="63">
        <f>((T23-W23)+1)</f>
        <v>10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3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375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46303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375</v>
      </c>
      <c r="AJ23" s="188" t="n"/>
      <c r="AK23" s="62" t="str">
        <f>VLOOKUP(D23,'2.Bookinglist'!A:CT,40,FALSE)</f>
        <v>Dharaporn</v>
      </c>
      <c r="AL23" s="60" t="str">
        <f>VLOOKUP(D23,'2.Bookinglist'!A:CW,101,FALSE)</f>
        <v>2026-10-03</v>
      </c>
      <c r="AM23" s="60" t="str">
        <f>VLOOKUP(D23,'2.Bookinglist'!A:BK,63,FALSE)</f>
        <v>LCHY5</v>
      </c>
      <c r="AN23" s="62" t="str">
        <f>VLOOKUP(D23,'2.Bookinglist'!A:AZ,52,FALSE)</f>
        <v>CY -RTN DD.21/09 -27/09/2026 /CHECK OPEN GATE BEFORE RETURN CNTR </v>
      </c>
      <c r="AO23" s="62">
        <f>VLOOKUP(D23,'2.Bookinglist'!A:CY,103,FALSE)</f>
        <v>0</v>
      </c>
    </row>
    <row r="24" ht="12.95" customHeight="1">
      <c r="A24" s="96" t="inlineStr">
        <is>
          <t>HALU2542660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LCH06</v>
      </c>
      <c r="D24" s="61" t="str">
        <f>VLOOKUP(A24,'1.Loading'!A:R,17,FALSE)</f>
        <v>HASLS22260901675</v>
      </c>
      <c r="E24" s="62" t="str">
        <f>VLOOKUP(D24,'2.Bookinglist'!A:CT,27,FALSE)</f>
        <v>WHA GC LOGISTICS COMPANY LIMITED</v>
      </c>
      <c r="F24" s="62" t="str">
        <f>VLOOKUP(D24,'2.Bookinglist'!A:CT,28,FALSE)</f>
        <v>PTT GLOBAL CHEMICAL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JPSMZ</v>
      </c>
      <c r="J24" s="61" t="str">
        <f>VLOOKUP(D24,'2.Bookinglist'!A:CT,26,FALSE)</f>
        <v>KRPUS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SWVG</v>
      </c>
      <c r="P24" s="61" t="str">
        <f>VLOOKUP(A24,'1.Loading'!A:R,4,FALSE)</f>
        <v>2612N</v>
      </c>
      <c r="Q24" s="61" t="str">
        <f>VLOOKUP(D24,'2.Bookinglist'!A:CT,12,FALSE)</f>
        <v>PCI2</v>
      </c>
      <c r="R24" s="60" t="str">
        <f>IF(LEFT(K24,2)="22","20'","40'")</f>
        <v>20'</v>
      </c>
      <c r="S24" s="185" t="n"/>
      <c r="T24" s="61" t="str">
        <f>VLOOKUP(A24,'1.Loading'!A:R,2,FALSE)</f>
        <v>2026-10-07</v>
      </c>
      <c r="U24" s="63">
        <f>T24-S24</f>
        <v>46302</v>
      </c>
      <c r="V24" s="186" t="n"/>
      <c r="W24" s="61" t="str">
        <f>VLOOKUP(A24,'3.GateMove'!A:D,4,FALSE)</f>
        <v>2026-09-27</v>
      </c>
      <c r="X24" s="63">
        <f>((T24-W24)+1)</f>
        <v>11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4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500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46303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500</v>
      </c>
      <c r="AJ24" s="188" t="n"/>
      <c r="AK24" s="62" t="str">
        <f>VLOOKUP(D24,'2.Bookinglist'!A:CT,40,FALSE)</f>
        <v>Dharaporn</v>
      </c>
      <c r="AL24" s="60" t="str">
        <f>VLOOKUP(D24,'2.Bookinglist'!A:CW,101,FALSE)</f>
        <v>2026-10-03</v>
      </c>
      <c r="AM24" s="60" t="str">
        <f>VLOOKUP(D24,'2.Bookinglist'!A:BK,63,FALSE)</f>
        <v>LCHY5</v>
      </c>
      <c r="AN24" s="62" t="str">
        <f>VLOOKUP(D24,'2.Bookinglist'!A:AZ,52,FALSE)</f>
        <v>CY-RTN 23-26/09/26 (PR2610001538 )</v>
      </c>
      <c r="AO24" s="62">
        <f>VLOOKUP(D24,'2.Bookinglist'!A:CY,103,FALSE)</f>
        <v>0</v>
      </c>
    </row>
    <row r="25" ht="12.95" customHeight="1">
      <c r="A25" s="96" t="inlineStr">
        <is>
          <t>HALU2548910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LCH06</v>
      </c>
      <c r="D25" s="61" t="str">
        <f>VLOOKUP(A25,'1.Loading'!A:R,17,FALSE)</f>
        <v>HASLS22260901675</v>
      </c>
      <c r="E25" s="62" t="str">
        <f>VLOOKUP(D25,'2.Bookinglist'!A:CT,27,FALSE)</f>
        <v>WHA GC LOGISTICS COMPANY LIMITED</v>
      </c>
      <c r="F25" s="62" t="str">
        <f>VLOOKUP(D25,'2.Bookinglist'!A:CT,28,FALSE)</f>
        <v>PTT GLOBAL CHEMICAL PUBLIC COMPANY LIMITED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JPSMZ</v>
      </c>
      <c r="J25" s="61" t="str">
        <f>VLOOKUP(D25,'2.Bookinglist'!A:CT,26,FALSE)</f>
        <v>KRPUS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SWVG</v>
      </c>
      <c r="P25" s="61" t="str">
        <f>VLOOKUP(A25,'1.Loading'!A:R,4,FALSE)</f>
        <v>2612N</v>
      </c>
      <c r="Q25" s="61" t="str">
        <f>VLOOKUP(D25,'2.Bookinglist'!A:CT,12,FALSE)</f>
        <v>PCI2</v>
      </c>
      <c r="R25" s="60" t="str">
        <f>IF(LEFT(K25,2)="22","20'","40'")</f>
        <v>20'</v>
      </c>
      <c r="S25" s="185" t="n"/>
      <c r="T25" s="61" t="str">
        <f>VLOOKUP(A25,'1.Loading'!A:R,2,FALSE)</f>
        <v>2026-10-07</v>
      </c>
      <c r="U25" s="63">
        <f>T25-S25</f>
        <v>46302</v>
      </c>
      <c r="V25" s="186" t="n"/>
      <c r="W25" s="61" t="str">
        <f>VLOOKUP(A25,'3.GateMove'!A:D,4,FALSE)</f>
        <v>2026-09-27</v>
      </c>
      <c r="X25" s="63">
        <f>((T25-W25)+1)</f>
        <v>11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4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500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46303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500</v>
      </c>
      <c r="AJ25" s="188" t="n"/>
      <c r="AK25" s="62" t="str">
        <f>VLOOKUP(D25,'2.Bookinglist'!A:CT,40,FALSE)</f>
        <v>Dharaporn</v>
      </c>
      <c r="AL25" s="60" t="str">
        <f>VLOOKUP(D25,'2.Bookinglist'!A:CW,101,FALSE)</f>
        <v>2026-10-03</v>
      </c>
      <c r="AM25" s="60" t="str">
        <f>VLOOKUP(D25,'2.Bookinglist'!A:BK,63,FALSE)</f>
        <v>LCHY5</v>
      </c>
      <c r="AN25" s="62" t="str">
        <f>VLOOKUP(D25,'2.Bookinglist'!A:AZ,52,FALSE)</f>
        <v>CY-RTN 23-26/09/26 (PR2610001538 )</v>
      </c>
      <c r="AO25" s="62">
        <f>VLOOKUP(D25,'2.Bookinglist'!A:CY,103,FALSE)</f>
        <v>0</v>
      </c>
    </row>
    <row r="26" ht="12.95" customHeight="1">
      <c r="A26" s="96" t="inlineStr">
        <is>
          <t>HALU2587979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LCH06</v>
      </c>
      <c r="D26" s="61" t="str">
        <f>VLOOKUP(A26,'1.Loading'!A:R,17,FALSE)</f>
        <v>HASLS22260900127</v>
      </c>
      <c r="E26" s="62" t="str">
        <f>VLOOKUP(D26,'2.Bookinglist'!A:CT,27,FALSE)</f>
        <v>WHA GC LOGISTICS COMPANY LIMITED</v>
      </c>
      <c r="F26" s="62" t="str">
        <f>VLOOKUP(D26,'2.Bookinglist'!A:CT,28,FALSE)</f>
        <v>PTT GLOBAL CHEMICAL PUBLIC COMPANY LIMITED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JPTYO</v>
      </c>
      <c r="J26" s="61" t="str">
        <f>VLOOKUP(D26,'2.Bookinglist'!A:CT,26,FALSE)</f>
        <v>KRPUS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SWVG</v>
      </c>
      <c r="P26" s="61" t="str">
        <f>VLOOKUP(A26,'1.Loading'!A:R,4,FALSE)</f>
        <v>2612N</v>
      </c>
      <c r="Q26" s="61" t="str">
        <f>VLOOKUP(D26,'2.Bookinglist'!A:CT,12,FALSE)</f>
        <v>PCI2</v>
      </c>
      <c r="R26" s="60" t="str">
        <f>IF(LEFT(K26,2)="22","20'","40'")</f>
        <v>20'</v>
      </c>
      <c r="S26" s="185" t="n"/>
      <c r="T26" s="61" t="str">
        <f>VLOOKUP(A26,'1.Loading'!A:R,2,FALSE)</f>
        <v>2026-10-07</v>
      </c>
      <c r="U26" s="63">
        <f>T26-S26</f>
        <v>46302</v>
      </c>
      <c r="V26" s="186" t="n"/>
      <c r="W26" s="61" t="str">
        <f>VLOOKUP(A26,'3.GateMove'!A:D,4,FALSE)</f>
        <v>2026-10-01</v>
      </c>
      <c r="X26" s="63">
        <f>((T26-W26)+1)</f>
        <v>7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46303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Dharaporn</v>
      </c>
      <c r="AL26" s="60" t="str">
        <f>VLOOKUP(D26,'2.Bookinglist'!A:CW,101,FALSE)</f>
        <v>2026-09-24</v>
      </c>
      <c r="AM26" s="60" t="str">
        <f>VLOOKUP(D26,'2.Bookinglist'!A:BK,63,FALSE)</f>
        <v>LCHY5</v>
      </c>
      <c r="AN26" s="62" t="str">
        <f>VLOOKUP(D26,'2.Bookinglist'!A:AZ,52,FALSE)</f>
        <v>SURVEY 24/09/2026 CY-RTN 24-29/09/26 (PR2610002355)</v>
      </c>
      <c r="AO26" s="62">
        <f>VLOOKUP(D26,'2.Bookinglist'!A:CY,103,FALSE)</f>
        <v>0</v>
      </c>
    </row>
    <row r="27" ht="12.95" customHeight="1">
      <c r="A27" s="96" t="inlineStr">
        <is>
          <t>HALU2588614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LCH06</v>
      </c>
      <c r="D27" s="61" t="str">
        <f>VLOOKUP(A27,'1.Loading'!A:R,17,FALSE)</f>
        <v>HASLS22260900127</v>
      </c>
      <c r="E27" s="62" t="str">
        <f>VLOOKUP(D27,'2.Bookinglist'!A:CT,27,FALSE)</f>
        <v>WHA GC LOGISTICS COMPANY LIMITED</v>
      </c>
      <c r="F27" s="62" t="str">
        <f>VLOOKUP(D27,'2.Bookinglist'!A:CT,28,FALSE)</f>
        <v>PTT GLOBAL CHEMICAL PUBLIC COMPANY LIMITED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JPTYO</v>
      </c>
      <c r="J27" s="61" t="str">
        <f>VLOOKUP(D27,'2.Bookinglist'!A:CT,26,FALSE)</f>
        <v>KRPUS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SWVG</v>
      </c>
      <c r="P27" s="61" t="str">
        <f>VLOOKUP(A27,'1.Loading'!A:R,4,FALSE)</f>
        <v>2612N</v>
      </c>
      <c r="Q27" s="61" t="str">
        <f>VLOOKUP(D27,'2.Bookinglist'!A:CT,12,FALSE)</f>
        <v>PCI2</v>
      </c>
      <c r="R27" s="60" t="str">
        <f>IF(LEFT(K27,2)="22","20'","40'")</f>
        <v>20'</v>
      </c>
      <c r="S27" s="185" t="n"/>
      <c r="T27" s="61" t="str">
        <f>VLOOKUP(A27,'1.Loading'!A:R,2,FALSE)</f>
        <v>2026-10-07</v>
      </c>
      <c r="U27" s="63">
        <f>T27-S27</f>
        <v>46302</v>
      </c>
      <c r="V27" s="186" t="n"/>
      <c r="W27" s="61" t="str">
        <f>VLOOKUP(A27,'3.GateMove'!A:D,4,FALSE)</f>
        <v>2026-10-01</v>
      </c>
      <c r="X27" s="63">
        <f>((T27-W27)+1)</f>
        <v>7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46303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Dharaporn</v>
      </c>
      <c r="AL27" s="60" t="str">
        <f>VLOOKUP(D27,'2.Bookinglist'!A:CW,101,FALSE)</f>
        <v>2026-09-24</v>
      </c>
      <c r="AM27" s="60" t="str">
        <f>VLOOKUP(D27,'2.Bookinglist'!A:BK,63,FALSE)</f>
        <v>LCHY5</v>
      </c>
      <c r="AN27" s="62" t="str">
        <f>VLOOKUP(D27,'2.Bookinglist'!A:AZ,52,FALSE)</f>
        <v>SURVEY 24/09/2026 CY-RTN 24-29/09/26 (PR2610002355)</v>
      </c>
      <c r="AO27" s="62">
        <f>VLOOKUP(D27,'2.Bookinglist'!A:CY,103,FALSE)</f>
        <v>0</v>
      </c>
    </row>
    <row r="28" ht="12.95" customHeight="1">
      <c r="A28" s="96" t="inlineStr">
        <is>
          <t>HALU5641142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LCH06</v>
      </c>
      <c r="D28" s="61" t="str">
        <f>VLOOKUP(A28,'1.Loading'!A:R,17,FALSE)</f>
        <v>HASLS22260802391</v>
      </c>
      <c r="E28" s="62" t="str">
        <f>VLOOKUP(D28,'2.Bookinglist'!A:CT,27,FALSE)</f>
        <v>WHA GC LOGISTICS COMPANY LIMITED</v>
      </c>
      <c r="F28" s="62" t="str">
        <f>VLOOKUP(D28,'2.Bookinglist'!A:CT,28,FALSE)</f>
        <v>PTT GLOBAL CHEMICAL PUBLIC COMPANY LIMITED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JPMYJ</v>
      </c>
      <c r="J28" s="61" t="str">
        <f>VLOOKUP(D28,'2.Bookinglist'!A:CT,26,FALSE)</f>
        <v>KRPUS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SWVG</v>
      </c>
      <c r="P28" s="61" t="str">
        <f>VLOOKUP(A28,'1.Loading'!A:R,4,FALSE)</f>
        <v>2612N</v>
      </c>
      <c r="Q28" s="61" t="str">
        <f>VLOOKUP(D28,'2.Bookinglist'!A:CT,12,FALSE)</f>
        <v>PCI2</v>
      </c>
      <c r="R28" s="60" t="str">
        <f>IF(LEFT(K28,2)="22","20'","40'")</f>
        <v>40'</v>
      </c>
      <c r="S28" s="185" t="n"/>
      <c r="T28" s="61" t="str">
        <f>VLOOKUP(A28,'1.Loading'!A:R,2,FALSE)</f>
        <v>2026-10-07</v>
      </c>
      <c r="U28" s="63">
        <f>T28-S28</f>
        <v>46302</v>
      </c>
      <c r="V28" s="186" t="n"/>
      <c r="W28" s="61" t="str">
        <f>VLOOKUP(A28,'3.GateMove'!A:D,4,FALSE)</f>
        <v>2026-09-27</v>
      </c>
      <c r="X28" s="63">
        <f>((T28-W28)+1)</f>
        <v>11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4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1000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46303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1000</v>
      </c>
      <c r="AJ28" s="188" t="n"/>
      <c r="AK28" s="62" t="str">
        <f>VLOOKUP(D28,'2.Bookinglist'!A:CT,40,FALSE)</f>
        <v>Dharaporn</v>
      </c>
      <c r="AL28" s="60" t="str">
        <f>VLOOKUP(D28,'2.Bookinglist'!A:CW,101,FALSE)</f>
        <v>2026-10-03</v>
      </c>
      <c r="AM28" s="60" t="str">
        <f>VLOOKUP(D28,'2.Bookinglist'!A:BK,63,FALSE)</f>
        <v>LCHY5</v>
      </c>
      <c r="AN28" s="62" t="str">
        <f>VLOOKUP(D28,'2.Bookinglist'!A:AZ,52,FALSE)</f>
        <v>CY-RTN 23-28/09/26 
</v>
      </c>
      <c r="AO28" s="62">
        <f>VLOOKUP(D28,'2.Bookinglist'!A:CY,103,FALSE)</f>
        <v>0</v>
      </c>
    </row>
    <row r="29" ht="12.95" customHeight="1">
      <c r="A29" s="96" t="inlineStr">
        <is>
          <t>HLHU6410647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LCH06</v>
      </c>
      <c r="D29" s="61" t="str">
        <f>VLOOKUP(A29,'1.Loading'!A:R,17,FALSE)</f>
        <v>HASLS22260901914</v>
      </c>
      <c r="E29" s="62" t="str">
        <f>VLOOKUP(D29,'2.Bookinglist'!A:CT,27,FALSE)</f>
        <v>MITSUBISHI LOGISTICS (THAILAND) CO., LTD.</v>
      </c>
      <c r="F29" s="62" t="str">
        <f>VLOOKUP(D29,'2.Bookinglist'!A:CT,28,FALSE)</f>
        <v>SHIN-ETSU SILICONES (THAILAND) 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CNSHA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SWVG</v>
      </c>
      <c r="P29" s="61" t="str">
        <f>VLOOKUP(A29,'1.Loading'!A:R,4,FALSE)</f>
        <v>2612N</v>
      </c>
      <c r="Q29" s="61" t="str">
        <f>VLOOKUP(D29,'2.Bookinglist'!A:CT,12,FALSE)</f>
        <v>PCI2</v>
      </c>
      <c r="R29" s="60" t="str">
        <f>IF(LEFT(K29,2)="22","20'","40'")</f>
        <v>40'</v>
      </c>
      <c r="S29" s="185" t="n"/>
      <c r="T29" s="61" t="str">
        <f>VLOOKUP(A29,'1.Loading'!A:R,2,FALSE)</f>
        <v>2026-10-07</v>
      </c>
      <c r="U29" s="63">
        <f>T29-S29</f>
        <v>46302</v>
      </c>
      <c r="V29" s="186" t="n"/>
      <c r="W29" s="61" t="str">
        <f>VLOOKUP(A29,'3.GateMove'!A:D,4,FALSE)</f>
        <v>2026-10-02</v>
      </c>
      <c r="X29" s="63">
        <f>((T29-W29)+1)</f>
        <v>6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46303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Pattarapong Saengthong</v>
      </c>
      <c r="AL29" s="60" t="str">
        <f>VLOOKUP(D29,'2.Bookinglist'!A:CW,101,FALSE)</f>
        <v>2026-10-06</v>
      </c>
      <c r="AM29" s="60" t="str">
        <f>VLOOKUP(D29,'2.Bookinglist'!A:BK,63,FALSE)</f>
        <v>LCH28</v>
      </c>
      <c r="AN29" s="62" t="str">
        <f>VLOOKUP(D29,'2.Bookinglist'!A:AZ,52,FALSE)</f>
        <v>Pickup : 2026-10-01, Return : 2026-10-02 </v>
      </c>
      <c r="AO29" s="62">
        <f>VLOOKUP(D29,'2.Bookinglist'!A:CY,103,FALSE)</f>
        <v>0</v>
      </c>
    </row>
    <row r="30" ht="12.95" customHeight="1">
      <c r="A30" s="96" t="inlineStr">
        <is>
          <t>HLHU6417678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LCH06</v>
      </c>
      <c r="D30" s="61" t="str">
        <f>VLOOKUP(A30,'1.Loading'!A:R,17,FALSE)</f>
        <v>HASLS22260902494</v>
      </c>
      <c r="E30" s="62" t="str">
        <f>VLOOKUP(D30,'2.Bookinglist'!A:CT,27,FALSE)</f>
        <v>SCGJWD LOGISTICS PUBLIC COMPANY LIMITED</v>
      </c>
      <c r="F30" s="62" t="str">
        <f>VLOOKUP(D30,'2.Bookinglist'!A:CT,28,FALSE)</f>
        <v>THAI POLYETHYLENE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CNSHA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SWVG</v>
      </c>
      <c r="P30" s="61" t="str">
        <f>VLOOKUP(A30,'1.Loading'!A:R,4,FALSE)</f>
        <v>2612N</v>
      </c>
      <c r="Q30" s="61" t="str">
        <f>VLOOKUP(D30,'2.Bookinglist'!A:CT,12,FALSE)</f>
        <v>PCI2</v>
      </c>
      <c r="R30" s="60" t="str">
        <f>IF(LEFT(K30,2)="22","20'","40'")</f>
        <v>40'</v>
      </c>
      <c r="S30" s="185" t="n"/>
      <c r="T30" s="61" t="str">
        <f>VLOOKUP(A30,'1.Loading'!A:R,2,FALSE)</f>
        <v>2026-10-07</v>
      </c>
      <c r="U30" s="63">
        <f>T30-S30</f>
        <v>46302</v>
      </c>
      <c r="V30" s="186" t="n"/>
      <c r="W30" s="61" t="str">
        <f>VLOOKUP(A30,'3.GateMove'!A:D,4,FALSE)</f>
        <v>2026-10-03</v>
      </c>
      <c r="X30" s="63">
        <f>((T30-W30)+1)</f>
        <v>5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46303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Kanokporn</v>
      </c>
      <c r="AL30" s="60" t="str">
        <f>VLOOKUP(D30,'2.Bookinglist'!A:CW,101,FALSE)</f>
        <v>2026-10-07</v>
      </c>
      <c r="AM30" s="60" t="str">
        <f>VLOOKUP(D30,'2.Bookinglist'!A:BK,63,FALSE)</f>
        <v>LCHY5</v>
      </c>
      <c r="AN30" s="62" t="str">
        <f>VLOOKUP(D30,'2.Bookinglist'!A:AZ,52,FALSE)</f>
        <v>CY 30/09/26 , RTN 02/10/26 (INV. 3031061556)</v>
      </c>
      <c r="AO30" s="62">
        <f>VLOOKUP(D30,'2.Bookinglist'!A:CY,103,FALSE)</f>
        <v>0</v>
      </c>
    </row>
    <row r="31" ht="12.95" customHeight="1">
      <c r="A31" s="96" t="inlineStr">
        <is>
          <t>HLHU6418967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LCH06</v>
      </c>
      <c r="D31" s="61" t="str">
        <f>VLOOKUP(A31,'1.Loading'!A:R,17,FALSE)</f>
        <v>HASLS22260901668</v>
      </c>
      <c r="E31" s="62" t="str">
        <f>VLOOKUP(D31,'2.Bookinglist'!A:CT,27,FALSE)</f>
        <v>BARKLAYS LOGISTICS (THAILAND) CO., LTD.</v>
      </c>
      <c r="F31" s="62" t="str">
        <f>VLOOKUP(D31,'2.Bookinglist'!A:CT,28,FALSE)</f>
        <v>GOLDEN CRANE (GOLDEN DRAGON) CO.,LTD.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CNSHA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SWVG</v>
      </c>
      <c r="P31" s="61" t="str">
        <f>VLOOKUP(A31,'1.Loading'!A:R,4,FALSE)</f>
        <v>2612N</v>
      </c>
      <c r="Q31" s="61" t="str">
        <f>VLOOKUP(D31,'2.Bookinglist'!A:CT,12,FALSE)</f>
        <v>PCI2</v>
      </c>
      <c r="R31" s="60" t="str">
        <f>IF(LEFT(K31,2)="22","20'","40'")</f>
        <v>40'</v>
      </c>
      <c r="S31" s="185" t="n"/>
      <c r="T31" s="61" t="str">
        <f>VLOOKUP(A31,'1.Loading'!A:R,2,FALSE)</f>
        <v>2026-10-07</v>
      </c>
      <c r="U31" s="63">
        <f>T31-S31</f>
        <v>46302</v>
      </c>
      <c r="V31" s="186" t="n"/>
      <c r="W31" s="61" t="str">
        <f>VLOOKUP(A31,'3.GateMove'!A:D,4,FALSE)</f>
        <v>2026-09-19</v>
      </c>
      <c r="X31" s="63">
        <f>((T31-W31)+1)</f>
        <v>19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12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4250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46303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4250</v>
      </c>
      <c r="AJ31" s="188" t="n"/>
      <c r="AK31" s="62" t="str">
        <f>VLOOKUP(D31,'2.Bookinglist'!A:CT,40,FALSE)</f>
        <v>Nannaapust Sukporntaweewat</v>
      </c>
      <c r="AL31" s="60" t="str">
        <f>VLOOKUP(D31,'2.Bookinglist'!A:CW,101,FALSE)</f>
        <v>2026-10-08</v>
      </c>
      <c r="AM31" s="60" t="str">
        <f>VLOOKUP(D31,'2.Bookinglist'!A:BK,63,FALSE)</f>
        <v>LCHY5</v>
      </c>
      <c r="AN31" s="62" t="str">
        <f>VLOOKUP(D31,'2.Bookinglist'!A:AZ,52,FALSE)</f>
        <v>Pickup : 2026-09-18, Return : 2026-09-19</v>
      </c>
      <c r="AO31" s="62" t="str">
        <f>VLOOKUP(D31,'2.Bookinglist'!A:CY,103,FALSE)</f>
        <v>ROLL OVER FROM PREVIOUS VSL HAB 2611N  BY ALLOCATION TEAM MS.TARN APPROVED COST IS UNDER HA DD.25/09</v>
      </c>
    </row>
    <row r="32" ht="12.95" customHeight="1">
      <c r="A32" s="96" t="inlineStr">
        <is>
          <t>HLHU6419006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LCH06</v>
      </c>
      <c r="D32" s="61" t="str">
        <f>VLOOKUP(A32,'1.Loading'!A:R,17,FALSE)</f>
        <v>HASLS22260801240</v>
      </c>
      <c r="E32" s="62" t="str">
        <f>VLOOKUP(D32,'2.Bookinglist'!A:CT,27,FALSE)</f>
        <v>WHA GC LOGISTICS COMPANY LIMITED</v>
      </c>
      <c r="F32" s="62" t="str">
        <f>VLOOKUP(D32,'2.Bookinglist'!A:CT,28,FALSE)</f>
        <v>PTT GLOBAL CHEMICAL PUBLIC COMPANY LIMITED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CNSHA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SWVG</v>
      </c>
      <c r="P32" s="61" t="str">
        <f>VLOOKUP(A32,'1.Loading'!A:R,4,FALSE)</f>
        <v>2612N</v>
      </c>
      <c r="Q32" s="61" t="str">
        <f>VLOOKUP(D32,'2.Bookinglist'!A:CT,12,FALSE)</f>
        <v>PCI2</v>
      </c>
      <c r="R32" s="60" t="str">
        <f>IF(LEFT(K32,2)="22","20'","40'")</f>
        <v>40'</v>
      </c>
      <c r="S32" s="185" t="n"/>
      <c r="T32" s="61" t="str">
        <f>VLOOKUP(A32,'1.Loading'!A:R,2,FALSE)</f>
        <v>2026-10-07</v>
      </c>
      <c r="U32" s="63">
        <f>T32-S32</f>
        <v>46302</v>
      </c>
      <c r="V32" s="186" t="n"/>
      <c r="W32" s="61" t="str">
        <f>VLOOKUP(A32,'3.GateMove'!A:D,4,FALSE)</f>
        <v>2026-09-28</v>
      </c>
      <c r="X32" s="63">
        <f>((T32-W32)+1)</f>
        <v>10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3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750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46303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750</v>
      </c>
      <c r="AJ32" s="188" t="n"/>
      <c r="AK32" s="62" t="str">
        <f>VLOOKUP(D32,'2.Bookinglist'!A:CT,40,FALSE)</f>
        <v>Dharaporn</v>
      </c>
      <c r="AL32" s="60" t="str">
        <f>VLOOKUP(D32,'2.Bookinglist'!A:CW,101,FALSE)</f>
        <v>2026-10-07</v>
      </c>
      <c r="AM32" s="60" t="str">
        <f>VLOOKUP(D32,'2.Bookinglist'!A:BK,63,FALSE)</f>
        <v>LCH27</v>
      </c>
      <c r="AN32" s="62" t="str">
        <f>VLOOKUP(D32,'2.Bookinglist'!A:AZ,52,FALSE)</f>
        <v>CY-RTN : 22-25/09/2026</v>
      </c>
      <c r="AO32" s="62">
        <f>VLOOKUP(D32,'2.Bookinglist'!A:CY,103,FALSE)</f>
        <v>0</v>
      </c>
    </row>
    <row r="33" ht="12.95" customHeight="1">
      <c r="A33" s="96" t="inlineStr">
        <is>
          <t>HLHU8101122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LCH06</v>
      </c>
      <c r="D33" s="61" t="str">
        <f>VLOOKUP(A33,'1.Loading'!A:R,17,FALSE)</f>
        <v>HASLS22260900441</v>
      </c>
      <c r="E33" s="62" t="str">
        <f>VLOOKUP(D33,'2.Bookinglist'!A:CT,27,FALSE)</f>
        <v>BARKLAYS LOGISTICS (THAILAND) CO., LTD.</v>
      </c>
      <c r="F33" s="62" t="str">
        <f>VLOOKUP(D33,'2.Bookinglist'!A:CT,28,FALSE)</f>
        <v>GOLDEN CRANE (GOLDEN DRAGON) CO.,LTD.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CNSHA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SWVG</v>
      </c>
      <c r="P33" s="61" t="str">
        <f>VLOOKUP(A33,'1.Loading'!A:R,4,FALSE)</f>
        <v>2612N</v>
      </c>
      <c r="Q33" s="61" t="str">
        <f>VLOOKUP(D33,'2.Bookinglist'!A:CT,12,FALSE)</f>
        <v>PCI2</v>
      </c>
      <c r="R33" s="60" t="str">
        <f>IF(LEFT(K33,2)="22","20'","40'")</f>
        <v>40'</v>
      </c>
      <c r="S33" s="185" t="n"/>
      <c r="T33" s="61" t="str">
        <f>VLOOKUP(A33,'1.Loading'!A:R,2,FALSE)</f>
        <v>2026-10-07</v>
      </c>
      <c r="U33" s="63">
        <f>T33-S33</f>
        <v>46302</v>
      </c>
      <c r="V33" s="186" t="n"/>
      <c r="W33" s="61" t="str">
        <f>VLOOKUP(A33,'3.GateMove'!A:D,4,FALSE)</f>
        <v>2026-09-19</v>
      </c>
      <c r="X33" s="63">
        <f>((T33-W33)+1)</f>
        <v>19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12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4250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46303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4250</v>
      </c>
      <c r="AJ33" s="188" t="n"/>
      <c r="AK33" s="62" t="str">
        <f>VLOOKUP(D33,'2.Bookinglist'!A:CT,40,FALSE)</f>
        <v>Nannaapust Sukporntaweewat</v>
      </c>
      <c r="AL33" s="60" t="str">
        <f>VLOOKUP(D33,'2.Bookinglist'!A:CW,101,FALSE)</f>
        <v>2026-10-08</v>
      </c>
      <c r="AM33" s="60" t="str">
        <f>VLOOKUP(D33,'2.Bookinglist'!A:BK,63,FALSE)</f>
        <v>LCHY5</v>
      </c>
      <c r="AN33" s="62" t="str">
        <f>VLOOKUP(D33,'2.Bookinglist'!A:AZ,52,FALSE)</f>
        <v>Pickup : 2026-09-18, Return : 2026-09-19</v>
      </c>
      <c r="AO33" s="62" t="str">
        <f>VLOOKUP(D33,'2.Bookinglist'!A:CY,103,FALSE)</f>
        <v>ROLL OVER FROM PREVIOUS VSL HAB 2611N  BY ALLOCATION TEAM MS.TARN APPROVED COST IS UNDER HA DD.25/09</v>
      </c>
    </row>
    <row r="34" ht="12.95" customHeight="1">
      <c r="A34" s="96" t="inlineStr">
        <is>
          <t>HLHU8203253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LCH06</v>
      </c>
      <c r="D34" s="61" t="str">
        <f>VLOOKUP(A34,'1.Loading'!A:R,17,FALSE)</f>
        <v>HASLS22260902351</v>
      </c>
      <c r="E34" s="62" t="str">
        <f>VLOOKUP(D34,'2.Bookinglist'!A:CT,27,FALSE)</f>
        <v>SRITHAI TOYO LOGISTICS CO., LTD.</v>
      </c>
      <c r="F34" s="62" t="str">
        <f>VLOOKUP(D34,'2.Bookinglist'!A:CT,28,FALSE)</f>
        <v>YOKOHAMA TIRE MANUFACTURING (THAILAND)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RUVVO</v>
      </c>
      <c r="J34" s="61" t="str">
        <f>VLOOKUP(D34,'2.Bookinglist'!A:CT,26,FALSE)</f>
        <v>KRPUS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SWVG</v>
      </c>
      <c r="P34" s="61" t="str">
        <f>VLOOKUP(A34,'1.Loading'!A:R,4,FALSE)</f>
        <v>2612N</v>
      </c>
      <c r="Q34" s="61" t="str">
        <f>VLOOKUP(D34,'2.Bookinglist'!A:CT,12,FALSE)</f>
        <v>PCI2</v>
      </c>
      <c r="R34" s="60" t="str">
        <f>IF(LEFT(K34,2)="22","20'","40'")</f>
        <v>40'</v>
      </c>
      <c r="S34" s="185" t="n"/>
      <c r="T34" s="61" t="str">
        <f>VLOOKUP(A34,'1.Loading'!A:R,2,FALSE)</f>
        <v>2026-10-07</v>
      </c>
      <c r="U34" s="63">
        <f>T34-S34</f>
        <v>46302</v>
      </c>
      <c r="V34" s="186" t="n"/>
      <c r="W34" s="61" t="str">
        <f>VLOOKUP(A34,'3.GateMove'!A:D,4,FALSE)</f>
        <v>2026-10-03</v>
      </c>
      <c r="X34" s="63">
        <f>((T34-W34)+1)</f>
        <v>5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46303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Nannaapust Sukporntaweewat</v>
      </c>
      <c r="AL34" s="60" t="str">
        <f>VLOOKUP(D34,'2.Bookinglist'!A:CW,101,FALSE)</f>
        <v>2026-10-08</v>
      </c>
      <c r="AM34" s="60" t="str">
        <f>VLOOKUP(D34,'2.Bookinglist'!A:BK,63,FALSE)</f>
        <v>LCHY5</v>
      </c>
      <c r="AN34" s="62" t="str">
        <f>VLOOKUP(D34,'2.Bookinglist'!A:AZ,52,FALSE)</f>
        <v>CY-RTN : 02-05/10/2026 
RQST CNTR GRADE A
REF : WK41
</v>
      </c>
      <c r="AO34" s="62">
        <f>VLOOKUP(D34,'2.Bookinglist'!A:CY,103,FALSE)</f>
        <v>0</v>
      </c>
    </row>
    <row r="35" ht="12.95" customHeight="1">
      <c r="A35" s="96" t="inlineStr">
        <is>
          <t>HLHU8300778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LCH06</v>
      </c>
      <c r="D35" s="61" t="str">
        <f>VLOOKUP(A35,'1.Loading'!A:R,17,FALSE)</f>
        <v>HASLS22260902494</v>
      </c>
      <c r="E35" s="62" t="str">
        <f>VLOOKUP(D35,'2.Bookinglist'!A:CT,27,FALSE)</f>
        <v>SCGJWD LOGISTICS PUBLIC COMPANY LIMITED</v>
      </c>
      <c r="F35" s="62" t="str">
        <f>VLOOKUP(D35,'2.Bookinglist'!A:CT,28,FALSE)</f>
        <v>THAI POLYETHYLENE CO.,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CNSHA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SWVG</v>
      </c>
      <c r="P35" s="61" t="str">
        <f>VLOOKUP(A35,'1.Loading'!A:R,4,FALSE)</f>
        <v>2612N</v>
      </c>
      <c r="Q35" s="61" t="str">
        <f>VLOOKUP(D35,'2.Bookinglist'!A:CT,12,FALSE)</f>
        <v>PCI2</v>
      </c>
      <c r="R35" s="60" t="str">
        <f>IF(LEFT(K35,2)="22","20'","40'")</f>
        <v>40'</v>
      </c>
      <c r="S35" s="185" t="n"/>
      <c r="T35" s="61" t="str">
        <f>VLOOKUP(A35,'1.Loading'!A:R,2,FALSE)</f>
        <v>2026-10-07</v>
      </c>
      <c r="U35" s="63">
        <f>T35-S35</f>
        <v>46302</v>
      </c>
      <c r="V35" s="186" t="n"/>
      <c r="W35" s="61" t="str">
        <f>VLOOKUP(A35,'3.GateMove'!A:D,4,FALSE)</f>
        <v>2026-10-03</v>
      </c>
      <c r="X35" s="63">
        <f>((T35-W35)+1)</f>
        <v>5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46303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Kanokporn</v>
      </c>
      <c r="AL35" s="60" t="str">
        <f>VLOOKUP(D35,'2.Bookinglist'!A:CW,101,FALSE)</f>
        <v>2026-10-07</v>
      </c>
      <c r="AM35" s="60" t="str">
        <f>VLOOKUP(D35,'2.Bookinglist'!A:BK,63,FALSE)</f>
        <v>LCHY5</v>
      </c>
      <c r="AN35" s="62" t="str">
        <f>VLOOKUP(D35,'2.Bookinglist'!A:AZ,52,FALSE)</f>
        <v>CY 30/09/26 , RTN 02/10/26 (INV. 3031061556)</v>
      </c>
      <c r="AO35" s="62">
        <f>VLOOKUP(D35,'2.Bookinglist'!A:CY,103,FALSE)</f>
        <v>0</v>
      </c>
    </row>
    <row r="36" ht="12.95" customHeight="1">
      <c r="A36" s="96" t="inlineStr">
        <is>
          <t>HLHU8316250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LCH06</v>
      </c>
      <c r="D36" s="61" t="str">
        <f>VLOOKUP(A36,'1.Loading'!A:R,17,FALSE)</f>
        <v>HASLS22260900441</v>
      </c>
      <c r="E36" s="62" t="str">
        <f>VLOOKUP(D36,'2.Bookinglist'!A:CT,27,FALSE)</f>
        <v>BARKLAYS LOGISTICS (THAILAND) CO., LTD.</v>
      </c>
      <c r="F36" s="62" t="str">
        <f>VLOOKUP(D36,'2.Bookinglist'!A:CT,28,FALSE)</f>
        <v>GOLDEN CRANE (GOLDEN DRAGON) CO.,LTD.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CNSHA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SWVG</v>
      </c>
      <c r="P36" s="61" t="str">
        <f>VLOOKUP(A36,'1.Loading'!A:R,4,FALSE)</f>
        <v>2612N</v>
      </c>
      <c r="Q36" s="61" t="str">
        <f>VLOOKUP(D36,'2.Bookinglist'!A:CT,12,FALSE)</f>
        <v>PCI2</v>
      </c>
      <c r="R36" s="60" t="str">
        <f>IF(LEFT(K36,2)="22","20'","40'")</f>
        <v>40'</v>
      </c>
      <c r="S36" s="185" t="n"/>
      <c r="T36" s="61" t="str">
        <f>VLOOKUP(A36,'1.Loading'!A:R,2,FALSE)</f>
        <v>2026-10-07</v>
      </c>
      <c r="U36" s="63">
        <f>T36-S36</f>
        <v>46302</v>
      </c>
      <c r="V36" s="186" t="n"/>
      <c r="W36" s="61" t="str">
        <f>VLOOKUP(A36,'3.GateMove'!A:D,4,FALSE)</f>
        <v>2026-09-19</v>
      </c>
      <c r="X36" s="63">
        <f>((T36-W36)+1)</f>
        <v>19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12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4250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46303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4250</v>
      </c>
      <c r="AJ36" s="188" t="n"/>
      <c r="AK36" s="62" t="str">
        <f>VLOOKUP(D36,'2.Bookinglist'!A:CT,40,FALSE)</f>
        <v>Nannaapust Sukporntaweewat</v>
      </c>
      <c r="AL36" s="60" t="str">
        <f>VLOOKUP(D36,'2.Bookinglist'!A:CW,101,FALSE)</f>
        <v>2026-10-08</v>
      </c>
      <c r="AM36" s="60" t="str">
        <f>VLOOKUP(D36,'2.Bookinglist'!A:BK,63,FALSE)</f>
        <v>LCHY5</v>
      </c>
      <c r="AN36" s="62" t="str">
        <f>VLOOKUP(D36,'2.Bookinglist'!A:AZ,52,FALSE)</f>
        <v>Pickup : 2026-09-18, Return : 2026-09-19</v>
      </c>
      <c r="AO36" s="62" t="str">
        <f>VLOOKUP(D36,'2.Bookinglist'!A:CY,103,FALSE)</f>
        <v>ROLL OVER FROM PREVIOUS VSL HAB 2611N  BY ALLOCATION TEAM MS.TARN APPROVED COST IS UNDER HA DD.25/09</v>
      </c>
    </row>
    <row r="37" ht="12.95" customHeight="1">
      <c r="A37" s="96" t="inlineStr">
        <is>
          <t>HLHU8321404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LCH06</v>
      </c>
      <c r="D37" s="61" t="str">
        <f>VLOOKUP(A37,'1.Loading'!A:R,17,FALSE)</f>
        <v>HASLS22260802360</v>
      </c>
      <c r="E37" s="62" t="str">
        <f>VLOOKUP(D37,'2.Bookinglist'!A:CT,27,FALSE)</f>
        <v>WHA GC LOGISTICS COMPANY LIMITED</v>
      </c>
      <c r="F37" s="62" t="str">
        <f>VLOOKUP(D37,'2.Bookinglist'!A:CT,28,FALSE)</f>
        <v>PTT GLOBAL CHEMICAL PUBLIC COMPANY LIMITED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JPMYJ</v>
      </c>
      <c r="J37" s="61" t="str">
        <f>VLOOKUP(D37,'2.Bookinglist'!A:CT,26,FALSE)</f>
        <v>KRPUS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SWVG</v>
      </c>
      <c r="P37" s="61" t="str">
        <f>VLOOKUP(A37,'1.Loading'!A:R,4,FALSE)</f>
        <v>2612N</v>
      </c>
      <c r="Q37" s="61" t="str">
        <f>VLOOKUP(D37,'2.Bookinglist'!A:CT,12,FALSE)</f>
        <v>PCI2</v>
      </c>
      <c r="R37" s="60" t="str">
        <f>IF(LEFT(K37,2)="22","20'","40'")</f>
        <v>40'</v>
      </c>
      <c r="S37" s="185" t="n"/>
      <c r="T37" s="61" t="str">
        <f>VLOOKUP(A37,'1.Loading'!A:R,2,FALSE)</f>
        <v>2026-10-07</v>
      </c>
      <c r="U37" s="63">
        <f>T37-S37</f>
        <v>46302</v>
      </c>
      <c r="V37" s="186" t="n"/>
      <c r="W37" s="61" t="str">
        <f>VLOOKUP(A37,'3.GateMove'!A:D,4,FALSE)</f>
        <v>2026-09-27</v>
      </c>
      <c r="X37" s="63">
        <f>((T37-W37)+1)</f>
        <v>11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4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1000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46303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1000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2026-10-03</v>
      </c>
      <c r="AM37" s="60" t="str">
        <f>VLOOKUP(D37,'2.Bookinglist'!A:BK,63,FALSE)</f>
        <v>LCH28</v>
      </c>
      <c r="AN37" s="62" t="str">
        <f>VLOOKUP(D37,'2.Bookinglist'!A:AZ,52,FALSE)</f>
        <v>CY-RTN 23-27/09/26
*PLS CHECK OPEN GATE BEFORE RETURN CTNR*</v>
      </c>
      <c r="AO37" s="62">
        <f>VLOOKUP(D37,'2.Bookinglist'!A:CY,103,FALSE)</f>
        <v>0</v>
      </c>
    </row>
    <row r="38" ht="12.95" customHeight="1">
      <c r="A38" s="96" t="inlineStr">
        <is>
          <t>HLHU8331742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LCH06</v>
      </c>
      <c r="D38" s="61" t="str">
        <f>VLOOKUP(A38,'1.Loading'!A:R,17,FALSE)</f>
        <v>HASLS22260901309</v>
      </c>
      <c r="E38" s="62" t="str">
        <f>VLOOKUP(D38,'2.Bookinglist'!A:CT,27,FALSE)</f>
        <v>WHA GC LOGISTICS COMPANY LIMITED</v>
      </c>
      <c r="F38" s="62" t="str">
        <f>VLOOKUP(D38,'2.Bookinglist'!A:CT,28,FALSE)</f>
        <v>PTT GLOBAL CHEMICAL PUBLIC COMPANY LIMITED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CNSHA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SWVG</v>
      </c>
      <c r="P38" s="61" t="str">
        <f>VLOOKUP(A38,'1.Loading'!A:R,4,FALSE)</f>
        <v>2612N</v>
      </c>
      <c r="Q38" s="61" t="str">
        <f>VLOOKUP(D38,'2.Bookinglist'!A:CT,12,FALSE)</f>
        <v>PCI2</v>
      </c>
      <c r="R38" s="60" t="str">
        <f>IF(LEFT(K38,2)="22","20'","40'")</f>
        <v>40'</v>
      </c>
      <c r="S38" s="185" t="n"/>
      <c r="T38" s="61" t="str">
        <f>VLOOKUP(A38,'1.Loading'!A:R,2,FALSE)</f>
        <v>2026-10-07</v>
      </c>
      <c r="U38" s="63">
        <f>T38-S38</f>
        <v>46302</v>
      </c>
      <c r="V38" s="186" t="n"/>
      <c r="W38" s="61" t="str">
        <f>VLOOKUP(A38,'3.GateMove'!A:D,4,FALSE)</f>
        <v>2026-09-28</v>
      </c>
      <c r="X38" s="63">
        <f>((T38-W38)+1)</f>
        <v>10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3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750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46303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750</v>
      </c>
      <c r="AJ38" s="188" t="n"/>
      <c r="AK38" s="62" t="str">
        <f>VLOOKUP(D38,'2.Bookinglist'!A:CT,40,FALSE)</f>
        <v>Dharaporn</v>
      </c>
      <c r="AL38" s="60" t="str">
        <f>VLOOKUP(D38,'2.Bookinglist'!A:CW,101,FALSE)</f>
        <v>2026-10-03</v>
      </c>
      <c r="AM38" s="60" t="str">
        <f>VLOOKUP(D38,'2.Bookinglist'!A:BK,63,FALSE)</f>
        <v>LCHY5</v>
      </c>
      <c r="AN38" s="62" t="str">
        <f>VLOOKUP(D38,'2.Bookinglist'!A:AZ,52,FALSE)</f>
        <v>CY-RTN: 23-27/09/2026</v>
      </c>
      <c r="AO38" s="62">
        <f>VLOOKUP(D38,'2.Bookinglist'!A:CY,103,FALSE)</f>
        <v>0</v>
      </c>
    </row>
    <row r="39" ht="12.95" customHeight="1">
      <c r="A39" s="96" t="inlineStr">
        <is>
          <t>HLHU8332203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LCH06</v>
      </c>
      <c r="D39" s="61" t="str">
        <f>VLOOKUP(A39,'1.Loading'!A:R,17,FALSE)</f>
        <v>HASLS22260802391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JPMYJ</v>
      </c>
      <c r="J39" s="61" t="str">
        <f>VLOOKUP(D39,'2.Bookinglist'!A:CT,26,FALSE)</f>
        <v>KRPUS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SWVG</v>
      </c>
      <c r="P39" s="61" t="str">
        <f>VLOOKUP(A39,'1.Loading'!A:R,4,FALSE)</f>
        <v>2612N</v>
      </c>
      <c r="Q39" s="61" t="str">
        <f>VLOOKUP(D39,'2.Bookinglist'!A:CT,12,FALSE)</f>
        <v>PCI2</v>
      </c>
      <c r="R39" s="60" t="str">
        <f>IF(LEFT(K39,2)="22","20'","40'")</f>
        <v>40'</v>
      </c>
      <c r="S39" s="185" t="n"/>
      <c r="T39" s="61" t="str">
        <f>VLOOKUP(A39,'1.Loading'!A:R,2,FALSE)</f>
        <v>2026-10-07</v>
      </c>
      <c r="U39" s="63">
        <f>T39-S39</f>
        <v>46302</v>
      </c>
      <c r="V39" s="186" t="n"/>
      <c r="W39" s="61" t="str">
        <f>VLOOKUP(A39,'3.GateMove'!A:D,4,FALSE)</f>
        <v>2026-09-27</v>
      </c>
      <c r="X39" s="63">
        <f>((T39-W39)+1)</f>
        <v>11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4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1000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46303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1000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2026-10-03</v>
      </c>
      <c r="AM39" s="60" t="str">
        <f>VLOOKUP(D39,'2.Bookinglist'!A:BK,63,FALSE)</f>
        <v>LCHY5</v>
      </c>
      <c r="AN39" s="62" t="str">
        <f>VLOOKUP(D39,'2.Bookinglist'!A:AZ,52,FALSE)</f>
        <v>CY-RTN 23-28/09/26 
</v>
      </c>
      <c r="AO39" s="62">
        <f>VLOOKUP(D39,'2.Bookinglist'!A:CY,103,FALSE)</f>
        <v>0</v>
      </c>
    </row>
    <row r="40" ht="12.95" customHeight="1">
      <c r="A40" s="96" t="inlineStr">
        <is>
          <t>HLHU8342897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LCH06</v>
      </c>
      <c r="D40" s="61" t="str">
        <f>VLOOKUP(A40,'1.Loading'!A:R,17,FALSE)</f>
        <v>HASLS22260801240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CNSHA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SWVG</v>
      </c>
      <c r="P40" s="61" t="str">
        <f>VLOOKUP(A40,'1.Loading'!A:R,4,FALSE)</f>
        <v>2612N</v>
      </c>
      <c r="Q40" s="61" t="str">
        <f>VLOOKUP(D40,'2.Bookinglist'!A:CT,12,FALSE)</f>
        <v>PCI2</v>
      </c>
      <c r="R40" s="60" t="str">
        <f>IF(LEFT(K40,2)="22","20'","40'")</f>
        <v>40'</v>
      </c>
      <c r="S40" s="185" t="n"/>
      <c r="T40" s="61" t="str">
        <f>VLOOKUP(A40,'1.Loading'!A:R,2,FALSE)</f>
        <v>2026-10-07</v>
      </c>
      <c r="U40" s="63">
        <f>T40-S40</f>
        <v>46302</v>
      </c>
      <c r="V40" s="186" t="n"/>
      <c r="W40" s="61" t="str">
        <f>VLOOKUP(A40,'3.GateMove'!A:D,4,FALSE)</f>
        <v>2026-09-27</v>
      </c>
      <c r="X40" s="63">
        <f>((T40-W40)+1)</f>
        <v>11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4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1000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46303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1000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2026-10-07</v>
      </c>
      <c r="AM40" s="60" t="str">
        <f>VLOOKUP(D40,'2.Bookinglist'!A:BK,63,FALSE)</f>
        <v>LCH27</v>
      </c>
      <c r="AN40" s="62" t="str">
        <f>VLOOKUP(D40,'2.Bookinglist'!A:AZ,52,FALSE)</f>
        <v>CY-RTN : 22-25/09/2026</v>
      </c>
      <c r="AO40" s="62">
        <f>VLOOKUP(D40,'2.Bookinglist'!A:CY,103,FALSE)</f>
        <v>0</v>
      </c>
    </row>
    <row r="41" ht="12.95" customHeight="1">
      <c r="A41" s="96" t="inlineStr">
        <is>
          <t>HLHU8356632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LCH06</v>
      </c>
      <c r="D41" s="61" t="str">
        <f>VLOOKUP(A41,'1.Loading'!A:R,17,FALSE)</f>
        <v>HASLS22260802507</v>
      </c>
      <c r="E41" s="62" t="str">
        <f>VLOOKUP(D41,'2.Bookinglist'!A:CT,27,FALSE)</f>
        <v>WHA GC LOGISTICS COMPANY LIMITED</v>
      </c>
      <c r="F41" s="62" t="str">
        <f>VLOOKUP(D41,'2.Bookinglist'!A:CT,28,FALSE)</f>
        <v>PTT GLOBAL CHEMICAL PUBLIC COMPANY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CNSHA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SWVG</v>
      </c>
      <c r="P41" s="61" t="str">
        <f>VLOOKUP(A41,'1.Loading'!A:R,4,FALSE)</f>
        <v>2612N</v>
      </c>
      <c r="Q41" s="61" t="str">
        <f>VLOOKUP(D41,'2.Bookinglist'!A:CT,12,FALSE)</f>
        <v>PCI2</v>
      </c>
      <c r="R41" s="60" t="str">
        <f>IF(LEFT(K41,2)="22","20'","40'")</f>
        <v>40'</v>
      </c>
      <c r="S41" s="185" t="n"/>
      <c r="T41" s="61" t="str">
        <f>VLOOKUP(A41,'1.Loading'!A:R,2,FALSE)</f>
        <v>2026-10-07</v>
      </c>
      <c r="U41" s="63">
        <f>T41-S41</f>
        <v>46302</v>
      </c>
      <c r="V41" s="186" t="n"/>
      <c r="W41" s="61" t="str">
        <f>VLOOKUP(A41,'3.GateMove'!A:D,4,FALSE)</f>
        <v>2026-09-28</v>
      </c>
      <c r="X41" s="63">
        <f>((T41-W41)+1)</f>
        <v>10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3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750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46303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750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2026-10-07</v>
      </c>
      <c r="AM41" s="60" t="str">
        <f>VLOOKUP(D41,'2.Bookinglist'!A:BK,63,FALSE)</f>
        <v>LCHY5</v>
      </c>
      <c r="AN41" s="62" t="str">
        <f>VLOOKUP(D41,'2.Bookinglist'!A:AZ,52,FALSE)</f>
        <v>CY -RTN DD.21/09 -27/09/2026 /CHECK OPEN GATE BEFORE RETURN CNTR </v>
      </c>
      <c r="AO41" s="62">
        <f>VLOOKUP(D41,'2.Bookinglist'!A:CY,103,FALSE)</f>
        <v>0</v>
      </c>
    </row>
    <row r="42" ht="12.95" customHeight="1">
      <c r="A42" s="96" t="inlineStr">
        <is>
          <t>HLHU8376393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LCH06</v>
      </c>
      <c r="D42" s="61" t="str">
        <f>VLOOKUP(A42,'1.Loading'!A:R,17,FALSE)</f>
        <v>HASLS22260902495</v>
      </c>
      <c r="E42" s="62" t="str">
        <f>VLOOKUP(D42,'2.Bookinglist'!A:CT,27,FALSE)</f>
        <v>SCGJWD LOGISTICS PUBLIC COMPANY LIMITED</v>
      </c>
      <c r="F42" s="62" t="str">
        <f>VLOOKUP(D42,'2.Bookinglist'!A:CT,28,FALSE)</f>
        <v>THAI POLYETHYLENE CO., LTD.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CNSHA</v>
      </c>
      <c r="J42" s="61">
        <f>VLOOKUP(D42,'2.Bookinglist'!A:CT,26,FALSE)</f>
        <v>0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SWVG</v>
      </c>
      <c r="P42" s="61" t="str">
        <f>VLOOKUP(A42,'1.Loading'!A:R,4,FALSE)</f>
        <v>2612N</v>
      </c>
      <c r="Q42" s="61" t="str">
        <f>VLOOKUP(D42,'2.Bookinglist'!A:CT,12,FALSE)</f>
        <v>PCI2</v>
      </c>
      <c r="R42" s="60" t="str">
        <f>IF(LEFT(K42,2)="22","20'","40'")</f>
        <v>40'</v>
      </c>
      <c r="S42" s="185" t="n"/>
      <c r="T42" s="61" t="str">
        <f>VLOOKUP(A42,'1.Loading'!A:R,2,FALSE)</f>
        <v>2026-10-07</v>
      </c>
      <c r="U42" s="63">
        <f>T42-S42</f>
        <v>46302</v>
      </c>
      <c r="V42" s="186" t="n"/>
      <c r="W42" s="61" t="str">
        <f>VLOOKUP(A42,'3.GateMove'!A:D,4,FALSE)</f>
        <v>2026-10-03</v>
      </c>
      <c r="X42" s="63">
        <f>((T42-W42)+1)</f>
        <v>5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46303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Kanokporn</v>
      </c>
      <c r="AL42" s="60" t="str">
        <f>VLOOKUP(D42,'2.Bookinglist'!A:CW,101,FALSE)</f>
        <v>2026-10-07</v>
      </c>
      <c r="AM42" s="60" t="str">
        <f>VLOOKUP(D42,'2.Bookinglist'!A:BK,63,FALSE)</f>
        <v>LCHY5</v>
      </c>
      <c r="AN42" s="62" t="str">
        <f>VLOOKUP(D42,'2.Bookinglist'!A:AZ,52,FALSE)</f>
        <v>CY 30/09/26 , RTN 02/10/26 (INV. 3031061079)</v>
      </c>
      <c r="AO42" s="62">
        <f>VLOOKUP(D42,'2.Bookinglist'!A:CY,103,FALSE)</f>
        <v>0</v>
      </c>
    </row>
    <row r="43" ht="12.95" customHeight="1">
      <c r="A43" s="96" t="inlineStr">
        <is>
          <t>HLHU8377050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LCH06</v>
      </c>
      <c r="D43" s="61" t="str">
        <f>VLOOKUP(A43,'1.Loading'!A:R,17,FALSE)</f>
        <v>HASLS22260801240</v>
      </c>
      <c r="E43" s="62" t="str">
        <f>VLOOKUP(D43,'2.Bookinglist'!A:CT,27,FALSE)</f>
        <v>WHA GC LOGISTICS COMPANY LIMITED</v>
      </c>
      <c r="F43" s="62" t="str">
        <f>VLOOKUP(D43,'2.Bookinglist'!A:CT,28,FALSE)</f>
        <v>PTT GLOBAL CHEMICAL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CNSHA</v>
      </c>
      <c r="J43" s="61">
        <f>VLOOKUP(D43,'2.Bookinglist'!A:CT,26,FALSE)</f>
        <v>0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SWVG</v>
      </c>
      <c r="P43" s="61" t="str">
        <f>VLOOKUP(A43,'1.Loading'!A:R,4,FALSE)</f>
        <v>2612N</v>
      </c>
      <c r="Q43" s="61" t="str">
        <f>VLOOKUP(D43,'2.Bookinglist'!A:CT,12,FALSE)</f>
        <v>PCI2</v>
      </c>
      <c r="R43" s="60" t="str">
        <f>IF(LEFT(K43,2)="22","20'","40'")</f>
        <v>40'</v>
      </c>
      <c r="S43" s="185" t="n"/>
      <c r="T43" s="61" t="str">
        <f>VLOOKUP(A43,'1.Loading'!A:R,2,FALSE)</f>
        <v>2026-10-07</v>
      </c>
      <c r="U43" s="63">
        <f>T43-S43</f>
        <v>46302</v>
      </c>
      <c r="V43" s="186" t="n"/>
      <c r="W43" s="61" t="str">
        <f>VLOOKUP(A43,'3.GateMove'!A:D,4,FALSE)</f>
        <v>2026-09-28</v>
      </c>
      <c r="X43" s="63">
        <f>((T43-W43)+1)</f>
        <v>10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3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750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46303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750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2026-10-07</v>
      </c>
      <c r="AM43" s="60" t="str">
        <f>VLOOKUP(D43,'2.Bookinglist'!A:BK,63,FALSE)</f>
        <v>LCH27</v>
      </c>
      <c r="AN43" s="62" t="str">
        <f>VLOOKUP(D43,'2.Bookinglist'!A:AZ,52,FALSE)</f>
        <v>CY-RTN : 22-25/09/2026</v>
      </c>
      <c r="AO43" s="62">
        <f>VLOOKUP(D43,'2.Bookinglist'!A:CY,103,FALSE)</f>
        <v>0</v>
      </c>
    </row>
    <row r="44" ht="12.95" customHeight="1">
      <c r="A44" s="96" t="inlineStr">
        <is>
          <t>HLHU8415967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LCH06</v>
      </c>
      <c r="D44" s="61" t="str">
        <f>VLOOKUP(A44,'1.Loading'!A:R,17,FALSE)</f>
        <v>HASLS22260902494</v>
      </c>
      <c r="E44" s="62" t="str">
        <f>VLOOKUP(D44,'2.Bookinglist'!A:CT,27,FALSE)</f>
        <v>SCGJWD LOGISTICS PUBLIC COMPANY LIMITED</v>
      </c>
      <c r="F44" s="62" t="str">
        <f>VLOOKUP(D44,'2.Bookinglist'!A:CT,28,FALSE)</f>
        <v>THAI POLYETHYLENE CO., LTD.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CNSHA</v>
      </c>
      <c r="J44" s="61">
        <f>VLOOKUP(D44,'2.Bookinglist'!A:CT,26,FALSE)</f>
        <v>0</v>
      </c>
      <c r="K44" s="61" t="str">
        <f>VLOOKUP(A44,'1.Loading'!A:R,5,FALSE)</f>
        <v>45GP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SWVG</v>
      </c>
      <c r="P44" s="61" t="str">
        <f>VLOOKUP(A44,'1.Loading'!A:R,4,FALSE)</f>
        <v>2612N</v>
      </c>
      <c r="Q44" s="61" t="str">
        <f>VLOOKUP(D44,'2.Bookinglist'!A:CT,12,FALSE)</f>
        <v>PCI2</v>
      </c>
      <c r="R44" s="60" t="str">
        <f>IF(LEFT(K44,2)="22","20'","40'")</f>
        <v>40'</v>
      </c>
      <c r="S44" s="185" t="n"/>
      <c r="T44" s="61" t="str">
        <f>VLOOKUP(A44,'1.Loading'!A:R,2,FALSE)</f>
        <v>2026-10-07</v>
      </c>
      <c r="U44" s="63">
        <f>T44-S44</f>
        <v>46302</v>
      </c>
      <c r="V44" s="186" t="n"/>
      <c r="W44" s="61" t="str">
        <f>VLOOKUP(A44,'3.GateMove'!A:D,4,FALSE)</f>
        <v>2026-10-03</v>
      </c>
      <c r="X44" s="63">
        <f>((T44-W44)+1)</f>
        <v>5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46303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Kanokporn</v>
      </c>
      <c r="AL44" s="60" t="str">
        <f>VLOOKUP(D44,'2.Bookinglist'!A:CW,101,FALSE)</f>
        <v>2026-10-07</v>
      </c>
      <c r="AM44" s="60" t="str">
        <f>VLOOKUP(D44,'2.Bookinglist'!A:BK,63,FALSE)</f>
        <v>LCHY5</v>
      </c>
      <c r="AN44" s="62" t="str">
        <f>VLOOKUP(D44,'2.Bookinglist'!A:AZ,52,FALSE)</f>
        <v>CY 30/09/26 , RTN 02/10/26 (INV. 3031061556)</v>
      </c>
      <c r="AO44" s="62">
        <f>VLOOKUP(D44,'2.Bookinglist'!A:CY,103,FALSE)</f>
        <v>0</v>
      </c>
    </row>
    <row r="45" ht="12.95" customHeight="1">
      <c r="A45" s="96" t="inlineStr">
        <is>
          <t>HLHU8452087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LCH06</v>
      </c>
      <c r="D45" s="61" t="str">
        <f>VLOOKUP(A45,'1.Loading'!A:R,17,FALSE)</f>
        <v>HASLS22260802507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CNSHA</v>
      </c>
      <c r="J45" s="61">
        <f>VLOOKUP(D45,'2.Bookinglist'!A:CT,26,FALSE)</f>
        <v>0</v>
      </c>
      <c r="K45" s="61" t="str">
        <f>VLOOKUP(A45,'1.Loading'!A:R,5,FALSE)</f>
        <v>45GP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SWVG</v>
      </c>
      <c r="P45" s="61" t="str">
        <f>VLOOKUP(A45,'1.Loading'!A:R,4,FALSE)</f>
        <v>2612N</v>
      </c>
      <c r="Q45" s="61" t="str">
        <f>VLOOKUP(D45,'2.Bookinglist'!A:CT,12,FALSE)</f>
        <v>PCI2</v>
      </c>
      <c r="R45" s="60" t="str">
        <f>IF(LEFT(K45,2)="22","20'","40'")</f>
        <v>40'</v>
      </c>
      <c r="S45" s="185" t="n"/>
      <c r="T45" s="61" t="str">
        <f>VLOOKUP(A45,'1.Loading'!A:R,2,FALSE)</f>
        <v>2026-10-07</v>
      </c>
      <c r="U45" s="63">
        <f>T45-S45</f>
        <v>46302</v>
      </c>
      <c r="V45" s="186" t="n"/>
      <c r="W45" s="61" t="str">
        <f>VLOOKUP(A45,'3.GateMove'!A:D,4,FALSE)</f>
        <v>2026-09-28</v>
      </c>
      <c r="X45" s="63">
        <f>((T45-W45)+1)</f>
        <v>10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3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750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46303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750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2026-10-07</v>
      </c>
      <c r="AM45" s="60" t="str">
        <f>VLOOKUP(D45,'2.Bookinglist'!A:BK,63,FALSE)</f>
        <v>LCHY5</v>
      </c>
      <c r="AN45" s="62" t="str">
        <f>VLOOKUP(D45,'2.Bookinglist'!A:AZ,52,FALSE)</f>
        <v>CY -RTN DD.21/09 -27/09/2026 /CHECK OPEN GATE BEFORE RETURN CNTR </v>
      </c>
      <c r="AO45" s="62">
        <f>VLOOKUP(D45,'2.Bookinglist'!A:CY,103,FALSE)</f>
        <v>0</v>
      </c>
    </row>
    <row r="46" ht="12.95" customHeight="1">
      <c r="A46" s="96" t="inlineStr">
        <is>
          <t>HLHU8455065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LCH06</v>
      </c>
      <c r="D46" s="61" t="str">
        <f>VLOOKUP(A46,'1.Loading'!A:R,17,FALSE)</f>
        <v>HASLS22260900977</v>
      </c>
      <c r="E46" s="62" t="str">
        <f>VLOOKUP(D46,'2.Bookinglist'!A:CT,27,FALSE)</f>
        <v>L.A.1 CO.,LTD.</v>
      </c>
      <c r="F46" s="62" t="str">
        <f>VLOOKUP(D46,'2.Bookinglist'!A:CT,28,FALSE)</f>
        <v>TANATEX CHEMICALS (THAILAND) CO., LTD.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CNSHA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SWVG</v>
      </c>
      <c r="P46" s="61" t="str">
        <f>VLOOKUP(A46,'1.Loading'!A:R,4,FALSE)</f>
        <v>2612N</v>
      </c>
      <c r="Q46" s="61" t="str">
        <f>VLOOKUP(D46,'2.Bookinglist'!A:CT,12,FALSE)</f>
        <v>PCI2</v>
      </c>
      <c r="R46" s="60" t="str">
        <f>IF(LEFT(K46,2)="22","20'","40'")</f>
        <v>40'</v>
      </c>
      <c r="S46" s="185" t="n"/>
      <c r="T46" s="61" t="str">
        <f>VLOOKUP(A46,'1.Loading'!A:R,2,FALSE)</f>
        <v>2026-10-07</v>
      </c>
      <c r="U46" s="63">
        <f>T46-S46</f>
        <v>46302</v>
      </c>
      <c r="V46" s="186" t="n"/>
      <c r="W46" s="61" t="str">
        <f>VLOOKUP(A46,'3.GateMove'!A:D,4,FALSE)</f>
        <v>2026-09-29</v>
      </c>
      <c r="X46" s="63">
        <f>((T46-W46)+1)</f>
        <v>9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2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500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46303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500</v>
      </c>
      <c r="AJ46" s="188" t="n"/>
      <c r="AK46" s="62" t="str">
        <f>VLOOKUP(D46,'2.Bookinglist'!A:CT,40,FALSE)</f>
        <v>Sukunpoj Damrongying</v>
      </c>
      <c r="AL46" s="60" t="str">
        <f>VLOOKUP(D46,'2.Bookinglist'!A:CW,101,FALSE)</f>
        <v>2026-10-03</v>
      </c>
      <c r="AM46" s="60" t="str">
        <f>VLOOKUP(D46,'2.Bookinglist'!A:BK,63,FALSE)</f>
        <v>LCH27</v>
      </c>
      <c r="AN46" s="62" t="str">
        <f>VLOOKUP(D46,'2.Bookinglist'!A:AZ,52,FALSE)</f>
        <v>Pickup : 2026-09-28, Return : 2026-09-29 
 ** PLEASE CHECK OPEN GATE BEFORE RETURN CNTR **
</v>
      </c>
      <c r="AO46" s="62">
        <f>VLOOKUP(D46,'2.Bookinglist'!A:CY,103,FALSE)</f>
        <v>0</v>
      </c>
    </row>
    <row r="47" ht="12.95" customHeight="1">
      <c r="A47" s="96" t="inlineStr">
        <is>
          <t>HLHU8462531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LCH06</v>
      </c>
      <c r="D47" s="61" t="str">
        <f>VLOOKUP(A47,'1.Loading'!A:R,17,FALSE)</f>
        <v>HASLS22260900441</v>
      </c>
      <c r="E47" s="62" t="str">
        <f>VLOOKUP(D47,'2.Bookinglist'!A:CT,27,FALSE)</f>
        <v>BARKLAYS LOGISTICS (THAILAND) CO., LTD.</v>
      </c>
      <c r="F47" s="62" t="str">
        <f>VLOOKUP(D47,'2.Bookinglist'!A:CT,28,FALSE)</f>
        <v>GOLDEN CRANE (GOLDEN DRAGON) CO.,LTD.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CNSHA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SWVG</v>
      </c>
      <c r="P47" s="61" t="str">
        <f>VLOOKUP(A47,'1.Loading'!A:R,4,FALSE)</f>
        <v>2612N</v>
      </c>
      <c r="Q47" s="61" t="str">
        <f>VLOOKUP(D47,'2.Bookinglist'!A:CT,12,FALSE)</f>
        <v>PCI2</v>
      </c>
      <c r="R47" s="60" t="str">
        <f>IF(LEFT(K47,2)="22","20'","40'")</f>
        <v>40'</v>
      </c>
      <c r="S47" s="185" t="n"/>
      <c r="T47" s="61" t="str">
        <f>VLOOKUP(A47,'1.Loading'!A:R,2,FALSE)</f>
        <v>2026-10-07</v>
      </c>
      <c r="U47" s="63">
        <f>T47-S47</f>
        <v>46302</v>
      </c>
      <c r="V47" s="186" t="n"/>
      <c r="W47" s="61" t="str">
        <f>VLOOKUP(A47,'3.GateMove'!A:D,4,FALSE)</f>
        <v>2026-09-19</v>
      </c>
      <c r="X47" s="63">
        <f>((T47-W47)+1)</f>
        <v>19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12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4250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46303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4250</v>
      </c>
      <c r="AJ47" s="188" t="n"/>
      <c r="AK47" s="62" t="str">
        <f>VLOOKUP(D47,'2.Bookinglist'!A:CT,40,FALSE)</f>
        <v>Nannaapust Sukporntaweewat</v>
      </c>
      <c r="AL47" s="60" t="str">
        <f>VLOOKUP(D47,'2.Bookinglist'!A:CW,101,FALSE)</f>
        <v>2026-10-08</v>
      </c>
      <c r="AM47" s="60" t="str">
        <f>VLOOKUP(D47,'2.Bookinglist'!A:BK,63,FALSE)</f>
        <v>LCHY5</v>
      </c>
      <c r="AN47" s="62" t="str">
        <f>VLOOKUP(D47,'2.Bookinglist'!A:AZ,52,FALSE)</f>
        <v>Pickup : 2026-09-18, Return : 2026-09-19</v>
      </c>
      <c r="AO47" s="62" t="str">
        <f>VLOOKUP(D47,'2.Bookinglist'!A:CY,103,FALSE)</f>
        <v>ROLL OVER FROM PREVIOUS VSL HAB 2611N  BY ALLOCATION TEAM MS.TARN APPROVED COST IS UNDER HA DD.25/09</v>
      </c>
    </row>
    <row r="48" ht="12.95" customHeight="1">
      <c r="A48" s="96" t="inlineStr">
        <is>
          <t>HLHU8470033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LCH06</v>
      </c>
      <c r="D48" s="61" t="str">
        <f>VLOOKUP(A48,'1.Loading'!A:R,17,FALSE)</f>
        <v>HASLS22260902062</v>
      </c>
      <c r="E48" s="62" t="str">
        <f>VLOOKUP(D48,'2.Bookinglist'!A:CT,27,FALSE)</f>
        <v>SCGJWD LOGISTICS PUBLIC COMPANY LIMITED</v>
      </c>
      <c r="F48" s="62" t="str">
        <f>VLOOKUP(D48,'2.Bookinglist'!A:CT,28,FALSE)</f>
        <v>THAI POLYETHYLENE CO.,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JPISS</v>
      </c>
      <c r="J48" s="61" t="str">
        <f>VLOOKUP(D48,'2.Bookinglist'!A:CT,26,FALSE)</f>
        <v>KRPUS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SWVG</v>
      </c>
      <c r="P48" s="61" t="str">
        <f>VLOOKUP(A48,'1.Loading'!A:R,4,FALSE)</f>
        <v>2612N</v>
      </c>
      <c r="Q48" s="61" t="str">
        <f>VLOOKUP(D48,'2.Bookinglist'!A:CT,12,FALSE)</f>
        <v>PCI2</v>
      </c>
      <c r="R48" s="60" t="str">
        <f>IF(LEFT(K48,2)="22","20'","40'")</f>
        <v>40'</v>
      </c>
      <c r="S48" s="185" t="n"/>
      <c r="T48" s="61" t="str">
        <f>VLOOKUP(A48,'1.Loading'!A:R,2,FALSE)</f>
        <v>2026-10-07</v>
      </c>
      <c r="U48" s="63">
        <f>T48-S48</f>
        <v>46302</v>
      </c>
      <c r="V48" s="186" t="n"/>
      <c r="W48" s="61" t="str">
        <f>VLOOKUP(A48,'3.GateMove'!A:D,4,FALSE)</f>
        <v>2026-10-01</v>
      </c>
      <c r="X48" s="63">
        <f>((T48-W48)+1)</f>
        <v>7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46303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2026-10-06</v>
      </c>
      <c r="AM48" s="60" t="str">
        <f>VLOOKUP(D48,'2.Bookinglist'!A:BK,63,FALSE)</f>
        <v>LCHY5</v>
      </c>
      <c r="AN48" s="62" t="str">
        <f>VLOOKUP(D48,'2.Bookinglist'!A:AZ,52,FALSE)</f>
        <v>[FIX]CY 25/09/26 , RTN 30/09/26 (Invoice No. 3031060889)</v>
      </c>
      <c r="AO48" s="62">
        <f>VLOOKUP(D48,'2.Bookinglist'!A:CY,103,FALSE)</f>
        <v>0</v>
      </c>
    </row>
    <row r="49" ht="12.95" customHeight="1">
      <c r="A49" s="96" t="inlineStr">
        <is>
          <t>HLHU8472951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LCH06</v>
      </c>
      <c r="D49" s="61" t="str">
        <f>VLOOKUP(A49,'1.Loading'!A:R,17,FALSE)</f>
        <v>HASLS22260801240</v>
      </c>
      <c r="E49" s="62" t="str">
        <f>VLOOKUP(D49,'2.Bookinglist'!A:CT,27,FALSE)</f>
        <v>WHA GC LOGISTICS COMPANY LIMITED</v>
      </c>
      <c r="F49" s="62" t="str">
        <f>VLOOKUP(D49,'2.Bookinglist'!A:CT,28,FALSE)</f>
        <v>PTT GLOBAL CHEMICAL PUBLIC COMPANY LIMITED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CNSHA</v>
      </c>
      <c r="J49" s="61">
        <f>VLOOKUP(D49,'2.Bookinglist'!A:CT,26,FALSE)</f>
        <v>0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SWVG</v>
      </c>
      <c r="P49" s="61" t="str">
        <f>VLOOKUP(A49,'1.Loading'!A:R,4,FALSE)</f>
        <v>2612N</v>
      </c>
      <c r="Q49" s="61" t="str">
        <f>VLOOKUP(D49,'2.Bookinglist'!A:CT,12,FALSE)</f>
        <v>PCI2</v>
      </c>
      <c r="R49" s="60" t="str">
        <f>IF(LEFT(K49,2)="22","20'","40'")</f>
        <v>40'</v>
      </c>
      <c r="S49" s="185" t="n"/>
      <c r="T49" s="61" t="str">
        <f>VLOOKUP(A49,'1.Loading'!A:R,2,FALSE)</f>
        <v>2026-10-07</v>
      </c>
      <c r="U49" s="63">
        <f>T49-S49</f>
        <v>46302</v>
      </c>
      <c r="V49" s="186" t="n"/>
      <c r="W49" s="61" t="str">
        <f>VLOOKUP(A49,'3.GateMove'!A:D,4,FALSE)</f>
        <v>2026-09-27</v>
      </c>
      <c r="X49" s="63">
        <f>((T49-W49)+1)</f>
        <v>11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4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1000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46303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1000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2026-10-07</v>
      </c>
      <c r="AM49" s="60" t="str">
        <f>VLOOKUP(D49,'2.Bookinglist'!A:BK,63,FALSE)</f>
        <v>LCH27</v>
      </c>
      <c r="AN49" s="62" t="str">
        <f>VLOOKUP(D49,'2.Bookinglist'!A:AZ,52,FALSE)</f>
        <v>CY-RTN : 22-25/09/2026</v>
      </c>
      <c r="AO49" s="62">
        <f>VLOOKUP(D49,'2.Bookinglist'!A:CY,103,FALSE)</f>
        <v>0</v>
      </c>
    </row>
    <row r="50" ht="12.95" customHeight="1">
      <c r="A50" s="96" t="inlineStr">
        <is>
          <t>HLHU8474039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LCH06</v>
      </c>
      <c r="D50" s="61" t="str">
        <f>VLOOKUP(A50,'1.Loading'!A:R,17,FALSE)</f>
        <v>HASLS22260802507</v>
      </c>
      <c r="E50" s="62" t="str">
        <f>VLOOKUP(D50,'2.Bookinglist'!A:CT,27,FALSE)</f>
        <v>WHA GC LOGISTICS COMPANY LIMITED</v>
      </c>
      <c r="F50" s="62" t="str">
        <f>VLOOKUP(D50,'2.Bookinglist'!A:CT,28,FALSE)</f>
        <v>PTT GLOBAL CHEMICAL PUBLIC COMPANY LIMITED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CNSHA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SWVG</v>
      </c>
      <c r="P50" s="61" t="str">
        <f>VLOOKUP(A50,'1.Loading'!A:R,4,FALSE)</f>
        <v>2612N</v>
      </c>
      <c r="Q50" s="61" t="str">
        <f>VLOOKUP(D50,'2.Bookinglist'!A:CT,12,FALSE)</f>
        <v>PCI2</v>
      </c>
      <c r="R50" s="60" t="str">
        <f>IF(LEFT(K50,2)="22","20'","40'")</f>
        <v>40'</v>
      </c>
      <c r="S50" s="185" t="n"/>
      <c r="T50" s="61" t="str">
        <f>VLOOKUP(A50,'1.Loading'!A:R,2,FALSE)</f>
        <v>2026-10-07</v>
      </c>
      <c r="U50" s="63">
        <f>T50-S50</f>
        <v>46302</v>
      </c>
      <c r="V50" s="186" t="n"/>
      <c r="W50" s="61" t="str">
        <f>VLOOKUP(A50,'3.GateMove'!A:D,4,FALSE)</f>
        <v>2026-09-28</v>
      </c>
      <c r="X50" s="63">
        <f>((T50-W50)+1)</f>
        <v>10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3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750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46303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750</v>
      </c>
      <c r="AJ50" s="188" t="n"/>
      <c r="AK50" s="62" t="str">
        <f>VLOOKUP(D50,'2.Bookinglist'!A:CT,40,FALSE)</f>
        <v>Dharaporn</v>
      </c>
      <c r="AL50" s="60" t="str">
        <f>VLOOKUP(D50,'2.Bookinglist'!A:CW,101,FALSE)</f>
        <v>2026-10-07</v>
      </c>
      <c r="AM50" s="60" t="str">
        <f>VLOOKUP(D50,'2.Bookinglist'!A:BK,63,FALSE)</f>
        <v>LCHY5</v>
      </c>
      <c r="AN50" s="62" t="str">
        <f>VLOOKUP(D50,'2.Bookinglist'!A:AZ,52,FALSE)</f>
        <v>CY -RTN DD.21/09 -27/09/2026 /CHECK OPEN GATE BEFORE RETURN CNTR </v>
      </c>
      <c r="AO50" s="62">
        <f>VLOOKUP(D50,'2.Bookinglist'!A:CY,103,FALSE)</f>
        <v>0</v>
      </c>
    </row>
    <row r="51" ht="12.95" customHeight="1">
      <c r="A51" s="96" t="inlineStr">
        <is>
          <t>HLHU8477146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LCH06</v>
      </c>
      <c r="D51" s="61" t="str">
        <f>VLOOKUP(A51,'1.Loading'!A:R,17,FALSE)</f>
        <v>HASLS22260802507</v>
      </c>
      <c r="E51" s="62" t="str">
        <f>VLOOKUP(D51,'2.Bookinglist'!A:CT,27,FALSE)</f>
        <v>WHA GC LOGISTICS COMPANY LIMITED</v>
      </c>
      <c r="F51" s="62" t="str">
        <f>VLOOKUP(D51,'2.Bookinglist'!A:CT,28,FALSE)</f>
        <v>PTT GLOBAL CHEMICAL PUBLIC COMPANY LIMITED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CNSHA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SWVG</v>
      </c>
      <c r="P51" s="61" t="str">
        <f>VLOOKUP(A51,'1.Loading'!A:R,4,FALSE)</f>
        <v>2612N</v>
      </c>
      <c r="Q51" s="61" t="str">
        <f>VLOOKUP(D51,'2.Bookinglist'!A:CT,12,FALSE)</f>
        <v>PCI2</v>
      </c>
      <c r="R51" s="60" t="str">
        <f>IF(LEFT(K51,2)="22","20'","40'")</f>
        <v>40'</v>
      </c>
      <c r="S51" s="185" t="n"/>
      <c r="T51" s="61" t="str">
        <f>VLOOKUP(A51,'1.Loading'!A:R,2,FALSE)</f>
        <v>2026-10-07</v>
      </c>
      <c r="U51" s="63">
        <f>T51-S51</f>
        <v>46302</v>
      </c>
      <c r="V51" s="186" t="n"/>
      <c r="W51" s="61" t="str">
        <f>VLOOKUP(A51,'3.GateMove'!A:D,4,FALSE)</f>
        <v>2026-09-28</v>
      </c>
      <c r="X51" s="63">
        <f>((T51-W51)+1)</f>
        <v>10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3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750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46303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750</v>
      </c>
      <c r="AJ51" s="188" t="n"/>
      <c r="AK51" s="62" t="str">
        <f>VLOOKUP(D51,'2.Bookinglist'!A:CT,40,FALSE)</f>
        <v>Dharaporn</v>
      </c>
      <c r="AL51" s="60" t="str">
        <f>VLOOKUP(D51,'2.Bookinglist'!A:CW,101,FALSE)</f>
        <v>2026-10-07</v>
      </c>
      <c r="AM51" s="60" t="str">
        <f>VLOOKUP(D51,'2.Bookinglist'!A:BK,63,FALSE)</f>
        <v>LCHY5</v>
      </c>
      <c r="AN51" s="62" t="str">
        <f>VLOOKUP(D51,'2.Bookinglist'!A:AZ,52,FALSE)</f>
        <v>CY -RTN DD.21/09 -27/09/2026 /CHECK OPEN GATE BEFORE RETURN CNTR </v>
      </c>
      <c r="AO51" s="62">
        <f>VLOOKUP(D51,'2.Bookinglist'!A:CY,103,FALSE)</f>
        <v>0</v>
      </c>
    </row>
    <row r="52" ht="12.95" customHeight="1">
      <c r="A52" s="96" t="inlineStr">
        <is>
          <t>HLHU8485732</t>
        </is>
      </c>
      <c r="B52" s="184" t="str">
        <f>IF(C52=Charge!$M$1,Charge!$J$1,IF(C52=Charge!$M$23,Charge!$J$23,IF(C52=Charge!$M$17,Charge!$J$17,IF(C52=Charge!$N$17,Charge!$J$17,Charge!$J$7))))</f>
        <v>G2</v>
      </c>
      <c r="C52" s="61" t="str">
        <f>VLOOKUP(A52,'1.Loading'!A:R,14,FALSE)</f>
        <v>LCH06</v>
      </c>
      <c r="D52" s="61" t="str">
        <f>VLOOKUP(A52,'1.Loading'!A:R,17,FALSE)</f>
        <v>HASLS22260900977</v>
      </c>
      <c r="E52" s="62" t="str">
        <f>VLOOKUP(D52,'2.Bookinglist'!A:CT,27,FALSE)</f>
        <v>L.A.1 CO.,LTD.</v>
      </c>
      <c r="F52" s="62" t="str">
        <f>VLOOKUP(D52,'2.Bookinglist'!A:CT,28,FALSE)</f>
        <v>TANATEX CHEMICALS (THAILAND) CO., LTD.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CNSHA</v>
      </c>
      <c r="J52" s="61">
        <f>VLOOKUP(D52,'2.Bookinglist'!A:CT,26,FALSE)</f>
        <v>0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SWVG</v>
      </c>
      <c r="P52" s="61" t="str">
        <f>VLOOKUP(A52,'1.Loading'!A:R,4,FALSE)</f>
        <v>2612N</v>
      </c>
      <c r="Q52" s="61" t="str">
        <f>VLOOKUP(D52,'2.Bookinglist'!A:CT,12,FALSE)</f>
        <v>PCI2</v>
      </c>
      <c r="R52" s="60" t="str">
        <f>IF(LEFT(K52,2)="22","20'","40'")</f>
        <v>40'</v>
      </c>
      <c r="S52" s="185" t="n"/>
      <c r="T52" s="61" t="str">
        <f>VLOOKUP(A52,'1.Loading'!A:R,2,FALSE)</f>
        <v>2026-10-07</v>
      </c>
      <c r="U52" s="63">
        <f>T52-S52</f>
        <v>46302</v>
      </c>
      <c r="V52" s="186" t="n"/>
      <c r="W52" s="61" t="str">
        <f>VLOOKUP(A52,'3.GateMove'!A:D,4,FALSE)</f>
        <v>2026-09-30</v>
      </c>
      <c r="X52" s="63">
        <f>((T52-W52)+1)</f>
        <v>8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1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250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46303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250</v>
      </c>
      <c r="AJ52" s="188" t="n"/>
      <c r="AK52" s="62" t="str">
        <f>VLOOKUP(D52,'2.Bookinglist'!A:CT,40,FALSE)</f>
        <v>Sukunpoj Damrongying</v>
      </c>
      <c r="AL52" s="60" t="str">
        <f>VLOOKUP(D52,'2.Bookinglist'!A:CW,101,FALSE)</f>
        <v>2026-10-03</v>
      </c>
      <c r="AM52" s="60" t="str">
        <f>VLOOKUP(D52,'2.Bookinglist'!A:BK,63,FALSE)</f>
        <v>LCH27</v>
      </c>
      <c r="AN52" s="62" t="str">
        <f>VLOOKUP(D52,'2.Bookinglist'!A:AZ,52,FALSE)</f>
        <v>Pickup : 2026-09-28, Return : 2026-09-29 
 ** PLEASE CHECK OPEN GATE BEFORE RETURN CNTR **
</v>
      </c>
      <c r="AO52" s="62">
        <f>VLOOKUP(D52,'2.Bookinglist'!A:CY,103,FALSE)</f>
        <v>0</v>
      </c>
    </row>
    <row r="53" ht="12.95" customHeight="1">
      <c r="A53" s="96" t="inlineStr">
        <is>
          <t>HLHU8492388</t>
        </is>
      </c>
      <c r="B53" s="184" t="str">
        <f>IF(C53=Charge!$M$1,Charge!$J$1,IF(C53=Charge!$M$23,Charge!$J$23,IF(C53=Charge!$M$17,Charge!$J$17,IF(C53=Charge!$N$17,Charge!$J$17,Charge!$J$7))))</f>
        <v>G2</v>
      </c>
      <c r="C53" s="61" t="str">
        <f>VLOOKUP(A53,'1.Loading'!A:R,14,FALSE)</f>
        <v>LCH06</v>
      </c>
      <c r="D53" s="61" t="str">
        <f>VLOOKUP(A53,'1.Loading'!A:R,17,FALSE)</f>
        <v>HASLS22260901260</v>
      </c>
      <c r="E53" s="62" t="str">
        <f>VLOOKUP(D53,'2.Bookinglist'!A:CT,27,FALSE)</f>
        <v>WHA GC LOGISTICS COMPANY LIMITED</v>
      </c>
      <c r="F53" s="62" t="str">
        <f>VLOOKUP(D53,'2.Bookinglist'!A:CT,28,FALSE)</f>
        <v>PTT GLOBAL CHEMICAL PUBLIC COMPANY LIMITED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CNSHA</v>
      </c>
      <c r="J53" s="61">
        <f>VLOOKUP(D53,'2.Bookinglist'!A:CT,26,FALSE)</f>
        <v>0</v>
      </c>
      <c r="K53" s="61" t="str">
        <f>VLOOKUP(A53,'1.Loading'!A:R,5,FALSE)</f>
        <v>45GP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SWVG</v>
      </c>
      <c r="P53" s="61" t="str">
        <f>VLOOKUP(A53,'1.Loading'!A:R,4,FALSE)</f>
        <v>2612N</v>
      </c>
      <c r="Q53" s="61" t="str">
        <f>VLOOKUP(D53,'2.Bookinglist'!A:CT,12,FALSE)</f>
        <v>PCI2</v>
      </c>
      <c r="R53" s="60" t="str">
        <f>IF(LEFT(K53,2)="22","20'","40'")</f>
        <v>40'</v>
      </c>
      <c r="S53" s="185" t="n"/>
      <c r="T53" s="61" t="str">
        <f>VLOOKUP(A53,'1.Loading'!A:R,2,FALSE)</f>
        <v>2026-10-07</v>
      </c>
      <c r="U53" s="63">
        <f>T53-S53</f>
        <v>46302</v>
      </c>
      <c r="V53" s="186" t="n"/>
      <c r="W53" s="61" t="str">
        <f>VLOOKUP(A53,'3.GateMove'!A:D,4,FALSE)</f>
        <v>2026-09-27</v>
      </c>
      <c r="X53" s="63">
        <f>((T53-W53)+1)</f>
        <v>11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4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1000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46303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1000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2026-10-03</v>
      </c>
      <c r="AM53" s="60" t="str">
        <f>VLOOKUP(D53,'2.Bookinglist'!A:BK,63,FALSE)</f>
        <v>LCHY5</v>
      </c>
      <c r="AN53" s="62" t="str">
        <f>VLOOKUP(D53,'2.Bookinglist'!A:AZ,52,FALSE)</f>
        <v>CY -RTN DD.21/09 -27/09/2026 /CHECK OPEN GATE BEFORE RETURN CNTR </v>
      </c>
      <c r="AO53" s="62">
        <f>VLOOKUP(D53,'2.Bookinglist'!A:CY,103,FALSE)</f>
        <v>0</v>
      </c>
    </row>
    <row r="54" ht="12.95" customHeight="1">
      <c r="A54" s="96" t="inlineStr">
        <is>
          <t>HLHU8503944</t>
        </is>
      </c>
      <c r="B54" s="184" t="str">
        <f>IF(C54=Charge!$M$1,Charge!$J$1,IF(C54=Charge!$M$23,Charge!$J$23,IF(C54=Charge!$M$17,Charge!$J$17,IF(C54=Charge!$N$17,Charge!$J$17,Charge!$J$7))))</f>
        <v>G2</v>
      </c>
      <c r="C54" s="61" t="str">
        <f>VLOOKUP(A54,'1.Loading'!A:R,14,FALSE)</f>
        <v>LCH06</v>
      </c>
      <c r="D54" s="61" t="str">
        <f>VLOOKUP(A54,'1.Loading'!A:R,17,FALSE)</f>
        <v>HASLS22260801240</v>
      </c>
      <c r="E54" s="62" t="str">
        <f>VLOOKUP(D54,'2.Bookinglist'!A:CT,27,FALSE)</f>
        <v>WHA GC LOGISTICS COMPANY LIMITED</v>
      </c>
      <c r="F54" s="62" t="str">
        <f>VLOOKUP(D54,'2.Bookinglist'!A:CT,28,FALSE)</f>
        <v>PTT GLOBAL CHEMICAL PUBLIC COMPANY LIMITED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CNSHA</v>
      </c>
      <c r="J54" s="61">
        <f>VLOOKUP(D54,'2.Bookinglist'!A:CT,26,FALSE)</f>
        <v>0</v>
      </c>
      <c r="K54" s="61" t="str">
        <f>VLOOKUP(A54,'1.Loading'!A:R,5,FALSE)</f>
        <v>45GP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SWVG</v>
      </c>
      <c r="P54" s="61" t="str">
        <f>VLOOKUP(A54,'1.Loading'!A:R,4,FALSE)</f>
        <v>2612N</v>
      </c>
      <c r="Q54" s="61" t="str">
        <f>VLOOKUP(D54,'2.Bookinglist'!A:CT,12,FALSE)</f>
        <v>PCI2</v>
      </c>
      <c r="R54" s="60" t="str">
        <f>IF(LEFT(K54,2)="22","20'","40'")</f>
        <v>40'</v>
      </c>
      <c r="S54" s="185" t="n"/>
      <c r="T54" s="61" t="str">
        <f>VLOOKUP(A54,'1.Loading'!A:R,2,FALSE)</f>
        <v>2026-10-07</v>
      </c>
      <c r="U54" s="63">
        <f>T54-S54</f>
        <v>46302</v>
      </c>
      <c r="V54" s="186" t="n"/>
      <c r="W54" s="61" t="str">
        <f>VLOOKUP(A54,'3.GateMove'!A:D,4,FALSE)</f>
        <v>2026-09-27</v>
      </c>
      <c r="X54" s="63">
        <f>((T54-W54)+1)</f>
        <v>11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4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1000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46303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1000</v>
      </c>
      <c r="AJ54" s="188" t="n"/>
      <c r="AK54" s="62" t="str">
        <f>VLOOKUP(D54,'2.Bookinglist'!A:CT,40,FALSE)</f>
        <v>Dharaporn</v>
      </c>
      <c r="AL54" s="60" t="str">
        <f>VLOOKUP(D54,'2.Bookinglist'!A:CW,101,FALSE)</f>
        <v>2026-10-07</v>
      </c>
      <c r="AM54" s="60" t="str">
        <f>VLOOKUP(D54,'2.Bookinglist'!A:BK,63,FALSE)</f>
        <v>LCH27</v>
      </c>
      <c r="AN54" s="62" t="str">
        <f>VLOOKUP(D54,'2.Bookinglist'!A:AZ,52,FALSE)</f>
        <v>CY-RTN : 22-25/09/2026</v>
      </c>
      <c r="AO54" s="62">
        <f>VLOOKUP(D54,'2.Bookinglist'!A:CY,103,FALSE)</f>
        <v>0</v>
      </c>
    </row>
    <row r="55" ht="12.95" customHeight="1">
      <c r="A55" s="96" t="inlineStr">
        <is>
          <t>HLHU8516366</t>
        </is>
      </c>
      <c r="B55" s="184" t="str">
        <f>IF(C55=Charge!$M$1,Charge!$J$1,IF(C55=Charge!$M$23,Charge!$J$23,IF(C55=Charge!$M$17,Charge!$J$17,IF(C55=Charge!$N$17,Charge!$J$17,Charge!$J$7))))</f>
        <v>G2</v>
      </c>
      <c r="C55" s="61" t="str">
        <f>VLOOKUP(A55,'1.Loading'!A:R,14,FALSE)</f>
        <v>LCH06</v>
      </c>
      <c r="D55" s="61" t="str">
        <f>VLOOKUP(A55,'1.Loading'!A:R,17,FALSE)</f>
        <v>HASLS22260901432</v>
      </c>
      <c r="E55" s="62" t="str">
        <f>VLOOKUP(D55,'2.Bookinglist'!A:CT,27,FALSE)</f>
        <v>AGC VINYTHAI PUBLIC COMPANY LIMITED</v>
      </c>
      <c r="F55" s="62" t="str">
        <f>VLOOKUP(D55,'2.Bookinglist'!A:CT,28,FALSE)</f>
        <v>AGC VINYTHAI PUBLIC COMPANY LIMITED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CNSHA</v>
      </c>
      <c r="J55" s="61">
        <f>VLOOKUP(D55,'2.Bookinglist'!A:CT,26,FALSE)</f>
        <v>0</v>
      </c>
      <c r="K55" s="61" t="str">
        <f>VLOOKUP(A55,'1.Loading'!A:R,5,FALSE)</f>
        <v>45GP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SWVG</v>
      </c>
      <c r="P55" s="61" t="str">
        <f>VLOOKUP(A55,'1.Loading'!A:R,4,FALSE)</f>
        <v>2612N</v>
      </c>
      <c r="Q55" s="61" t="str">
        <f>VLOOKUP(D55,'2.Bookinglist'!A:CT,12,FALSE)</f>
        <v>PCI2</v>
      </c>
      <c r="R55" s="60" t="str">
        <f>IF(LEFT(K55,2)="22","20'","40'")</f>
        <v>40'</v>
      </c>
      <c r="S55" s="185" t="n"/>
      <c r="T55" s="61" t="str">
        <f>VLOOKUP(A55,'1.Loading'!A:R,2,FALSE)</f>
        <v>2026-10-07</v>
      </c>
      <c r="U55" s="63">
        <f>T55-S55</f>
        <v>46302</v>
      </c>
      <c r="V55" s="186" t="n"/>
      <c r="W55" s="61" t="str">
        <f>VLOOKUP(A55,'3.GateMove'!A:D,4,FALSE)</f>
        <v>2026-10-04</v>
      </c>
      <c r="X55" s="63">
        <f>((T55-W55)+1)</f>
        <v>4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0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46303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0</v>
      </c>
      <c r="AJ55" s="188" t="n"/>
      <c r="AK55" s="62" t="str">
        <f>VLOOKUP(D55,'2.Bookinglist'!A:CT,40,FALSE)</f>
        <v>Nannaapust Sukporntaweewat</v>
      </c>
      <c r="AL55" s="60" t="str">
        <f>VLOOKUP(D55,'2.Bookinglist'!A:CW,101,FALSE)</f>
        <v>2026-10-08</v>
      </c>
      <c r="AM55" s="60" t="str">
        <f>VLOOKUP(D55,'2.Bookinglist'!A:BK,63,FALSE)</f>
        <v>LCH27</v>
      </c>
      <c r="AN55" s="62" t="str">
        <f>VLOOKUP(D55,'2.Bookinglist'!A:AZ,52,FALSE)</f>
        <v>Pickup : 2026-10-02, Return : 2026-10-03 (1ST RTN 04/10 W/O RENT) 
 ** PLEASE CHECK OPEN GATE BEFORE RETURN CNTR **
 </v>
      </c>
      <c r="AO55" s="62">
        <f>VLOOKUP(D55,'2.Bookinglist'!A:CY,103,FALSE)</f>
        <v>0</v>
      </c>
    </row>
    <row r="56" ht="12.95" customHeight="1">
      <c r="A56" s="96" t="inlineStr">
        <is>
          <t>HLHU8524680</t>
        </is>
      </c>
      <c r="B56" s="184" t="str">
        <f>IF(C56=Charge!$M$1,Charge!$J$1,IF(C56=Charge!$M$23,Charge!$J$23,IF(C56=Charge!$M$17,Charge!$J$17,IF(C56=Charge!$N$17,Charge!$J$17,Charge!$J$7))))</f>
        <v>G2</v>
      </c>
      <c r="C56" s="61" t="str">
        <f>VLOOKUP(A56,'1.Loading'!A:R,14,FALSE)</f>
        <v>LCH06</v>
      </c>
      <c r="D56" s="61" t="str">
        <f>VLOOKUP(A56,'1.Loading'!A:R,17,FALSE)</f>
        <v>HASLS22260900441</v>
      </c>
      <c r="E56" s="62" t="str">
        <f>VLOOKUP(D56,'2.Bookinglist'!A:CT,27,FALSE)</f>
        <v>BARKLAYS LOGISTICS (THAILAND) CO., LTD.</v>
      </c>
      <c r="F56" s="62" t="str">
        <f>VLOOKUP(D56,'2.Bookinglist'!A:CT,28,FALSE)</f>
        <v>GOLDEN CRANE (GOLDEN DRAGON) CO.,LTD.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CNSHA</v>
      </c>
      <c r="J56" s="61">
        <f>VLOOKUP(D56,'2.Bookinglist'!A:CT,26,FALSE)</f>
        <v>0</v>
      </c>
      <c r="K56" s="61" t="str">
        <f>VLOOKUP(A56,'1.Loading'!A:R,5,FALSE)</f>
        <v>45GP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SWVG</v>
      </c>
      <c r="P56" s="61" t="str">
        <f>VLOOKUP(A56,'1.Loading'!A:R,4,FALSE)</f>
        <v>2612N</v>
      </c>
      <c r="Q56" s="61" t="str">
        <f>VLOOKUP(D56,'2.Bookinglist'!A:CT,12,FALSE)</f>
        <v>PCI2</v>
      </c>
      <c r="R56" s="60" t="str">
        <f>IF(LEFT(K56,2)="22","20'","40'")</f>
        <v>40'</v>
      </c>
      <c r="S56" s="185" t="n"/>
      <c r="T56" s="61" t="str">
        <f>VLOOKUP(A56,'1.Loading'!A:R,2,FALSE)</f>
        <v>2026-10-07</v>
      </c>
      <c r="U56" s="63">
        <f>T56-S56</f>
        <v>46302</v>
      </c>
      <c r="V56" s="186" t="n"/>
      <c r="W56" s="61" t="str">
        <f>VLOOKUP(A56,'3.GateMove'!A:D,4,FALSE)</f>
        <v>2026-09-19</v>
      </c>
      <c r="X56" s="63">
        <f>((T56-W56)+1)</f>
        <v>19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12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4250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46303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4250</v>
      </c>
      <c r="AJ56" s="188" t="n"/>
      <c r="AK56" s="62" t="str">
        <f>VLOOKUP(D56,'2.Bookinglist'!A:CT,40,FALSE)</f>
        <v>Nannaapust Sukporntaweewat</v>
      </c>
      <c r="AL56" s="60" t="str">
        <f>VLOOKUP(D56,'2.Bookinglist'!A:CW,101,FALSE)</f>
        <v>2026-10-08</v>
      </c>
      <c r="AM56" s="60" t="str">
        <f>VLOOKUP(D56,'2.Bookinglist'!A:BK,63,FALSE)</f>
        <v>LCHY5</v>
      </c>
      <c r="AN56" s="62" t="str">
        <f>VLOOKUP(D56,'2.Bookinglist'!A:AZ,52,FALSE)</f>
        <v>Pickup : 2026-09-18, Return : 2026-09-19</v>
      </c>
      <c r="AO56" s="62" t="str">
        <f>VLOOKUP(D56,'2.Bookinglist'!A:CY,103,FALSE)</f>
        <v>ROLL OVER FROM PREVIOUS VSL HAB 2611N  BY ALLOCATION TEAM MS.TARN APPROVED COST IS UNDER HA DD.25/09</v>
      </c>
    </row>
    <row r="57" ht="12.95" customHeight="1">
      <c r="A57" s="96" t="inlineStr">
        <is>
          <t>HLHU8528515</t>
        </is>
      </c>
      <c r="B57" s="184" t="str">
        <f>IF(C57=Charge!$M$1,Charge!$J$1,IF(C57=Charge!$M$23,Charge!$J$23,IF(C57=Charge!$M$17,Charge!$J$17,IF(C57=Charge!$N$17,Charge!$J$17,Charge!$J$7))))</f>
        <v>G2</v>
      </c>
      <c r="C57" s="61" t="str">
        <f>VLOOKUP(A57,'1.Loading'!A:R,14,FALSE)</f>
        <v>LCH06</v>
      </c>
      <c r="D57" s="61" t="str">
        <f>VLOOKUP(A57,'1.Loading'!A:R,17,FALSE)</f>
        <v>HASLS22260901746</v>
      </c>
      <c r="E57" s="62" t="str">
        <f>VLOOKUP(D57,'2.Bookinglist'!A:CT,27,FALSE)</f>
        <v>WHA GC LOGISTICS COMPANY LIMITED</v>
      </c>
      <c r="F57" s="62" t="str">
        <f>VLOOKUP(D57,'2.Bookinglist'!A:CT,28,FALSE)</f>
        <v>PTT GLOBAL CHEMICAL PUBLIC COMPANY LIMITED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CNSHA</v>
      </c>
      <c r="J57" s="61">
        <f>VLOOKUP(D57,'2.Bookinglist'!A:CT,26,FALSE)</f>
        <v>0</v>
      </c>
      <c r="K57" s="61" t="str">
        <f>VLOOKUP(A57,'1.Loading'!A:R,5,FALSE)</f>
        <v>45GP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SWVG</v>
      </c>
      <c r="P57" s="61" t="str">
        <f>VLOOKUP(A57,'1.Loading'!A:R,4,FALSE)</f>
        <v>2612N</v>
      </c>
      <c r="Q57" s="61" t="str">
        <f>VLOOKUP(D57,'2.Bookinglist'!A:CT,12,FALSE)</f>
        <v>PCI2</v>
      </c>
      <c r="R57" s="60" t="str">
        <f>IF(LEFT(K57,2)="22","20'","40'")</f>
        <v>40'</v>
      </c>
      <c r="S57" s="185" t="n"/>
      <c r="T57" s="61" t="str">
        <f>VLOOKUP(A57,'1.Loading'!A:R,2,FALSE)</f>
        <v>2026-10-07</v>
      </c>
      <c r="U57" s="63">
        <f>T57-S57</f>
        <v>46302</v>
      </c>
      <c r="V57" s="186" t="n"/>
      <c r="W57" s="61" t="str">
        <f>VLOOKUP(A57,'3.GateMove'!A:D,4,FALSE)</f>
        <v>2026-09-29</v>
      </c>
      <c r="X57" s="63">
        <f>((T57-W57)+1)</f>
        <v>9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2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500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46303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500</v>
      </c>
      <c r="AJ57" s="188" t="n"/>
      <c r="AK57" s="62" t="str">
        <f>VLOOKUP(D57,'2.Bookinglist'!A:CT,40,FALSE)</f>
        <v>Dharaporn</v>
      </c>
      <c r="AL57" s="60" t="str">
        <f>VLOOKUP(D57,'2.Bookinglist'!A:CW,101,FALSE)</f>
        <v>2026-10-03</v>
      </c>
      <c r="AM57" s="60" t="str">
        <f>VLOOKUP(D57,'2.Bookinglist'!A:BK,63,FALSE)</f>
        <v>LCHY5</v>
      </c>
      <c r="AN57" s="62" t="str">
        <f>VLOOKUP(D57,'2.Bookinglist'!A:AZ,52,FALSE)</f>
        <v>CY-RTN: 23-27/09/2026</v>
      </c>
      <c r="AO57" s="62">
        <f>VLOOKUP(D57,'2.Bookinglist'!A:CY,103,FALSE)</f>
        <v>0</v>
      </c>
    </row>
    <row r="58" ht="12.95" customHeight="1">
      <c r="A58" s="96" t="inlineStr">
        <is>
          <t>HLHU8532069</t>
        </is>
      </c>
      <c r="B58" s="184" t="str">
        <f>IF(C58=Charge!$M$1,Charge!$J$1,IF(C58=Charge!$M$23,Charge!$J$23,IF(C58=Charge!$M$17,Charge!$J$17,IF(C58=Charge!$N$17,Charge!$J$17,Charge!$J$7))))</f>
        <v>G2</v>
      </c>
      <c r="C58" s="61" t="str">
        <f>VLOOKUP(A58,'1.Loading'!A:R,14,FALSE)</f>
        <v>LCH06</v>
      </c>
      <c r="D58" s="61" t="str">
        <f>VLOOKUP(A58,'1.Loading'!A:R,17,FALSE)</f>
        <v>HASLS22260801240</v>
      </c>
      <c r="E58" s="62" t="str">
        <f>VLOOKUP(D58,'2.Bookinglist'!A:CT,27,FALSE)</f>
        <v>WHA GC LOGISTICS COMPANY LIMITED</v>
      </c>
      <c r="F58" s="62" t="str">
        <f>VLOOKUP(D58,'2.Bookinglist'!A:CT,28,FALSE)</f>
        <v>PTT GLOBAL CHEMICAL PUBLIC COMPANY LIMITED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CNSHA</v>
      </c>
      <c r="J58" s="61">
        <f>VLOOKUP(D58,'2.Bookinglist'!A:CT,26,FALSE)</f>
        <v>0</v>
      </c>
      <c r="K58" s="61" t="str">
        <f>VLOOKUP(A58,'1.Loading'!A:R,5,FALSE)</f>
        <v>45GP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SWVG</v>
      </c>
      <c r="P58" s="61" t="str">
        <f>VLOOKUP(A58,'1.Loading'!A:R,4,FALSE)</f>
        <v>2612N</v>
      </c>
      <c r="Q58" s="61" t="str">
        <f>VLOOKUP(D58,'2.Bookinglist'!A:CT,12,FALSE)</f>
        <v>PCI2</v>
      </c>
      <c r="R58" s="60" t="str">
        <f>IF(LEFT(K58,2)="22","20'","40'")</f>
        <v>40'</v>
      </c>
      <c r="S58" s="185" t="n"/>
      <c r="T58" s="61" t="str">
        <f>VLOOKUP(A58,'1.Loading'!A:R,2,FALSE)</f>
        <v>2026-10-07</v>
      </c>
      <c r="U58" s="63">
        <f>T58-S58</f>
        <v>46302</v>
      </c>
      <c r="V58" s="186" t="n"/>
      <c r="W58" s="61" t="str">
        <f>VLOOKUP(A58,'3.GateMove'!A:D,4,FALSE)</f>
        <v>2026-09-27</v>
      </c>
      <c r="X58" s="63">
        <f>((T58-W58)+1)</f>
        <v>11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4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1000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46303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1000</v>
      </c>
      <c r="AJ58" s="188" t="n"/>
      <c r="AK58" s="62" t="str">
        <f>VLOOKUP(D58,'2.Bookinglist'!A:CT,40,FALSE)</f>
        <v>Dharaporn</v>
      </c>
      <c r="AL58" s="60" t="str">
        <f>VLOOKUP(D58,'2.Bookinglist'!A:CW,101,FALSE)</f>
        <v>2026-10-07</v>
      </c>
      <c r="AM58" s="60" t="str">
        <f>VLOOKUP(D58,'2.Bookinglist'!A:BK,63,FALSE)</f>
        <v>LCH27</v>
      </c>
      <c r="AN58" s="62" t="str">
        <f>VLOOKUP(D58,'2.Bookinglist'!A:AZ,52,FALSE)</f>
        <v>CY-RTN : 22-25/09/2026</v>
      </c>
      <c r="AO58" s="62">
        <f>VLOOKUP(D58,'2.Bookinglist'!A:CY,103,FALSE)</f>
        <v>0</v>
      </c>
    </row>
    <row r="59" ht="12.95" customHeight="1">
      <c r="A59" s="96" t="inlineStr">
        <is>
          <t>HLHU8539926</t>
        </is>
      </c>
      <c r="B59" s="184" t="str">
        <f>IF(C59=Charge!$M$1,Charge!$J$1,IF(C59=Charge!$M$23,Charge!$J$23,IF(C59=Charge!$M$17,Charge!$J$17,IF(C59=Charge!$N$17,Charge!$J$17,Charge!$J$7))))</f>
        <v>G2</v>
      </c>
      <c r="C59" s="61" t="str">
        <f>VLOOKUP(A59,'1.Loading'!A:R,14,FALSE)</f>
        <v>LCH06</v>
      </c>
      <c r="D59" s="61" t="str">
        <f>VLOOKUP(A59,'1.Loading'!A:R,17,FALSE)</f>
        <v>HASLS22260802360</v>
      </c>
      <c r="E59" s="62" t="str">
        <f>VLOOKUP(D59,'2.Bookinglist'!A:CT,27,FALSE)</f>
        <v>WHA GC LOGISTICS COMPANY LIMITED</v>
      </c>
      <c r="F59" s="62" t="str">
        <f>VLOOKUP(D59,'2.Bookinglist'!A:CT,28,FALSE)</f>
        <v>PTT GLOBAL CHEMICAL PUBLIC COMPANY LIMITED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JPMYJ</v>
      </c>
      <c r="J59" s="61" t="str">
        <f>VLOOKUP(D59,'2.Bookinglist'!A:CT,26,FALSE)</f>
        <v>KRPUS</v>
      </c>
      <c r="K59" s="61" t="str">
        <f>VLOOKUP(A59,'1.Loading'!A:R,5,FALSE)</f>
        <v>45GP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SWVG</v>
      </c>
      <c r="P59" s="61" t="str">
        <f>VLOOKUP(A59,'1.Loading'!A:R,4,FALSE)</f>
        <v>2612N</v>
      </c>
      <c r="Q59" s="61" t="str">
        <f>VLOOKUP(D59,'2.Bookinglist'!A:CT,12,FALSE)</f>
        <v>PCI2</v>
      </c>
      <c r="R59" s="60" t="str">
        <f>IF(LEFT(K59,2)="22","20'","40'")</f>
        <v>40'</v>
      </c>
      <c r="S59" s="185" t="n"/>
      <c r="T59" s="61" t="str">
        <f>VLOOKUP(A59,'1.Loading'!A:R,2,FALSE)</f>
        <v>2026-10-07</v>
      </c>
      <c r="U59" s="63">
        <f>T59-S59</f>
        <v>46302</v>
      </c>
      <c r="V59" s="186" t="n"/>
      <c r="W59" s="61" t="str">
        <f>VLOOKUP(A59,'3.GateMove'!A:D,4,FALSE)</f>
        <v>2026-09-27</v>
      </c>
      <c r="X59" s="63">
        <f>((T59-W59)+1)</f>
        <v>11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4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1000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46303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1000</v>
      </c>
      <c r="AJ59" s="188" t="n"/>
      <c r="AK59" s="62" t="str">
        <f>VLOOKUP(D59,'2.Bookinglist'!A:CT,40,FALSE)</f>
        <v>Dharaporn</v>
      </c>
      <c r="AL59" s="60" t="str">
        <f>VLOOKUP(D59,'2.Bookinglist'!A:CW,101,FALSE)</f>
        <v>2026-10-03</v>
      </c>
      <c r="AM59" s="60" t="str">
        <f>VLOOKUP(D59,'2.Bookinglist'!A:BK,63,FALSE)</f>
        <v>LCH28</v>
      </c>
      <c r="AN59" s="62" t="str">
        <f>VLOOKUP(D59,'2.Bookinglist'!A:AZ,52,FALSE)</f>
        <v>CY-RTN 23-27/09/26
*PLS CHECK OPEN GATE BEFORE RETURN CTNR*</v>
      </c>
      <c r="AO59" s="62">
        <f>VLOOKUP(D59,'2.Bookinglist'!A:CY,103,FALSE)</f>
        <v>0</v>
      </c>
    </row>
    <row r="60" ht="12.95" customHeight="1">
      <c r="A60" s="96" t="inlineStr">
        <is>
          <t>HLHU8540362</t>
        </is>
      </c>
      <c r="B60" s="184" t="str">
        <f>IF(C60=Charge!$M$1,Charge!$J$1,IF(C60=Charge!$M$23,Charge!$J$23,IF(C60=Charge!$M$17,Charge!$J$17,IF(C60=Charge!$N$17,Charge!$J$17,Charge!$J$7))))</f>
        <v>G2</v>
      </c>
      <c r="C60" s="61" t="str">
        <f>VLOOKUP(A60,'1.Loading'!A:R,14,FALSE)</f>
        <v>LCH06</v>
      </c>
      <c r="D60" s="61" t="str">
        <f>VLOOKUP(A60,'1.Loading'!A:R,17,FALSE)</f>
        <v>HASLS22260802391</v>
      </c>
      <c r="E60" s="62" t="str">
        <f>VLOOKUP(D60,'2.Bookinglist'!A:CT,27,FALSE)</f>
        <v>WHA GC LOGISTICS COMPANY LIMITED</v>
      </c>
      <c r="F60" s="62" t="str">
        <f>VLOOKUP(D60,'2.Bookinglist'!A:CT,28,FALSE)</f>
        <v>PTT GLOBAL CHEMICAL PUBLIC COMPANY LIMITED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JPMYJ</v>
      </c>
      <c r="J60" s="61" t="str">
        <f>VLOOKUP(D60,'2.Bookinglist'!A:CT,26,FALSE)</f>
        <v>KRPUS</v>
      </c>
      <c r="K60" s="61" t="str">
        <f>VLOOKUP(A60,'1.Loading'!A:R,5,FALSE)</f>
        <v>45GP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SWVG</v>
      </c>
      <c r="P60" s="61" t="str">
        <f>VLOOKUP(A60,'1.Loading'!A:R,4,FALSE)</f>
        <v>2612N</v>
      </c>
      <c r="Q60" s="61" t="str">
        <f>VLOOKUP(D60,'2.Bookinglist'!A:CT,12,FALSE)</f>
        <v>PCI2</v>
      </c>
      <c r="R60" s="60" t="str">
        <f>IF(LEFT(K60,2)="22","20'","40'")</f>
        <v>40'</v>
      </c>
      <c r="S60" s="185" t="n"/>
      <c r="T60" s="61" t="str">
        <f>VLOOKUP(A60,'1.Loading'!A:R,2,FALSE)</f>
        <v>2026-10-07</v>
      </c>
      <c r="U60" s="63">
        <f>T60-S60</f>
        <v>46302</v>
      </c>
      <c r="V60" s="186" t="n"/>
      <c r="W60" s="61" t="str">
        <f>VLOOKUP(A60,'3.GateMove'!A:D,4,FALSE)</f>
        <v>2026-09-27</v>
      </c>
      <c r="X60" s="63">
        <f>((T60-W60)+1)</f>
        <v>11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4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1000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46303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1000</v>
      </c>
      <c r="AJ60" s="188" t="n"/>
      <c r="AK60" s="62" t="str">
        <f>VLOOKUP(D60,'2.Bookinglist'!A:CT,40,FALSE)</f>
        <v>Dharaporn</v>
      </c>
      <c r="AL60" s="60" t="str">
        <f>VLOOKUP(D60,'2.Bookinglist'!A:CW,101,FALSE)</f>
        <v>2026-10-03</v>
      </c>
      <c r="AM60" s="60" t="str">
        <f>VLOOKUP(D60,'2.Bookinglist'!A:BK,63,FALSE)</f>
        <v>LCHY5</v>
      </c>
      <c r="AN60" s="62" t="str">
        <f>VLOOKUP(D60,'2.Bookinglist'!A:AZ,52,FALSE)</f>
        <v>CY-RTN 23-28/09/26 
</v>
      </c>
      <c r="AO60" s="62">
        <f>VLOOKUP(D60,'2.Bookinglist'!A:CY,103,FALSE)</f>
        <v>0</v>
      </c>
    </row>
    <row r="61" ht="12.95" customHeight="1">
      <c r="A61" s="96" t="inlineStr">
        <is>
          <t>HLHU8547006</t>
        </is>
      </c>
      <c r="B61" s="184" t="str">
        <f>IF(C61=Charge!$M$1,Charge!$J$1,IF(C61=Charge!$M$23,Charge!$J$23,IF(C61=Charge!$M$17,Charge!$J$17,IF(C61=Charge!$N$17,Charge!$J$17,Charge!$J$7))))</f>
        <v>G2</v>
      </c>
      <c r="C61" s="61" t="str">
        <f>VLOOKUP(A61,'1.Loading'!A:R,14,FALSE)</f>
        <v>LCH06</v>
      </c>
      <c r="D61" s="61" t="str">
        <f>VLOOKUP(A61,'1.Loading'!A:R,17,FALSE)</f>
        <v>HASLS22260801240</v>
      </c>
      <c r="E61" s="62" t="str">
        <f>VLOOKUP(D61,'2.Bookinglist'!A:CT,27,FALSE)</f>
        <v>WHA GC LOGISTICS COMPANY LIMITED</v>
      </c>
      <c r="F61" s="62" t="str">
        <f>VLOOKUP(D61,'2.Bookinglist'!A:CT,28,FALSE)</f>
        <v>PTT GLOBAL CHEMICAL PUBLIC COMPANY LIMITED</v>
      </c>
      <c r="G61" s="60">
        <f>VLOOKUP(D61,'2.Bookinglist'!A:E,5,FALSE)</f>
        <v>0</v>
      </c>
      <c r="H61" s="61" t="str">
        <f>VLOOKUP(D61,'2.Bookinglist'!A:CT,15,FALSE)</f>
        <v>THLCH</v>
      </c>
      <c r="I61" s="61" t="str">
        <f>VLOOKUP(D61,'2.Bookinglist'!A:CT,19,FALSE)</f>
        <v>CNSHA</v>
      </c>
      <c r="J61" s="61">
        <f>VLOOKUP(D61,'2.Bookinglist'!A:CT,26,FALSE)</f>
        <v>0</v>
      </c>
      <c r="K61" s="61" t="str">
        <f>VLOOKUP(A61,'1.Loading'!A:R,5,FALSE)</f>
        <v>45GP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SWVG</v>
      </c>
      <c r="P61" s="61" t="str">
        <f>VLOOKUP(A61,'1.Loading'!A:R,4,FALSE)</f>
        <v>2612N</v>
      </c>
      <c r="Q61" s="61" t="str">
        <f>VLOOKUP(D61,'2.Bookinglist'!A:CT,12,FALSE)</f>
        <v>PCI2</v>
      </c>
      <c r="R61" s="60" t="str">
        <f>IF(LEFT(K61,2)="22","20'","40'")</f>
        <v>40'</v>
      </c>
      <c r="S61" s="185" t="n"/>
      <c r="T61" s="61" t="str">
        <f>VLOOKUP(A61,'1.Loading'!A:R,2,FALSE)</f>
        <v>2026-10-07</v>
      </c>
      <c r="U61" s="63">
        <f>T61-S61</f>
        <v>46302</v>
      </c>
      <c r="V61" s="186" t="n"/>
      <c r="W61" s="61" t="str">
        <f>VLOOKUP(A61,'3.GateMove'!A:D,4,FALSE)</f>
        <v>2026-09-27</v>
      </c>
      <c r="X61" s="63">
        <f>((T61-W61)+1)</f>
        <v>11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4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1000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46303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1000</v>
      </c>
      <c r="AJ61" s="188" t="n"/>
      <c r="AK61" s="62" t="str">
        <f>VLOOKUP(D61,'2.Bookinglist'!A:CT,40,FALSE)</f>
        <v>Dharaporn</v>
      </c>
      <c r="AL61" s="60" t="str">
        <f>VLOOKUP(D61,'2.Bookinglist'!A:CW,101,FALSE)</f>
        <v>2026-10-07</v>
      </c>
      <c r="AM61" s="60" t="str">
        <f>VLOOKUP(D61,'2.Bookinglist'!A:BK,63,FALSE)</f>
        <v>LCH27</v>
      </c>
      <c r="AN61" s="62" t="str">
        <f>VLOOKUP(D61,'2.Bookinglist'!A:AZ,52,FALSE)</f>
        <v>CY-RTN : 22-25/09/2026</v>
      </c>
      <c r="AO61" s="62">
        <f>VLOOKUP(D61,'2.Bookinglist'!A:CY,103,FALSE)</f>
        <v>0</v>
      </c>
    </row>
    <row r="62" ht="12.95" customHeight="1">
      <c r="A62" s="96" t="inlineStr">
        <is>
          <t>HLHU8571039</t>
        </is>
      </c>
      <c r="B62" s="184" t="str">
        <f>IF(C62=Charge!$M$1,Charge!$J$1,IF(C62=Charge!$M$23,Charge!$J$23,IF(C62=Charge!$M$17,Charge!$J$17,IF(C62=Charge!$N$17,Charge!$J$17,Charge!$J$7))))</f>
        <v>G2</v>
      </c>
      <c r="C62" s="61" t="str">
        <f>VLOOKUP(A62,'1.Loading'!A:R,14,FALSE)</f>
        <v>LCH06</v>
      </c>
      <c r="D62" s="61" t="str">
        <f>VLOOKUP(A62,'1.Loading'!A:R,17,FALSE)</f>
        <v>HASLS22260901747</v>
      </c>
      <c r="E62" s="62" t="str">
        <f>VLOOKUP(D62,'2.Bookinglist'!A:CT,27,FALSE)</f>
        <v>WHA GC LOGISTICS COMPANY LIMITED</v>
      </c>
      <c r="F62" s="62" t="str">
        <f>VLOOKUP(D62,'2.Bookinglist'!A:CT,28,FALSE)</f>
        <v>PTT GLOBAL CHEMICAL PUBLIC COMPANY LIMITED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CNSHA</v>
      </c>
      <c r="J62" s="61">
        <f>VLOOKUP(D62,'2.Bookinglist'!A:CT,26,FALSE)</f>
        <v>0</v>
      </c>
      <c r="K62" s="61" t="str">
        <f>VLOOKUP(A62,'1.Loading'!A:R,5,FALSE)</f>
        <v>45GP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SWVG</v>
      </c>
      <c r="P62" s="61" t="str">
        <f>VLOOKUP(A62,'1.Loading'!A:R,4,FALSE)</f>
        <v>2612N</v>
      </c>
      <c r="Q62" s="61" t="str">
        <f>VLOOKUP(D62,'2.Bookinglist'!A:CT,12,FALSE)</f>
        <v>PCI2</v>
      </c>
      <c r="R62" s="60" t="str">
        <f>IF(LEFT(K62,2)="22","20'","40'")</f>
        <v>40'</v>
      </c>
      <c r="S62" s="185" t="n"/>
      <c r="T62" s="61" t="str">
        <f>VLOOKUP(A62,'1.Loading'!A:R,2,FALSE)</f>
        <v>2026-10-07</v>
      </c>
      <c r="U62" s="63">
        <f>T62-S62</f>
        <v>46302</v>
      </c>
      <c r="V62" s="186" t="n"/>
      <c r="W62" s="61" t="str">
        <f>VLOOKUP(A62,'3.GateMove'!A:D,4,FALSE)</f>
        <v>2026-10-01</v>
      </c>
      <c r="X62" s="63">
        <f>((T62-W62)+1)</f>
        <v>7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0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46303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0</v>
      </c>
      <c r="AJ62" s="188" t="n"/>
      <c r="AK62" s="62" t="str">
        <f>VLOOKUP(D62,'2.Bookinglist'!A:CT,40,FALSE)</f>
        <v>Dharaporn</v>
      </c>
      <c r="AL62" s="60" t="str">
        <f>VLOOKUP(D62,'2.Bookinglist'!A:CW,101,FALSE)</f>
        <v>2026-10-03</v>
      </c>
      <c r="AM62" s="60" t="str">
        <f>VLOOKUP(D62,'2.Bookinglist'!A:BK,63,FALSE)</f>
        <v>LCHY5</v>
      </c>
      <c r="AN62" s="62" t="str">
        <f>VLOOKUP(D62,'2.Bookinglist'!A:AZ,52,FALSE)</f>
        <v>CY-RTN: 23-27/09/2026</v>
      </c>
      <c r="AO62" s="62">
        <f>VLOOKUP(D62,'2.Bookinglist'!A:CY,103,FALSE)</f>
        <v>0</v>
      </c>
    </row>
    <row r="63" ht="12.95" customHeight="1">
      <c r="A63" s="96" t="inlineStr">
        <is>
          <t>HLHU8571065</t>
        </is>
      </c>
      <c r="B63" s="184" t="str">
        <f>IF(C63=Charge!$M$1,Charge!$J$1,IF(C63=Charge!$M$23,Charge!$J$23,IF(C63=Charge!$M$17,Charge!$J$17,IF(C63=Charge!$N$17,Charge!$J$17,Charge!$J$7))))</f>
        <v>G2</v>
      </c>
      <c r="C63" s="61" t="str">
        <f>VLOOKUP(A63,'1.Loading'!A:R,14,FALSE)</f>
        <v>LCH06</v>
      </c>
      <c r="D63" s="61" t="str">
        <f>VLOOKUP(A63,'1.Loading'!A:R,17,FALSE)</f>
        <v>HASLS22260900441</v>
      </c>
      <c r="E63" s="62" t="str">
        <f>VLOOKUP(D63,'2.Bookinglist'!A:CT,27,FALSE)</f>
        <v>BARKLAYS LOGISTICS (THAILAND) CO., LTD.</v>
      </c>
      <c r="F63" s="62" t="str">
        <f>VLOOKUP(D63,'2.Bookinglist'!A:CT,28,FALSE)</f>
        <v>GOLDEN CRANE (GOLDEN DRAGON) CO.,LTD.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CNSHA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SWVG</v>
      </c>
      <c r="P63" s="61" t="str">
        <f>VLOOKUP(A63,'1.Loading'!A:R,4,FALSE)</f>
        <v>2612N</v>
      </c>
      <c r="Q63" s="61" t="str">
        <f>VLOOKUP(D63,'2.Bookinglist'!A:CT,12,FALSE)</f>
        <v>PCI2</v>
      </c>
      <c r="R63" s="60" t="str">
        <f>IF(LEFT(K63,2)="22","20'","40'")</f>
        <v>40'</v>
      </c>
      <c r="S63" s="185" t="n"/>
      <c r="T63" s="61" t="str">
        <f>VLOOKUP(A63,'1.Loading'!A:R,2,FALSE)</f>
        <v>2026-10-07</v>
      </c>
      <c r="U63" s="63">
        <f>T63-S63</f>
        <v>46302</v>
      </c>
      <c r="V63" s="186" t="n"/>
      <c r="W63" s="61" t="str">
        <f>VLOOKUP(A63,'3.GateMove'!A:D,4,FALSE)</f>
        <v>2026-09-19</v>
      </c>
      <c r="X63" s="63">
        <f>((T63-W63)+1)</f>
        <v>19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12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4250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46303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4250</v>
      </c>
      <c r="AJ63" s="188" t="n"/>
      <c r="AK63" s="62" t="str">
        <f>VLOOKUP(D63,'2.Bookinglist'!A:CT,40,FALSE)</f>
        <v>Nannaapust Sukporntaweewat</v>
      </c>
      <c r="AL63" s="60" t="str">
        <f>VLOOKUP(D63,'2.Bookinglist'!A:CW,101,FALSE)</f>
        <v>2026-10-08</v>
      </c>
      <c r="AM63" s="60" t="str">
        <f>VLOOKUP(D63,'2.Bookinglist'!A:BK,63,FALSE)</f>
        <v>LCHY5</v>
      </c>
      <c r="AN63" s="62" t="str">
        <f>VLOOKUP(D63,'2.Bookinglist'!A:AZ,52,FALSE)</f>
        <v>Pickup : 2026-09-18, Return : 2026-09-19</v>
      </c>
      <c r="AO63" s="62" t="str">
        <f>VLOOKUP(D63,'2.Bookinglist'!A:CY,103,FALSE)</f>
        <v>ROLL OVER FROM PREVIOUS VSL HAB 2611N  BY ALLOCATION TEAM MS.TARN APPROVED COST IS UNDER HA DD.25/09</v>
      </c>
    </row>
    <row r="64" ht="12.95" customHeight="1">
      <c r="A64" s="96" t="inlineStr">
        <is>
          <t>HLHU8597202</t>
        </is>
      </c>
      <c r="B64" s="184" t="str">
        <f>IF(C64=Charge!$M$1,Charge!$J$1,IF(C64=Charge!$M$23,Charge!$J$23,IF(C64=Charge!$M$17,Charge!$J$17,IF(C64=Charge!$N$17,Charge!$J$17,Charge!$J$7))))</f>
        <v>G2</v>
      </c>
      <c r="C64" s="61" t="str">
        <f>VLOOKUP(A64,'1.Loading'!A:R,14,FALSE)</f>
        <v>LCH06</v>
      </c>
      <c r="D64" s="61" t="str">
        <f>VLOOKUP(A64,'1.Loading'!A:R,17,FALSE)</f>
        <v>HASLS22260900441</v>
      </c>
      <c r="E64" s="62" t="str">
        <f>VLOOKUP(D64,'2.Bookinglist'!A:CT,27,FALSE)</f>
        <v>BARKLAYS LOGISTICS (THAILAND) CO., LTD.</v>
      </c>
      <c r="F64" s="62" t="str">
        <f>VLOOKUP(D64,'2.Bookinglist'!A:CT,28,FALSE)</f>
        <v>GOLDEN CRANE (GOLDEN DRAGON) CO.,LTD.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CNSHA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SWVG</v>
      </c>
      <c r="P64" s="61" t="str">
        <f>VLOOKUP(A64,'1.Loading'!A:R,4,FALSE)</f>
        <v>2612N</v>
      </c>
      <c r="Q64" s="61" t="str">
        <f>VLOOKUP(D64,'2.Bookinglist'!A:CT,12,FALSE)</f>
        <v>PCI2</v>
      </c>
      <c r="R64" s="60" t="str">
        <f>IF(LEFT(K64,2)="22","20'","40'")</f>
        <v>40'</v>
      </c>
      <c r="S64" s="185" t="n"/>
      <c r="T64" s="61" t="str">
        <f>VLOOKUP(A64,'1.Loading'!A:R,2,FALSE)</f>
        <v>2026-10-07</v>
      </c>
      <c r="U64" s="63">
        <f>T64-S64</f>
        <v>46302</v>
      </c>
      <c r="V64" s="186" t="n"/>
      <c r="W64" s="61" t="str">
        <f>VLOOKUP(A64,'3.GateMove'!A:D,4,FALSE)</f>
        <v>2026-09-19</v>
      </c>
      <c r="X64" s="63">
        <f>((T64-W64)+1)</f>
        <v>19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12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4250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46303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4250</v>
      </c>
      <c r="AJ64" s="188" t="n"/>
      <c r="AK64" s="62" t="str">
        <f>VLOOKUP(D64,'2.Bookinglist'!A:CT,40,FALSE)</f>
        <v>Nannaapust Sukporntaweewat</v>
      </c>
      <c r="AL64" s="60" t="str">
        <f>VLOOKUP(D64,'2.Bookinglist'!A:CW,101,FALSE)</f>
        <v>2026-10-08</v>
      </c>
      <c r="AM64" s="60" t="str">
        <f>VLOOKUP(D64,'2.Bookinglist'!A:BK,63,FALSE)</f>
        <v>LCHY5</v>
      </c>
      <c r="AN64" s="62" t="str">
        <f>VLOOKUP(D64,'2.Bookinglist'!A:AZ,52,FALSE)</f>
        <v>Pickup : 2026-09-18, Return : 2026-09-19</v>
      </c>
      <c r="AO64" s="62" t="str">
        <f>VLOOKUP(D64,'2.Bookinglist'!A:CY,103,FALSE)</f>
        <v>ROLL OVER FROM PREVIOUS VSL HAB 2611N  BY ALLOCATION TEAM MS.TARN APPROVED COST IS UNDER HA DD.25/09</v>
      </c>
    </row>
    <row r="65" ht="12.95" customHeight="1">
      <c r="A65" s="96" t="inlineStr">
        <is>
          <t>SEGU1754869</t>
        </is>
      </c>
      <c r="B65" s="184" t="str">
        <f>IF(C65=Charge!$M$1,Charge!$J$1,IF(C65=Charge!$M$23,Charge!$J$23,IF(C65=Charge!$M$17,Charge!$J$17,IF(C65=Charge!$N$17,Charge!$J$17,Charge!$J$7))))</f>
        <v>G2</v>
      </c>
      <c r="C65" s="61" t="str">
        <f>VLOOKUP(A65,'1.Loading'!A:R,14,FALSE)</f>
        <v>LCH06</v>
      </c>
      <c r="D65" s="61" t="str">
        <f>VLOOKUP(A65,'1.Loading'!A:R,17,FALSE)</f>
        <v>HASLS22260901674</v>
      </c>
      <c r="E65" s="62" t="str">
        <f>VLOOKUP(D65,'2.Bookinglist'!A:CT,27,FALSE)</f>
        <v>WHA GC LOGISTICS COMPANY LIMITED</v>
      </c>
      <c r="F65" s="62" t="str">
        <f>VLOOKUP(D65,'2.Bookinglist'!A:CT,28,FALSE)</f>
        <v>PTT GLOBAL CHEMICAL PUBLIC COMPANY LIMITED</v>
      </c>
      <c r="G65" s="60">
        <f>VLOOKUP(D65,'2.Bookinglist'!A:E,5,FALSE)</f>
        <v>0</v>
      </c>
      <c r="H65" s="61" t="str">
        <f>VLOOKUP(D65,'2.Bookinglist'!A:CT,15,FALSE)</f>
        <v>THLCH</v>
      </c>
      <c r="I65" s="61" t="str">
        <f>VLOOKUP(D65,'2.Bookinglist'!A:CT,19,FALSE)</f>
        <v>JPSMZ</v>
      </c>
      <c r="J65" s="61" t="str">
        <f>VLOOKUP(D65,'2.Bookinglist'!A:CT,26,FALSE)</f>
        <v>KRPUS</v>
      </c>
      <c r="K65" s="61" t="str">
        <f>VLOOKUP(A65,'1.Loading'!A:R,5,FALSE)</f>
        <v>22GP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SWVG</v>
      </c>
      <c r="P65" s="61" t="str">
        <f>VLOOKUP(A65,'1.Loading'!A:R,4,FALSE)</f>
        <v>2612N</v>
      </c>
      <c r="Q65" s="61" t="str">
        <f>VLOOKUP(D65,'2.Bookinglist'!A:CT,12,FALSE)</f>
        <v>PCI2</v>
      </c>
      <c r="R65" s="60" t="str">
        <f>IF(LEFT(K65,2)="22","20'","40'")</f>
        <v>20'</v>
      </c>
      <c r="S65" s="185" t="n"/>
      <c r="T65" s="61" t="str">
        <f>VLOOKUP(A65,'1.Loading'!A:R,2,FALSE)</f>
        <v>2026-10-07</v>
      </c>
      <c r="U65" s="63">
        <f>T65-S65</f>
        <v>46302</v>
      </c>
      <c r="V65" s="186" t="n"/>
      <c r="W65" s="61" t="str">
        <f>VLOOKUP(A65,'3.GateMove'!A:D,4,FALSE)</f>
        <v>2026-09-27</v>
      </c>
      <c r="X65" s="63">
        <f>((T65-W65)+1)</f>
        <v>11</v>
      </c>
      <c r="Y65" s="64">
        <f>IF(AND(OR(C65="BKK01",C65="BKK04"),L65="CFS/CY"),0,IF(M65="DG",1,IF(LEFT(C65,3)="LCH",7,IF(C65="BKK02",5,3))))</f>
        <v>7</v>
      </c>
      <c r="Z65" s="63">
        <f>IF(IF(AND(AC65="TML",AB65&gt;0),((T65-W65)+1)-AB65,((T65-W65)+1)-Y65)&gt;0,IF(AND(AC65="TML",AB65&gt;0),((T65-W65)+1)-AB65,((T65-W65)+1)-Y65),0)</f>
        <v>4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500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46303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500</v>
      </c>
      <c r="AJ65" s="188" t="n"/>
      <c r="AK65" s="62" t="str">
        <f>VLOOKUP(D65,'2.Bookinglist'!A:CT,40,FALSE)</f>
        <v>Dharaporn</v>
      </c>
      <c r="AL65" s="60" t="str">
        <f>VLOOKUP(D65,'2.Bookinglist'!A:CW,101,FALSE)</f>
        <v>2026-10-03</v>
      </c>
      <c r="AM65" s="60" t="str">
        <f>VLOOKUP(D65,'2.Bookinglist'!A:BK,63,FALSE)</f>
        <v>LCHY5</v>
      </c>
      <c r="AN65" s="62" t="str">
        <f>VLOOKUP(D65,'2.Bookinglist'!A:AZ,52,FALSE)</f>
        <v>CY-RTN 23-26/09/26 (PR2610001741 )</v>
      </c>
      <c r="AO65" s="62">
        <f>VLOOKUP(D65,'2.Bookinglist'!A:CY,103,FALSE)</f>
        <v>0</v>
      </c>
    </row>
    <row r="66" ht="12.95" customHeight="1">
      <c r="A66" s="96" t="inlineStr">
        <is>
          <t>SEKU4434992</t>
        </is>
      </c>
      <c r="B66" s="184" t="str">
        <f>IF(C66=Charge!$M$1,Charge!$J$1,IF(C66=Charge!$M$23,Charge!$J$23,IF(C66=Charge!$M$17,Charge!$J$17,IF(C66=Charge!$N$17,Charge!$J$17,Charge!$J$7))))</f>
        <v>G2</v>
      </c>
      <c r="C66" s="61" t="str">
        <f>VLOOKUP(A66,'1.Loading'!A:R,14,FALSE)</f>
        <v>LCH06</v>
      </c>
      <c r="D66" s="61" t="str">
        <f>VLOOKUP(A66,'1.Loading'!A:R,17,FALSE)</f>
        <v>HASLS22260900441</v>
      </c>
      <c r="E66" s="62" t="str">
        <f>VLOOKUP(D66,'2.Bookinglist'!A:CT,27,FALSE)</f>
        <v>BARKLAYS LOGISTICS (THAILAND) CO., LTD.</v>
      </c>
      <c r="F66" s="62" t="str">
        <f>VLOOKUP(D66,'2.Bookinglist'!A:CT,28,FALSE)</f>
        <v>GOLDEN CRANE (GOLDEN DRAGON) CO.,LTD.</v>
      </c>
      <c r="G66" s="60">
        <f>VLOOKUP(D66,'2.Bookinglist'!A:E,5,FALSE)</f>
        <v>0</v>
      </c>
      <c r="H66" s="61" t="str">
        <f>VLOOKUP(D66,'2.Bookinglist'!A:CT,15,FALSE)</f>
        <v>THLCH</v>
      </c>
      <c r="I66" s="61" t="str">
        <f>VLOOKUP(D66,'2.Bookinglist'!A:CT,19,FALSE)</f>
        <v>CNSHA</v>
      </c>
      <c r="J66" s="61">
        <f>VLOOKUP(D66,'2.Bookinglist'!A:CT,26,FALSE)</f>
        <v>0</v>
      </c>
      <c r="K66" s="61" t="str">
        <f>VLOOKUP(A66,'1.Loading'!A:R,5,FALSE)</f>
        <v>45GP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SWVG</v>
      </c>
      <c r="P66" s="61" t="str">
        <f>VLOOKUP(A66,'1.Loading'!A:R,4,FALSE)</f>
        <v>2612N</v>
      </c>
      <c r="Q66" s="61" t="str">
        <f>VLOOKUP(D66,'2.Bookinglist'!A:CT,12,FALSE)</f>
        <v>PCI2</v>
      </c>
      <c r="R66" s="60" t="str">
        <f>IF(LEFT(K66,2)="22","20'","40'")</f>
        <v>40'</v>
      </c>
      <c r="S66" s="185" t="n"/>
      <c r="T66" s="61" t="str">
        <f>VLOOKUP(A66,'1.Loading'!A:R,2,FALSE)</f>
        <v>2026-10-07</v>
      </c>
      <c r="U66" s="63">
        <f>T66-S66</f>
        <v>46302</v>
      </c>
      <c r="V66" s="186" t="n"/>
      <c r="W66" s="61" t="str">
        <f>VLOOKUP(A66,'3.GateMove'!A:D,4,FALSE)</f>
        <v>2026-09-19</v>
      </c>
      <c r="X66" s="63">
        <f>((T66-W66)+1)</f>
        <v>19</v>
      </c>
      <c r="Y66" s="64">
        <f>IF(AND(OR(C66="BKK01",C66="BKK04"),L66="CFS/CY"),0,IF(M66="DG",1,IF(LEFT(C66,3)="LCH",7,IF(C66="BKK02",5,3))))</f>
        <v>7</v>
      </c>
      <c r="Z66" s="63">
        <f>IF(IF(AND(AC66="TML",AB66&gt;0),((T66-W66)+1)-AB66,((T66-W66)+1)-Y66)&gt;0,IF(AND(AC66="TML",AB66&gt;0),((T66-W66)+1)-AB66,((T66-W66)+1)-Y66),0)</f>
        <v>12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4250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46303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4250</v>
      </c>
      <c r="AJ66" s="188" t="n"/>
      <c r="AK66" s="62" t="str">
        <f>VLOOKUP(D66,'2.Bookinglist'!A:CT,40,FALSE)</f>
        <v>Nannaapust Sukporntaweewat</v>
      </c>
      <c r="AL66" s="60" t="str">
        <f>VLOOKUP(D66,'2.Bookinglist'!A:CW,101,FALSE)</f>
        <v>2026-10-08</v>
      </c>
      <c r="AM66" s="60" t="str">
        <f>VLOOKUP(D66,'2.Bookinglist'!A:BK,63,FALSE)</f>
        <v>LCHY5</v>
      </c>
      <c r="AN66" s="62" t="str">
        <f>VLOOKUP(D66,'2.Bookinglist'!A:AZ,52,FALSE)</f>
        <v>Pickup : 2026-09-18, Return : 2026-09-19</v>
      </c>
      <c r="AO66" s="62" t="str">
        <f>VLOOKUP(D66,'2.Bookinglist'!A:CY,103,FALSE)</f>
        <v>ROLL OVER FROM PREVIOUS VSL HAB 2611N  BY ALLOCATION TEAM MS.TARN APPROVED COST IS UNDER HA DD.25/09</v>
      </c>
    </row>
    <row r="67" ht="12.95" customHeight="1">
      <c r="A67" s="96" t="inlineStr">
        <is>
          <t>SEKU4980822</t>
        </is>
      </c>
      <c r="B67" s="184" t="str">
        <f>IF(C67=Charge!$M$1,Charge!$J$1,IF(C67=Charge!$M$23,Charge!$J$23,IF(C67=Charge!$M$17,Charge!$J$17,IF(C67=Charge!$N$17,Charge!$J$17,Charge!$J$7))))</f>
        <v>G2</v>
      </c>
      <c r="C67" s="61" t="str">
        <f>VLOOKUP(A67,'1.Loading'!A:R,14,FALSE)</f>
        <v>LCH06</v>
      </c>
      <c r="D67" s="61" t="str">
        <f>VLOOKUP(A67,'1.Loading'!A:R,17,FALSE)</f>
        <v>HASLS22260901309</v>
      </c>
      <c r="E67" s="62" t="str">
        <f>VLOOKUP(D67,'2.Bookinglist'!A:CT,27,FALSE)</f>
        <v>WHA GC LOGISTICS COMPANY LIMITED</v>
      </c>
      <c r="F67" s="62" t="str">
        <f>VLOOKUP(D67,'2.Bookinglist'!A:CT,28,FALSE)</f>
        <v>PTT GLOBAL CHEMICAL PUBLIC COMPANY LIMITED</v>
      </c>
      <c r="G67" s="60">
        <f>VLOOKUP(D67,'2.Bookinglist'!A:E,5,FALSE)</f>
        <v>0</v>
      </c>
      <c r="H67" s="61" t="str">
        <f>VLOOKUP(D67,'2.Bookinglist'!A:CT,15,FALSE)</f>
        <v>THLCH</v>
      </c>
      <c r="I67" s="61" t="str">
        <f>VLOOKUP(D67,'2.Bookinglist'!A:CT,19,FALSE)</f>
        <v>CNSHA</v>
      </c>
      <c r="J67" s="61">
        <f>VLOOKUP(D67,'2.Bookinglist'!A:CT,26,FALSE)</f>
        <v>0</v>
      </c>
      <c r="K67" s="61" t="str">
        <f>VLOOKUP(A67,'1.Loading'!A:R,5,FALSE)</f>
        <v>45GP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SWVG</v>
      </c>
      <c r="P67" s="61" t="str">
        <f>VLOOKUP(A67,'1.Loading'!A:R,4,FALSE)</f>
        <v>2612N</v>
      </c>
      <c r="Q67" s="61" t="str">
        <f>VLOOKUP(D67,'2.Bookinglist'!A:CT,12,FALSE)</f>
        <v>PCI2</v>
      </c>
      <c r="R67" s="60" t="str">
        <f>IF(LEFT(K67,2)="22","20'","40'")</f>
        <v>40'</v>
      </c>
      <c r="S67" s="185" t="n"/>
      <c r="T67" s="61" t="str">
        <f>VLOOKUP(A67,'1.Loading'!A:R,2,FALSE)</f>
        <v>2026-10-07</v>
      </c>
      <c r="U67" s="63">
        <f>T67-S67</f>
        <v>46302</v>
      </c>
      <c r="V67" s="186" t="n"/>
      <c r="W67" s="61" t="str">
        <f>VLOOKUP(A67,'3.GateMove'!A:D,4,FALSE)</f>
        <v>2026-09-28</v>
      </c>
      <c r="X67" s="63">
        <f>((T67-W67)+1)</f>
        <v>10</v>
      </c>
      <c r="Y67" s="64">
        <f>IF(AND(OR(C67="BKK01",C67="BKK04"),L67="CFS/CY"),0,IF(M67="DG",1,IF(LEFT(C67,3)="LCH",7,IF(C67="BKK02",5,3))))</f>
        <v>7</v>
      </c>
      <c r="Z67" s="63">
        <f>IF(IF(AND(AC67="TML",AB67&gt;0),((T67-W67)+1)-AB67,((T67-W67)+1)-Y67)&gt;0,IF(AND(AC67="TML",AB67&gt;0),((T67-W67)+1)-AB67,((T67-W67)+1)-Y67),0)</f>
        <v>3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750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46303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750</v>
      </c>
      <c r="AJ67" s="188" t="n"/>
      <c r="AK67" s="62" t="str">
        <f>VLOOKUP(D67,'2.Bookinglist'!A:CT,40,FALSE)</f>
        <v>Dharaporn</v>
      </c>
      <c r="AL67" s="60" t="str">
        <f>VLOOKUP(D67,'2.Bookinglist'!A:CW,101,FALSE)</f>
        <v>2026-10-03</v>
      </c>
      <c r="AM67" s="60" t="str">
        <f>VLOOKUP(D67,'2.Bookinglist'!A:BK,63,FALSE)</f>
        <v>LCHY5</v>
      </c>
      <c r="AN67" s="62" t="str">
        <f>VLOOKUP(D67,'2.Bookinglist'!A:AZ,52,FALSE)</f>
        <v>CY-RTN: 23-27/09/2026</v>
      </c>
      <c r="AO67" s="62">
        <f>VLOOKUP(D67,'2.Bookinglist'!A:CY,103,FALSE)</f>
        <v>0</v>
      </c>
    </row>
    <row r="68" ht="12.95" customHeight="1">
      <c r="A68" s="96" t="inlineStr">
        <is>
          <t>SKHU6206076</t>
        </is>
      </c>
      <c r="B68" s="184" t="str">
        <f>IF(C68=Charge!$M$1,Charge!$J$1,IF(C68=Charge!$M$23,Charge!$J$23,IF(C68=Charge!$M$17,Charge!$J$17,IF(C68=Charge!$N$17,Charge!$J$17,Charge!$J$7))))</f>
        <v>G2</v>
      </c>
      <c r="C68" s="61" t="str">
        <f>VLOOKUP(A68,'1.Loading'!A:R,14,FALSE)</f>
        <v>LCH06</v>
      </c>
      <c r="D68" s="61" t="str">
        <f>VLOOKUP(A68,'1.Loading'!A:R,17,FALSE)</f>
        <v>HASLS22260901309</v>
      </c>
      <c r="E68" s="62" t="str">
        <f>VLOOKUP(D68,'2.Bookinglist'!A:CT,27,FALSE)</f>
        <v>WHA GC LOGISTICS COMPANY LIMITED</v>
      </c>
      <c r="F68" s="62" t="str">
        <f>VLOOKUP(D68,'2.Bookinglist'!A:CT,28,FALSE)</f>
        <v>PTT GLOBAL CHEMICAL PUBLIC COMPANY LIMITED</v>
      </c>
      <c r="G68" s="60">
        <f>VLOOKUP(D68,'2.Bookinglist'!A:E,5,FALSE)</f>
        <v>0</v>
      </c>
      <c r="H68" s="61" t="str">
        <f>VLOOKUP(D68,'2.Bookinglist'!A:CT,15,FALSE)</f>
        <v>THLCH</v>
      </c>
      <c r="I68" s="61" t="str">
        <f>VLOOKUP(D68,'2.Bookinglist'!A:CT,19,FALSE)</f>
        <v>CNSHA</v>
      </c>
      <c r="J68" s="61">
        <f>VLOOKUP(D68,'2.Bookinglist'!A:CT,26,FALSE)</f>
        <v>0</v>
      </c>
      <c r="K68" s="61" t="str">
        <f>VLOOKUP(A68,'1.Loading'!A:R,5,FALSE)</f>
        <v>45GP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SWVG</v>
      </c>
      <c r="P68" s="61" t="str">
        <f>VLOOKUP(A68,'1.Loading'!A:R,4,FALSE)</f>
        <v>2612N</v>
      </c>
      <c r="Q68" s="61" t="str">
        <f>VLOOKUP(D68,'2.Bookinglist'!A:CT,12,FALSE)</f>
        <v>PCI2</v>
      </c>
      <c r="R68" s="60" t="str">
        <f>IF(LEFT(K68,2)="22","20'","40'")</f>
        <v>40'</v>
      </c>
      <c r="S68" s="185" t="n"/>
      <c r="T68" s="61" t="str">
        <f>VLOOKUP(A68,'1.Loading'!A:R,2,FALSE)</f>
        <v>2026-10-07</v>
      </c>
      <c r="U68" s="63">
        <f>T68-S68</f>
        <v>46302</v>
      </c>
      <c r="V68" s="186" t="n"/>
      <c r="W68" s="61" t="str">
        <f>VLOOKUP(A68,'3.GateMove'!A:D,4,FALSE)</f>
        <v>2026-09-28</v>
      </c>
      <c r="X68" s="63">
        <f>((T68-W68)+1)</f>
        <v>10</v>
      </c>
      <c r="Y68" s="64">
        <f>IF(AND(OR(C68="BKK01",C68="BKK04"),L68="CFS/CY"),0,IF(M68="DG",1,IF(LEFT(C68,3)="LCH",7,IF(C68="BKK02",5,3))))</f>
        <v>7</v>
      </c>
      <c r="Z68" s="63">
        <f>IF(IF(AND(AC68="TML",AB68&gt;0),((T68-W68)+1)-AB68,((T68-W68)+1)-Y68)&gt;0,IF(AND(AC68="TML",AB68&gt;0),((T68-W68)+1)-AB68,((T68-W68)+1)-Y68),0)</f>
        <v>3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750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46303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750</v>
      </c>
      <c r="AJ68" s="188" t="n"/>
      <c r="AK68" s="62" t="str">
        <f>VLOOKUP(D68,'2.Bookinglist'!A:CT,40,FALSE)</f>
        <v>Dharaporn</v>
      </c>
      <c r="AL68" s="60" t="str">
        <f>VLOOKUP(D68,'2.Bookinglist'!A:CW,101,FALSE)</f>
        <v>2026-10-03</v>
      </c>
      <c r="AM68" s="60" t="str">
        <f>VLOOKUP(D68,'2.Bookinglist'!A:BK,63,FALSE)</f>
        <v>LCHY5</v>
      </c>
      <c r="AN68" s="62" t="str">
        <f>VLOOKUP(D68,'2.Bookinglist'!A:AZ,52,FALSE)</f>
        <v>CY-RTN: 23-27/09/2026</v>
      </c>
      <c r="AO68" s="62">
        <f>VLOOKUP(D68,'2.Bookinglist'!A:CY,103,FALSE)</f>
        <v>0</v>
      </c>
    </row>
    <row r="69" ht="12.95" customHeight="1">
      <c r="A69" s="96" t="inlineStr">
        <is>
          <t>SKHU6206420</t>
        </is>
      </c>
      <c r="B69" s="184" t="str">
        <f>IF(C69=Charge!$M$1,Charge!$J$1,IF(C69=Charge!$M$23,Charge!$J$23,IF(C69=Charge!$M$17,Charge!$J$17,IF(C69=Charge!$N$17,Charge!$J$17,Charge!$J$7))))</f>
        <v>G2</v>
      </c>
      <c r="C69" s="61" t="str">
        <f>VLOOKUP(A69,'1.Loading'!A:R,14,FALSE)</f>
        <v>LCH06</v>
      </c>
      <c r="D69" s="61" t="str">
        <f>VLOOKUP(A69,'1.Loading'!A:R,17,FALSE)</f>
        <v>HASLS22260900408</v>
      </c>
      <c r="E69" s="62" t="str">
        <f>VLOOKUP(D69,'2.Bookinglist'!A:CT,27,FALSE)</f>
        <v>RHENUS LOGISTICS CO., LTD.</v>
      </c>
      <c r="F69" s="62" t="str">
        <f>VLOOKUP(D69,'2.Bookinglist'!A:CT,28,FALSE)</f>
        <v>DYNAMIC TECHNOLOGY MANUFACTURING (THAILAND) CO.,LTD.</v>
      </c>
      <c r="G69" s="60">
        <f>VLOOKUP(D69,'2.Bookinglist'!A:E,5,FALSE)</f>
        <v>0</v>
      </c>
      <c r="H69" s="61" t="str">
        <f>VLOOKUP(D69,'2.Bookinglist'!A:CT,15,FALSE)</f>
        <v>THLCH</v>
      </c>
      <c r="I69" s="61" t="str">
        <f>VLOOKUP(D69,'2.Bookinglist'!A:CT,19,FALSE)</f>
        <v>CNSHA</v>
      </c>
      <c r="J69" s="61">
        <f>VLOOKUP(D69,'2.Bookinglist'!A:CT,26,FALSE)</f>
        <v>0</v>
      </c>
      <c r="K69" s="61" t="str">
        <f>VLOOKUP(A69,'1.Loading'!A:R,5,FALSE)</f>
        <v>45GP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SWVG</v>
      </c>
      <c r="P69" s="61" t="str">
        <f>VLOOKUP(A69,'1.Loading'!A:R,4,FALSE)</f>
        <v>2612N</v>
      </c>
      <c r="Q69" s="61" t="str">
        <f>VLOOKUP(D69,'2.Bookinglist'!A:CT,12,FALSE)</f>
        <v>PCI2</v>
      </c>
      <c r="R69" s="60" t="str">
        <f>IF(LEFT(K69,2)="22","20'","40'")</f>
        <v>40'</v>
      </c>
      <c r="S69" s="185" t="n"/>
      <c r="T69" s="61" t="str">
        <f>VLOOKUP(A69,'1.Loading'!A:R,2,FALSE)</f>
        <v>2026-10-07</v>
      </c>
      <c r="U69" s="63">
        <f>T69-S69</f>
        <v>46302</v>
      </c>
      <c r="V69" s="186" t="n"/>
      <c r="W69" s="61" t="str">
        <f>VLOOKUP(A69,'3.GateMove'!A:D,4,FALSE)</f>
        <v>2026-09-28</v>
      </c>
      <c r="X69" s="63">
        <f>((T69-W69)+1)</f>
        <v>10</v>
      </c>
      <c r="Y69" s="64">
        <f>IF(AND(OR(C69="BKK01",C69="BKK04"),L69="CFS/CY"),0,IF(M69="DG",1,IF(LEFT(C69,3)="LCH",7,IF(C69="BKK02",5,3))))</f>
        <v>7</v>
      </c>
      <c r="Z69" s="63">
        <f>IF(IF(AND(AC69="TML",AB69&gt;0),((T69-W69)+1)-AB69,((T69-W69)+1)-Y69)&gt;0,IF(AND(AC69="TML",AB69&gt;0),((T69-W69)+1)-AB69,((T69-W69)+1)-Y69),0)</f>
        <v>3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750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46303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750</v>
      </c>
      <c r="AJ69" s="188" t="n"/>
      <c r="AK69" s="62" t="str">
        <f>VLOOKUP(D69,'2.Bookinglist'!A:CT,40,FALSE)</f>
        <v>Nannaapust Sukporntaweewat</v>
      </c>
      <c r="AL69" s="60" t="str">
        <f>VLOOKUP(D69,'2.Bookinglist'!A:CW,101,FALSE)</f>
        <v>2026-10-06</v>
      </c>
      <c r="AM69" s="60" t="str">
        <f>VLOOKUP(D69,'2.Bookinglist'!A:BK,63,FALSE)</f>
        <v>LCH27</v>
      </c>
      <c r="AN69" s="62" t="str">
        <f>VLOOKUP(D69,'2.Bookinglist'!A:AZ,52,FALSE)</f>
        <v>Pickup : 2026-09-26, Return : 2026-09-28</v>
      </c>
      <c r="AO69" s="62">
        <f>VLOOKUP(D69,'2.Bookinglist'!A:CY,103,FALSE)</f>
        <v>0</v>
      </c>
    </row>
    <row r="70" ht="12.95" customHeight="1">
      <c r="A70" s="96" t="inlineStr">
        <is>
          <t>SKHU6309623</t>
        </is>
      </c>
      <c r="B70" s="184" t="str">
        <f>IF(C70=Charge!$M$1,Charge!$J$1,IF(C70=Charge!$M$23,Charge!$J$23,IF(C70=Charge!$M$17,Charge!$J$17,IF(C70=Charge!$N$17,Charge!$J$17,Charge!$J$7))))</f>
        <v>G2</v>
      </c>
      <c r="C70" s="61" t="str">
        <f>VLOOKUP(A70,'1.Loading'!A:R,14,FALSE)</f>
        <v>LCH06</v>
      </c>
      <c r="D70" s="61" t="str">
        <f>VLOOKUP(A70,'1.Loading'!A:R,17,FALSE)</f>
        <v>HASLS22260802507</v>
      </c>
      <c r="E70" s="62" t="str">
        <f>VLOOKUP(D70,'2.Bookinglist'!A:CT,27,FALSE)</f>
        <v>WHA GC LOGISTICS COMPANY LIMITED</v>
      </c>
      <c r="F70" s="62" t="str">
        <f>VLOOKUP(D70,'2.Bookinglist'!A:CT,28,FALSE)</f>
        <v>PTT GLOBAL CHEMICAL PUBLIC COMPANY LIMITED</v>
      </c>
      <c r="G70" s="60">
        <f>VLOOKUP(D70,'2.Bookinglist'!A:E,5,FALSE)</f>
        <v>0</v>
      </c>
      <c r="H70" s="61" t="str">
        <f>VLOOKUP(D70,'2.Bookinglist'!A:CT,15,FALSE)</f>
        <v>THLCH</v>
      </c>
      <c r="I70" s="61" t="str">
        <f>VLOOKUP(D70,'2.Bookinglist'!A:CT,19,FALSE)</f>
        <v>CNSHA</v>
      </c>
      <c r="J70" s="61">
        <f>VLOOKUP(D70,'2.Bookinglist'!A:CT,26,FALSE)</f>
        <v>0</v>
      </c>
      <c r="K70" s="61" t="str">
        <f>VLOOKUP(A70,'1.Loading'!A:R,5,FALSE)</f>
        <v>45GP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SWVG</v>
      </c>
      <c r="P70" s="61" t="str">
        <f>VLOOKUP(A70,'1.Loading'!A:R,4,FALSE)</f>
        <v>2612N</v>
      </c>
      <c r="Q70" s="61" t="str">
        <f>VLOOKUP(D70,'2.Bookinglist'!A:CT,12,FALSE)</f>
        <v>PCI2</v>
      </c>
      <c r="R70" s="60" t="str">
        <f>IF(LEFT(K70,2)="22","20'","40'")</f>
        <v>40'</v>
      </c>
      <c r="S70" s="185" t="n"/>
      <c r="T70" s="61" t="str">
        <f>VLOOKUP(A70,'1.Loading'!A:R,2,FALSE)</f>
        <v>2026-10-07</v>
      </c>
      <c r="U70" s="63">
        <f>T70-S70</f>
        <v>46302</v>
      </c>
      <c r="V70" s="186" t="n"/>
      <c r="W70" s="61" t="str">
        <f>VLOOKUP(A70,'3.GateMove'!A:D,4,FALSE)</f>
        <v>2026-09-28</v>
      </c>
      <c r="X70" s="63">
        <f>((T70-W70)+1)</f>
        <v>10</v>
      </c>
      <c r="Y70" s="64">
        <f>IF(AND(OR(C70="BKK01",C70="BKK04"),L70="CFS/CY"),0,IF(M70="DG",1,IF(LEFT(C70,3)="LCH",7,IF(C70="BKK02",5,3))))</f>
        <v>7</v>
      </c>
      <c r="Z70" s="63">
        <f>IF(IF(AND(AC70="TML",AB70&gt;0),((T70-W70)+1)-AB70,((T70-W70)+1)-Y70)&gt;0,IF(AND(AC70="TML",AB70&gt;0),((T70-W70)+1)-AB70,((T70-W70)+1)-Y70),0)</f>
        <v>3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750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46303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750</v>
      </c>
      <c r="AJ70" s="188" t="n"/>
      <c r="AK70" s="62" t="str">
        <f>VLOOKUP(D70,'2.Bookinglist'!A:CT,40,FALSE)</f>
        <v>Dharaporn</v>
      </c>
      <c r="AL70" s="60" t="str">
        <f>VLOOKUP(D70,'2.Bookinglist'!A:CW,101,FALSE)</f>
        <v>2026-10-07</v>
      </c>
      <c r="AM70" s="60" t="str">
        <f>VLOOKUP(D70,'2.Bookinglist'!A:BK,63,FALSE)</f>
        <v>LCHY5</v>
      </c>
      <c r="AN70" s="62" t="str">
        <f>VLOOKUP(D70,'2.Bookinglist'!A:AZ,52,FALSE)</f>
        <v>CY -RTN DD.21/09 -27/09/2026 /CHECK OPEN GATE BEFORE RETURN CNTR </v>
      </c>
      <c r="AO70" s="62">
        <f>VLOOKUP(D70,'2.Bookinglist'!A:CY,103,FALSE)</f>
        <v>0</v>
      </c>
    </row>
    <row r="71" ht="12.95" customHeight="1">
      <c r="A71" s="96" t="inlineStr">
        <is>
          <t>SKHU6310521</t>
        </is>
      </c>
      <c r="B71" s="184" t="str">
        <f>IF(C71=Charge!$M$1,Charge!$J$1,IF(C71=Charge!$M$23,Charge!$J$23,IF(C71=Charge!$M$17,Charge!$J$17,IF(C71=Charge!$N$17,Charge!$J$17,Charge!$J$7))))</f>
        <v>G2</v>
      </c>
      <c r="C71" s="61" t="str">
        <f>VLOOKUP(A71,'1.Loading'!A:R,14,FALSE)</f>
        <v>LCH06</v>
      </c>
      <c r="D71" s="61" t="str">
        <f>VLOOKUP(A71,'1.Loading'!A:R,17,FALSE)</f>
        <v>HASLS22260802388</v>
      </c>
      <c r="E71" s="62" t="str">
        <f>VLOOKUP(D71,'2.Bookinglist'!A:CT,27,FALSE)</f>
        <v>SCGJWD LOGISTICS PUBLIC COMPANY LIMITED</v>
      </c>
      <c r="F71" s="62" t="str">
        <f>VLOOKUP(D71,'2.Bookinglist'!A:CT,28,FALSE)</f>
        <v>THAI POLYETHYLENE CO., LTD.</v>
      </c>
      <c r="G71" s="60">
        <f>VLOOKUP(D71,'2.Bookinglist'!A:E,5,FALSE)</f>
        <v>0</v>
      </c>
      <c r="H71" s="61" t="str">
        <f>VLOOKUP(D71,'2.Bookinglist'!A:CT,15,FALSE)</f>
        <v>THLCH</v>
      </c>
      <c r="I71" s="61" t="str">
        <f>VLOOKUP(D71,'2.Bookinglist'!A:CT,19,FALSE)</f>
        <v>CNSHA</v>
      </c>
      <c r="J71" s="61">
        <f>VLOOKUP(D71,'2.Bookinglist'!A:CT,26,FALSE)</f>
        <v>0</v>
      </c>
      <c r="K71" s="61" t="str">
        <f>VLOOKUP(A71,'1.Loading'!A:R,5,FALSE)</f>
        <v>45GP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SWVG</v>
      </c>
      <c r="P71" s="61" t="str">
        <f>VLOOKUP(A71,'1.Loading'!A:R,4,FALSE)</f>
        <v>2612N</v>
      </c>
      <c r="Q71" s="61" t="str">
        <f>VLOOKUP(D71,'2.Bookinglist'!A:CT,12,FALSE)</f>
        <v>PCI2</v>
      </c>
      <c r="R71" s="60" t="str">
        <f>IF(LEFT(K71,2)="22","20'","40'")</f>
        <v>40'</v>
      </c>
      <c r="S71" s="185" t="n"/>
      <c r="T71" s="61" t="str">
        <f>VLOOKUP(A71,'1.Loading'!A:R,2,FALSE)</f>
        <v>2026-10-07</v>
      </c>
      <c r="U71" s="63">
        <f>T71-S71</f>
        <v>46302</v>
      </c>
      <c r="V71" s="186" t="n"/>
      <c r="W71" s="61" t="str">
        <f>VLOOKUP(A71,'3.GateMove'!A:D,4,FALSE)</f>
        <v>2026-09-24</v>
      </c>
      <c r="X71" s="63">
        <f>((T71-W71)+1)</f>
        <v>14</v>
      </c>
      <c r="Y71" s="64">
        <f>IF(AND(OR(C71="BKK01",C71="BKK04"),L71="CFS/CY"),0,IF(M71="DG",1,IF(LEFT(C71,3)="LCH",7,IF(C71="BKK02",5,3))))</f>
        <v>7</v>
      </c>
      <c r="Z71" s="63">
        <f>IF(IF(AND(AC71="TML",AB71&gt;0),((T71-W71)+1)-AB71,((T71-W71)+1)-Y71)&gt;0,IF(AND(AC71="TML",AB71&gt;0),((T71-W71)+1)-AB71,((T71-W71)+1)-Y71),0)</f>
        <v>7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1750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46303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1750</v>
      </c>
      <c r="AJ71" s="188" t="n"/>
      <c r="AK71" s="62" t="str">
        <f>VLOOKUP(D71,'2.Bookinglist'!A:CT,40,FALSE)</f>
        <v>Kanokporn</v>
      </c>
      <c r="AL71" s="60" t="str">
        <f>VLOOKUP(D71,'2.Bookinglist'!A:CW,101,FALSE)</f>
        <v>2026-09-28</v>
      </c>
      <c r="AM71" s="60" t="str">
        <f>VLOOKUP(D71,'2.Bookinglist'!A:BK,63,FALSE)</f>
        <v>LCHY5</v>
      </c>
      <c r="AN71" s="62" t="str">
        <f>VLOOKUP(D71,'2.Bookinglist'!A:AZ,52,FALSE)</f>
        <v>CY-RTN :18-22/09/2026 *INV :3031060734*
REQ GOOD AND CLEAN CONT., NO OIL, NO RUSTY
</v>
      </c>
      <c r="AO71" s="62">
        <f>VLOOKUP(D71,'2.Bookinglist'!A:CY,103,FALSE)</f>
        <v>0</v>
      </c>
    </row>
    <row r="72" ht="12.95" customHeight="1">
      <c r="A72" s="96" t="inlineStr">
        <is>
          <t>SKHU6341121</t>
        </is>
      </c>
      <c r="B72" s="184" t="str">
        <f>IF(C72=Charge!$M$1,Charge!$J$1,IF(C72=Charge!$M$23,Charge!$J$23,IF(C72=Charge!$M$17,Charge!$J$17,IF(C72=Charge!$N$17,Charge!$J$17,Charge!$J$7))))</f>
        <v>G2</v>
      </c>
      <c r="C72" s="61" t="str">
        <f>VLOOKUP(A72,'1.Loading'!A:R,14,FALSE)</f>
        <v>LCH06</v>
      </c>
      <c r="D72" s="61" t="str">
        <f>VLOOKUP(A72,'1.Loading'!A:R,17,FALSE)</f>
        <v>HASLS22260901668</v>
      </c>
      <c r="E72" s="62" t="str">
        <f>VLOOKUP(D72,'2.Bookinglist'!A:CT,27,FALSE)</f>
        <v>BARKLAYS LOGISTICS (THAILAND) CO., LTD.</v>
      </c>
      <c r="F72" s="62" t="str">
        <f>VLOOKUP(D72,'2.Bookinglist'!A:CT,28,FALSE)</f>
        <v>GOLDEN CRANE (GOLDEN DRAGON) CO.,LTD.</v>
      </c>
      <c r="G72" s="60">
        <f>VLOOKUP(D72,'2.Bookinglist'!A:E,5,FALSE)</f>
        <v>0</v>
      </c>
      <c r="H72" s="61" t="str">
        <f>VLOOKUP(D72,'2.Bookinglist'!A:CT,15,FALSE)</f>
        <v>THLCH</v>
      </c>
      <c r="I72" s="61" t="str">
        <f>VLOOKUP(D72,'2.Bookinglist'!A:CT,19,FALSE)</f>
        <v>CNSHA</v>
      </c>
      <c r="J72" s="61">
        <f>VLOOKUP(D72,'2.Bookinglist'!A:CT,26,FALSE)</f>
        <v>0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SWVG</v>
      </c>
      <c r="P72" s="61" t="str">
        <f>VLOOKUP(A72,'1.Loading'!A:R,4,FALSE)</f>
        <v>2612N</v>
      </c>
      <c r="Q72" s="61" t="str">
        <f>VLOOKUP(D72,'2.Bookinglist'!A:CT,12,FALSE)</f>
        <v>PCI2</v>
      </c>
      <c r="R72" s="60" t="str">
        <f>IF(LEFT(K72,2)="22","20'","40'")</f>
        <v>40'</v>
      </c>
      <c r="S72" s="185" t="n"/>
      <c r="T72" s="61" t="str">
        <f>VLOOKUP(A72,'1.Loading'!A:R,2,FALSE)</f>
        <v>2026-10-07</v>
      </c>
      <c r="U72" s="63">
        <f>T72-S72</f>
        <v>46302</v>
      </c>
      <c r="V72" s="186" t="n"/>
      <c r="W72" s="61" t="str">
        <f>VLOOKUP(A72,'3.GateMove'!A:D,4,FALSE)</f>
        <v>2026-09-19</v>
      </c>
      <c r="X72" s="63">
        <f>((T72-W72)+1)</f>
        <v>19</v>
      </c>
      <c r="Y72" s="64">
        <f>IF(AND(OR(C72="BKK01",C72="BKK04"),L72="CFS/CY"),0,IF(M72="DG",1,IF(LEFT(C72,3)="LCH",7,IF(C72="BKK02",5,3))))</f>
        <v>7</v>
      </c>
      <c r="Z72" s="63">
        <f>IF(IF(AND(AC72="TML",AB72&gt;0),((T72-W72)+1)-AB72,((T72-W72)+1)-Y72)&gt;0,IF(AND(AC72="TML",AB72&gt;0),((T72-W72)+1)-AB72,((T72-W72)+1)-Y72),0)</f>
        <v>12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4250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46303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4250</v>
      </c>
      <c r="AJ72" s="188" t="n"/>
      <c r="AK72" s="62" t="str">
        <f>VLOOKUP(D72,'2.Bookinglist'!A:CT,40,FALSE)</f>
        <v>Nannaapust Sukporntaweewat</v>
      </c>
      <c r="AL72" s="60" t="str">
        <f>VLOOKUP(D72,'2.Bookinglist'!A:CW,101,FALSE)</f>
        <v>2026-10-08</v>
      </c>
      <c r="AM72" s="60" t="str">
        <f>VLOOKUP(D72,'2.Bookinglist'!A:BK,63,FALSE)</f>
        <v>LCHY5</v>
      </c>
      <c r="AN72" s="62" t="str">
        <f>VLOOKUP(D72,'2.Bookinglist'!A:AZ,52,FALSE)</f>
        <v>Pickup : 2026-09-18, Return : 2026-09-19</v>
      </c>
      <c r="AO72" s="62" t="str">
        <f>VLOOKUP(D72,'2.Bookinglist'!A:CY,103,FALSE)</f>
        <v>ROLL OVER FROM PREVIOUS VSL HAB 2611N  BY ALLOCATION TEAM MS.TARN APPROVED COST IS UNDER HA DD.25/09</v>
      </c>
    </row>
    <row r="73" ht="12.95" customHeight="1">
      <c r="A73" s="96" t="inlineStr">
        <is>
          <t>SKHU6369936</t>
        </is>
      </c>
      <c r="B73" s="184" t="str">
        <f>IF(C73=Charge!$M$1,Charge!$J$1,IF(C73=Charge!$M$23,Charge!$J$23,IF(C73=Charge!$M$17,Charge!$J$17,IF(C73=Charge!$N$17,Charge!$J$17,Charge!$J$7))))</f>
        <v>G2</v>
      </c>
      <c r="C73" s="61" t="str">
        <f>VLOOKUP(A73,'1.Loading'!A:R,14,FALSE)</f>
        <v>LCH06</v>
      </c>
      <c r="D73" s="61" t="str">
        <f>VLOOKUP(A73,'1.Loading'!A:R,17,FALSE)</f>
        <v>HASLS22260802507</v>
      </c>
      <c r="E73" s="62" t="str">
        <f>VLOOKUP(D73,'2.Bookinglist'!A:CT,27,FALSE)</f>
        <v>WHA GC LOGISTICS COMPANY LIMITED</v>
      </c>
      <c r="F73" s="62" t="str">
        <f>VLOOKUP(D73,'2.Bookinglist'!A:CT,28,FALSE)</f>
        <v>PTT GLOBAL CHEMICAL PUBLIC COMPANY LIMITED</v>
      </c>
      <c r="G73" s="60">
        <f>VLOOKUP(D73,'2.Bookinglist'!A:E,5,FALSE)</f>
        <v>0</v>
      </c>
      <c r="H73" s="61" t="str">
        <f>VLOOKUP(D73,'2.Bookinglist'!A:CT,15,FALSE)</f>
        <v>THLCH</v>
      </c>
      <c r="I73" s="61" t="str">
        <f>VLOOKUP(D73,'2.Bookinglist'!A:CT,19,FALSE)</f>
        <v>CNSHA</v>
      </c>
      <c r="J73" s="61">
        <f>VLOOKUP(D73,'2.Bookinglist'!A:CT,26,FALSE)</f>
        <v>0</v>
      </c>
      <c r="K73" s="61" t="str">
        <f>VLOOKUP(A73,'1.Loading'!A:R,5,FALSE)</f>
        <v>45GP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/>
      </c>
      <c r="O73" s="61" t="str">
        <f>VLOOKUP(A73,'1.Loading'!A:R,3,FALSE)</f>
        <v>SWVG</v>
      </c>
      <c r="P73" s="61" t="str">
        <f>VLOOKUP(A73,'1.Loading'!A:R,4,FALSE)</f>
        <v>2612N</v>
      </c>
      <c r="Q73" s="61" t="str">
        <f>VLOOKUP(D73,'2.Bookinglist'!A:CT,12,FALSE)</f>
        <v>PCI2</v>
      </c>
      <c r="R73" s="60" t="str">
        <f>IF(LEFT(K73,2)="22","20'","40'")</f>
        <v>40'</v>
      </c>
      <c r="S73" s="185" t="n"/>
      <c r="T73" s="61" t="str">
        <f>VLOOKUP(A73,'1.Loading'!A:R,2,FALSE)</f>
        <v>2026-10-07</v>
      </c>
      <c r="U73" s="63">
        <f>T73-S73</f>
        <v>46302</v>
      </c>
      <c r="V73" s="186" t="n"/>
      <c r="W73" s="61" t="str">
        <f>VLOOKUP(A73,'3.GateMove'!A:D,4,FALSE)</f>
        <v>2026-09-28</v>
      </c>
      <c r="X73" s="63">
        <f>((T73-W73)+1)</f>
        <v>10</v>
      </c>
      <c r="Y73" s="64">
        <f>IF(AND(OR(C73="BKK01",C73="BKK04"),L73="CFS/CY"),0,IF(M73="DG",1,IF(LEFT(C73,3)="LCH",7,IF(C73="BKK02",5,3))))</f>
        <v>7</v>
      </c>
      <c r="Z73" s="63">
        <f>IF(IF(AND(AC73="TML",AB73&gt;0),((T73-W73)+1)-AB73,((T73-W73)+1)-Y73)&gt;0,IF(AND(AC73="TML",AB73&gt;0),((T73-W73)+1)-AB73,((T73-W73)+1)-Y73),0)</f>
        <v>3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750</v>
      </c>
      <c r="AB73" s="184" t="n"/>
      <c r="AC73" s="184" t="n"/>
      <c r="AD73" s="60">
        <f>IF(M73="DG",3,IF(N73="RF",3,5))+IF(AND(LEFT(C73,3)="BKK",N73="RF",Q73="KTS"),1,0)+IF(Q73="KHS",1,0)</f>
        <v>5</v>
      </c>
      <c r="AE73" s="63">
        <f>(T73-V73)+1</f>
        <v>46303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750</v>
      </c>
      <c r="AJ73" s="188" t="n"/>
      <c r="AK73" s="62" t="str">
        <f>VLOOKUP(D73,'2.Bookinglist'!A:CT,40,FALSE)</f>
        <v>Dharaporn</v>
      </c>
      <c r="AL73" s="60" t="str">
        <f>VLOOKUP(D73,'2.Bookinglist'!A:CW,101,FALSE)</f>
        <v>2026-10-07</v>
      </c>
      <c r="AM73" s="60" t="str">
        <f>VLOOKUP(D73,'2.Bookinglist'!A:BK,63,FALSE)</f>
        <v>LCHY5</v>
      </c>
      <c r="AN73" s="62" t="str">
        <f>VLOOKUP(D73,'2.Bookinglist'!A:AZ,52,FALSE)</f>
        <v>CY -RTN DD.21/09 -27/09/2026 /CHECK OPEN GATE BEFORE RETURN CNTR </v>
      </c>
      <c r="AO73" s="62">
        <f>VLOOKUP(D73,'2.Bookinglist'!A:CY,103,FALSE)</f>
        <v>0</v>
      </c>
    </row>
    <row r="74" ht="12.95" customHeight="1">
      <c r="A74" s="96" t="inlineStr">
        <is>
          <t>SKHU6384740</t>
        </is>
      </c>
      <c r="B74" s="184" t="str">
        <f>IF(C74=Charge!$M$1,Charge!$J$1,IF(C74=Charge!$M$23,Charge!$J$23,IF(C74=Charge!$M$17,Charge!$J$17,IF(C74=Charge!$N$17,Charge!$J$17,Charge!$J$7))))</f>
        <v>G2</v>
      </c>
      <c r="C74" s="61" t="str">
        <f>VLOOKUP(A74,'1.Loading'!A:R,14,FALSE)</f>
        <v>LCH06</v>
      </c>
      <c r="D74" s="61" t="str">
        <f>VLOOKUP(A74,'1.Loading'!A:R,17,FALSE)</f>
        <v>HASLS22260900441</v>
      </c>
      <c r="E74" s="62" t="str">
        <f>VLOOKUP(D74,'2.Bookinglist'!A:CT,27,FALSE)</f>
        <v>BARKLAYS LOGISTICS (THAILAND) CO., LTD.</v>
      </c>
      <c r="F74" s="62" t="str">
        <f>VLOOKUP(D74,'2.Bookinglist'!A:CT,28,FALSE)</f>
        <v>GOLDEN CRANE (GOLDEN DRAGON) CO.,LTD.</v>
      </c>
      <c r="G74" s="60">
        <f>VLOOKUP(D74,'2.Bookinglist'!A:E,5,FALSE)</f>
        <v>0</v>
      </c>
      <c r="H74" s="61" t="str">
        <f>VLOOKUP(D74,'2.Bookinglist'!A:CT,15,FALSE)</f>
        <v>THLCH</v>
      </c>
      <c r="I74" s="61" t="str">
        <f>VLOOKUP(D74,'2.Bookinglist'!A:CT,19,FALSE)</f>
        <v>CNSHA</v>
      </c>
      <c r="J74" s="61">
        <f>VLOOKUP(D74,'2.Bookinglist'!A:CT,26,FALSE)</f>
        <v>0</v>
      </c>
      <c r="K74" s="61" t="str">
        <f>VLOOKUP(A74,'1.Loading'!A:R,5,FALSE)</f>
        <v>45GP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SWVG</v>
      </c>
      <c r="P74" s="61" t="str">
        <f>VLOOKUP(A74,'1.Loading'!A:R,4,FALSE)</f>
        <v>2612N</v>
      </c>
      <c r="Q74" s="61" t="str">
        <f>VLOOKUP(D74,'2.Bookinglist'!A:CT,12,FALSE)</f>
        <v>PCI2</v>
      </c>
      <c r="R74" s="60" t="str">
        <f>IF(LEFT(K74,2)="22","20'","40'")</f>
        <v>40'</v>
      </c>
      <c r="S74" s="185" t="n"/>
      <c r="T74" s="61" t="str">
        <f>VLOOKUP(A74,'1.Loading'!A:R,2,FALSE)</f>
        <v>2026-10-07</v>
      </c>
      <c r="U74" s="63">
        <f>T74-S74</f>
        <v>46302</v>
      </c>
      <c r="V74" s="186" t="n"/>
      <c r="W74" s="61" t="str">
        <f>VLOOKUP(A74,'3.GateMove'!A:D,4,FALSE)</f>
        <v>2026-09-19</v>
      </c>
      <c r="X74" s="63">
        <f>((T74-W74)+1)</f>
        <v>19</v>
      </c>
      <c r="Y74" s="64">
        <f>IF(AND(OR(C74="BKK01",C74="BKK04"),L74="CFS/CY"),0,IF(M74="DG",1,IF(LEFT(C74,3)="LCH",7,IF(C74="BKK02",5,3))))</f>
        <v>7</v>
      </c>
      <c r="Z74" s="63">
        <f>IF(IF(AND(AC74="TML",AB74&gt;0),((T74-W74)+1)-AB74,((T74-W74)+1)-Y74)&gt;0,IF(AND(AC74="TML",AB74&gt;0),((T74-W74)+1)-AB74,((T74-W74)+1)-Y74),0)</f>
        <v>12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4250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46303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4250</v>
      </c>
      <c r="AJ74" s="188" t="n"/>
      <c r="AK74" s="62" t="str">
        <f>VLOOKUP(D74,'2.Bookinglist'!A:CT,40,FALSE)</f>
        <v>Nannaapust Sukporntaweewat</v>
      </c>
      <c r="AL74" s="60" t="str">
        <f>VLOOKUP(D74,'2.Bookinglist'!A:CW,101,FALSE)</f>
        <v>2026-10-08</v>
      </c>
      <c r="AM74" s="60" t="str">
        <f>VLOOKUP(D74,'2.Bookinglist'!A:BK,63,FALSE)</f>
        <v>LCHY5</v>
      </c>
      <c r="AN74" s="62" t="str">
        <f>VLOOKUP(D74,'2.Bookinglist'!A:AZ,52,FALSE)</f>
        <v>Pickup : 2026-09-18, Return : 2026-09-19</v>
      </c>
      <c r="AO74" s="62" t="str">
        <f>VLOOKUP(D74,'2.Bookinglist'!A:CY,103,FALSE)</f>
        <v>ROLL OVER FROM PREVIOUS VSL HAB 2611N  BY ALLOCATION TEAM MS.TARN APPROVED COST IS UNDER HA DD.25/09</v>
      </c>
    </row>
    <row r="75" ht="12.95" customHeight="1">
      <c r="A75" s="96" t="inlineStr">
        <is>
          <t>SKHU6387945</t>
        </is>
      </c>
      <c r="B75" s="184" t="str">
        <f>IF(C75=Charge!$M$1,Charge!$J$1,IF(C75=Charge!$M$23,Charge!$J$23,IF(C75=Charge!$M$17,Charge!$J$17,IF(C75=Charge!$N$17,Charge!$J$17,Charge!$J$7))))</f>
        <v>G2</v>
      </c>
      <c r="C75" s="61" t="str">
        <f>VLOOKUP(A75,'1.Loading'!A:R,14,FALSE)</f>
        <v>LCH06</v>
      </c>
      <c r="D75" s="61" t="str">
        <f>VLOOKUP(A75,'1.Loading'!A:R,17,FALSE)</f>
        <v>HASLS22260802360</v>
      </c>
      <c r="E75" s="62" t="str">
        <f>VLOOKUP(D75,'2.Bookinglist'!A:CT,27,FALSE)</f>
        <v>WHA GC LOGISTICS COMPANY LIMITED</v>
      </c>
      <c r="F75" s="62" t="str">
        <f>VLOOKUP(D75,'2.Bookinglist'!A:CT,28,FALSE)</f>
        <v>PTT GLOBAL CHEMICAL PUBLIC COMPANY LIMITED</v>
      </c>
      <c r="G75" s="60">
        <f>VLOOKUP(D75,'2.Bookinglist'!A:E,5,FALSE)</f>
        <v>0</v>
      </c>
      <c r="H75" s="61" t="str">
        <f>VLOOKUP(D75,'2.Bookinglist'!A:CT,15,FALSE)</f>
        <v>THLCH</v>
      </c>
      <c r="I75" s="61" t="str">
        <f>VLOOKUP(D75,'2.Bookinglist'!A:CT,19,FALSE)</f>
        <v>JPMYJ</v>
      </c>
      <c r="J75" s="61" t="str">
        <f>VLOOKUP(D75,'2.Bookinglist'!A:CT,26,FALSE)</f>
        <v>KRPUS</v>
      </c>
      <c r="K75" s="61" t="str">
        <f>VLOOKUP(A75,'1.Loading'!A:R,5,FALSE)</f>
        <v>45GP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SWVG</v>
      </c>
      <c r="P75" s="61" t="str">
        <f>VLOOKUP(A75,'1.Loading'!A:R,4,FALSE)</f>
        <v>2612N</v>
      </c>
      <c r="Q75" s="61" t="str">
        <f>VLOOKUP(D75,'2.Bookinglist'!A:CT,12,FALSE)</f>
        <v>PCI2</v>
      </c>
      <c r="R75" s="60" t="str">
        <f>IF(LEFT(K75,2)="22","20'","40'")</f>
        <v>40'</v>
      </c>
      <c r="S75" s="185" t="n"/>
      <c r="T75" s="61" t="str">
        <f>VLOOKUP(A75,'1.Loading'!A:R,2,FALSE)</f>
        <v>2026-10-07</v>
      </c>
      <c r="U75" s="63">
        <f>T75-S75</f>
        <v>46302</v>
      </c>
      <c r="V75" s="186" t="n"/>
      <c r="W75" s="61" t="str">
        <f>VLOOKUP(A75,'3.GateMove'!A:D,4,FALSE)</f>
        <v>2026-09-28</v>
      </c>
      <c r="X75" s="63">
        <f>((T75-W75)+1)</f>
        <v>10</v>
      </c>
      <c r="Y75" s="64">
        <f>IF(AND(OR(C75="BKK01",C75="BKK04"),L75="CFS/CY"),0,IF(M75="DG",1,IF(LEFT(C75,3)="LCH",7,IF(C75="BKK02",5,3))))</f>
        <v>7</v>
      </c>
      <c r="Z75" s="63">
        <f>IF(IF(AND(AC75="TML",AB75&gt;0),((T75-W75)+1)-AB75,((T75-W75)+1)-Y75)&gt;0,IF(AND(AC75="TML",AB75&gt;0),((T75-W75)+1)-AB75,((T75-W75)+1)-Y75),0)</f>
        <v>3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750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46303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750</v>
      </c>
      <c r="AJ75" s="188" t="n"/>
      <c r="AK75" s="62" t="str">
        <f>VLOOKUP(D75,'2.Bookinglist'!A:CT,40,FALSE)</f>
        <v>Dharaporn</v>
      </c>
      <c r="AL75" s="60" t="str">
        <f>VLOOKUP(D75,'2.Bookinglist'!A:CW,101,FALSE)</f>
        <v>2026-10-03</v>
      </c>
      <c r="AM75" s="60" t="str">
        <f>VLOOKUP(D75,'2.Bookinglist'!A:BK,63,FALSE)</f>
        <v>LCH28</v>
      </c>
      <c r="AN75" s="62" t="str">
        <f>VLOOKUP(D75,'2.Bookinglist'!A:AZ,52,FALSE)</f>
        <v>CY-RTN 23-27/09/26
*PLS CHECK OPEN GATE BEFORE RETURN CTNR*</v>
      </c>
      <c r="AO75" s="62">
        <f>VLOOKUP(D75,'2.Bookinglist'!A:CY,103,FALSE)</f>
        <v>0</v>
      </c>
    </row>
    <row r="76" ht="12.95" customHeight="1">
      <c r="A76" s="96" t="inlineStr">
        <is>
          <t>SKHU6394013</t>
        </is>
      </c>
      <c r="B76" s="184" t="str">
        <f>IF(C76=Charge!$M$1,Charge!$J$1,IF(C76=Charge!$M$23,Charge!$J$23,IF(C76=Charge!$M$17,Charge!$J$17,IF(C76=Charge!$N$17,Charge!$J$17,Charge!$J$7))))</f>
        <v>G2</v>
      </c>
      <c r="C76" s="61" t="str">
        <f>VLOOKUP(A76,'1.Loading'!A:R,14,FALSE)</f>
        <v>LCH06</v>
      </c>
      <c r="D76" s="61" t="str">
        <f>VLOOKUP(A76,'1.Loading'!A:R,17,FALSE)</f>
        <v>HASLS22260901260</v>
      </c>
      <c r="E76" s="62" t="str">
        <f>VLOOKUP(D76,'2.Bookinglist'!A:CT,27,FALSE)</f>
        <v>WHA GC LOGISTICS COMPANY LIMITED</v>
      </c>
      <c r="F76" s="62" t="str">
        <f>VLOOKUP(D76,'2.Bookinglist'!A:CT,28,FALSE)</f>
        <v>PTT GLOBAL CHEMICAL PUBLIC COMPANY LIMITED</v>
      </c>
      <c r="G76" s="60">
        <f>VLOOKUP(D76,'2.Bookinglist'!A:E,5,FALSE)</f>
        <v>0</v>
      </c>
      <c r="H76" s="61" t="str">
        <f>VLOOKUP(D76,'2.Bookinglist'!A:CT,15,FALSE)</f>
        <v>THLCH</v>
      </c>
      <c r="I76" s="61" t="str">
        <f>VLOOKUP(D76,'2.Bookinglist'!A:CT,19,FALSE)</f>
        <v>CNSHA</v>
      </c>
      <c r="J76" s="61">
        <f>VLOOKUP(D76,'2.Bookinglist'!A:CT,26,FALSE)</f>
        <v>0</v>
      </c>
      <c r="K76" s="61" t="str">
        <f>VLOOKUP(A76,'1.Loading'!A:R,5,FALSE)</f>
        <v>45GP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SWVG</v>
      </c>
      <c r="P76" s="61" t="str">
        <f>VLOOKUP(A76,'1.Loading'!A:R,4,FALSE)</f>
        <v>2612N</v>
      </c>
      <c r="Q76" s="61" t="str">
        <f>VLOOKUP(D76,'2.Bookinglist'!A:CT,12,FALSE)</f>
        <v>PCI2</v>
      </c>
      <c r="R76" s="60" t="str">
        <f>IF(LEFT(K76,2)="22","20'","40'")</f>
        <v>40'</v>
      </c>
      <c r="S76" s="185" t="n"/>
      <c r="T76" s="61" t="str">
        <f>VLOOKUP(A76,'1.Loading'!A:R,2,FALSE)</f>
        <v>2026-10-07</v>
      </c>
      <c r="U76" s="63">
        <f>T76-S76</f>
        <v>46302</v>
      </c>
      <c r="V76" s="186" t="n"/>
      <c r="W76" s="61" t="str">
        <f>VLOOKUP(A76,'3.GateMove'!A:D,4,FALSE)</f>
        <v>2026-09-27</v>
      </c>
      <c r="X76" s="63">
        <f>((T76-W76)+1)</f>
        <v>11</v>
      </c>
      <c r="Y76" s="64">
        <f>IF(AND(OR(C76="BKK01",C76="BKK04"),L76="CFS/CY"),0,IF(M76="DG",1,IF(LEFT(C76,3)="LCH",7,IF(C76="BKK02",5,3))))</f>
        <v>7</v>
      </c>
      <c r="Z76" s="63">
        <f>IF(IF(AND(AC76="TML",AB76&gt;0),((T76-W76)+1)-AB76,((T76-W76)+1)-Y76)&gt;0,IF(AND(AC76="TML",AB76&gt;0),((T76-W76)+1)-AB76,((T76-W76)+1)-Y76),0)</f>
        <v>4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1000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46303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1000</v>
      </c>
      <c r="AJ76" s="188" t="n"/>
      <c r="AK76" s="62" t="str">
        <f>VLOOKUP(D76,'2.Bookinglist'!A:CT,40,FALSE)</f>
        <v>Dharaporn</v>
      </c>
      <c r="AL76" s="60" t="str">
        <f>VLOOKUP(D76,'2.Bookinglist'!A:CW,101,FALSE)</f>
        <v>2026-10-03</v>
      </c>
      <c r="AM76" s="60" t="str">
        <f>VLOOKUP(D76,'2.Bookinglist'!A:BK,63,FALSE)</f>
        <v>LCHY5</v>
      </c>
      <c r="AN76" s="62" t="str">
        <f>VLOOKUP(D76,'2.Bookinglist'!A:AZ,52,FALSE)</f>
        <v>CY -RTN DD.21/09 -27/09/2026 /CHECK OPEN GATE BEFORE RETURN CNTR </v>
      </c>
      <c r="AO76" s="62">
        <f>VLOOKUP(D76,'2.Bookinglist'!A:CY,103,FALSE)</f>
        <v>0</v>
      </c>
    </row>
    <row r="77" ht="12.95" customHeight="1">
      <c r="A77" s="96" t="inlineStr">
        <is>
          <t>SKHU6394939</t>
        </is>
      </c>
      <c r="B77" s="184" t="str">
        <f>IF(C77=Charge!$M$1,Charge!$J$1,IF(C77=Charge!$M$23,Charge!$J$23,IF(C77=Charge!$M$17,Charge!$J$17,IF(C77=Charge!$N$17,Charge!$J$17,Charge!$J$7))))</f>
        <v>G2</v>
      </c>
      <c r="C77" s="61" t="str">
        <f>VLOOKUP(A77,'1.Loading'!A:R,14,FALSE)</f>
        <v>LCH06</v>
      </c>
      <c r="D77" s="61" t="str">
        <f>VLOOKUP(A77,'1.Loading'!A:R,17,FALSE)</f>
        <v>HASLS22260802388</v>
      </c>
      <c r="E77" s="62" t="str">
        <f>VLOOKUP(D77,'2.Bookinglist'!A:CT,27,FALSE)</f>
        <v>SCGJWD LOGISTICS PUBLIC COMPANY LIMITED</v>
      </c>
      <c r="F77" s="62" t="str">
        <f>VLOOKUP(D77,'2.Bookinglist'!A:CT,28,FALSE)</f>
        <v>THAI POLYETHYLENE CO., LTD.</v>
      </c>
      <c r="G77" s="60">
        <f>VLOOKUP(D77,'2.Bookinglist'!A:E,5,FALSE)</f>
        <v>0</v>
      </c>
      <c r="H77" s="61" t="str">
        <f>VLOOKUP(D77,'2.Bookinglist'!A:CT,15,FALSE)</f>
        <v>THLCH</v>
      </c>
      <c r="I77" s="61" t="str">
        <f>VLOOKUP(D77,'2.Bookinglist'!A:CT,19,FALSE)</f>
        <v>CNSHA</v>
      </c>
      <c r="J77" s="61">
        <f>VLOOKUP(D77,'2.Bookinglist'!A:CT,26,FALSE)</f>
        <v>0</v>
      </c>
      <c r="K77" s="61" t="str">
        <f>VLOOKUP(A77,'1.Loading'!A:R,5,FALSE)</f>
        <v>45GP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SWVG</v>
      </c>
      <c r="P77" s="61" t="str">
        <f>VLOOKUP(A77,'1.Loading'!A:R,4,FALSE)</f>
        <v>2612N</v>
      </c>
      <c r="Q77" s="61" t="str">
        <f>VLOOKUP(D77,'2.Bookinglist'!A:CT,12,FALSE)</f>
        <v>PCI2</v>
      </c>
      <c r="R77" s="60" t="str">
        <f>IF(LEFT(K77,2)="22","20'","40'")</f>
        <v>40'</v>
      </c>
      <c r="S77" s="185" t="n"/>
      <c r="T77" s="61" t="str">
        <f>VLOOKUP(A77,'1.Loading'!A:R,2,FALSE)</f>
        <v>2026-10-07</v>
      </c>
      <c r="U77" s="63">
        <f>T77-S77</f>
        <v>46302</v>
      </c>
      <c r="V77" s="186" t="n"/>
      <c r="W77" s="61" t="str">
        <f>VLOOKUP(A77,'3.GateMove'!A:D,4,FALSE)</f>
        <v>2026-09-25</v>
      </c>
      <c r="X77" s="63">
        <f>((T77-W77)+1)</f>
        <v>13</v>
      </c>
      <c r="Y77" s="64">
        <f>IF(AND(OR(C77="BKK01",C77="BKK04"),L77="CFS/CY"),0,IF(M77="DG",1,IF(LEFT(C77,3)="LCH",7,IF(C77="BKK02",5,3))))</f>
        <v>7</v>
      </c>
      <c r="Z77" s="63">
        <f>IF(IF(AND(AC77="TML",AB77&gt;0),((T77-W77)+1)-AB77,((T77-W77)+1)-Y77)&gt;0,IF(AND(AC77="TML",AB77&gt;0),((T77-W77)+1)-AB77,((T77-W77)+1)-Y77),0)</f>
        <v>6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1500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46303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1500</v>
      </c>
      <c r="AJ77" s="188" t="n"/>
      <c r="AK77" s="62" t="str">
        <f>VLOOKUP(D77,'2.Bookinglist'!A:CT,40,FALSE)</f>
        <v>Kanokporn</v>
      </c>
      <c r="AL77" s="60" t="str">
        <f>VLOOKUP(D77,'2.Bookinglist'!A:CW,101,FALSE)</f>
        <v>2026-09-28</v>
      </c>
      <c r="AM77" s="60" t="str">
        <f>VLOOKUP(D77,'2.Bookinglist'!A:BK,63,FALSE)</f>
        <v>LCHY5</v>
      </c>
      <c r="AN77" s="62" t="str">
        <f>VLOOKUP(D77,'2.Bookinglist'!A:AZ,52,FALSE)</f>
        <v>CY-RTN :18-22/09/2026 *INV :3031060734*
REQ GOOD AND CLEAN CONT., NO OIL, NO RUSTY
</v>
      </c>
      <c r="AO77" s="62">
        <f>VLOOKUP(D77,'2.Bookinglist'!A:CY,103,FALSE)</f>
        <v>0</v>
      </c>
    </row>
    <row r="78" ht="12.95" customHeight="1">
      <c r="A78" s="96" t="inlineStr">
        <is>
          <t>SKHU6414568</t>
        </is>
      </c>
      <c r="B78" s="184" t="str">
        <f>IF(C78=Charge!$M$1,Charge!$J$1,IF(C78=Charge!$M$23,Charge!$J$23,IF(C78=Charge!$M$17,Charge!$J$17,IF(C78=Charge!$N$17,Charge!$J$17,Charge!$J$7))))</f>
        <v>G2</v>
      </c>
      <c r="C78" s="61" t="str">
        <f>VLOOKUP(A78,'1.Loading'!A:R,14,FALSE)</f>
        <v>LCH06</v>
      </c>
      <c r="D78" s="61" t="str">
        <f>VLOOKUP(A78,'1.Loading'!A:R,17,FALSE)</f>
        <v>HASLS22260901309</v>
      </c>
      <c r="E78" s="62" t="str">
        <f>VLOOKUP(D78,'2.Bookinglist'!A:CT,27,FALSE)</f>
        <v>WHA GC LOGISTICS COMPANY LIMITED</v>
      </c>
      <c r="F78" s="62" t="str">
        <f>VLOOKUP(D78,'2.Bookinglist'!A:CT,28,FALSE)</f>
        <v>PTT GLOBAL CHEMICAL PUBLIC COMPANY LIMITED</v>
      </c>
      <c r="G78" s="60">
        <f>VLOOKUP(D78,'2.Bookinglist'!A:E,5,FALSE)</f>
        <v>0</v>
      </c>
      <c r="H78" s="61" t="str">
        <f>VLOOKUP(D78,'2.Bookinglist'!A:CT,15,FALSE)</f>
        <v>THLCH</v>
      </c>
      <c r="I78" s="61" t="str">
        <f>VLOOKUP(D78,'2.Bookinglist'!A:CT,19,FALSE)</f>
        <v>CNSHA</v>
      </c>
      <c r="J78" s="61">
        <f>VLOOKUP(D78,'2.Bookinglist'!A:CT,26,FALSE)</f>
        <v>0</v>
      </c>
      <c r="K78" s="61" t="str">
        <f>VLOOKUP(A78,'1.Loading'!A:R,5,FALSE)</f>
        <v>45GP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SWVG</v>
      </c>
      <c r="P78" s="61" t="str">
        <f>VLOOKUP(A78,'1.Loading'!A:R,4,FALSE)</f>
        <v>2612N</v>
      </c>
      <c r="Q78" s="61" t="str">
        <f>VLOOKUP(D78,'2.Bookinglist'!A:CT,12,FALSE)</f>
        <v>PCI2</v>
      </c>
      <c r="R78" s="60" t="str">
        <f>IF(LEFT(K78,2)="22","20'","40'")</f>
        <v>40'</v>
      </c>
      <c r="S78" s="185" t="n"/>
      <c r="T78" s="61" t="str">
        <f>VLOOKUP(A78,'1.Loading'!A:R,2,FALSE)</f>
        <v>2026-10-07</v>
      </c>
      <c r="U78" s="63">
        <f>T78-S78</f>
        <v>46302</v>
      </c>
      <c r="V78" s="186" t="n"/>
      <c r="W78" s="61" t="str">
        <f>VLOOKUP(A78,'3.GateMove'!A:D,4,FALSE)</f>
        <v>2026-09-28</v>
      </c>
      <c r="X78" s="63">
        <f>((T78-W78)+1)</f>
        <v>10</v>
      </c>
      <c r="Y78" s="64">
        <f>IF(AND(OR(C78="BKK01",C78="BKK04"),L78="CFS/CY"),0,IF(M78="DG",1,IF(LEFT(C78,3)="LCH",7,IF(C78="BKK02",5,3))))</f>
        <v>7</v>
      </c>
      <c r="Z78" s="63">
        <f>IF(IF(AND(AC78="TML",AB78&gt;0),((T78-W78)+1)-AB78,((T78-W78)+1)-Y78)&gt;0,IF(AND(AC78="TML",AB78&gt;0),((T78-W78)+1)-AB78,((T78-W78)+1)-Y78),0)</f>
        <v>3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750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46303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750</v>
      </c>
      <c r="AJ78" s="188" t="n"/>
      <c r="AK78" s="62" t="str">
        <f>VLOOKUP(D78,'2.Bookinglist'!A:CT,40,FALSE)</f>
        <v>Dharaporn</v>
      </c>
      <c r="AL78" s="60" t="str">
        <f>VLOOKUP(D78,'2.Bookinglist'!A:CW,101,FALSE)</f>
        <v>2026-10-03</v>
      </c>
      <c r="AM78" s="60" t="str">
        <f>VLOOKUP(D78,'2.Bookinglist'!A:BK,63,FALSE)</f>
        <v>LCHY5</v>
      </c>
      <c r="AN78" s="62" t="str">
        <f>VLOOKUP(D78,'2.Bookinglist'!A:AZ,52,FALSE)</f>
        <v>CY-RTN: 23-27/09/2026</v>
      </c>
      <c r="AO78" s="62">
        <f>VLOOKUP(D78,'2.Bookinglist'!A:CY,103,FALSE)</f>
        <v>0</v>
      </c>
    </row>
    <row r="79" ht="12.95" customHeight="1">
      <c r="A79" s="96" t="inlineStr">
        <is>
          <t>SKHU6425048</t>
        </is>
      </c>
      <c r="B79" s="184" t="str">
        <f>IF(C79=Charge!$M$1,Charge!$J$1,IF(C79=Charge!$M$23,Charge!$J$23,IF(C79=Charge!$M$17,Charge!$J$17,IF(C79=Charge!$N$17,Charge!$J$17,Charge!$J$7))))</f>
        <v>G2</v>
      </c>
      <c r="C79" s="61" t="str">
        <f>VLOOKUP(A79,'1.Loading'!A:R,14,FALSE)</f>
        <v>LCH06</v>
      </c>
      <c r="D79" s="61" t="str">
        <f>VLOOKUP(A79,'1.Loading'!A:R,17,FALSE)</f>
        <v>HASLS22260902495</v>
      </c>
      <c r="E79" s="62" t="str">
        <f>VLOOKUP(D79,'2.Bookinglist'!A:CT,27,FALSE)</f>
        <v>SCGJWD LOGISTICS PUBLIC COMPANY LIMITED</v>
      </c>
      <c r="F79" s="62" t="str">
        <f>VLOOKUP(D79,'2.Bookinglist'!A:CT,28,FALSE)</f>
        <v>THAI POLYETHYLENE CO., LTD.</v>
      </c>
      <c r="G79" s="60">
        <f>VLOOKUP(D79,'2.Bookinglist'!A:E,5,FALSE)</f>
        <v>0</v>
      </c>
      <c r="H79" s="61" t="str">
        <f>VLOOKUP(D79,'2.Bookinglist'!A:CT,15,FALSE)</f>
        <v>THLCH</v>
      </c>
      <c r="I79" s="61" t="str">
        <f>VLOOKUP(D79,'2.Bookinglist'!A:CT,19,FALSE)</f>
        <v>CNSHA</v>
      </c>
      <c r="J79" s="61">
        <f>VLOOKUP(D79,'2.Bookinglist'!A:CT,26,FALSE)</f>
        <v>0</v>
      </c>
      <c r="K79" s="61" t="str">
        <f>VLOOKUP(A79,'1.Loading'!A:R,5,FALSE)</f>
        <v>45GP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SWVG</v>
      </c>
      <c r="P79" s="61" t="str">
        <f>VLOOKUP(A79,'1.Loading'!A:R,4,FALSE)</f>
        <v>2612N</v>
      </c>
      <c r="Q79" s="61" t="str">
        <f>VLOOKUP(D79,'2.Bookinglist'!A:CT,12,FALSE)</f>
        <v>PCI2</v>
      </c>
      <c r="R79" s="60" t="str">
        <f>IF(LEFT(K79,2)="22","20'","40'")</f>
        <v>40'</v>
      </c>
      <c r="S79" s="185" t="n"/>
      <c r="T79" s="61" t="str">
        <f>VLOOKUP(A79,'1.Loading'!A:R,2,FALSE)</f>
        <v>2026-10-07</v>
      </c>
      <c r="U79" s="63">
        <f>T79-S79</f>
        <v>46302</v>
      </c>
      <c r="V79" s="186" t="n"/>
      <c r="W79" s="61" t="str">
        <f>VLOOKUP(A79,'3.GateMove'!A:D,4,FALSE)</f>
        <v>2026-10-03</v>
      </c>
      <c r="X79" s="63">
        <f>((T79-W79)+1)</f>
        <v>5</v>
      </c>
      <c r="Y79" s="64">
        <f>IF(AND(OR(C79="BKK01",C79="BKK04"),L79="CFS/CY"),0,IF(M79="DG",1,IF(LEFT(C79,3)="LCH",7,IF(C79="BKK02",5,3))))</f>
        <v>7</v>
      </c>
      <c r="Z79" s="63">
        <f>IF(IF(AND(AC79="TML",AB79&gt;0),((T79-W79)+1)-AB79,((T79-W79)+1)-Y79)&gt;0,IF(AND(AC79="TML",AB79&gt;0),((T79-W79)+1)-AB79,((T79-W79)+1)-Y79),0)</f>
        <v>0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46303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0</v>
      </c>
      <c r="AJ79" s="188" t="n"/>
      <c r="AK79" s="62" t="str">
        <f>VLOOKUP(D79,'2.Bookinglist'!A:CT,40,FALSE)</f>
        <v>Kanokporn</v>
      </c>
      <c r="AL79" s="60" t="str">
        <f>VLOOKUP(D79,'2.Bookinglist'!A:CW,101,FALSE)</f>
        <v>2026-10-07</v>
      </c>
      <c r="AM79" s="60" t="str">
        <f>VLOOKUP(D79,'2.Bookinglist'!A:BK,63,FALSE)</f>
        <v>LCHY5</v>
      </c>
      <c r="AN79" s="62" t="str">
        <f>VLOOKUP(D79,'2.Bookinglist'!A:AZ,52,FALSE)</f>
        <v>CY 30/09/26 , RTN 02/10/26 (INV. 3031061079)</v>
      </c>
      <c r="AO79" s="62">
        <f>VLOOKUP(D79,'2.Bookinglist'!A:CY,103,FALSE)</f>
        <v>0</v>
      </c>
    </row>
    <row r="80" ht="12.95" customHeight="1">
      <c r="A80" s="96" t="inlineStr">
        <is>
          <t>SKHU6442087</t>
        </is>
      </c>
      <c r="B80" s="184" t="str">
        <f>IF(C80=Charge!$M$1,Charge!$J$1,IF(C80=Charge!$M$23,Charge!$J$23,IF(C80=Charge!$M$17,Charge!$J$17,IF(C80=Charge!$N$17,Charge!$J$17,Charge!$J$7))))</f>
        <v>G2</v>
      </c>
      <c r="C80" s="61" t="str">
        <f>VLOOKUP(A80,'1.Loading'!A:R,14,FALSE)</f>
        <v>LCH06</v>
      </c>
      <c r="D80" s="61" t="str">
        <f>VLOOKUP(A80,'1.Loading'!A:R,17,FALSE)</f>
        <v>HASLS22260900441</v>
      </c>
      <c r="E80" s="62" t="str">
        <f>VLOOKUP(D80,'2.Bookinglist'!A:CT,27,FALSE)</f>
        <v>BARKLAYS LOGISTICS (THAILAND) CO., LTD.</v>
      </c>
      <c r="F80" s="62" t="str">
        <f>VLOOKUP(D80,'2.Bookinglist'!A:CT,28,FALSE)</f>
        <v>GOLDEN CRANE (GOLDEN DRAGON) CO.,LTD.</v>
      </c>
      <c r="G80" s="60">
        <f>VLOOKUP(D80,'2.Bookinglist'!A:E,5,FALSE)</f>
        <v>0</v>
      </c>
      <c r="H80" s="61" t="str">
        <f>VLOOKUP(D80,'2.Bookinglist'!A:CT,15,FALSE)</f>
        <v>THLCH</v>
      </c>
      <c r="I80" s="61" t="str">
        <f>VLOOKUP(D80,'2.Bookinglist'!A:CT,19,FALSE)</f>
        <v>CNSHA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SWVG</v>
      </c>
      <c r="P80" s="61" t="str">
        <f>VLOOKUP(A80,'1.Loading'!A:R,4,FALSE)</f>
        <v>2612N</v>
      </c>
      <c r="Q80" s="61" t="str">
        <f>VLOOKUP(D80,'2.Bookinglist'!A:CT,12,FALSE)</f>
        <v>PCI2</v>
      </c>
      <c r="R80" s="60" t="str">
        <f>IF(LEFT(K80,2)="22","20'","40'")</f>
        <v>40'</v>
      </c>
      <c r="S80" s="185" t="n"/>
      <c r="T80" s="61" t="str">
        <f>VLOOKUP(A80,'1.Loading'!A:R,2,FALSE)</f>
        <v>2026-10-07</v>
      </c>
      <c r="U80" s="63">
        <f>T80-S80</f>
        <v>46302</v>
      </c>
      <c r="V80" s="186" t="n"/>
      <c r="W80" s="61" t="str">
        <f>VLOOKUP(A80,'3.GateMove'!A:D,4,FALSE)</f>
        <v>2026-09-19</v>
      </c>
      <c r="X80" s="63">
        <f>((T80-W80)+1)</f>
        <v>19</v>
      </c>
      <c r="Y80" s="64">
        <f>IF(AND(OR(C80="BKK01",C80="BKK04"),L80="CFS/CY"),0,IF(M80="DG",1,IF(LEFT(C80,3)="LCH",7,IF(C80="BKK02",5,3))))</f>
        <v>7</v>
      </c>
      <c r="Z80" s="63">
        <f>IF(IF(AND(AC80="TML",AB80&gt;0),((T80-W80)+1)-AB80,((T80-W80)+1)-Y80)&gt;0,IF(AND(AC80="TML",AB80&gt;0),((T80-W80)+1)-AB80,((T80-W80)+1)-Y80),0)</f>
        <v>12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4250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46303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4250</v>
      </c>
      <c r="AJ80" s="188" t="n"/>
      <c r="AK80" s="62" t="str">
        <f>VLOOKUP(D80,'2.Bookinglist'!A:CT,40,FALSE)</f>
        <v>Nannaapust Sukporntaweewat</v>
      </c>
      <c r="AL80" s="60" t="str">
        <f>VLOOKUP(D80,'2.Bookinglist'!A:CW,101,FALSE)</f>
        <v>2026-10-08</v>
      </c>
      <c r="AM80" s="60" t="str">
        <f>VLOOKUP(D80,'2.Bookinglist'!A:BK,63,FALSE)</f>
        <v>LCHY5</v>
      </c>
      <c r="AN80" s="62" t="str">
        <f>VLOOKUP(D80,'2.Bookinglist'!A:AZ,52,FALSE)</f>
        <v>Pickup : 2026-09-18, Return : 2026-09-19</v>
      </c>
      <c r="AO80" s="62" t="str">
        <f>VLOOKUP(D80,'2.Bookinglist'!A:CY,103,FALSE)</f>
        <v>ROLL OVER FROM PREVIOUS VSL HAB 2611N  BY ALLOCATION TEAM MS.TARN APPROVED COST IS UNDER HA DD.25/09</v>
      </c>
    </row>
    <row r="81" ht="12.95" customHeight="1">
      <c r="A81" s="96" t="inlineStr">
        <is>
          <t>SKHU6445342</t>
        </is>
      </c>
      <c r="B81" s="184" t="str">
        <f>IF(C81=Charge!$M$1,Charge!$J$1,IF(C81=Charge!$M$23,Charge!$J$23,IF(C81=Charge!$M$17,Charge!$J$17,IF(C81=Charge!$N$17,Charge!$J$17,Charge!$J$7))))</f>
        <v>G2</v>
      </c>
      <c r="C81" s="61" t="str">
        <f>VLOOKUP(A81,'1.Loading'!A:R,14,FALSE)</f>
        <v>LCH06</v>
      </c>
      <c r="D81" s="61" t="str">
        <f>VLOOKUP(A81,'1.Loading'!A:R,17,FALSE)</f>
        <v>HASLS22260901668</v>
      </c>
      <c r="E81" s="62" t="str">
        <f>VLOOKUP(D81,'2.Bookinglist'!A:CT,27,FALSE)</f>
        <v>BARKLAYS LOGISTICS (THAILAND) CO., LTD.</v>
      </c>
      <c r="F81" s="62" t="str">
        <f>VLOOKUP(D81,'2.Bookinglist'!A:CT,28,FALSE)</f>
        <v>GOLDEN CRANE (GOLDEN DRAGON) CO.,LTD.</v>
      </c>
      <c r="G81" s="60">
        <f>VLOOKUP(D81,'2.Bookinglist'!A:E,5,FALSE)</f>
        <v>0</v>
      </c>
      <c r="H81" s="61" t="str">
        <f>VLOOKUP(D81,'2.Bookinglist'!A:CT,15,FALSE)</f>
        <v>THLCH</v>
      </c>
      <c r="I81" s="61" t="str">
        <f>VLOOKUP(D81,'2.Bookinglist'!A:CT,19,FALSE)</f>
        <v>CNSHA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SWVG</v>
      </c>
      <c r="P81" s="61" t="str">
        <f>VLOOKUP(A81,'1.Loading'!A:R,4,FALSE)</f>
        <v>2612N</v>
      </c>
      <c r="Q81" s="61" t="str">
        <f>VLOOKUP(D81,'2.Bookinglist'!A:CT,12,FALSE)</f>
        <v>PCI2</v>
      </c>
      <c r="R81" s="60" t="str">
        <f>IF(LEFT(K81,2)="22","20'","40'")</f>
        <v>40'</v>
      </c>
      <c r="S81" s="185" t="n"/>
      <c r="T81" s="61" t="str">
        <f>VLOOKUP(A81,'1.Loading'!A:R,2,FALSE)</f>
        <v>2026-10-07</v>
      </c>
      <c r="U81" s="63">
        <f>T81-S81</f>
        <v>46302</v>
      </c>
      <c r="V81" s="186" t="n"/>
      <c r="W81" s="61" t="str">
        <f>VLOOKUP(A81,'3.GateMove'!A:D,4,FALSE)</f>
        <v>2026-09-20</v>
      </c>
      <c r="X81" s="63">
        <f>((T81-W81)+1)</f>
        <v>18</v>
      </c>
      <c r="Y81" s="64">
        <f>IF(AND(OR(C81="BKK01",C81="BKK04"),L81="CFS/CY"),0,IF(M81="DG",1,IF(LEFT(C81,3)="LCH",7,IF(C81="BKK02",5,3))))</f>
        <v>7</v>
      </c>
      <c r="Z81" s="63">
        <f>IF(IF(AND(AC81="TML",AB81&gt;0),((T81-W81)+1)-AB81,((T81-W81)+1)-Y81)&gt;0,IF(AND(AC81="TML",AB81&gt;0),((T81-W81)+1)-AB81,((T81-W81)+1)-Y81),0)</f>
        <v>11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3750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46303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3750</v>
      </c>
      <c r="AJ81" s="188" t="n"/>
      <c r="AK81" s="62" t="str">
        <f>VLOOKUP(D81,'2.Bookinglist'!A:CT,40,FALSE)</f>
        <v>Nannaapust Sukporntaweewat</v>
      </c>
      <c r="AL81" s="60" t="str">
        <f>VLOOKUP(D81,'2.Bookinglist'!A:CW,101,FALSE)</f>
        <v>2026-10-08</v>
      </c>
      <c r="AM81" s="60" t="str">
        <f>VLOOKUP(D81,'2.Bookinglist'!A:BK,63,FALSE)</f>
        <v>LCHY5</v>
      </c>
      <c r="AN81" s="62" t="str">
        <f>VLOOKUP(D81,'2.Bookinglist'!A:AZ,52,FALSE)</f>
        <v>Pickup : 2026-09-18, Return : 2026-09-19</v>
      </c>
      <c r="AO81" s="62" t="str">
        <f>VLOOKUP(D81,'2.Bookinglist'!A:CY,103,FALSE)</f>
        <v>ROLL OVER FROM PREVIOUS VSL HAB 2611N  BY ALLOCATION TEAM MS.TARN APPROVED COST IS UNDER HA DD.25/09</v>
      </c>
    </row>
    <row r="82" ht="12.95" customHeight="1">
      <c r="A82" s="96" t="inlineStr">
        <is>
          <t>SKHU6445569</t>
        </is>
      </c>
      <c r="B82" s="184" t="str">
        <f>IF(C82=Charge!$M$1,Charge!$J$1,IF(C82=Charge!$M$23,Charge!$J$23,IF(C82=Charge!$M$17,Charge!$J$17,IF(C82=Charge!$N$17,Charge!$J$17,Charge!$J$7))))</f>
        <v>G2</v>
      </c>
      <c r="C82" s="61" t="str">
        <f>VLOOKUP(A82,'1.Loading'!A:R,14,FALSE)</f>
        <v>LCH06</v>
      </c>
      <c r="D82" s="61" t="str">
        <f>VLOOKUP(A82,'1.Loading'!A:R,17,FALSE)</f>
        <v>HASLS22260902494</v>
      </c>
      <c r="E82" s="62" t="str">
        <f>VLOOKUP(D82,'2.Bookinglist'!A:CT,27,FALSE)</f>
        <v>SCGJWD LOGISTICS PUBLIC COMPANY LIMITED</v>
      </c>
      <c r="F82" s="62" t="str">
        <f>VLOOKUP(D82,'2.Bookinglist'!A:CT,28,FALSE)</f>
        <v>THAI POLYETHYLENE CO., LTD.</v>
      </c>
      <c r="G82" s="60">
        <f>VLOOKUP(D82,'2.Bookinglist'!A:E,5,FALSE)</f>
        <v>0</v>
      </c>
      <c r="H82" s="61" t="str">
        <f>VLOOKUP(D82,'2.Bookinglist'!A:CT,15,FALSE)</f>
        <v>THLCH</v>
      </c>
      <c r="I82" s="61" t="str">
        <f>VLOOKUP(D82,'2.Bookinglist'!A:CT,19,FALSE)</f>
        <v>CNSHA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SWVG</v>
      </c>
      <c r="P82" s="61" t="str">
        <f>VLOOKUP(A82,'1.Loading'!A:R,4,FALSE)</f>
        <v>2612N</v>
      </c>
      <c r="Q82" s="61" t="str">
        <f>VLOOKUP(D82,'2.Bookinglist'!A:CT,12,FALSE)</f>
        <v>PCI2</v>
      </c>
      <c r="R82" s="60" t="str">
        <f>IF(LEFT(K82,2)="22","20'","40'")</f>
        <v>40'</v>
      </c>
      <c r="S82" s="185" t="n"/>
      <c r="T82" s="61" t="str">
        <f>VLOOKUP(A82,'1.Loading'!A:R,2,FALSE)</f>
        <v>2026-10-07</v>
      </c>
      <c r="U82" s="63">
        <f>T82-S82</f>
        <v>46302</v>
      </c>
      <c r="V82" s="186" t="n"/>
      <c r="W82" s="61" t="str">
        <f>VLOOKUP(A82,'3.GateMove'!A:D,4,FALSE)</f>
        <v>2026-10-03</v>
      </c>
      <c r="X82" s="63">
        <f>((T82-W82)+1)</f>
        <v>5</v>
      </c>
      <c r="Y82" s="64">
        <f>IF(AND(OR(C82="BKK01",C82="BKK04"),L82="CFS/CY"),0,IF(M82="DG",1,IF(LEFT(C82,3)="LCH",7,IF(C82="BKK02",5,3))))</f>
        <v>7</v>
      </c>
      <c r="Z82" s="63">
        <f>IF(IF(AND(AC82="TML",AB82&gt;0),((T82-W82)+1)-AB82,((T82-W82)+1)-Y82)&gt;0,IF(AND(AC82="TML",AB82&gt;0),((T82-W82)+1)-AB82,((T82-W82)+1)-Y82),0)</f>
        <v>0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46303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0</v>
      </c>
      <c r="AJ82" s="188" t="n"/>
      <c r="AK82" s="62" t="str">
        <f>VLOOKUP(D82,'2.Bookinglist'!A:CT,40,FALSE)</f>
        <v>Kanokporn</v>
      </c>
      <c r="AL82" s="60" t="str">
        <f>VLOOKUP(D82,'2.Bookinglist'!A:CW,101,FALSE)</f>
        <v>2026-10-07</v>
      </c>
      <c r="AM82" s="60" t="str">
        <f>VLOOKUP(D82,'2.Bookinglist'!A:BK,63,FALSE)</f>
        <v>LCHY5</v>
      </c>
      <c r="AN82" s="62" t="str">
        <f>VLOOKUP(D82,'2.Bookinglist'!A:AZ,52,FALSE)</f>
        <v>CY 30/09/26 , RTN 02/10/26 (INV. 3031061556)</v>
      </c>
      <c r="AO82" s="62">
        <f>VLOOKUP(D82,'2.Bookinglist'!A:CY,103,FALSE)</f>
        <v>0</v>
      </c>
    </row>
    <row r="83" ht="12.95" customHeight="1">
      <c r="A83" s="96" t="inlineStr">
        <is>
          <t>SKHU6447880</t>
        </is>
      </c>
      <c r="B83" s="184" t="str">
        <f>IF(C83=Charge!$M$1,Charge!$J$1,IF(C83=Charge!$M$23,Charge!$J$23,IF(C83=Charge!$M$17,Charge!$J$17,IF(C83=Charge!$N$17,Charge!$J$17,Charge!$J$7))))</f>
        <v>G2</v>
      </c>
      <c r="C83" s="61" t="str">
        <f>VLOOKUP(A83,'1.Loading'!A:R,14,FALSE)</f>
        <v>LCH06</v>
      </c>
      <c r="D83" s="61" t="str">
        <f>VLOOKUP(A83,'1.Loading'!A:R,17,FALSE)</f>
        <v>HASLS22260801240</v>
      </c>
      <c r="E83" s="62" t="str">
        <f>VLOOKUP(D83,'2.Bookinglist'!A:CT,27,FALSE)</f>
        <v>WHA GC LOGISTICS COMPANY LIMITED</v>
      </c>
      <c r="F83" s="62" t="str">
        <f>VLOOKUP(D83,'2.Bookinglist'!A:CT,28,FALSE)</f>
        <v>PTT GLOBAL CHEMICAL PUBLIC COMPANY LIMITED</v>
      </c>
      <c r="G83" s="60">
        <f>VLOOKUP(D83,'2.Bookinglist'!A:E,5,FALSE)</f>
        <v>0</v>
      </c>
      <c r="H83" s="61" t="str">
        <f>VLOOKUP(D83,'2.Bookinglist'!A:CT,15,FALSE)</f>
        <v>THLCH</v>
      </c>
      <c r="I83" s="61" t="str">
        <f>VLOOKUP(D83,'2.Bookinglist'!A:CT,19,FALSE)</f>
        <v>CNSHA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SWVG</v>
      </c>
      <c r="P83" s="61" t="str">
        <f>VLOOKUP(A83,'1.Loading'!A:R,4,FALSE)</f>
        <v>2612N</v>
      </c>
      <c r="Q83" s="61" t="str">
        <f>VLOOKUP(D83,'2.Bookinglist'!A:CT,12,FALSE)</f>
        <v>PCI2</v>
      </c>
      <c r="R83" s="60" t="str">
        <f>IF(LEFT(K83,2)="22","20'","40'")</f>
        <v>40'</v>
      </c>
      <c r="S83" s="185" t="n"/>
      <c r="T83" s="61" t="str">
        <f>VLOOKUP(A83,'1.Loading'!A:R,2,FALSE)</f>
        <v>2026-10-07</v>
      </c>
      <c r="U83" s="63">
        <f>T83-S83</f>
        <v>46302</v>
      </c>
      <c r="V83" s="186" t="n"/>
      <c r="W83" s="61" t="str">
        <f>VLOOKUP(A83,'3.GateMove'!A:D,4,FALSE)</f>
        <v>2026-09-27</v>
      </c>
      <c r="X83" s="63">
        <f>((T83-W83)+1)</f>
        <v>11</v>
      </c>
      <c r="Y83" s="64">
        <f>IF(AND(OR(C83="BKK01",C83="BKK04"),L83="CFS/CY"),0,IF(M83="DG",1,IF(LEFT(C83,3)="LCH",7,IF(C83="BKK02",5,3))))</f>
        <v>7</v>
      </c>
      <c r="Z83" s="63">
        <f>IF(IF(AND(AC83="TML",AB83&gt;0),((T83-W83)+1)-AB83,((T83-W83)+1)-Y83)&gt;0,IF(AND(AC83="TML",AB83&gt;0),((T83-W83)+1)-AB83,((T83-W83)+1)-Y83),0)</f>
        <v>4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1000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46303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1000</v>
      </c>
      <c r="AJ83" s="188" t="n"/>
      <c r="AK83" s="62" t="str">
        <f>VLOOKUP(D83,'2.Bookinglist'!A:CT,40,FALSE)</f>
        <v>Dharaporn</v>
      </c>
      <c r="AL83" s="60" t="str">
        <f>VLOOKUP(D83,'2.Bookinglist'!A:CW,101,FALSE)</f>
        <v>2026-10-07</v>
      </c>
      <c r="AM83" s="60" t="str">
        <f>VLOOKUP(D83,'2.Bookinglist'!A:BK,63,FALSE)</f>
        <v>LCH27</v>
      </c>
      <c r="AN83" s="62" t="str">
        <f>VLOOKUP(D83,'2.Bookinglist'!A:AZ,52,FALSE)</f>
        <v>CY-RTN : 22-25/09/2026</v>
      </c>
      <c r="AO83" s="62">
        <f>VLOOKUP(D83,'2.Bookinglist'!A:CY,103,FALSE)</f>
        <v>0</v>
      </c>
    </row>
    <row r="84" ht="12.95" customHeight="1">
      <c r="A84" s="96" t="inlineStr">
        <is>
          <t>SKHU6448927</t>
        </is>
      </c>
      <c r="B84" s="184" t="str">
        <f>IF(C84=Charge!$M$1,Charge!$J$1,IF(C84=Charge!$M$23,Charge!$J$23,IF(C84=Charge!$M$17,Charge!$J$17,IF(C84=Charge!$N$17,Charge!$J$17,Charge!$J$7))))</f>
        <v>G2</v>
      </c>
      <c r="C84" s="61" t="str">
        <f>VLOOKUP(A84,'1.Loading'!A:R,14,FALSE)</f>
        <v>LCH06</v>
      </c>
      <c r="D84" s="61" t="str">
        <f>VLOOKUP(A84,'1.Loading'!A:R,17,FALSE)</f>
        <v>HASLS22260901309</v>
      </c>
      <c r="E84" s="62" t="str">
        <f>VLOOKUP(D84,'2.Bookinglist'!A:CT,27,FALSE)</f>
        <v>WHA GC LOGISTICS COMPANY LIMITED</v>
      </c>
      <c r="F84" s="62" t="str">
        <f>VLOOKUP(D84,'2.Bookinglist'!A:CT,28,FALSE)</f>
        <v>PTT GLOBAL CHEMICAL PUBLIC COMPANY LIMITED</v>
      </c>
      <c r="G84" s="60">
        <f>VLOOKUP(D84,'2.Bookinglist'!A:E,5,FALSE)</f>
        <v>0</v>
      </c>
      <c r="H84" s="61" t="str">
        <f>VLOOKUP(D84,'2.Bookinglist'!A:CT,15,FALSE)</f>
        <v>THLCH</v>
      </c>
      <c r="I84" s="61" t="str">
        <f>VLOOKUP(D84,'2.Bookinglist'!A:CT,19,FALSE)</f>
        <v>CNSHA</v>
      </c>
      <c r="J84" s="61">
        <f>VLOOKUP(D84,'2.Bookinglist'!A:CT,26,FALSE)</f>
        <v>0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SWVG</v>
      </c>
      <c r="P84" s="61" t="str">
        <f>VLOOKUP(A84,'1.Loading'!A:R,4,FALSE)</f>
        <v>2612N</v>
      </c>
      <c r="Q84" s="61" t="str">
        <f>VLOOKUP(D84,'2.Bookinglist'!A:CT,12,FALSE)</f>
        <v>PCI2</v>
      </c>
      <c r="R84" s="60" t="str">
        <f>IF(LEFT(K84,2)="22","20'","40'")</f>
        <v>40'</v>
      </c>
      <c r="S84" s="185" t="n"/>
      <c r="T84" s="61" t="str">
        <f>VLOOKUP(A84,'1.Loading'!A:R,2,FALSE)</f>
        <v>2026-10-07</v>
      </c>
      <c r="U84" s="63">
        <f>T84-S84</f>
        <v>46302</v>
      </c>
      <c r="V84" s="186" t="n"/>
      <c r="W84" s="61" t="str">
        <f>VLOOKUP(A84,'3.GateMove'!A:D,4,FALSE)</f>
        <v>2026-09-28</v>
      </c>
      <c r="X84" s="63">
        <f>((T84-W84)+1)</f>
        <v>10</v>
      </c>
      <c r="Y84" s="64">
        <f>IF(AND(OR(C84="BKK01",C84="BKK04"),L84="CFS/CY"),0,IF(M84="DG",1,IF(LEFT(C84,3)="LCH",7,IF(C84="BKK02",5,3))))</f>
        <v>7</v>
      </c>
      <c r="Z84" s="63">
        <f>IF(IF(AND(AC84="TML",AB84&gt;0),((T84-W84)+1)-AB84,((T84-W84)+1)-Y84)&gt;0,IF(AND(AC84="TML",AB84&gt;0),((T84-W84)+1)-AB84,((T84-W84)+1)-Y84),0)</f>
        <v>3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750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46303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750</v>
      </c>
      <c r="AJ84" s="188" t="n"/>
      <c r="AK84" s="62" t="str">
        <f>VLOOKUP(D84,'2.Bookinglist'!A:CT,40,FALSE)</f>
        <v>Dharaporn</v>
      </c>
      <c r="AL84" s="60" t="str">
        <f>VLOOKUP(D84,'2.Bookinglist'!A:CW,101,FALSE)</f>
        <v>2026-10-03</v>
      </c>
      <c r="AM84" s="60" t="str">
        <f>VLOOKUP(D84,'2.Bookinglist'!A:BK,63,FALSE)</f>
        <v>LCHY5</v>
      </c>
      <c r="AN84" s="62" t="str">
        <f>VLOOKUP(D84,'2.Bookinglist'!A:AZ,52,FALSE)</f>
        <v>CY-RTN: 23-27/09/2026</v>
      </c>
      <c r="AO84" s="62">
        <f>VLOOKUP(D84,'2.Bookinglist'!A:CY,103,FALSE)</f>
        <v>0</v>
      </c>
    </row>
    <row r="85" ht="12.95" customHeight="1">
      <c r="A85" s="96" t="inlineStr">
        <is>
          <t>SKHU6514546</t>
        </is>
      </c>
      <c r="B85" s="184" t="str">
        <f>IF(C85=Charge!$M$1,Charge!$J$1,IF(C85=Charge!$M$23,Charge!$J$23,IF(C85=Charge!$M$17,Charge!$J$17,IF(C85=Charge!$N$17,Charge!$J$17,Charge!$J$7))))</f>
        <v>G2</v>
      </c>
      <c r="C85" s="61" t="str">
        <f>VLOOKUP(A85,'1.Loading'!A:R,14,FALSE)</f>
        <v>LCH06</v>
      </c>
      <c r="D85" s="61" t="str">
        <f>VLOOKUP(A85,'1.Loading'!A:R,17,FALSE)</f>
        <v>HASLS22260902495</v>
      </c>
      <c r="E85" s="62" t="str">
        <f>VLOOKUP(D85,'2.Bookinglist'!A:CT,27,FALSE)</f>
        <v>SCGJWD LOGISTICS PUBLIC COMPANY LIMITED</v>
      </c>
      <c r="F85" s="62" t="str">
        <f>VLOOKUP(D85,'2.Bookinglist'!A:CT,28,FALSE)</f>
        <v>THAI POLYETHYLENE CO., LTD.</v>
      </c>
      <c r="G85" s="60">
        <f>VLOOKUP(D85,'2.Bookinglist'!A:E,5,FALSE)</f>
        <v>0</v>
      </c>
      <c r="H85" s="61" t="str">
        <f>VLOOKUP(D85,'2.Bookinglist'!A:CT,15,FALSE)</f>
        <v>THLCH</v>
      </c>
      <c r="I85" s="61" t="str">
        <f>VLOOKUP(D85,'2.Bookinglist'!A:CT,19,FALSE)</f>
        <v>CNSHA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SWVG</v>
      </c>
      <c r="P85" s="61" t="str">
        <f>VLOOKUP(A85,'1.Loading'!A:R,4,FALSE)</f>
        <v>2612N</v>
      </c>
      <c r="Q85" s="61" t="str">
        <f>VLOOKUP(D85,'2.Bookinglist'!A:CT,12,FALSE)</f>
        <v>PCI2</v>
      </c>
      <c r="R85" s="60" t="str">
        <f>IF(LEFT(K85,2)="22","20'","40'")</f>
        <v>40'</v>
      </c>
      <c r="S85" s="185" t="n"/>
      <c r="T85" s="61" t="str">
        <f>VLOOKUP(A85,'1.Loading'!A:R,2,FALSE)</f>
        <v>2026-10-07</v>
      </c>
      <c r="U85" s="63">
        <f>T85-S85</f>
        <v>46302</v>
      </c>
      <c r="V85" s="186" t="n"/>
      <c r="W85" s="61" t="str">
        <f>VLOOKUP(A85,'3.GateMove'!A:D,4,FALSE)</f>
        <v>2026-10-03</v>
      </c>
      <c r="X85" s="63">
        <f>((T85-W85)+1)</f>
        <v>5</v>
      </c>
      <c r="Y85" s="64">
        <f>IF(AND(OR(C85="BKK01",C85="BKK04"),L85="CFS/CY"),0,IF(M85="DG",1,IF(LEFT(C85,3)="LCH",7,IF(C85="BKK02",5,3))))</f>
        <v>7</v>
      </c>
      <c r="Z85" s="63">
        <f>IF(IF(AND(AC85="TML",AB85&gt;0),((T85-W85)+1)-AB85,((T85-W85)+1)-Y85)&gt;0,IF(AND(AC85="TML",AB85&gt;0),((T85-W85)+1)-AB85,((T85-W85)+1)-Y85),0)</f>
        <v>0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46303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0</v>
      </c>
      <c r="AJ85" s="188" t="n"/>
      <c r="AK85" s="62" t="str">
        <f>VLOOKUP(D85,'2.Bookinglist'!A:CT,40,FALSE)</f>
        <v>Kanokporn</v>
      </c>
      <c r="AL85" s="60" t="str">
        <f>VLOOKUP(D85,'2.Bookinglist'!A:CW,101,FALSE)</f>
        <v>2026-10-07</v>
      </c>
      <c r="AM85" s="60" t="str">
        <f>VLOOKUP(D85,'2.Bookinglist'!A:BK,63,FALSE)</f>
        <v>LCHY5</v>
      </c>
      <c r="AN85" s="62" t="str">
        <f>VLOOKUP(D85,'2.Bookinglist'!A:AZ,52,FALSE)</f>
        <v>CY 30/09/26 , RTN 02/10/26 (INV. 3031061079)</v>
      </c>
      <c r="AO85" s="62">
        <f>VLOOKUP(D85,'2.Bookinglist'!A:CY,103,FALSE)</f>
        <v>0</v>
      </c>
    </row>
    <row r="86" ht="12.95" customHeight="1">
      <c r="A86" s="96" t="inlineStr">
        <is>
          <t>SKHU6519039</t>
        </is>
      </c>
      <c r="B86" s="184" t="str">
        <f>IF(C86=Charge!$M$1,Charge!$J$1,IF(C86=Charge!$M$23,Charge!$J$23,IF(C86=Charge!$M$17,Charge!$J$17,IF(C86=Charge!$N$17,Charge!$J$17,Charge!$J$7))))</f>
        <v>G2</v>
      </c>
      <c r="C86" s="61" t="str">
        <f>VLOOKUP(A86,'1.Loading'!A:R,14,FALSE)</f>
        <v>LCH06</v>
      </c>
      <c r="D86" s="61" t="str">
        <f>VLOOKUP(A86,'1.Loading'!A:R,17,FALSE)</f>
        <v>HASLS22260802388</v>
      </c>
      <c r="E86" s="62" t="str">
        <f>VLOOKUP(D86,'2.Bookinglist'!A:CT,27,FALSE)</f>
        <v>SCGJWD LOGISTICS PUBLIC COMPANY LIMITED</v>
      </c>
      <c r="F86" s="62" t="str">
        <f>VLOOKUP(D86,'2.Bookinglist'!A:CT,28,FALSE)</f>
        <v>THAI POLYETHYLENE CO., LTD.</v>
      </c>
      <c r="G86" s="60">
        <f>VLOOKUP(D86,'2.Bookinglist'!A:E,5,FALSE)</f>
        <v>0</v>
      </c>
      <c r="H86" s="61" t="str">
        <f>VLOOKUP(D86,'2.Bookinglist'!A:CT,15,FALSE)</f>
        <v>THLCH</v>
      </c>
      <c r="I86" s="61" t="str">
        <f>VLOOKUP(D86,'2.Bookinglist'!A:CT,19,FALSE)</f>
        <v>CNSHA</v>
      </c>
      <c r="J86" s="61">
        <f>VLOOKUP(D86,'2.Bookinglist'!A:CT,26,FALSE)</f>
        <v>0</v>
      </c>
      <c r="K86" s="61" t="str">
        <f>VLOOKUP(A86,'1.Loading'!A:R,5,FALSE)</f>
        <v>45GP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SWVG</v>
      </c>
      <c r="P86" s="61" t="str">
        <f>VLOOKUP(A86,'1.Loading'!A:R,4,FALSE)</f>
        <v>2612N</v>
      </c>
      <c r="Q86" s="61" t="str">
        <f>VLOOKUP(D86,'2.Bookinglist'!A:CT,12,FALSE)</f>
        <v>PCI2</v>
      </c>
      <c r="R86" s="60" t="str">
        <f>IF(LEFT(K86,2)="22","20'","40'")</f>
        <v>40'</v>
      </c>
      <c r="S86" s="185" t="n"/>
      <c r="T86" s="61" t="str">
        <f>VLOOKUP(A86,'1.Loading'!A:R,2,FALSE)</f>
        <v>2026-10-07</v>
      </c>
      <c r="U86" s="63">
        <f>T86-S86</f>
        <v>46302</v>
      </c>
      <c r="V86" s="186" t="n"/>
      <c r="W86" s="61" t="str">
        <f>VLOOKUP(A86,'3.GateMove'!A:D,4,FALSE)</f>
        <v>2026-09-25</v>
      </c>
      <c r="X86" s="63">
        <f>((T86-W86)+1)</f>
        <v>13</v>
      </c>
      <c r="Y86" s="64">
        <f>IF(AND(OR(C86="BKK01",C86="BKK04"),L86="CFS/CY"),0,IF(M86="DG",1,IF(LEFT(C86,3)="LCH",7,IF(C86="BKK02",5,3))))</f>
        <v>7</v>
      </c>
      <c r="Z86" s="63">
        <f>IF(IF(AND(AC86="TML",AB86&gt;0),((T86-W86)+1)-AB86,((T86-W86)+1)-Y86)&gt;0,IF(AND(AC86="TML",AB86&gt;0),((T86-W86)+1)-AB86,((T86-W86)+1)-Y86),0)</f>
        <v>6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1500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46303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1500</v>
      </c>
      <c r="AJ86" s="188" t="n"/>
      <c r="AK86" s="62" t="str">
        <f>VLOOKUP(D86,'2.Bookinglist'!A:CT,40,FALSE)</f>
        <v>Kanokporn</v>
      </c>
      <c r="AL86" s="60" t="str">
        <f>VLOOKUP(D86,'2.Bookinglist'!A:CW,101,FALSE)</f>
        <v>2026-09-28</v>
      </c>
      <c r="AM86" s="60" t="str">
        <f>VLOOKUP(D86,'2.Bookinglist'!A:BK,63,FALSE)</f>
        <v>LCHY5</v>
      </c>
      <c r="AN86" s="62" t="str">
        <f>VLOOKUP(D86,'2.Bookinglist'!A:AZ,52,FALSE)</f>
        <v>CY-RTN :18-22/09/2026 *INV :3031060734*
REQ GOOD AND CLEAN CONT., NO OIL, NO RUSTY
</v>
      </c>
      <c r="AO86" s="62">
        <f>VLOOKUP(D86,'2.Bookinglist'!A:CY,103,FALSE)</f>
        <v>0</v>
      </c>
    </row>
    <row r="87" ht="12.95" customHeight="1">
      <c r="A87" s="96" t="inlineStr">
        <is>
          <t>SKHU6525432</t>
        </is>
      </c>
      <c r="B87" s="184" t="str">
        <f>IF(C87=Charge!$M$1,Charge!$J$1,IF(C87=Charge!$M$23,Charge!$J$23,IF(C87=Charge!$M$17,Charge!$J$17,IF(C87=Charge!$N$17,Charge!$J$17,Charge!$J$7))))</f>
        <v>G2</v>
      </c>
      <c r="C87" s="61" t="str">
        <f>VLOOKUP(A87,'1.Loading'!A:R,14,FALSE)</f>
        <v>LCH06</v>
      </c>
      <c r="D87" s="61" t="str">
        <f>VLOOKUP(A87,'1.Loading'!A:R,17,FALSE)</f>
        <v>HASLS22260900441</v>
      </c>
      <c r="E87" s="62" t="str">
        <f>VLOOKUP(D87,'2.Bookinglist'!A:CT,27,FALSE)</f>
        <v>BARKLAYS LOGISTICS (THAILAND) CO., LTD.</v>
      </c>
      <c r="F87" s="62" t="str">
        <f>VLOOKUP(D87,'2.Bookinglist'!A:CT,28,FALSE)</f>
        <v>GOLDEN CRANE (GOLDEN DRAGON) CO.,LTD.</v>
      </c>
      <c r="G87" s="60">
        <f>VLOOKUP(D87,'2.Bookinglist'!A:E,5,FALSE)</f>
        <v>0</v>
      </c>
      <c r="H87" s="61" t="str">
        <f>VLOOKUP(D87,'2.Bookinglist'!A:CT,15,FALSE)</f>
        <v>THLCH</v>
      </c>
      <c r="I87" s="61" t="str">
        <f>VLOOKUP(D87,'2.Bookinglist'!A:CT,19,FALSE)</f>
        <v>CNSHA</v>
      </c>
      <c r="J87" s="61">
        <f>VLOOKUP(D87,'2.Bookinglist'!A:CT,26,FALSE)</f>
        <v>0</v>
      </c>
      <c r="K87" s="61" t="str">
        <f>VLOOKUP(A87,'1.Loading'!A:R,5,FALSE)</f>
        <v>45GP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SWVG</v>
      </c>
      <c r="P87" s="61" t="str">
        <f>VLOOKUP(A87,'1.Loading'!A:R,4,FALSE)</f>
        <v>2612N</v>
      </c>
      <c r="Q87" s="61" t="str">
        <f>VLOOKUP(D87,'2.Bookinglist'!A:CT,12,FALSE)</f>
        <v>PCI2</v>
      </c>
      <c r="R87" s="60" t="str">
        <f>IF(LEFT(K87,2)="22","20'","40'")</f>
        <v>40'</v>
      </c>
      <c r="S87" s="185" t="n"/>
      <c r="T87" s="61" t="str">
        <f>VLOOKUP(A87,'1.Loading'!A:R,2,FALSE)</f>
        <v>2026-10-07</v>
      </c>
      <c r="U87" s="63">
        <f>T87-S87</f>
        <v>46302</v>
      </c>
      <c r="V87" s="186" t="n"/>
      <c r="W87" s="61" t="str">
        <f>VLOOKUP(A87,'3.GateMove'!A:D,4,FALSE)</f>
        <v>2026-09-19</v>
      </c>
      <c r="X87" s="63">
        <f>((T87-W87)+1)</f>
        <v>19</v>
      </c>
      <c r="Y87" s="64">
        <f>IF(AND(OR(C87="BKK01",C87="BKK04"),L87="CFS/CY"),0,IF(M87="DG",1,IF(LEFT(C87,3)="LCH",7,IF(C87="BKK02",5,3))))</f>
        <v>7</v>
      </c>
      <c r="Z87" s="63">
        <f>IF(IF(AND(AC87="TML",AB87&gt;0),((T87-W87)+1)-AB87,((T87-W87)+1)-Y87)&gt;0,IF(AND(AC87="TML",AB87&gt;0),((T87-W87)+1)-AB87,((T87-W87)+1)-Y87),0)</f>
        <v>12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4250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46303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4250</v>
      </c>
      <c r="AJ87" s="188" t="n"/>
      <c r="AK87" s="62" t="str">
        <f>VLOOKUP(D87,'2.Bookinglist'!A:CT,40,FALSE)</f>
        <v>Nannaapust Sukporntaweewat</v>
      </c>
      <c r="AL87" s="60" t="str">
        <f>VLOOKUP(D87,'2.Bookinglist'!A:CW,101,FALSE)</f>
        <v>2026-10-08</v>
      </c>
      <c r="AM87" s="60" t="str">
        <f>VLOOKUP(D87,'2.Bookinglist'!A:BK,63,FALSE)</f>
        <v>LCHY5</v>
      </c>
      <c r="AN87" s="62" t="str">
        <f>VLOOKUP(D87,'2.Bookinglist'!A:AZ,52,FALSE)</f>
        <v>Pickup : 2026-09-18, Return : 2026-09-19</v>
      </c>
      <c r="AO87" s="62" t="str">
        <f>VLOOKUP(D87,'2.Bookinglist'!A:CY,103,FALSE)</f>
        <v>ROLL OVER FROM PREVIOUS VSL HAB 2611N  BY ALLOCATION TEAM MS.TARN APPROVED COST IS UNDER HA DD.25/09</v>
      </c>
    </row>
    <row r="88" ht="12.95" customHeight="1">
      <c r="A88" s="96" t="inlineStr">
        <is>
          <t>SKHU6548654</t>
        </is>
      </c>
      <c r="B88" s="184" t="str">
        <f>IF(C88=Charge!$M$1,Charge!$J$1,IF(C88=Charge!$M$23,Charge!$J$23,IF(C88=Charge!$M$17,Charge!$J$17,IF(C88=Charge!$N$17,Charge!$J$17,Charge!$J$7))))</f>
        <v>G2</v>
      </c>
      <c r="C88" s="61" t="str">
        <f>VLOOKUP(A88,'1.Loading'!A:R,14,FALSE)</f>
        <v>LCH06</v>
      </c>
      <c r="D88" s="61" t="str">
        <f>VLOOKUP(A88,'1.Loading'!A:R,17,FALSE)</f>
        <v>HASLS22260802507</v>
      </c>
      <c r="E88" s="62" t="str">
        <f>VLOOKUP(D88,'2.Bookinglist'!A:CT,27,FALSE)</f>
        <v>WHA GC LOGISTICS COMPANY LIMITED</v>
      </c>
      <c r="F88" s="62" t="str">
        <f>VLOOKUP(D88,'2.Bookinglist'!A:CT,28,FALSE)</f>
        <v>PTT GLOBAL CHEMICAL PUBLIC COMPANY LIMITED</v>
      </c>
      <c r="G88" s="60">
        <f>VLOOKUP(D88,'2.Bookinglist'!A:E,5,FALSE)</f>
        <v>0</v>
      </c>
      <c r="H88" s="61" t="str">
        <f>VLOOKUP(D88,'2.Bookinglist'!A:CT,15,FALSE)</f>
        <v>THLCH</v>
      </c>
      <c r="I88" s="61" t="str">
        <f>VLOOKUP(D88,'2.Bookinglist'!A:CT,19,FALSE)</f>
        <v>CNSHA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>IF(RIGHT(K88,2)="RE","RF","")</f>
        <v/>
      </c>
      <c r="O88" s="61" t="str">
        <f>VLOOKUP(A88,'1.Loading'!A:R,3,FALSE)</f>
        <v>SWVG</v>
      </c>
      <c r="P88" s="61" t="str">
        <f>VLOOKUP(A88,'1.Loading'!A:R,4,FALSE)</f>
        <v>2612N</v>
      </c>
      <c r="Q88" s="61" t="str">
        <f>VLOOKUP(D88,'2.Bookinglist'!A:CT,12,FALSE)</f>
        <v>PCI2</v>
      </c>
      <c r="R88" s="60" t="str">
        <f>IF(LEFT(K88,2)="22","20'","40'")</f>
        <v>40'</v>
      </c>
      <c r="S88" s="185" t="n"/>
      <c r="T88" s="61" t="str">
        <f>VLOOKUP(A88,'1.Loading'!A:R,2,FALSE)</f>
        <v>2026-10-07</v>
      </c>
      <c r="U88" s="63">
        <f>T88-S88</f>
        <v>46302</v>
      </c>
      <c r="V88" s="186" t="n"/>
      <c r="W88" s="61" t="str">
        <f>VLOOKUP(A88,'3.GateMove'!A:D,4,FALSE)</f>
        <v>2026-09-28</v>
      </c>
      <c r="X88" s="63">
        <f>((T88-W88)+1)</f>
        <v>10</v>
      </c>
      <c r="Y88" s="64">
        <f>IF(AND(OR(C88="BKK01",C88="BKK04"),L88="CFS/CY"),0,IF(M88="DG",1,IF(LEFT(C88,3)="LCH",7,IF(C88="BKK02",5,3))))</f>
        <v>7</v>
      </c>
      <c r="Z88" s="63">
        <f>IF(IF(AND(AC88="TML",AB88&gt;0),((T88-W88)+1)-AB88,((T88-W88)+1)-Y88)&gt;0,IF(AND(AC88="TML",AB88&gt;0),((T88-W88)+1)-AB88,((T88-W88)+1)-Y88),0)</f>
        <v>3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750</v>
      </c>
      <c r="AB88" s="184" t="n"/>
      <c r="AC88" s="184" t="n"/>
      <c r="AD88" s="60">
        <f>IF(M88="DG",3,IF(N88="RF",3,5))+IF(AND(LEFT(C88,3)="BKK",N88="RF",Q88="KTS"),1,0)+IF(Q88="KHS",1,0)</f>
        <v>5</v>
      </c>
      <c r="AE88" s="63">
        <f>(T88-V88)+1</f>
        <v>46303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750</v>
      </c>
      <c r="AJ88" s="188" t="n"/>
      <c r="AK88" s="62" t="str">
        <f>VLOOKUP(D88,'2.Bookinglist'!A:CT,40,FALSE)</f>
        <v>Dharaporn</v>
      </c>
      <c r="AL88" s="60" t="str">
        <f>VLOOKUP(D88,'2.Bookinglist'!A:CW,101,FALSE)</f>
        <v>2026-10-07</v>
      </c>
      <c r="AM88" s="60" t="str">
        <f>VLOOKUP(D88,'2.Bookinglist'!A:BK,63,FALSE)</f>
        <v>LCHY5</v>
      </c>
      <c r="AN88" s="62" t="str">
        <f>VLOOKUP(D88,'2.Bookinglist'!A:AZ,52,FALSE)</f>
        <v>CY -RTN DD.21/09 -27/09/2026 /CHECK OPEN GATE BEFORE RETURN CNTR </v>
      </c>
      <c r="AO88" s="62">
        <f>VLOOKUP(D88,'2.Bookinglist'!A:CY,103,FALSE)</f>
        <v>0</v>
      </c>
    </row>
    <row r="89" ht="12.95" customHeight="1">
      <c r="A89" s="96" t="inlineStr">
        <is>
          <t>SKHU6559010</t>
        </is>
      </c>
      <c r="B89" s="184" t="str">
        <f>IF(C89=Charge!$M$1,Charge!$J$1,IF(C89=Charge!$M$23,Charge!$J$23,IF(C89=Charge!$M$17,Charge!$J$17,IF(C89=Charge!$N$17,Charge!$J$17,Charge!$J$7))))</f>
        <v>G2</v>
      </c>
      <c r="C89" s="61" t="str">
        <f>VLOOKUP(A89,'1.Loading'!A:R,14,FALSE)</f>
        <v>LCH06</v>
      </c>
      <c r="D89" s="61" t="str">
        <f>VLOOKUP(A89,'1.Loading'!A:R,17,FALSE)</f>
        <v>HASLS22260901668</v>
      </c>
      <c r="E89" s="62" t="str">
        <f>VLOOKUP(D89,'2.Bookinglist'!A:CT,27,FALSE)</f>
        <v>BARKLAYS LOGISTICS (THAILAND) CO., LTD.</v>
      </c>
      <c r="F89" s="62" t="str">
        <f>VLOOKUP(D89,'2.Bookinglist'!A:CT,28,FALSE)</f>
        <v>GOLDEN CRANE (GOLDEN DRAGON) CO.,LTD.</v>
      </c>
      <c r="G89" s="60">
        <f>VLOOKUP(D89,'2.Bookinglist'!A:E,5,FALSE)</f>
        <v>0</v>
      </c>
      <c r="H89" s="61" t="str">
        <f>VLOOKUP(D89,'2.Bookinglist'!A:CT,15,FALSE)</f>
        <v>THLCH</v>
      </c>
      <c r="I89" s="61" t="str">
        <f>VLOOKUP(D89,'2.Bookinglist'!A:CT,19,FALSE)</f>
        <v>CNSHA</v>
      </c>
      <c r="J89" s="61">
        <f>VLOOKUP(D89,'2.Bookinglist'!A:CT,26,FALSE)</f>
        <v>0</v>
      </c>
      <c r="K89" s="61" t="str">
        <f>VLOOKUP(A89,'1.Loading'!A:R,5,FALSE)</f>
        <v>45GP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SWVG</v>
      </c>
      <c r="P89" s="61" t="str">
        <f>VLOOKUP(A89,'1.Loading'!A:R,4,FALSE)</f>
        <v>2612N</v>
      </c>
      <c r="Q89" s="61" t="str">
        <f>VLOOKUP(D89,'2.Bookinglist'!A:CT,12,FALSE)</f>
        <v>PCI2</v>
      </c>
      <c r="R89" s="60" t="str">
        <f>IF(LEFT(K89,2)="22","20'","40'")</f>
        <v>40'</v>
      </c>
      <c r="S89" s="185" t="n"/>
      <c r="T89" s="61" t="str">
        <f>VLOOKUP(A89,'1.Loading'!A:R,2,FALSE)</f>
        <v>2026-10-07</v>
      </c>
      <c r="U89" s="63">
        <f>T89-S89</f>
        <v>46302</v>
      </c>
      <c r="V89" s="186" t="n"/>
      <c r="W89" s="61" t="str">
        <f>VLOOKUP(A89,'3.GateMove'!A:D,4,FALSE)</f>
        <v>2026-09-20</v>
      </c>
      <c r="X89" s="63">
        <f>((T89-W89)+1)</f>
        <v>18</v>
      </c>
      <c r="Y89" s="64">
        <f>IF(AND(OR(C89="BKK01",C89="BKK04"),L89="CFS/CY"),0,IF(M89="DG",1,IF(LEFT(C89,3)="LCH",7,IF(C89="BKK02",5,3))))</f>
        <v>7</v>
      </c>
      <c r="Z89" s="63">
        <f>IF(IF(AND(AC89="TML",AB89&gt;0),((T89-W89)+1)-AB89,((T89-W89)+1)-Y89)&gt;0,IF(AND(AC89="TML",AB89&gt;0),((T89-W89)+1)-AB89,((T89-W89)+1)-Y89),0)</f>
        <v>11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3750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46303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3750</v>
      </c>
      <c r="AJ89" s="188" t="n"/>
      <c r="AK89" s="62" t="str">
        <f>VLOOKUP(D89,'2.Bookinglist'!A:CT,40,FALSE)</f>
        <v>Nannaapust Sukporntaweewat</v>
      </c>
      <c r="AL89" s="60" t="str">
        <f>VLOOKUP(D89,'2.Bookinglist'!A:CW,101,FALSE)</f>
        <v>2026-10-08</v>
      </c>
      <c r="AM89" s="60" t="str">
        <f>VLOOKUP(D89,'2.Bookinglist'!A:BK,63,FALSE)</f>
        <v>LCHY5</v>
      </c>
      <c r="AN89" s="62" t="str">
        <f>VLOOKUP(D89,'2.Bookinglist'!A:AZ,52,FALSE)</f>
        <v>Pickup : 2026-09-18, Return : 2026-09-19</v>
      </c>
      <c r="AO89" s="62" t="str">
        <f>VLOOKUP(D89,'2.Bookinglist'!A:CY,103,FALSE)</f>
        <v>ROLL OVER FROM PREVIOUS VSL HAB 2611N  BY ALLOCATION TEAM MS.TARN APPROVED COST IS UNDER HA DD.25/09</v>
      </c>
    </row>
    <row r="90" ht="12.95" customHeight="1">
      <c r="A90" s="96" t="inlineStr">
        <is>
          <t>SKHU6565142</t>
        </is>
      </c>
      <c r="B90" s="184" t="str">
        <f>IF(C90=Charge!$M$1,Charge!$J$1,IF(C90=Charge!$M$23,Charge!$J$23,IF(C90=Charge!$M$17,Charge!$J$17,IF(C90=Charge!$N$17,Charge!$J$17,Charge!$J$7))))</f>
        <v>G2</v>
      </c>
      <c r="C90" s="61" t="str">
        <f>VLOOKUP(A90,'1.Loading'!A:R,14,FALSE)</f>
        <v>LCH06</v>
      </c>
      <c r="D90" s="61" t="str">
        <f>VLOOKUP(A90,'1.Loading'!A:R,17,FALSE)</f>
        <v>HASLS22260801240</v>
      </c>
      <c r="E90" s="62" t="str">
        <f>VLOOKUP(D90,'2.Bookinglist'!A:CT,27,FALSE)</f>
        <v>WHA GC LOGISTICS COMPANY LIMITED</v>
      </c>
      <c r="F90" s="62" t="str">
        <f>VLOOKUP(D90,'2.Bookinglist'!A:CT,28,FALSE)</f>
        <v>PTT GLOBAL CHEMICAL PUBLIC COMPANY LIMITED</v>
      </c>
      <c r="G90" s="60">
        <f>VLOOKUP(D90,'2.Bookinglist'!A:E,5,FALSE)</f>
        <v>0</v>
      </c>
      <c r="H90" s="61" t="str">
        <f>VLOOKUP(D90,'2.Bookinglist'!A:CT,15,FALSE)</f>
        <v>THLCH</v>
      </c>
      <c r="I90" s="61" t="str">
        <f>VLOOKUP(D90,'2.Bookinglist'!A:CT,19,FALSE)</f>
        <v>CNSHA</v>
      </c>
      <c r="J90" s="61">
        <f>VLOOKUP(D90,'2.Bookinglist'!A:CT,26,FALSE)</f>
        <v>0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SWVG</v>
      </c>
      <c r="P90" s="61" t="str">
        <f>VLOOKUP(A90,'1.Loading'!A:R,4,FALSE)</f>
        <v>2612N</v>
      </c>
      <c r="Q90" s="61" t="str">
        <f>VLOOKUP(D90,'2.Bookinglist'!A:CT,12,FALSE)</f>
        <v>PCI2</v>
      </c>
      <c r="R90" s="60" t="str">
        <f>IF(LEFT(K90,2)="22","20'","40'")</f>
        <v>40'</v>
      </c>
      <c r="S90" s="185" t="n"/>
      <c r="T90" s="61" t="str">
        <f>VLOOKUP(A90,'1.Loading'!A:R,2,FALSE)</f>
        <v>2026-10-07</v>
      </c>
      <c r="U90" s="63">
        <f>T90-S90</f>
        <v>46302</v>
      </c>
      <c r="V90" s="186" t="n"/>
      <c r="W90" s="61" t="str">
        <f>VLOOKUP(A90,'3.GateMove'!A:D,4,FALSE)</f>
        <v>2026-09-27</v>
      </c>
      <c r="X90" s="63">
        <f>((T90-W90)+1)</f>
        <v>11</v>
      </c>
      <c r="Y90" s="64">
        <f>IF(AND(OR(C90="BKK01",C90="BKK04"),L90="CFS/CY"),0,IF(M90="DG",1,IF(LEFT(C90,3)="LCH",7,IF(C90="BKK02",5,3))))</f>
        <v>7</v>
      </c>
      <c r="Z90" s="63">
        <f>IF(IF(AND(AC90="TML",AB90&gt;0),((T90-W90)+1)-AB90,((T90-W90)+1)-Y90)&gt;0,IF(AND(AC90="TML",AB90&gt;0),((T90-W90)+1)-AB90,((T90-W90)+1)-Y90),0)</f>
        <v>4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1000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46303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1000</v>
      </c>
      <c r="AJ90" s="188" t="n"/>
      <c r="AK90" s="62" t="str">
        <f>VLOOKUP(D90,'2.Bookinglist'!A:CT,40,FALSE)</f>
        <v>Dharaporn</v>
      </c>
      <c r="AL90" s="60" t="str">
        <f>VLOOKUP(D90,'2.Bookinglist'!A:CW,101,FALSE)</f>
        <v>2026-10-07</v>
      </c>
      <c r="AM90" s="60" t="str">
        <f>VLOOKUP(D90,'2.Bookinglist'!A:BK,63,FALSE)</f>
        <v>LCH27</v>
      </c>
      <c r="AN90" s="62" t="str">
        <f>VLOOKUP(D90,'2.Bookinglist'!A:AZ,52,FALSE)</f>
        <v>CY-RTN : 22-25/09/2026</v>
      </c>
      <c r="AO90" s="62">
        <f>VLOOKUP(D90,'2.Bookinglist'!A:CY,103,FALSE)</f>
        <v>0</v>
      </c>
    </row>
    <row r="91" ht="12.95" customHeight="1">
      <c r="A91" s="96" t="inlineStr">
        <is>
          <t>SKHU6591748</t>
        </is>
      </c>
      <c r="B91" s="184" t="str">
        <f>IF(C91=Charge!$M$1,Charge!$J$1,IF(C91=Charge!$M$23,Charge!$J$23,IF(C91=Charge!$M$17,Charge!$J$17,IF(C91=Charge!$N$17,Charge!$J$17,Charge!$J$7))))</f>
        <v>G2</v>
      </c>
      <c r="C91" s="61" t="str">
        <f>VLOOKUP(A91,'1.Loading'!A:R,14,FALSE)</f>
        <v>LCH06</v>
      </c>
      <c r="D91" s="61" t="str">
        <f>VLOOKUP(A91,'1.Loading'!A:R,17,FALSE)</f>
        <v>HASLS22260900441</v>
      </c>
      <c r="E91" s="62" t="str">
        <f>VLOOKUP(D91,'2.Bookinglist'!A:CT,27,FALSE)</f>
        <v>BARKLAYS LOGISTICS (THAILAND) CO., LTD.</v>
      </c>
      <c r="F91" s="62" t="str">
        <f>VLOOKUP(D91,'2.Bookinglist'!A:CT,28,FALSE)</f>
        <v>GOLDEN CRANE (GOLDEN DRAGON) CO.,LTD.</v>
      </c>
      <c r="G91" s="60">
        <f>VLOOKUP(D91,'2.Bookinglist'!A:E,5,FALSE)</f>
        <v>0</v>
      </c>
      <c r="H91" s="61" t="str">
        <f>VLOOKUP(D91,'2.Bookinglist'!A:CT,15,FALSE)</f>
        <v>THLCH</v>
      </c>
      <c r="I91" s="61" t="str">
        <f>VLOOKUP(D91,'2.Bookinglist'!A:CT,19,FALSE)</f>
        <v>CNSHA</v>
      </c>
      <c r="J91" s="61">
        <f>VLOOKUP(D91,'2.Bookinglist'!A:CT,26,FALSE)</f>
        <v>0</v>
      </c>
      <c r="K91" s="61" t="str">
        <f>VLOOKUP(A91,'1.Loading'!A:R,5,FALSE)</f>
        <v>45GP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SWVG</v>
      </c>
      <c r="P91" s="61" t="str">
        <f>VLOOKUP(A91,'1.Loading'!A:R,4,FALSE)</f>
        <v>2612N</v>
      </c>
      <c r="Q91" s="61" t="str">
        <f>VLOOKUP(D91,'2.Bookinglist'!A:CT,12,FALSE)</f>
        <v>PCI2</v>
      </c>
      <c r="R91" s="60" t="str">
        <f>IF(LEFT(K91,2)="22","20'","40'")</f>
        <v>40'</v>
      </c>
      <c r="S91" s="185" t="n"/>
      <c r="T91" s="61" t="str">
        <f>VLOOKUP(A91,'1.Loading'!A:R,2,FALSE)</f>
        <v>2026-10-07</v>
      </c>
      <c r="U91" s="63">
        <f>T91-S91</f>
        <v>46302</v>
      </c>
      <c r="V91" s="186" t="n"/>
      <c r="W91" s="61" t="str">
        <f>VLOOKUP(A91,'3.GateMove'!A:D,4,FALSE)</f>
        <v>2026-09-19</v>
      </c>
      <c r="X91" s="63">
        <f>((T91-W91)+1)</f>
        <v>19</v>
      </c>
      <c r="Y91" s="64">
        <f>IF(AND(OR(C91="BKK01",C91="BKK04"),L91="CFS/CY"),0,IF(M91="DG",1,IF(LEFT(C91,3)="LCH",7,IF(C91="BKK02",5,3))))</f>
        <v>7</v>
      </c>
      <c r="Z91" s="63">
        <f>IF(IF(AND(AC91="TML",AB91&gt;0),((T91-W91)+1)-AB91,((T91-W91)+1)-Y91)&gt;0,IF(AND(AC91="TML",AB91&gt;0),((T91-W91)+1)-AB91,((T91-W91)+1)-Y91),0)</f>
        <v>12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4250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46303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4250</v>
      </c>
      <c r="AJ91" s="188" t="n"/>
      <c r="AK91" s="62" t="str">
        <f>VLOOKUP(D91,'2.Bookinglist'!A:CT,40,FALSE)</f>
        <v>Nannaapust Sukporntaweewat</v>
      </c>
      <c r="AL91" s="60" t="str">
        <f>VLOOKUP(D91,'2.Bookinglist'!A:CW,101,FALSE)</f>
        <v>2026-10-08</v>
      </c>
      <c r="AM91" s="60" t="str">
        <f>VLOOKUP(D91,'2.Bookinglist'!A:BK,63,FALSE)</f>
        <v>LCHY5</v>
      </c>
      <c r="AN91" s="62" t="str">
        <f>VLOOKUP(D91,'2.Bookinglist'!A:AZ,52,FALSE)</f>
        <v>Pickup : 2026-09-18, Return : 2026-09-19</v>
      </c>
      <c r="AO91" s="62" t="str">
        <f>VLOOKUP(D91,'2.Bookinglist'!A:CY,103,FALSE)</f>
        <v>ROLL OVER FROM PREVIOUS VSL HAB 2611N  BY ALLOCATION TEAM MS.TARN APPROVED COST IS UNDER HA DD.25/09</v>
      </c>
    </row>
    <row r="92" ht="12.95" customHeight="1">
      <c r="A92" s="96" t="inlineStr">
        <is>
          <t>SKHU6596251</t>
        </is>
      </c>
      <c r="B92" s="184" t="str">
        <f>IF(C92=Charge!$M$1,Charge!$J$1,IF(C92=Charge!$M$23,Charge!$J$23,IF(C92=Charge!$M$17,Charge!$J$17,IF(C92=Charge!$N$17,Charge!$J$17,Charge!$J$7))))</f>
        <v>G2</v>
      </c>
      <c r="C92" s="61" t="str">
        <f>VLOOKUP(A92,'1.Loading'!A:R,14,FALSE)</f>
        <v>LCH06</v>
      </c>
      <c r="D92" s="61" t="str">
        <f>VLOOKUP(A92,'1.Loading'!A:R,17,FALSE)</f>
        <v>HASLS22260901668</v>
      </c>
      <c r="E92" s="62" t="str">
        <f>VLOOKUP(D92,'2.Bookinglist'!A:CT,27,FALSE)</f>
        <v>BARKLAYS LOGISTICS (THAILAND) CO., LTD.</v>
      </c>
      <c r="F92" s="62" t="str">
        <f>VLOOKUP(D92,'2.Bookinglist'!A:CT,28,FALSE)</f>
        <v>GOLDEN CRANE (GOLDEN DRAGON) CO.,LTD.</v>
      </c>
      <c r="G92" s="60">
        <f>VLOOKUP(D92,'2.Bookinglist'!A:E,5,FALSE)</f>
        <v>0</v>
      </c>
      <c r="H92" s="61" t="str">
        <f>VLOOKUP(D92,'2.Bookinglist'!A:CT,15,FALSE)</f>
        <v>THLCH</v>
      </c>
      <c r="I92" s="61" t="str">
        <f>VLOOKUP(D92,'2.Bookinglist'!A:CT,19,FALSE)</f>
        <v>CNSHA</v>
      </c>
      <c r="J92" s="61">
        <f>VLOOKUP(D92,'2.Bookinglist'!A:CT,26,FALSE)</f>
        <v>0</v>
      </c>
      <c r="K92" s="61" t="str">
        <f>VLOOKUP(A92,'1.Loading'!A:R,5,FALSE)</f>
        <v>45GP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>IF(RIGHT(K92,2)="RE","RF","")</f>
        <v/>
      </c>
      <c r="O92" s="61" t="str">
        <f>VLOOKUP(A92,'1.Loading'!A:R,3,FALSE)</f>
        <v>SWVG</v>
      </c>
      <c r="P92" s="61" t="str">
        <f>VLOOKUP(A92,'1.Loading'!A:R,4,FALSE)</f>
        <v>2612N</v>
      </c>
      <c r="Q92" s="61" t="str">
        <f>VLOOKUP(D92,'2.Bookinglist'!A:CT,12,FALSE)</f>
        <v>PCI2</v>
      </c>
      <c r="R92" s="60" t="str">
        <f>IF(LEFT(K92,2)="22","20'","40'")</f>
        <v>40'</v>
      </c>
      <c r="S92" s="185" t="n"/>
      <c r="T92" s="61" t="str">
        <f>VLOOKUP(A92,'1.Loading'!A:R,2,FALSE)</f>
        <v>2026-10-07</v>
      </c>
      <c r="U92" s="63">
        <f>T92-S92</f>
        <v>46302</v>
      </c>
      <c r="V92" s="186" t="n"/>
      <c r="W92" s="61" t="str">
        <f>VLOOKUP(A92,'3.GateMove'!A:D,4,FALSE)</f>
        <v>2026-09-19</v>
      </c>
      <c r="X92" s="63">
        <f>((T92-W92)+1)</f>
        <v>19</v>
      </c>
      <c r="Y92" s="64">
        <f>IF(AND(OR(C92="BKK01",C92="BKK04"),L92="CFS/CY"),0,IF(M92="DG",1,IF(LEFT(C92,3)="LCH",7,IF(C92="BKK02",5,3))))</f>
        <v>7</v>
      </c>
      <c r="Z92" s="63">
        <f>IF(IF(AND(AC92="TML",AB92&gt;0),((T92-W92)+1)-AB92,((T92-W92)+1)-Y92)&gt;0,IF(AND(AC92="TML",AB92&gt;0),((T92-W92)+1)-AB92,((T92-W92)+1)-Y92),0)</f>
        <v>12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4250</v>
      </c>
      <c r="AB92" s="184" t="n"/>
      <c r="AC92" s="184" t="n"/>
      <c r="AD92" s="60">
        <f>IF(M92="DG",3,IF(N92="RF",3,5))+IF(AND(LEFT(C92,3)="BKK",N92="RF",Q92="KTS"),1,0)+IF(Q92="KHS",1,0)</f>
        <v>5</v>
      </c>
      <c r="AE92" s="63">
        <f>(T92-V92)+1</f>
        <v>46303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4250</v>
      </c>
      <c r="AJ92" s="188" t="n"/>
      <c r="AK92" s="62" t="str">
        <f>VLOOKUP(D92,'2.Bookinglist'!A:CT,40,FALSE)</f>
        <v>Nannaapust Sukporntaweewat</v>
      </c>
      <c r="AL92" s="60" t="str">
        <f>VLOOKUP(D92,'2.Bookinglist'!A:CW,101,FALSE)</f>
        <v>2026-10-08</v>
      </c>
      <c r="AM92" s="60" t="str">
        <f>VLOOKUP(D92,'2.Bookinglist'!A:BK,63,FALSE)</f>
        <v>LCHY5</v>
      </c>
      <c r="AN92" s="62" t="str">
        <f>VLOOKUP(D92,'2.Bookinglist'!A:AZ,52,FALSE)</f>
        <v>Pickup : 2026-09-18, Return : 2026-09-19</v>
      </c>
      <c r="AO92" s="62" t="str">
        <f>VLOOKUP(D92,'2.Bookinglist'!A:CY,103,FALSE)</f>
        <v>ROLL OVER FROM PREVIOUS VSL HAB 2611N  BY ALLOCATION TEAM MS.TARN APPROVED COST IS UNDER HA DD.25/09</v>
      </c>
    </row>
    <row r="93" ht="12.95" customHeight="1">
      <c r="A93" s="96" t="inlineStr">
        <is>
          <t>SKHU6621673</t>
        </is>
      </c>
      <c r="B93" s="184" t="str">
        <f>IF(C93=Charge!$M$1,Charge!$J$1,IF(C93=Charge!$M$23,Charge!$J$23,IF(C93=Charge!$M$17,Charge!$J$17,IF(C93=Charge!$N$17,Charge!$J$17,Charge!$J$7))))</f>
        <v>G2</v>
      </c>
      <c r="C93" s="61" t="str">
        <f>VLOOKUP(A93,'1.Loading'!A:R,14,FALSE)</f>
        <v>LCH06</v>
      </c>
      <c r="D93" s="61" t="str">
        <f>VLOOKUP(A93,'1.Loading'!A:R,17,FALSE)</f>
        <v>HASLS22260902495</v>
      </c>
      <c r="E93" s="62" t="str">
        <f>VLOOKUP(D93,'2.Bookinglist'!A:CT,27,FALSE)</f>
        <v>SCGJWD LOGISTICS PUBLIC COMPANY LIMITED</v>
      </c>
      <c r="F93" s="62" t="str">
        <f>VLOOKUP(D93,'2.Bookinglist'!A:CT,28,FALSE)</f>
        <v>THAI POLYETHYLENE CO., LTD.</v>
      </c>
      <c r="G93" s="60">
        <f>VLOOKUP(D93,'2.Bookinglist'!A:E,5,FALSE)</f>
        <v>0</v>
      </c>
      <c r="H93" s="61" t="str">
        <f>VLOOKUP(D93,'2.Bookinglist'!A:CT,15,FALSE)</f>
        <v>THLCH</v>
      </c>
      <c r="I93" s="61" t="str">
        <f>VLOOKUP(D93,'2.Bookinglist'!A:CT,19,FALSE)</f>
        <v>CNSHA</v>
      </c>
      <c r="J93" s="61">
        <f>VLOOKUP(D93,'2.Bookinglist'!A:CT,26,FALSE)</f>
        <v>0</v>
      </c>
      <c r="K93" s="61" t="str">
        <f>VLOOKUP(A93,'1.Loading'!A:R,5,FALSE)</f>
        <v>45GP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SWVG</v>
      </c>
      <c r="P93" s="61" t="str">
        <f>VLOOKUP(A93,'1.Loading'!A:R,4,FALSE)</f>
        <v>2612N</v>
      </c>
      <c r="Q93" s="61" t="str">
        <f>VLOOKUP(D93,'2.Bookinglist'!A:CT,12,FALSE)</f>
        <v>PCI2</v>
      </c>
      <c r="R93" s="60" t="str">
        <f>IF(LEFT(K93,2)="22","20'","40'")</f>
        <v>40'</v>
      </c>
      <c r="S93" s="185" t="n"/>
      <c r="T93" s="61" t="str">
        <f>VLOOKUP(A93,'1.Loading'!A:R,2,FALSE)</f>
        <v>2026-10-07</v>
      </c>
      <c r="U93" s="63">
        <f>T93-S93</f>
        <v>46302</v>
      </c>
      <c r="V93" s="186" t="n"/>
      <c r="W93" s="61" t="str">
        <f>VLOOKUP(A93,'3.GateMove'!A:D,4,FALSE)</f>
        <v>2026-10-03</v>
      </c>
      <c r="X93" s="63">
        <f>((T93-W93)+1)</f>
        <v>5</v>
      </c>
      <c r="Y93" s="64">
        <f>IF(AND(OR(C93="BKK01",C93="BKK04"),L93="CFS/CY"),0,IF(M93="DG",1,IF(LEFT(C93,3)="LCH",7,IF(C93="BKK02",5,3))))</f>
        <v>7</v>
      </c>
      <c r="Z93" s="63">
        <f>IF(IF(AND(AC93="TML",AB93&gt;0),((T93-W93)+1)-AB93,((T93-W93)+1)-Y93)&gt;0,IF(AND(AC93="TML",AB93&gt;0),((T93-W93)+1)-AB93,((T93-W93)+1)-Y93),0)</f>
        <v>0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0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46303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0</v>
      </c>
      <c r="AJ93" s="188" t="n"/>
      <c r="AK93" s="62" t="str">
        <f>VLOOKUP(D93,'2.Bookinglist'!A:CT,40,FALSE)</f>
        <v>Kanokporn</v>
      </c>
      <c r="AL93" s="60" t="str">
        <f>VLOOKUP(D93,'2.Bookinglist'!A:CW,101,FALSE)</f>
        <v>2026-10-07</v>
      </c>
      <c r="AM93" s="60" t="str">
        <f>VLOOKUP(D93,'2.Bookinglist'!A:BK,63,FALSE)</f>
        <v>LCHY5</v>
      </c>
      <c r="AN93" s="62" t="str">
        <f>VLOOKUP(D93,'2.Bookinglist'!A:AZ,52,FALSE)</f>
        <v>CY 30/09/26 , RTN 02/10/26 (INV. 3031061079)</v>
      </c>
      <c r="AO93" s="62">
        <f>VLOOKUP(D93,'2.Bookinglist'!A:CY,103,FALSE)</f>
        <v>0</v>
      </c>
    </row>
    <row r="94" ht="12.95" customHeight="1">
      <c r="A94" s="96" t="inlineStr">
        <is>
          <t>SKHU8418496</t>
        </is>
      </c>
      <c r="B94" s="184" t="str">
        <f>IF(C94=Charge!$M$1,Charge!$J$1,IF(C94=Charge!$M$23,Charge!$J$23,IF(C94=Charge!$M$17,Charge!$J$17,IF(C94=Charge!$N$17,Charge!$J$17,Charge!$J$7))))</f>
        <v>G2</v>
      </c>
      <c r="C94" s="61" t="str">
        <f>VLOOKUP(A94,'1.Loading'!A:R,14,FALSE)</f>
        <v>LCH06</v>
      </c>
      <c r="D94" s="61" t="str">
        <f>VLOOKUP(A94,'1.Loading'!A:R,17,FALSE)</f>
        <v>HASLS22260901668</v>
      </c>
      <c r="E94" s="62" t="str">
        <f>VLOOKUP(D94,'2.Bookinglist'!A:CT,27,FALSE)</f>
        <v>BARKLAYS LOGISTICS (THAILAND) CO., LTD.</v>
      </c>
      <c r="F94" s="62" t="str">
        <f>VLOOKUP(D94,'2.Bookinglist'!A:CT,28,FALSE)</f>
        <v>GOLDEN CRANE (GOLDEN DRAGON) CO.,LTD.</v>
      </c>
      <c r="G94" s="60">
        <f>VLOOKUP(D94,'2.Bookinglist'!A:E,5,FALSE)</f>
        <v>0</v>
      </c>
      <c r="H94" s="61" t="str">
        <f>VLOOKUP(D94,'2.Bookinglist'!A:CT,15,FALSE)</f>
        <v>THLCH</v>
      </c>
      <c r="I94" s="61" t="str">
        <f>VLOOKUP(D94,'2.Bookinglist'!A:CT,19,FALSE)</f>
        <v>CNSHA</v>
      </c>
      <c r="J94" s="61">
        <f>VLOOKUP(D94,'2.Bookinglist'!A:CT,26,FALSE)</f>
        <v>0</v>
      </c>
      <c r="K94" s="61" t="str">
        <f>VLOOKUP(A94,'1.Loading'!A:R,5,FALSE)</f>
        <v>45GP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SWVG</v>
      </c>
      <c r="P94" s="61" t="str">
        <f>VLOOKUP(A94,'1.Loading'!A:R,4,FALSE)</f>
        <v>2612N</v>
      </c>
      <c r="Q94" s="61" t="str">
        <f>VLOOKUP(D94,'2.Bookinglist'!A:CT,12,FALSE)</f>
        <v>PCI2</v>
      </c>
      <c r="R94" s="60" t="str">
        <f>IF(LEFT(K94,2)="22","20'","40'")</f>
        <v>40'</v>
      </c>
      <c r="S94" s="185" t="n"/>
      <c r="T94" s="61" t="str">
        <f>VLOOKUP(A94,'1.Loading'!A:R,2,FALSE)</f>
        <v>2026-10-07</v>
      </c>
      <c r="U94" s="63">
        <f>T94-S94</f>
        <v>46302</v>
      </c>
      <c r="V94" s="186" t="n"/>
      <c r="W94" s="61" t="str">
        <f>VLOOKUP(A94,'3.GateMove'!A:D,4,FALSE)</f>
        <v>2026-09-20</v>
      </c>
      <c r="X94" s="63">
        <f>((T94-W94)+1)</f>
        <v>18</v>
      </c>
      <c r="Y94" s="64">
        <f>IF(AND(OR(C94="BKK01",C94="BKK04"),L94="CFS/CY"),0,IF(M94="DG",1,IF(LEFT(C94,3)="LCH",7,IF(C94="BKK02",5,3))))</f>
        <v>7</v>
      </c>
      <c r="Z94" s="63">
        <f>IF(IF(AND(AC94="TML",AB94&gt;0),((T94-W94)+1)-AB94,((T94-W94)+1)-Y94)&gt;0,IF(AND(AC94="TML",AB94&gt;0),((T94-W94)+1)-AB94,((T94-W94)+1)-Y94),0)</f>
        <v>11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3750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46303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3750</v>
      </c>
      <c r="AJ94" s="188" t="n"/>
      <c r="AK94" s="62" t="str">
        <f>VLOOKUP(D94,'2.Bookinglist'!A:CT,40,FALSE)</f>
        <v>Nannaapust Sukporntaweewat</v>
      </c>
      <c r="AL94" s="60" t="str">
        <f>VLOOKUP(D94,'2.Bookinglist'!A:CW,101,FALSE)</f>
        <v>2026-10-08</v>
      </c>
      <c r="AM94" s="60" t="str">
        <f>VLOOKUP(D94,'2.Bookinglist'!A:BK,63,FALSE)</f>
        <v>LCHY5</v>
      </c>
      <c r="AN94" s="62" t="str">
        <f>VLOOKUP(D94,'2.Bookinglist'!A:AZ,52,FALSE)</f>
        <v>Pickup : 2026-09-18, Return : 2026-09-19</v>
      </c>
      <c r="AO94" s="62" t="str">
        <f>VLOOKUP(D94,'2.Bookinglist'!A:CY,103,FALSE)</f>
        <v>ROLL OVER FROM PREVIOUS VSL HAB 2611N  BY ALLOCATION TEAM MS.TARN APPROVED COST IS UNDER HA DD.25/09</v>
      </c>
    </row>
    <row r="95" ht="12.95" customHeight="1">
      <c r="A95" s="96" t="inlineStr">
        <is>
          <t>SKHU8426017</t>
        </is>
      </c>
      <c r="B95" s="184" t="str">
        <f>IF(C95=Charge!$M$1,Charge!$J$1,IF(C95=Charge!$M$23,Charge!$J$23,IF(C95=Charge!$M$17,Charge!$J$17,IF(C95=Charge!$N$17,Charge!$J$17,Charge!$J$7))))</f>
        <v>G2</v>
      </c>
      <c r="C95" s="61" t="str">
        <f>VLOOKUP(A95,'1.Loading'!A:R,14,FALSE)</f>
        <v>LCH06</v>
      </c>
      <c r="D95" s="61" t="str">
        <f>VLOOKUP(A95,'1.Loading'!A:R,17,FALSE)</f>
        <v>HASLS22260900441</v>
      </c>
      <c r="E95" s="62" t="str">
        <f>VLOOKUP(D95,'2.Bookinglist'!A:CT,27,FALSE)</f>
        <v>BARKLAYS LOGISTICS (THAILAND) CO., LTD.</v>
      </c>
      <c r="F95" s="62" t="str">
        <f>VLOOKUP(D95,'2.Bookinglist'!A:CT,28,FALSE)</f>
        <v>GOLDEN CRANE (GOLDEN DRAGON) CO.,LTD.</v>
      </c>
      <c r="G95" s="60">
        <f>VLOOKUP(D95,'2.Bookinglist'!A:E,5,FALSE)</f>
        <v>0</v>
      </c>
      <c r="H95" s="61" t="str">
        <f>VLOOKUP(D95,'2.Bookinglist'!A:CT,15,FALSE)</f>
        <v>THLCH</v>
      </c>
      <c r="I95" s="61" t="str">
        <f>VLOOKUP(D95,'2.Bookinglist'!A:CT,19,FALSE)</f>
        <v>CNSHA</v>
      </c>
      <c r="J95" s="61">
        <f>VLOOKUP(D95,'2.Bookinglist'!A:CT,26,FALSE)</f>
        <v>0</v>
      </c>
      <c r="K95" s="61" t="str">
        <f>VLOOKUP(A95,'1.Loading'!A:R,5,FALSE)</f>
        <v>45GP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/>
      </c>
      <c r="O95" s="61" t="str">
        <f>VLOOKUP(A95,'1.Loading'!A:R,3,FALSE)</f>
        <v>SWVG</v>
      </c>
      <c r="P95" s="61" t="str">
        <f>VLOOKUP(A95,'1.Loading'!A:R,4,FALSE)</f>
        <v>2612N</v>
      </c>
      <c r="Q95" s="61" t="str">
        <f>VLOOKUP(D95,'2.Bookinglist'!A:CT,12,FALSE)</f>
        <v>PCI2</v>
      </c>
      <c r="R95" s="60" t="str">
        <f>IF(LEFT(K95,2)="22","20'","40'")</f>
        <v>40'</v>
      </c>
      <c r="S95" s="185" t="n"/>
      <c r="T95" s="61" t="str">
        <f>VLOOKUP(A95,'1.Loading'!A:R,2,FALSE)</f>
        <v>2026-10-07</v>
      </c>
      <c r="U95" s="63">
        <f>T95-S95</f>
        <v>46302</v>
      </c>
      <c r="V95" s="186" t="n"/>
      <c r="W95" s="61" t="str">
        <f>VLOOKUP(A95,'3.GateMove'!A:D,4,FALSE)</f>
        <v>2026-09-19</v>
      </c>
      <c r="X95" s="63">
        <f>((T95-W95)+1)</f>
        <v>19</v>
      </c>
      <c r="Y95" s="64">
        <f>IF(AND(OR(C95="BKK01",C95="BKK04"),L95="CFS/CY"),0,IF(M95="DG",1,IF(LEFT(C95,3)="LCH",7,IF(C95="BKK02",5,3))))</f>
        <v>7</v>
      </c>
      <c r="Z95" s="63">
        <f>IF(IF(AND(AC95="TML",AB95&gt;0),((T95-W95)+1)-AB95,((T95-W95)+1)-Y95)&gt;0,IF(AND(AC95="TML",AB95&gt;0),((T95-W95)+1)-AB95,((T95-W95)+1)-Y95),0)</f>
        <v>12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4250</v>
      </c>
      <c r="AB95" s="184" t="n"/>
      <c r="AC95" s="184" t="n"/>
      <c r="AD95" s="60">
        <f>IF(M95="DG",3,IF(N95="RF",3,5))+IF(AND(LEFT(C95,3)="BKK",N95="RF",Q95="KTS"),1,0)+IF(Q95="KHS",1,0)</f>
        <v>5</v>
      </c>
      <c r="AE95" s="63">
        <f>(T95-V95)+1</f>
        <v>46303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4250</v>
      </c>
      <c r="AJ95" s="188" t="n"/>
      <c r="AK95" s="62" t="str">
        <f>VLOOKUP(D95,'2.Bookinglist'!A:CT,40,FALSE)</f>
        <v>Nannaapust Sukporntaweewat</v>
      </c>
      <c r="AL95" s="60" t="str">
        <f>VLOOKUP(D95,'2.Bookinglist'!A:CW,101,FALSE)</f>
        <v>2026-10-08</v>
      </c>
      <c r="AM95" s="60" t="str">
        <f>VLOOKUP(D95,'2.Bookinglist'!A:BK,63,FALSE)</f>
        <v>LCHY5</v>
      </c>
      <c r="AN95" s="62" t="str">
        <f>VLOOKUP(D95,'2.Bookinglist'!A:AZ,52,FALSE)</f>
        <v>Pickup : 2026-09-18, Return : 2026-09-19</v>
      </c>
      <c r="AO95" s="62" t="str">
        <f>VLOOKUP(D95,'2.Bookinglist'!A:CY,103,FALSE)</f>
        <v>ROLL OVER FROM PREVIOUS VSL HAB 2611N  BY ALLOCATION TEAM MS.TARN APPROVED COST IS UNDER HA DD.25/09</v>
      </c>
    </row>
    <row r="96" ht="12.95" customHeight="1">
      <c r="A96" s="96" t="inlineStr">
        <is>
          <t>SKHU8717537</t>
        </is>
      </c>
      <c r="B96" s="184" t="str">
        <f>IF(C96=Charge!$M$1,Charge!$J$1,IF(C96=Charge!$M$23,Charge!$J$23,IF(C96=Charge!$M$17,Charge!$J$17,IF(C96=Charge!$N$17,Charge!$J$17,Charge!$J$7))))</f>
        <v>G2</v>
      </c>
      <c r="C96" s="61" t="str">
        <f>VLOOKUP(A96,'1.Loading'!A:R,14,FALSE)</f>
        <v>LCH06</v>
      </c>
      <c r="D96" s="61" t="str">
        <f>VLOOKUP(A96,'1.Loading'!A:R,17,FALSE)</f>
        <v>HASLS22260901513</v>
      </c>
      <c r="E96" s="62" t="str">
        <f>VLOOKUP(D96,'2.Bookinglist'!A:CT,27,FALSE)</f>
        <v>DOUBLE A (1991) PUBLIC COMPANY LIMITED</v>
      </c>
      <c r="F96" s="62" t="str">
        <f>VLOOKUP(D96,'2.Bookinglist'!A:CT,28,FALSE)</f>
        <v>DOUBLE A (1991) PUBLIC COMPANY LIMITED</v>
      </c>
      <c r="G96" s="60">
        <f>VLOOKUP(D96,'2.Bookinglist'!A:E,5,FALSE)</f>
        <v>0</v>
      </c>
      <c r="H96" s="61" t="str">
        <f>VLOOKUP(D96,'2.Bookinglist'!A:CT,15,FALSE)</f>
        <v>THLCH</v>
      </c>
      <c r="I96" s="61" t="str">
        <f>VLOOKUP(D96,'2.Bookinglist'!A:CT,19,FALSE)</f>
        <v>CNSHA</v>
      </c>
      <c r="J96" s="61">
        <f>VLOOKUP(D96,'2.Bookinglist'!A:CT,26,FALSE)</f>
        <v>0</v>
      </c>
      <c r="K96" s="61" t="str">
        <f>VLOOKUP(A96,'1.Loading'!A:R,5,FALSE)</f>
        <v>45GP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SWVG</v>
      </c>
      <c r="P96" s="61" t="str">
        <f>VLOOKUP(A96,'1.Loading'!A:R,4,FALSE)</f>
        <v>2612N</v>
      </c>
      <c r="Q96" s="61" t="str">
        <f>VLOOKUP(D96,'2.Bookinglist'!A:CT,12,FALSE)</f>
        <v>PCI2</v>
      </c>
      <c r="R96" s="60" t="str">
        <f>IF(LEFT(K96,2)="22","20'","40'")</f>
        <v>40'</v>
      </c>
      <c r="S96" s="185" t="n"/>
      <c r="T96" s="61" t="str">
        <f>VLOOKUP(A96,'1.Loading'!A:R,2,FALSE)</f>
        <v>2026-10-07</v>
      </c>
      <c r="U96" s="63">
        <f>T96-S96</f>
        <v>46302</v>
      </c>
      <c r="V96" s="186" t="n"/>
      <c r="W96" s="61" t="str">
        <f>VLOOKUP(A96,'3.GateMove'!A:D,4,FALSE)</f>
        <v>2026-09-30</v>
      </c>
      <c r="X96" s="63">
        <f>((T96-W96)+1)</f>
        <v>8</v>
      </c>
      <c r="Y96" s="64">
        <f>IF(AND(OR(C96="BKK01",C96="BKK04"),L96="CFS/CY"),0,IF(M96="DG",1,IF(LEFT(C96,3)="LCH",7,IF(C96="BKK02",5,3))))</f>
        <v>7</v>
      </c>
      <c r="Z96" s="63">
        <f>IF(IF(AND(AC96="TML",AB96&gt;0),((T96-W96)+1)-AB96,((T96-W96)+1)-Y96)&gt;0,IF(AND(AC96="TML",AB96&gt;0),((T96-W96)+1)-AB96,((T96-W96)+1)-Y96),0)</f>
        <v>1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250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46303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250</v>
      </c>
      <c r="AJ96" s="188" t="n"/>
      <c r="AK96" s="62" t="str">
        <f>VLOOKUP(D96,'2.Bookinglist'!A:CT,40,FALSE)</f>
        <v>Kanokporn</v>
      </c>
      <c r="AL96" s="60" t="str">
        <f>VLOOKUP(D96,'2.Bookinglist'!A:CW,101,FALSE)</f>
        <v>2026-10-03</v>
      </c>
      <c r="AM96" s="60" t="str">
        <f>VLOOKUP(D96,'2.Bookinglist'!A:BK,63,FALSE)</f>
        <v>LCHY5</v>
      </c>
      <c r="AN96" s="62" t="str">
        <f>VLOOKUP(D96,'2.Bookinglist'!A:AZ,52,FALSE)</f>
        <v>CY-RTN : 25-29/09/2026
REF : PI-CN-TH-DA-26090065,PI-CN-TH-DA-26090066,PI-CN-TH-DA-26090068
FRT 31/20'/31/40'HQ  Freetime 21 days 
</v>
      </c>
      <c r="AO96" s="62">
        <f>VLOOKUP(D96,'2.Bookinglist'!A:CY,103,FALSE)</f>
        <v>0</v>
      </c>
    </row>
    <row r="97" ht="12.95" customHeight="1">
      <c r="A97" s="96" t="inlineStr">
        <is>
          <t>SKHU8930516</t>
        </is>
      </c>
      <c r="B97" s="184" t="str">
        <f>IF(C97=Charge!$M$1,Charge!$J$1,IF(C97=Charge!$M$23,Charge!$J$23,IF(C97=Charge!$M$17,Charge!$J$17,IF(C97=Charge!$N$17,Charge!$J$17,Charge!$J$7))))</f>
        <v>G2</v>
      </c>
      <c r="C97" s="61" t="str">
        <f>VLOOKUP(A97,'1.Loading'!A:R,14,FALSE)</f>
        <v>LCH06</v>
      </c>
      <c r="D97" s="61" t="str">
        <f>VLOOKUP(A97,'1.Loading'!A:R,17,FALSE)</f>
        <v>HASLS22260902522</v>
      </c>
      <c r="E97" s="62" t="str">
        <f>VLOOKUP(D97,'2.Bookinglist'!A:CT,27,FALSE)</f>
        <v>AWOT GLOBAL LOGISTICS (THAILAND) CO., LTD.</v>
      </c>
      <c r="F97" s="62" t="str">
        <f>VLOOKUP(D97,'2.Bookinglist'!A:CT,28,FALSE)</f>
        <v>PACIFIC PRECISION FORGING TECHNOLOGY(THAILAND) CO.,LTD.</v>
      </c>
      <c r="G97" s="60">
        <f>VLOOKUP(D97,'2.Bookinglist'!A:E,5,FALSE)</f>
        <v>0</v>
      </c>
      <c r="H97" s="61" t="str">
        <f>VLOOKUP(D97,'2.Bookinglist'!A:CT,15,FALSE)</f>
        <v>THLCH</v>
      </c>
      <c r="I97" s="61" t="str">
        <f>VLOOKUP(D97,'2.Bookinglist'!A:CT,19,FALSE)</f>
        <v>CNSHA</v>
      </c>
      <c r="J97" s="61">
        <f>VLOOKUP(D97,'2.Bookinglist'!A:CT,26,FALSE)</f>
        <v>0</v>
      </c>
      <c r="K97" s="61" t="str">
        <f>VLOOKUP(A97,'1.Loading'!A:R,5,FALSE)</f>
        <v>45GP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>IF(RIGHT(K97,2)="RE","RF","")</f>
        <v/>
      </c>
      <c r="O97" s="61" t="str">
        <f>VLOOKUP(A97,'1.Loading'!A:R,3,FALSE)</f>
        <v>SWVG</v>
      </c>
      <c r="P97" s="61" t="str">
        <f>VLOOKUP(A97,'1.Loading'!A:R,4,FALSE)</f>
        <v>2612N</v>
      </c>
      <c r="Q97" s="61" t="str">
        <f>VLOOKUP(D97,'2.Bookinglist'!A:CT,12,FALSE)</f>
        <v>PCI2</v>
      </c>
      <c r="R97" s="60" t="str">
        <f>IF(LEFT(K97,2)="22","20'","40'")</f>
        <v>40'</v>
      </c>
      <c r="S97" s="185" t="n"/>
      <c r="T97" s="61" t="str">
        <f>VLOOKUP(A97,'1.Loading'!A:R,2,FALSE)</f>
        <v>2026-10-07</v>
      </c>
      <c r="U97" s="63">
        <f>T97-S97</f>
        <v>46302</v>
      </c>
      <c r="V97" s="186" t="n"/>
      <c r="W97" s="61" t="str">
        <f>VLOOKUP(A97,'3.GateMove'!A:D,4,FALSE)</f>
        <v>2026-10-03</v>
      </c>
      <c r="X97" s="63">
        <f>((T97-W97)+1)</f>
        <v>5</v>
      </c>
      <c r="Y97" s="64">
        <f>IF(AND(OR(C97="BKK01",C97="BKK04"),L97="CFS/CY"),0,IF(M97="DG",1,IF(LEFT(C97,3)="LCH",7,IF(C97="BKK02",5,3))))</f>
        <v>7</v>
      </c>
      <c r="Z97" s="63">
        <f>IF(IF(AND(AC97="TML",AB97&gt;0),((T97-W97)+1)-AB97,((T97-W97)+1)-Y97)&gt;0,IF(AND(AC97="TML",AB97&gt;0),((T97-W97)+1)-AB97,((T97-W97)+1)-Y97),0)</f>
        <v>0</v>
      </c>
      <c r="AA97" s="187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0</v>
      </c>
      <c r="AB97" s="184" t="n"/>
      <c r="AC97" s="184" t="n"/>
      <c r="AD97" s="60">
        <f>IF(M97="DG",3,IF(N97="RF",3,5))+IF(AND(LEFT(C97,3)="BKK",N97="RF",Q97="KTS"),1,0)+IF(Q97="KHS",1,0)</f>
        <v>5</v>
      </c>
      <c r="AE97" s="63">
        <f>(T97-V97)+1</f>
        <v>46303</v>
      </c>
      <c r="AF97" s="63">
        <f>IF(AB97&gt;IF((V97-W97)&gt;0,V97-W97,0),0,IF(AB97&lt;IF((V97-W97)&gt;0,V97-W97,0),IF((V97-W97)&gt;0,V97-W97,0)-AB97,IF((V97-W97)&gt;0,V97-W97,0)))</f>
        <v>0</v>
      </c>
      <c r="AG97" s="187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 t="n"/>
      <c r="AI97" s="65">
        <f>AA97-AH97</f>
        <v>0</v>
      </c>
      <c r="AJ97" s="188" t="n"/>
      <c r="AK97" s="62" t="str">
        <f>VLOOKUP(D97,'2.Bookinglist'!A:CT,40,FALSE)</f>
        <v>Pattarapong Saengthong</v>
      </c>
      <c r="AL97" s="60" t="str">
        <f>VLOOKUP(D97,'2.Bookinglist'!A:CW,101,FALSE)</f>
        <v>2026-10-07</v>
      </c>
      <c r="AM97" s="60" t="str">
        <f>VLOOKUP(D97,'2.Bookinglist'!A:BK,63,FALSE)</f>
        <v>LCHY5</v>
      </c>
      <c r="AN97" s="62" t="str">
        <f>VLOOKUP(D97,'2.Bookinglist'!A:AZ,52,FALSE)</f>
        <v>Pickup : 2026-10-02, Return : 2026-10-03
CLOSING TIME DD.05/10/2026 @ 23.59Hrs.</v>
      </c>
      <c r="AO97" s="62">
        <f>VLOOKUP(D97,'2.Bookinglist'!A:CY,103,FALSE)</f>
        <v>0</v>
      </c>
    </row>
    <row r="98" ht="12.95" customHeight="1">
      <c r="A98" s="96" t="inlineStr">
        <is>
          <t>SKHU9207158</t>
        </is>
      </c>
      <c r="B98" s="184" t="str">
        <f>IF(C98=Charge!$M$1,Charge!$J$1,IF(C98=Charge!$M$23,Charge!$J$23,IF(C98=Charge!$M$17,Charge!$J$17,IF(C98=Charge!$N$17,Charge!$J$17,Charge!$J$7))))</f>
        <v>G2</v>
      </c>
      <c r="C98" s="61" t="str">
        <f>VLOOKUP(A98,'1.Loading'!A:R,14,FALSE)</f>
        <v>LCH06</v>
      </c>
      <c r="D98" s="61" t="str">
        <f>VLOOKUP(A98,'1.Loading'!A:R,17,FALSE)</f>
        <v>HASLS22260901307</v>
      </c>
      <c r="E98" s="62" t="str">
        <f>VLOOKUP(D98,'2.Bookinglist'!A:CT,27,FALSE)</f>
        <v>WHA GC LOGISTICS COMPANY LIMITED</v>
      </c>
      <c r="F98" s="62" t="str">
        <f>VLOOKUP(D98,'2.Bookinglist'!A:CT,28,FALSE)</f>
        <v>PTT GLOBAL CHEMICAL PUBLIC COMPANY LIMITED</v>
      </c>
      <c r="G98" s="60">
        <f>VLOOKUP(D98,'2.Bookinglist'!A:E,5,FALSE)</f>
        <v>0</v>
      </c>
      <c r="H98" s="61" t="str">
        <f>VLOOKUP(D98,'2.Bookinglist'!A:CT,15,FALSE)</f>
        <v>THLCH</v>
      </c>
      <c r="I98" s="61" t="str">
        <f>VLOOKUP(D98,'2.Bookinglist'!A:CT,19,FALSE)</f>
        <v>CNSHA</v>
      </c>
      <c r="J98" s="61">
        <f>VLOOKUP(D98,'2.Bookinglist'!A:CT,26,FALSE)</f>
        <v>0</v>
      </c>
      <c r="K98" s="61" t="str">
        <f>VLOOKUP(A98,'1.Loading'!A:R,5,FALSE)</f>
        <v>45GP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>IF(RIGHT(K98,2)="RE","RF","")</f>
        <v/>
      </c>
      <c r="O98" s="61" t="str">
        <f>VLOOKUP(A98,'1.Loading'!A:R,3,FALSE)</f>
        <v>SWVG</v>
      </c>
      <c r="P98" s="61" t="str">
        <f>VLOOKUP(A98,'1.Loading'!A:R,4,FALSE)</f>
        <v>2612N</v>
      </c>
      <c r="Q98" s="61" t="str">
        <f>VLOOKUP(D98,'2.Bookinglist'!A:CT,12,FALSE)</f>
        <v>PCI2</v>
      </c>
      <c r="R98" s="60" t="str">
        <f>IF(LEFT(K98,2)="22","20'","40'")</f>
        <v>40'</v>
      </c>
      <c r="S98" s="185" t="n"/>
      <c r="T98" s="61" t="str">
        <f>VLOOKUP(A98,'1.Loading'!A:R,2,FALSE)</f>
        <v>2026-10-07</v>
      </c>
      <c r="U98" s="63">
        <f>T98-S98</f>
        <v>46302</v>
      </c>
      <c r="V98" s="186" t="n"/>
      <c r="W98" s="61" t="str">
        <f>VLOOKUP(A98,'3.GateMove'!A:D,4,FALSE)</f>
        <v>2026-09-28</v>
      </c>
      <c r="X98" s="63">
        <f>((T98-W98)+1)</f>
        <v>10</v>
      </c>
      <c r="Y98" s="64">
        <f>IF(AND(OR(C98="BKK01",C98="BKK04"),L98="CFS/CY"),0,IF(M98="DG",1,IF(LEFT(C98,3)="LCH",7,IF(C98="BKK02",5,3))))</f>
        <v>7</v>
      </c>
      <c r="Z98" s="63">
        <f>IF(IF(AND(AC98="TML",AB98&gt;0),((T98-W98)+1)-AB98,((T98-W98)+1)-Y98)&gt;0,IF(AND(AC98="TML",AB98&gt;0),((T98-W98)+1)-AB98,((T98-W98)+1)-Y98),0)</f>
        <v>3</v>
      </c>
      <c r="AA98" s="187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750</v>
      </c>
      <c r="AB98" s="184" t="n"/>
      <c r="AC98" s="184" t="n"/>
      <c r="AD98" s="60">
        <f>IF(M98="DG",3,IF(N98="RF",3,5))+IF(AND(LEFT(C98,3)="BKK",N98="RF",Q98="KTS"),1,0)+IF(Q98="KHS",1,0)</f>
        <v>5</v>
      </c>
      <c r="AE98" s="63">
        <f>(T98-V98)+1</f>
        <v>46303</v>
      </c>
      <c r="AF98" s="63">
        <f>IF(AB98&gt;IF((V98-W98)&gt;0,V98-W98,0),0,IF(AB98&lt;IF((V98-W98)&gt;0,V98-W98,0),IF((V98-W98)&gt;0,V98-W98,0)-AB98,IF((V98-W98)&gt;0,V98-W98,0)))</f>
        <v>0</v>
      </c>
      <c r="AG98" s="187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 t="n"/>
      <c r="AI98" s="65">
        <f>AA98-AH98</f>
        <v>750</v>
      </c>
      <c r="AJ98" s="188" t="n"/>
      <c r="AK98" s="62" t="str">
        <f>VLOOKUP(D98,'2.Bookinglist'!A:CT,40,FALSE)</f>
        <v>Dharaporn</v>
      </c>
      <c r="AL98" s="60" t="str">
        <f>VLOOKUP(D98,'2.Bookinglist'!A:CW,101,FALSE)</f>
        <v>2026-10-07</v>
      </c>
      <c r="AM98" s="60" t="str">
        <f>VLOOKUP(D98,'2.Bookinglist'!A:BK,63,FALSE)</f>
        <v>LCHY5</v>
      </c>
      <c r="AN98" s="62" t="str">
        <f>VLOOKUP(D98,'2.Bookinglist'!A:AZ,52,FALSE)</f>
        <v>CY-RTN: 23-27/09/2026</v>
      </c>
      <c r="AO98" s="62">
        <f>VLOOKUP(D98,'2.Bookinglist'!A:CY,103,FALSE)</f>
        <v>0</v>
      </c>
    </row>
    <row r="99" ht="12.95" customHeight="1">
      <c r="A99" s="96" t="inlineStr">
        <is>
          <t>SKHU9516624</t>
        </is>
      </c>
      <c r="B99" s="184" t="str">
        <f>IF(C99=Charge!$M$1,Charge!$J$1,IF(C99=Charge!$M$23,Charge!$J$23,IF(C99=Charge!$M$17,Charge!$J$17,IF(C99=Charge!$N$17,Charge!$J$17,Charge!$J$7))))</f>
        <v>G2</v>
      </c>
      <c r="C99" s="61" t="str">
        <f>VLOOKUP(A99,'1.Loading'!A:R,14,FALSE)</f>
        <v>LCH06</v>
      </c>
      <c r="D99" s="61" t="str">
        <f>VLOOKUP(A99,'1.Loading'!A:R,17,FALSE)</f>
        <v>HASLS22260901915</v>
      </c>
      <c r="E99" s="62" t="str">
        <f>VLOOKUP(D99,'2.Bookinglist'!A:CT,27,FALSE)</f>
        <v>MITSUBISHI LOGISTICS (THAILAND) CO., LTD.</v>
      </c>
      <c r="F99" s="62" t="str">
        <f>VLOOKUP(D99,'2.Bookinglist'!A:CT,28,FALSE)</f>
        <v>SHIN-ETSU SILICONES (THAILAND) LTD.</v>
      </c>
      <c r="G99" s="60">
        <f>VLOOKUP(D99,'2.Bookinglist'!A:E,5,FALSE)</f>
        <v>0</v>
      </c>
      <c r="H99" s="61" t="str">
        <f>VLOOKUP(D99,'2.Bookinglist'!A:CT,15,FALSE)</f>
        <v>THLCH</v>
      </c>
      <c r="I99" s="61" t="str">
        <f>VLOOKUP(D99,'2.Bookinglist'!A:CT,19,FALSE)</f>
        <v>CNSHA</v>
      </c>
      <c r="J99" s="61">
        <f>VLOOKUP(D99,'2.Bookinglist'!A:CT,26,FALSE)</f>
        <v>0</v>
      </c>
      <c r="K99" s="61" t="str">
        <f>VLOOKUP(A99,'1.Loading'!A:R,5,FALSE)</f>
        <v>45GP</v>
      </c>
      <c r="L99" s="60" t="str">
        <f>VLOOKUP(D99,'2.Bookinglist'!A:CT,85,FALSE)</f>
        <v>CY/CY</v>
      </c>
      <c r="M99" s="60" t="str">
        <f>IF(VLOOKUP(D99,'2.Bookinglist'!A:CT,43,FALSE)=0,"","DG")</f>
        <v/>
      </c>
      <c r="N99" s="60" t="str">
        <f>IF(RIGHT(K99,2)="RE","RF","")</f>
        <v/>
      </c>
      <c r="O99" s="61" t="str">
        <f>VLOOKUP(A99,'1.Loading'!A:R,3,FALSE)</f>
        <v>SWVG</v>
      </c>
      <c r="P99" s="61" t="str">
        <f>VLOOKUP(A99,'1.Loading'!A:R,4,FALSE)</f>
        <v>2612N</v>
      </c>
      <c r="Q99" s="61" t="str">
        <f>VLOOKUP(D99,'2.Bookinglist'!A:CT,12,FALSE)</f>
        <v>PCI2</v>
      </c>
      <c r="R99" s="60" t="str">
        <f>IF(LEFT(K99,2)="22","20'","40'")</f>
        <v>40'</v>
      </c>
      <c r="S99" s="185" t="n"/>
      <c r="T99" s="61" t="str">
        <f>VLOOKUP(A99,'1.Loading'!A:R,2,FALSE)</f>
        <v>2026-10-07</v>
      </c>
      <c r="U99" s="63">
        <f>T99-S99</f>
        <v>46302</v>
      </c>
      <c r="V99" s="186" t="n"/>
      <c r="W99" s="61" t="str">
        <f>VLOOKUP(A99,'3.GateMove'!A:D,4,FALSE)</f>
        <v>2026-10-03</v>
      </c>
      <c r="X99" s="63">
        <f>((T99-W99)+1)</f>
        <v>5</v>
      </c>
      <c r="Y99" s="64">
        <f>IF(AND(OR(C99="BKK01",C99="BKK04"),L99="CFS/CY"),0,IF(M99="DG",1,IF(LEFT(C99,3)="LCH",7,IF(C99="BKK02",5,3))))</f>
        <v>7</v>
      </c>
      <c r="Z99" s="63">
        <f>IF(IF(AND(AC99="TML",AB99&gt;0),((T99-W99)+1)-AB99,((T99-W99)+1)-Y99)&gt;0,IF(AND(AC99="TML",AB99&gt;0),((T99-W99)+1)-AB99,((T99-W99)+1)-Y99),0)</f>
        <v>0</v>
      </c>
      <c r="AA99" s="187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0</v>
      </c>
      <c r="AB99" s="184" t="n"/>
      <c r="AC99" s="184" t="n"/>
      <c r="AD99" s="60">
        <f>IF(M99="DG",3,IF(N99="RF",3,5))+IF(AND(LEFT(C99,3)="BKK",N99="RF",Q99="KTS"),1,0)+IF(Q99="KHS",1,0)</f>
        <v>5</v>
      </c>
      <c r="AE99" s="63">
        <f>(T99-V99)+1</f>
        <v>46303</v>
      </c>
      <c r="AF99" s="63">
        <f>IF(AB99&gt;IF((V99-W99)&gt;0,V99-W99,0),0,IF(AB99&lt;IF((V99-W99)&gt;0,V99-W99,0),IF((V99-W99)&gt;0,V99-W99,0)-AB99,IF((V99-W99)&gt;0,V99-W99,0)))</f>
        <v>0</v>
      </c>
      <c r="AG99" s="187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5" t="n"/>
      <c r="AI99" s="65">
        <f>AA99-AH99</f>
        <v>0</v>
      </c>
      <c r="AJ99" s="188" t="n"/>
      <c r="AK99" s="62" t="str">
        <f>VLOOKUP(D99,'2.Bookinglist'!A:CT,40,FALSE)</f>
        <v>Pattarapong Saengthong</v>
      </c>
      <c r="AL99" s="60" t="str">
        <f>VLOOKUP(D99,'2.Bookinglist'!A:CW,101,FALSE)</f>
        <v>2026-10-06</v>
      </c>
      <c r="AM99" s="60" t="str">
        <f>VLOOKUP(D99,'2.Bookinglist'!A:BK,63,FALSE)</f>
        <v>LCH28</v>
      </c>
      <c r="AN99" s="62" t="str">
        <f>VLOOKUP(D99,'2.Bookinglist'!A:AZ,52,FALSE)</f>
        <v>Pickup : 2026-10-02, Return : 2026-10-03 
 </v>
      </c>
      <c r="AO99" s="62">
        <f>VLOOKUP(D99,'2.Bookinglist'!A:CY,103,FALSE)</f>
        <v>0</v>
      </c>
    </row>
    <row r="100" ht="12.95" customHeight="1">
      <c r="A100" s="96" t="inlineStr">
        <is>
          <t>SKHU9627870</t>
        </is>
      </c>
      <c r="B100" s="184" t="str">
        <f>IF(C100=Charge!$M$1,Charge!$J$1,IF(C100=Charge!$M$23,Charge!$J$23,IF(C100=Charge!$M$17,Charge!$J$17,IF(C100=Charge!$N$17,Charge!$J$17,Charge!$J$7))))</f>
        <v>G2</v>
      </c>
      <c r="C100" s="61" t="str">
        <f>VLOOKUP(A100,'1.Loading'!A:R,14,FALSE)</f>
        <v>LCH06</v>
      </c>
      <c r="D100" s="61" t="str">
        <f>VLOOKUP(A100,'1.Loading'!A:R,17,FALSE)</f>
        <v>HASLS22260802507</v>
      </c>
      <c r="E100" s="62" t="str">
        <f>VLOOKUP(D100,'2.Bookinglist'!A:CT,27,FALSE)</f>
        <v>WHA GC LOGISTICS COMPANY LIMITED</v>
      </c>
      <c r="F100" s="62" t="str">
        <f>VLOOKUP(D100,'2.Bookinglist'!A:CT,28,FALSE)</f>
        <v>PTT GLOBAL CHEMICAL PUBLIC COMPANY LIMITED</v>
      </c>
      <c r="G100" s="60">
        <f>VLOOKUP(D100,'2.Bookinglist'!A:E,5,FALSE)</f>
        <v>0</v>
      </c>
      <c r="H100" s="61" t="str">
        <f>VLOOKUP(D100,'2.Bookinglist'!A:CT,15,FALSE)</f>
        <v>THLCH</v>
      </c>
      <c r="I100" s="61" t="str">
        <f>VLOOKUP(D100,'2.Bookinglist'!A:CT,19,FALSE)</f>
        <v>CNSHA</v>
      </c>
      <c r="J100" s="61">
        <f>VLOOKUP(D100,'2.Bookinglist'!A:CT,26,FALSE)</f>
        <v>0</v>
      </c>
      <c r="K100" s="61" t="str">
        <f>VLOOKUP(A100,'1.Loading'!A:R,5,FALSE)</f>
        <v>45GP</v>
      </c>
      <c r="L100" s="60" t="str">
        <f>VLOOKUP(D100,'2.Bookinglist'!A:CT,85,FALSE)</f>
        <v>CY/CY</v>
      </c>
      <c r="M100" s="60" t="str">
        <f>IF(VLOOKUP(D100,'2.Bookinglist'!A:CT,43,FALSE)=0,"","DG")</f>
        <v/>
      </c>
      <c r="N100" s="60" t="str">
        <f>IF(RIGHT(K100,2)="RE","RF","")</f>
        <v/>
      </c>
      <c r="O100" s="61" t="str">
        <f>VLOOKUP(A100,'1.Loading'!A:R,3,FALSE)</f>
        <v>SWVG</v>
      </c>
      <c r="P100" s="61" t="str">
        <f>VLOOKUP(A100,'1.Loading'!A:R,4,FALSE)</f>
        <v>2612N</v>
      </c>
      <c r="Q100" s="61" t="str">
        <f>VLOOKUP(D100,'2.Bookinglist'!A:CT,12,FALSE)</f>
        <v>PCI2</v>
      </c>
      <c r="R100" s="60" t="str">
        <f>IF(LEFT(K100,2)="22","20'","40'")</f>
        <v>40'</v>
      </c>
      <c r="S100" s="185" t="n"/>
      <c r="T100" s="61" t="str">
        <f>VLOOKUP(A100,'1.Loading'!A:R,2,FALSE)</f>
        <v>2026-10-07</v>
      </c>
      <c r="U100" s="63">
        <f>T100-S100</f>
        <v>46302</v>
      </c>
      <c r="V100" s="186" t="n"/>
      <c r="W100" s="61" t="str">
        <f>VLOOKUP(A100,'3.GateMove'!A:D,4,FALSE)</f>
        <v>2026-09-28</v>
      </c>
      <c r="X100" s="63">
        <f>((T100-W100)+1)</f>
        <v>10</v>
      </c>
      <c r="Y100" s="64">
        <f>IF(AND(OR(C100="BKK01",C100="BKK04"),L100="CFS/CY"),0,IF(M100="DG",1,IF(LEFT(C100,3)="LCH",7,IF(C100="BKK02",5,3))))</f>
        <v>7</v>
      </c>
      <c r="Z100" s="63">
        <f>IF(IF(AND(AC100="TML",AB100&gt;0),((T100-W100)+1)-AB100,((T100-W100)+1)-Y100)&gt;0,IF(AND(AC100="TML",AB100&gt;0),((T100-W100)+1)-AB100,((T100-W100)+1)-Y100),0)</f>
        <v>3</v>
      </c>
      <c r="AA100" s="187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750</v>
      </c>
      <c r="AB100" s="184" t="n"/>
      <c r="AC100" s="184" t="n"/>
      <c r="AD100" s="60">
        <f>IF(M100="DG",3,IF(N100="RF",3,5))+IF(AND(LEFT(C100,3)="BKK",N100="RF",Q100="KTS"),1,0)+IF(Q100="KHS",1,0)</f>
        <v>5</v>
      </c>
      <c r="AE100" s="63">
        <f>(T100-V100)+1</f>
        <v>46303</v>
      </c>
      <c r="AF100" s="63">
        <f>IF(AB100&gt;IF((V100-W100)&gt;0,V100-W100,0),0,IF(AB100&lt;IF((V100-W100)&gt;0,V100-W100,0),IF((V100-W100)&gt;0,V100-W100,0)-AB100,IF((V100-W100)&gt;0,V100-W100,0)))</f>
        <v>0</v>
      </c>
      <c r="AG100" s="187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5" t="n"/>
      <c r="AI100" s="65">
        <f>AA100-AH100</f>
        <v>750</v>
      </c>
      <c r="AJ100" s="188" t="n"/>
      <c r="AK100" s="62" t="str">
        <f>VLOOKUP(D100,'2.Bookinglist'!A:CT,40,FALSE)</f>
        <v>Dharaporn</v>
      </c>
      <c r="AL100" s="60" t="str">
        <f>VLOOKUP(D100,'2.Bookinglist'!A:CW,101,FALSE)</f>
        <v>2026-10-07</v>
      </c>
      <c r="AM100" s="60" t="str">
        <f>VLOOKUP(D100,'2.Bookinglist'!A:BK,63,FALSE)</f>
        <v>LCHY5</v>
      </c>
      <c r="AN100" s="62" t="str">
        <f>VLOOKUP(D100,'2.Bookinglist'!A:AZ,52,FALSE)</f>
        <v>CY -RTN DD.21/09 -27/09/2026 /CHECK OPEN GATE BEFORE RETURN CNTR </v>
      </c>
      <c r="AO100" s="62">
        <f>VLOOKUP(D100,'2.Bookinglist'!A:CY,103,FALSE)</f>
        <v>0</v>
      </c>
    </row>
    <row r="101" ht="12.95" customHeight="1">
      <c r="A101" s="96" t="inlineStr">
        <is>
          <t>SKHU9827842</t>
        </is>
      </c>
      <c r="B101" s="184" t="str">
        <f>IF(C101=Charge!$M$1,Charge!$J$1,IF(C101=Charge!$M$23,Charge!$J$23,IF(C101=Charge!$M$17,Charge!$J$17,IF(C101=Charge!$N$17,Charge!$J$17,Charge!$J$7))))</f>
        <v>G2</v>
      </c>
      <c r="C101" s="61" t="str">
        <f>VLOOKUP(A101,'1.Loading'!A:R,14,FALSE)</f>
        <v>LCH06</v>
      </c>
      <c r="D101" s="61" t="str">
        <f>VLOOKUP(A101,'1.Loading'!A:R,17,FALSE)</f>
        <v>HASLS22260802507</v>
      </c>
      <c r="E101" s="62" t="str">
        <f>VLOOKUP(D101,'2.Bookinglist'!A:CT,27,FALSE)</f>
        <v>WHA GC LOGISTICS COMPANY LIMITED</v>
      </c>
      <c r="F101" s="62" t="str">
        <f>VLOOKUP(D101,'2.Bookinglist'!A:CT,28,FALSE)</f>
        <v>PTT GLOBAL CHEMICAL PUBLIC COMPANY LIMITED</v>
      </c>
      <c r="G101" s="60">
        <f>VLOOKUP(D101,'2.Bookinglist'!A:E,5,FALSE)</f>
        <v>0</v>
      </c>
      <c r="H101" s="61" t="str">
        <f>VLOOKUP(D101,'2.Bookinglist'!A:CT,15,FALSE)</f>
        <v>THLCH</v>
      </c>
      <c r="I101" s="61" t="str">
        <f>VLOOKUP(D101,'2.Bookinglist'!A:CT,19,FALSE)</f>
        <v>CNSHA</v>
      </c>
      <c r="J101" s="61">
        <f>VLOOKUP(D101,'2.Bookinglist'!A:CT,26,FALSE)</f>
        <v>0</v>
      </c>
      <c r="K101" s="61" t="str">
        <f>VLOOKUP(A101,'1.Loading'!A:R,5,FALSE)</f>
        <v>45GP</v>
      </c>
      <c r="L101" s="60" t="str">
        <f>VLOOKUP(D101,'2.Bookinglist'!A:CT,85,FALSE)</f>
        <v>CY/CY</v>
      </c>
      <c r="M101" s="60" t="str">
        <f>IF(VLOOKUP(D101,'2.Bookinglist'!A:CT,43,FALSE)=0,"","DG")</f>
        <v/>
      </c>
      <c r="N101" s="60" t="str">
        <f>IF(RIGHT(K101,2)="RE","RF","")</f>
        <v/>
      </c>
      <c r="O101" s="61" t="str">
        <f>VLOOKUP(A101,'1.Loading'!A:R,3,FALSE)</f>
        <v>SWVG</v>
      </c>
      <c r="P101" s="61" t="str">
        <f>VLOOKUP(A101,'1.Loading'!A:R,4,FALSE)</f>
        <v>2612N</v>
      </c>
      <c r="Q101" s="61" t="str">
        <f>VLOOKUP(D101,'2.Bookinglist'!A:CT,12,FALSE)</f>
        <v>PCI2</v>
      </c>
      <c r="R101" s="60" t="str">
        <f>IF(LEFT(K101,2)="22","20'","40'")</f>
        <v>40'</v>
      </c>
      <c r="S101" s="185" t="n"/>
      <c r="T101" s="61" t="str">
        <f>VLOOKUP(A101,'1.Loading'!A:R,2,FALSE)</f>
        <v>2026-10-07</v>
      </c>
      <c r="U101" s="63">
        <f>T101-S101</f>
        <v>46302</v>
      </c>
      <c r="V101" s="186" t="n"/>
      <c r="W101" s="61" t="str">
        <f>VLOOKUP(A101,'3.GateMove'!A:D,4,FALSE)</f>
        <v>2026-09-28</v>
      </c>
      <c r="X101" s="63">
        <f>((T101-W101)+1)</f>
        <v>10</v>
      </c>
      <c r="Y101" s="64">
        <f>IF(AND(OR(C101="BKK01",C101="BKK04"),L101="CFS/CY"),0,IF(M101="DG",1,IF(LEFT(C101,3)="LCH",7,IF(C101="BKK02",5,3))))</f>
        <v>7</v>
      </c>
      <c r="Z101" s="63">
        <f>IF(IF(AND(AC101="TML",AB101&gt;0),((T101-W101)+1)-AB101,((T101-W101)+1)-Y101)&gt;0,IF(AND(AC101="TML",AB101&gt;0),((T101-W101)+1)-AB101,((T101-W101)+1)-Y101),0)</f>
        <v>3</v>
      </c>
      <c r="AA101" s="187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750</v>
      </c>
      <c r="AB101" s="184" t="n"/>
      <c r="AC101" s="184" t="n"/>
      <c r="AD101" s="60">
        <f>IF(M101="DG",3,IF(N101="RF",3,5))+IF(AND(LEFT(C101,3)="BKK",N101="RF",Q101="KTS"),1,0)+IF(Q101="KHS",1,0)</f>
        <v>5</v>
      </c>
      <c r="AE101" s="63">
        <f>(T101-V101)+1</f>
        <v>46303</v>
      </c>
      <c r="AF101" s="63">
        <f>IF(AB101&gt;IF((V101-W101)&gt;0,V101-W101,0),0,IF(AB101&lt;IF((V101-W101)&gt;0,V101-W101,0),IF((V101-W101)&gt;0,V101-W101,0)-AB101,IF((V101-W101)&gt;0,V101-W101,0)))</f>
        <v>0</v>
      </c>
      <c r="AG101" s="187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5" t="n"/>
      <c r="AI101" s="65">
        <f>AA101-AH101</f>
        <v>750</v>
      </c>
      <c r="AJ101" s="188" t="n"/>
      <c r="AK101" s="62" t="str">
        <f>VLOOKUP(D101,'2.Bookinglist'!A:CT,40,FALSE)</f>
        <v>Dharaporn</v>
      </c>
      <c r="AL101" s="60" t="str">
        <f>VLOOKUP(D101,'2.Bookinglist'!A:CW,101,FALSE)</f>
        <v>2026-10-07</v>
      </c>
      <c r="AM101" s="60" t="str">
        <f>VLOOKUP(D101,'2.Bookinglist'!A:BK,63,FALSE)</f>
        <v>LCHY5</v>
      </c>
      <c r="AN101" s="62" t="str">
        <f>VLOOKUP(D101,'2.Bookinglist'!A:AZ,52,FALSE)</f>
        <v>CY -RTN DD.21/09 -27/09/2026 /CHECK OPEN GATE BEFORE RETURN CNTR </v>
      </c>
      <c r="AO101" s="62">
        <f>VLOOKUP(D101,'2.Bookinglist'!A:CY,103,FALSE)</f>
        <v>0</v>
      </c>
    </row>
    <row r="102" ht="12.95" customHeight="1">
      <c r="A102" s="96" t="inlineStr">
        <is>
          <t>SKHU9905122</t>
        </is>
      </c>
      <c r="B102" s="184" t="str">
        <f>IF(C102=Charge!$M$1,Charge!$J$1,IF(C102=Charge!$M$23,Charge!$J$23,IF(C102=Charge!$M$17,Charge!$J$17,IF(C102=Charge!$N$17,Charge!$J$17,Charge!$J$7))))</f>
        <v>G2</v>
      </c>
      <c r="C102" s="61" t="str">
        <f>VLOOKUP(A102,'1.Loading'!A:R,14,FALSE)</f>
        <v>LCH06</v>
      </c>
      <c r="D102" s="61" t="str">
        <f>VLOOKUP(A102,'1.Loading'!A:R,17,FALSE)</f>
        <v>HASLS22260901309</v>
      </c>
      <c r="E102" s="62" t="str">
        <f>VLOOKUP(D102,'2.Bookinglist'!A:CT,27,FALSE)</f>
        <v>WHA GC LOGISTICS COMPANY LIMITED</v>
      </c>
      <c r="F102" s="62" t="str">
        <f>VLOOKUP(D102,'2.Bookinglist'!A:CT,28,FALSE)</f>
        <v>PTT GLOBAL CHEMICAL PUBLIC COMPANY LIMITED</v>
      </c>
      <c r="G102" s="60">
        <f>VLOOKUP(D102,'2.Bookinglist'!A:E,5,FALSE)</f>
        <v>0</v>
      </c>
      <c r="H102" s="61" t="str">
        <f>VLOOKUP(D102,'2.Bookinglist'!A:CT,15,FALSE)</f>
        <v>THLCH</v>
      </c>
      <c r="I102" s="61" t="str">
        <f>VLOOKUP(D102,'2.Bookinglist'!A:CT,19,FALSE)</f>
        <v>CNSHA</v>
      </c>
      <c r="J102" s="61">
        <f>VLOOKUP(D102,'2.Bookinglist'!A:CT,26,FALSE)</f>
        <v>0</v>
      </c>
      <c r="K102" s="61" t="str">
        <f>VLOOKUP(A102,'1.Loading'!A:R,5,FALSE)</f>
        <v>45GP</v>
      </c>
      <c r="L102" s="60" t="str">
        <f>VLOOKUP(D102,'2.Bookinglist'!A:CT,85,FALSE)</f>
        <v>CY/CY</v>
      </c>
      <c r="M102" s="60" t="str">
        <f>IF(VLOOKUP(D102,'2.Bookinglist'!A:CT,43,FALSE)=0,"","DG")</f>
        <v/>
      </c>
      <c r="N102" s="60" t="str">
        <f>IF(RIGHT(K102,2)="RE","RF","")</f>
        <v/>
      </c>
      <c r="O102" s="61" t="str">
        <f>VLOOKUP(A102,'1.Loading'!A:R,3,FALSE)</f>
        <v>SWVG</v>
      </c>
      <c r="P102" s="61" t="str">
        <f>VLOOKUP(A102,'1.Loading'!A:R,4,FALSE)</f>
        <v>2612N</v>
      </c>
      <c r="Q102" s="61" t="str">
        <f>VLOOKUP(D102,'2.Bookinglist'!A:CT,12,FALSE)</f>
        <v>PCI2</v>
      </c>
      <c r="R102" s="60" t="str">
        <f>IF(LEFT(K102,2)="22","20'","40'")</f>
        <v>40'</v>
      </c>
      <c r="S102" s="185" t="n"/>
      <c r="T102" s="61" t="str">
        <f>VLOOKUP(A102,'1.Loading'!A:R,2,FALSE)</f>
        <v>2026-10-07</v>
      </c>
      <c r="U102" s="63">
        <f>T102-S102</f>
        <v>46302</v>
      </c>
      <c r="V102" s="186" t="n"/>
      <c r="W102" s="61" t="str">
        <f>VLOOKUP(A102,'3.GateMove'!A:D,4,FALSE)</f>
        <v>2026-09-28</v>
      </c>
      <c r="X102" s="63">
        <f>((T102-W102)+1)</f>
        <v>10</v>
      </c>
      <c r="Y102" s="64">
        <f>IF(AND(OR(C102="BKK01",C102="BKK04"),L102="CFS/CY"),0,IF(M102="DG",1,IF(LEFT(C102,3)="LCH",7,IF(C102="BKK02",5,3))))</f>
        <v>7</v>
      </c>
      <c r="Z102" s="63">
        <f>IF(IF(AND(AC102="TML",AB102&gt;0),((T102-W102)+1)-AB102,((T102-W102)+1)-Y102)&gt;0,IF(AND(AC102="TML",AB102&gt;0),((T102-W102)+1)-AB102,((T102-W102)+1)-Y102),0)</f>
        <v>3</v>
      </c>
      <c r="AA102" s="187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750</v>
      </c>
      <c r="AB102" s="184" t="n"/>
      <c r="AC102" s="184" t="n"/>
      <c r="AD102" s="60">
        <f>IF(M102="DG",3,IF(N102="RF",3,5))+IF(AND(LEFT(C102,3)="BKK",N102="RF",Q102="KTS"),1,0)+IF(Q102="KHS",1,0)</f>
        <v>5</v>
      </c>
      <c r="AE102" s="63">
        <f>(T102-V102)+1</f>
        <v>46303</v>
      </c>
      <c r="AF102" s="63">
        <f>IF(AB102&gt;IF((V102-W102)&gt;0,V102-W102,0),0,IF(AB102&lt;IF((V102-W102)&gt;0,V102-W102,0),IF((V102-W102)&gt;0,V102-W102,0)-AB102,IF((V102-W102)&gt;0,V102-W102,0)))</f>
        <v>0</v>
      </c>
      <c r="AG102" s="187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5" t="n"/>
      <c r="AI102" s="65">
        <f>AA102-AH102</f>
        <v>750</v>
      </c>
      <c r="AJ102" s="188" t="n"/>
      <c r="AK102" s="62" t="str">
        <f>VLOOKUP(D102,'2.Bookinglist'!A:CT,40,FALSE)</f>
        <v>Dharaporn</v>
      </c>
      <c r="AL102" s="60" t="str">
        <f>VLOOKUP(D102,'2.Bookinglist'!A:CW,101,FALSE)</f>
        <v>2026-10-03</v>
      </c>
      <c r="AM102" s="60" t="str">
        <f>VLOOKUP(D102,'2.Bookinglist'!A:BK,63,FALSE)</f>
        <v>LCHY5</v>
      </c>
      <c r="AN102" s="62" t="str">
        <f>VLOOKUP(D102,'2.Bookinglist'!A:AZ,52,FALSE)</f>
        <v>CY-RTN: 23-27/09/2026</v>
      </c>
      <c r="AO102" s="62">
        <f>VLOOKUP(D102,'2.Bookinglist'!A:CY,103,FALSE)</f>
        <v>0</v>
      </c>
    </row>
    <row r="103" ht="12.95" customHeight="1">
      <c r="A103" s="96" t="inlineStr">
        <is>
          <t>SKHU9915413</t>
        </is>
      </c>
      <c r="B103" s="184" t="str">
        <f>IF(C103=Charge!$M$1,Charge!$J$1,IF(C103=Charge!$M$23,Charge!$J$23,IF(C103=Charge!$M$17,Charge!$J$17,IF(C103=Charge!$N$17,Charge!$J$17,Charge!$J$7))))</f>
        <v>G2</v>
      </c>
      <c r="C103" s="61" t="str">
        <f>VLOOKUP(A103,'1.Loading'!A:R,14,FALSE)</f>
        <v>LCH06</v>
      </c>
      <c r="D103" s="61" t="str">
        <f>VLOOKUP(A103,'1.Loading'!A:R,17,FALSE)</f>
        <v>HASLS22260902147</v>
      </c>
      <c r="E103" s="62" t="str">
        <f>VLOOKUP(D103,'2.Bookinglist'!A:CT,27,FALSE)</f>
        <v>DOUBLE A (1991) PUBLIC COMPANY LIMITED</v>
      </c>
      <c r="F103" s="62" t="str">
        <f>VLOOKUP(D103,'2.Bookinglist'!A:CT,28,FALSE)</f>
        <v>DOUBLE A (1991) PUBLIC COMPANY LIMITED</v>
      </c>
      <c r="G103" s="60">
        <f>VLOOKUP(D103,'2.Bookinglist'!A:E,5,FALSE)</f>
        <v>0</v>
      </c>
      <c r="H103" s="61" t="str">
        <f>VLOOKUP(D103,'2.Bookinglist'!A:CT,15,FALSE)</f>
        <v>THLCH</v>
      </c>
      <c r="I103" s="61" t="str">
        <f>VLOOKUP(D103,'2.Bookinglist'!A:CT,19,FALSE)</f>
        <v>CNSHA</v>
      </c>
      <c r="J103" s="61">
        <f>VLOOKUP(D103,'2.Bookinglist'!A:CT,26,FALSE)</f>
        <v>0</v>
      </c>
      <c r="K103" s="61" t="str">
        <f>VLOOKUP(A103,'1.Loading'!A:R,5,FALSE)</f>
        <v>45GP</v>
      </c>
      <c r="L103" s="60" t="str">
        <f>VLOOKUP(D103,'2.Bookinglist'!A:CT,85,FALSE)</f>
        <v>CY/CY</v>
      </c>
      <c r="M103" s="60" t="str">
        <f>IF(VLOOKUP(D103,'2.Bookinglist'!A:CT,43,FALSE)=0,"","DG")</f>
        <v/>
      </c>
      <c r="N103" s="60" t="str">
        <f>IF(RIGHT(K103,2)="RE","RF","")</f>
        <v/>
      </c>
      <c r="O103" s="61" t="str">
        <f>VLOOKUP(A103,'1.Loading'!A:R,3,FALSE)</f>
        <v>SWVG</v>
      </c>
      <c r="P103" s="61" t="str">
        <f>VLOOKUP(A103,'1.Loading'!A:R,4,FALSE)</f>
        <v>2612N</v>
      </c>
      <c r="Q103" s="61" t="str">
        <f>VLOOKUP(D103,'2.Bookinglist'!A:CT,12,FALSE)</f>
        <v>PCI2</v>
      </c>
      <c r="R103" s="60" t="str">
        <f>IF(LEFT(K103,2)="22","20'","40'")</f>
        <v>40'</v>
      </c>
      <c r="S103" s="185" t="n"/>
      <c r="T103" s="61" t="str">
        <f>VLOOKUP(A103,'1.Loading'!A:R,2,FALSE)</f>
        <v>2026-10-07</v>
      </c>
      <c r="U103" s="63">
        <f>T103-S103</f>
        <v>46302</v>
      </c>
      <c r="V103" s="186" t="n"/>
      <c r="W103" s="61" t="str">
        <f>VLOOKUP(A103,'3.GateMove'!A:D,4,FALSE)</f>
        <v>2026-10-03</v>
      </c>
      <c r="X103" s="63">
        <f>((T103-W103)+1)</f>
        <v>5</v>
      </c>
      <c r="Y103" s="64">
        <f>IF(AND(OR(C103="BKK01",C103="BKK04"),L103="CFS/CY"),0,IF(M103="DG",1,IF(LEFT(C103,3)="LCH",7,IF(C103="BKK02",5,3))))</f>
        <v>7</v>
      </c>
      <c r="Z103" s="63">
        <f>IF(IF(AND(AC103="TML",AB103&gt;0),((T103-W103)+1)-AB103,((T103-W103)+1)-Y103)&gt;0,IF(AND(AC103="TML",AB103&gt;0),((T103-W103)+1)-AB103,((T103-W103)+1)-Y103),0)</f>
        <v>0</v>
      </c>
      <c r="AA103" s="187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0</v>
      </c>
      <c r="AB103" s="184" t="n"/>
      <c r="AC103" s="184" t="n"/>
      <c r="AD103" s="60">
        <f>IF(M103="DG",3,IF(N103="RF",3,5))+IF(AND(LEFT(C103,3)="BKK",N103="RF",Q103="KTS"),1,0)+IF(Q103="KHS",1,0)</f>
        <v>5</v>
      </c>
      <c r="AE103" s="63">
        <f>(T103-V103)+1</f>
        <v>46303</v>
      </c>
      <c r="AF103" s="63">
        <f>IF(AB103&gt;IF((V103-W103)&gt;0,V103-W103,0),0,IF(AB103&lt;IF((V103-W103)&gt;0,V103-W103,0),IF((V103-W103)&gt;0,V103-W103,0)-AB103,IF((V103-W103)&gt;0,V103-W103,0)))</f>
        <v>0</v>
      </c>
      <c r="AG103" s="187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 t="n"/>
      <c r="AI103" s="65">
        <f>AA103-AH103</f>
        <v>0</v>
      </c>
      <c r="AJ103" s="188" t="n"/>
      <c r="AK103" s="62" t="str">
        <f>VLOOKUP(D103,'2.Bookinglist'!A:CT,40,FALSE)</f>
        <v>Kanokporn</v>
      </c>
      <c r="AL103" s="60" t="str">
        <f>VLOOKUP(D103,'2.Bookinglist'!A:CW,101,FALSE)</f>
        <v>2026-10-06</v>
      </c>
      <c r="AM103" s="60" t="str">
        <f>VLOOKUP(D103,'2.Bookinglist'!A:BK,63,FALSE)</f>
        <v>LCHY5</v>
      </c>
      <c r="AN103" s="62" t="str">
        <f>VLOOKUP(D103,'2.Bookinglist'!A:AZ,52,FALSE)</f>
        <v>CY-RTN : 29-02/10/2026
REF : PI-CN-TH-DA-26100032. PI-CN-TH-DA-26100033,PI-CN-TH-DA-26100034
FRT 31/20',40'HQ + FREETIME 21DAYS</v>
      </c>
      <c r="AO103" s="62">
        <f>VLOOKUP(D103,'2.Bookinglist'!A:CY,103,FALSE)</f>
        <v>0</v>
      </c>
    </row>
    <row r="104" ht="12.95" customHeight="1">
      <c r="A104" s="96" t="inlineStr">
        <is>
          <t>SKLU0522579</t>
        </is>
      </c>
      <c r="B104" s="184" t="str">
        <f>IF(C104=Charge!$M$1,Charge!$J$1,IF(C104=Charge!$M$23,Charge!$J$23,IF(C104=Charge!$M$17,Charge!$J$17,IF(C104=Charge!$N$17,Charge!$J$17,Charge!$J$7))))</f>
        <v>G2</v>
      </c>
      <c r="C104" s="61" t="str">
        <f>VLOOKUP(A104,'1.Loading'!A:R,14,FALSE)</f>
        <v>LCH06</v>
      </c>
      <c r="D104" s="61" t="str">
        <f>VLOOKUP(A104,'1.Loading'!A:R,17,FALSE)</f>
        <v>HASLS22260802504</v>
      </c>
      <c r="E104" s="62" t="str">
        <f>VLOOKUP(D104,'2.Bookinglist'!A:CT,27,FALSE)</f>
        <v>WHA GC LOGISTICS COMPANY LIMITED</v>
      </c>
      <c r="F104" s="62" t="str">
        <f>VLOOKUP(D104,'2.Bookinglist'!A:CT,28,FALSE)</f>
        <v>PTT GLOBAL CHEMICAL PUBLIC COMPANY LIMITED</v>
      </c>
      <c r="G104" s="60">
        <f>VLOOKUP(D104,'2.Bookinglist'!A:E,5,FALSE)</f>
        <v>0</v>
      </c>
      <c r="H104" s="61" t="str">
        <f>VLOOKUP(D104,'2.Bookinglist'!A:CT,15,FALSE)</f>
        <v>THLCH</v>
      </c>
      <c r="I104" s="61" t="str">
        <f>VLOOKUP(D104,'2.Bookinglist'!A:CT,19,FALSE)</f>
        <v>CNSHA</v>
      </c>
      <c r="J104" s="61">
        <f>VLOOKUP(D104,'2.Bookinglist'!A:CT,26,FALSE)</f>
        <v>0</v>
      </c>
      <c r="K104" s="61" t="str">
        <f>VLOOKUP(A104,'1.Loading'!A:R,5,FALSE)</f>
        <v>22GP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>IF(RIGHT(K104,2)="RE","RF","")</f>
        <v/>
      </c>
      <c r="O104" s="61" t="str">
        <f>VLOOKUP(A104,'1.Loading'!A:R,3,FALSE)</f>
        <v>SWVG</v>
      </c>
      <c r="P104" s="61" t="str">
        <f>VLOOKUP(A104,'1.Loading'!A:R,4,FALSE)</f>
        <v>2612N</v>
      </c>
      <c r="Q104" s="61" t="str">
        <f>VLOOKUP(D104,'2.Bookinglist'!A:CT,12,FALSE)</f>
        <v>PCI2</v>
      </c>
      <c r="R104" s="60" t="str">
        <f>IF(LEFT(K104,2)="22","20'","40'")</f>
        <v>20'</v>
      </c>
      <c r="S104" s="185" t="n"/>
      <c r="T104" s="61" t="str">
        <f>VLOOKUP(A104,'1.Loading'!A:R,2,FALSE)</f>
        <v>2026-10-07</v>
      </c>
      <c r="U104" s="63">
        <f>T104-S104</f>
        <v>46302</v>
      </c>
      <c r="V104" s="186" t="n"/>
      <c r="W104" s="61" t="str">
        <f>VLOOKUP(A104,'3.GateMove'!A:D,4,FALSE)</f>
        <v>2026-09-28</v>
      </c>
      <c r="X104" s="63">
        <f>((T104-W104)+1)</f>
        <v>10</v>
      </c>
      <c r="Y104" s="64">
        <f>IF(AND(OR(C104="BKK01",C104="BKK04"),L104="CFS/CY"),0,IF(M104="DG",1,IF(LEFT(C104,3)="LCH",7,IF(C104="BKK02",5,3))))</f>
        <v>7</v>
      </c>
      <c r="Z104" s="63">
        <f>IF(IF(AND(AC104="TML",AB104&gt;0),((T104-W104)+1)-AB104,((T104-W104)+1)-Y104)&gt;0,IF(AND(AC104="TML",AB104&gt;0),((T104-W104)+1)-AB104,((T104-W104)+1)-Y104),0)</f>
        <v>3</v>
      </c>
      <c r="AA104" s="187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375</v>
      </c>
      <c r="AB104" s="184" t="n"/>
      <c r="AC104" s="184" t="n"/>
      <c r="AD104" s="60">
        <f>IF(M104="DG",3,IF(N104="RF",3,5))+IF(AND(LEFT(C104,3)="BKK",N104="RF",Q104="KTS"),1,0)+IF(Q104="KHS",1,0)</f>
        <v>5</v>
      </c>
      <c r="AE104" s="63">
        <f>(T104-V104)+1</f>
        <v>46303</v>
      </c>
      <c r="AF104" s="63">
        <f>IF(AB104&gt;IF((V104-W104)&gt;0,V104-W104,0),0,IF(AB104&lt;IF((V104-W104)&gt;0,V104-W104,0),IF((V104-W104)&gt;0,V104-W104,0)-AB104,IF((V104-W104)&gt;0,V104-W104,0)))</f>
        <v>0</v>
      </c>
      <c r="AG104" s="187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 t="n"/>
      <c r="AI104" s="65">
        <f>AA104-AH104</f>
        <v>375</v>
      </c>
      <c r="AJ104" s="188" t="n"/>
      <c r="AK104" s="62" t="str">
        <f>VLOOKUP(D104,'2.Bookinglist'!A:CT,40,FALSE)</f>
        <v>Dharaporn</v>
      </c>
      <c r="AL104" s="60" t="str">
        <f>VLOOKUP(D104,'2.Bookinglist'!A:CW,101,FALSE)</f>
        <v>2026-10-03</v>
      </c>
      <c r="AM104" s="60" t="str">
        <f>VLOOKUP(D104,'2.Bookinglist'!A:BK,63,FALSE)</f>
        <v>LCHY5</v>
      </c>
      <c r="AN104" s="62" t="str">
        <f>VLOOKUP(D104,'2.Bookinglist'!A:AZ,52,FALSE)</f>
        <v>CY -RTN DD.21/09 -27/09/2026 /CHECK OPEN GATE BEFORE RETURN CNTR </v>
      </c>
      <c r="AO104" s="62">
        <f>VLOOKUP(D104,'2.Bookinglist'!A:CY,103,FALSE)</f>
        <v>0</v>
      </c>
    </row>
    <row r="105" ht="12.95" customHeight="1">
      <c r="A105" s="96" t="inlineStr">
        <is>
          <t>SKLU0557981</t>
        </is>
      </c>
      <c r="B105" s="184" t="str">
        <f>IF(C105=Charge!$M$1,Charge!$J$1,IF(C105=Charge!$M$23,Charge!$J$23,IF(C105=Charge!$M$17,Charge!$J$17,IF(C105=Charge!$N$17,Charge!$J$17,Charge!$J$7))))</f>
        <v>G2</v>
      </c>
      <c r="C105" s="61" t="str">
        <f>VLOOKUP(A105,'1.Loading'!A:R,14,FALSE)</f>
        <v>LCH06</v>
      </c>
      <c r="D105" s="61" t="str">
        <f>VLOOKUP(A105,'1.Loading'!A:R,17,FALSE)</f>
        <v>HASLS22260902059</v>
      </c>
      <c r="E105" s="62" t="str">
        <f>VLOOKUP(D105,'2.Bookinglist'!A:CT,27,FALSE)</f>
        <v>SCGJWD LOGISTICS PUBLIC COMPANY LIMITED</v>
      </c>
      <c r="F105" s="62" t="str">
        <f>VLOOKUP(D105,'2.Bookinglist'!A:CT,28,FALSE)</f>
        <v>THAI POLYETHYLENE CO., LTD.</v>
      </c>
      <c r="G105" s="60">
        <f>VLOOKUP(D105,'2.Bookinglist'!A:E,5,FALSE)</f>
        <v>0</v>
      </c>
      <c r="H105" s="61" t="str">
        <f>VLOOKUP(D105,'2.Bookinglist'!A:CT,15,FALSE)</f>
        <v>THLCH</v>
      </c>
      <c r="I105" s="61" t="str">
        <f>VLOOKUP(D105,'2.Bookinglist'!A:CT,19,FALSE)</f>
        <v>JPHHE</v>
      </c>
      <c r="J105" s="61" t="str">
        <f>VLOOKUP(D105,'2.Bookinglist'!A:CT,26,FALSE)</f>
        <v>KRPUS</v>
      </c>
      <c r="K105" s="61" t="str">
        <f>VLOOKUP(A105,'1.Loading'!A:R,5,FALSE)</f>
        <v>22GP</v>
      </c>
      <c r="L105" s="60" t="str">
        <f>VLOOKUP(D105,'2.Bookinglist'!A:CT,85,FALSE)</f>
        <v>CY/CY</v>
      </c>
      <c r="M105" s="60" t="str">
        <f>IF(VLOOKUP(D105,'2.Bookinglist'!A:CT,43,FALSE)=0,"","DG")</f>
        <v/>
      </c>
      <c r="N105" s="60" t="str">
        <f>IF(RIGHT(K105,2)="RE","RF","")</f>
        <v/>
      </c>
      <c r="O105" s="61" t="str">
        <f>VLOOKUP(A105,'1.Loading'!A:R,3,FALSE)</f>
        <v>SWVG</v>
      </c>
      <c r="P105" s="61" t="str">
        <f>VLOOKUP(A105,'1.Loading'!A:R,4,FALSE)</f>
        <v>2612N</v>
      </c>
      <c r="Q105" s="61" t="str">
        <f>VLOOKUP(D105,'2.Bookinglist'!A:CT,12,FALSE)</f>
        <v>PCI2</v>
      </c>
      <c r="R105" s="60" t="str">
        <f>IF(LEFT(K105,2)="22","20'","40'")</f>
        <v>20'</v>
      </c>
      <c r="S105" s="185" t="n"/>
      <c r="T105" s="61" t="str">
        <f>VLOOKUP(A105,'1.Loading'!A:R,2,FALSE)</f>
        <v>2026-10-07</v>
      </c>
      <c r="U105" s="63">
        <f>T105-S105</f>
        <v>46302</v>
      </c>
      <c r="V105" s="186" t="n"/>
      <c r="W105" s="61" t="str">
        <f>VLOOKUP(A105,'3.GateMove'!A:D,4,FALSE)</f>
        <v>2026-10-02</v>
      </c>
      <c r="X105" s="63">
        <f>((T105-W105)+1)</f>
        <v>6</v>
      </c>
      <c r="Y105" s="64">
        <f>IF(AND(OR(C105="BKK01",C105="BKK04"),L105="CFS/CY"),0,IF(M105="DG",1,IF(LEFT(C105,3)="LCH",7,IF(C105="BKK02",5,3))))</f>
        <v>7</v>
      </c>
      <c r="Z105" s="63">
        <f>IF(IF(AND(AC105="TML",AB105&gt;0),((T105-W105)+1)-AB105,((T105-W105)+1)-Y105)&gt;0,IF(AND(AC105="TML",AB105&gt;0),((T105-W105)+1)-AB105,((T105-W105)+1)-Y105),0)</f>
        <v>0</v>
      </c>
      <c r="AA105" s="187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0</v>
      </c>
      <c r="AB105" s="184" t="n"/>
      <c r="AC105" s="184" t="n"/>
      <c r="AD105" s="60">
        <f>IF(M105="DG",3,IF(N105="RF",3,5))+IF(AND(LEFT(C105,3)="BKK",N105="RF",Q105="KTS"),1,0)+IF(Q105="KHS",1,0)</f>
        <v>5</v>
      </c>
      <c r="AE105" s="63">
        <f>(T105-V105)+1</f>
        <v>46303</v>
      </c>
      <c r="AF105" s="63">
        <f>IF(AB105&gt;IF((V105-W105)&gt;0,V105-W105,0),0,IF(AB105&lt;IF((V105-W105)&gt;0,V105-W105,0),IF((V105-W105)&gt;0,V105-W105,0)-AB105,IF((V105-W105)&gt;0,V105-W105,0)))</f>
        <v>0</v>
      </c>
      <c r="AG105" s="187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 t="n"/>
      <c r="AI105" s="65">
        <f>AA105-AH105</f>
        <v>0</v>
      </c>
      <c r="AJ105" s="188" t="n"/>
      <c r="AK105" s="62" t="str">
        <f>VLOOKUP(D105,'2.Bookinglist'!A:CT,40,FALSE)</f>
        <v>Kanokporn</v>
      </c>
      <c r="AL105" s="60" t="str">
        <f>VLOOKUP(D105,'2.Bookinglist'!A:CW,101,FALSE)</f>
        <v>2026-10-06</v>
      </c>
      <c r="AM105" s="60" t="str">
        <f>VLOOKUP(D105,'2.Bookinglist'!A:BK,63,FALSE)</f>
        <v>LCHY5</v>
      </c>
      <c r="AN105" s="62" t="str">
        <f>VLOOKUP(D105,'2.Bookinglist'!A:AZ,52,FALSE)</f>
        <v>[FIX]CY 28/09/26 , RTN 30/09/26 (Invoice No. 3031060891)</v>
      </c>
      <c r="AO105" s="62">
        <f>VLOOKUP(D105,'2.Bookinglist'!A:CY,103,FALSE)</f>
        <v>0</v>
      </c>
    </row>
    <row r="106" ht="12.95" customHeight="1">
      <c r="A106" s="96" t="inlineStr">
        <is>
          <t>SKLU0708558</t>
        </is>
      </c>
      <c r="B106" s="184" t="str">
        <f>IF(C106=Charge!$M$1,Charge!$J$1,IF(C106=Charge!$M$23,Charge!$J$23,IF(C106=Charge!$M$17,Charge!$J$17,IF(C106=Charge!$N$17,Charge!$J$17,Charge!$J$7))))</f>
        <v>G2</v>
      </c>
      <c r="C106" s="61" t="str">
        <f>VLOOKUP(A106,'1.Loading'!A:R,14,FALSE)</f>
        <v>LCH06</v>
      </c>
      <c r="D106" s="61" t="str">
        <f>VLOOKUP(A106,'1.Loading'!A:R,17,FALSE)</f>
        <v>HASLS22260901513</v>
      </c>
      <c r="E106" s="62" t="str">
        <f>VLOOKUP(D106,'2.Bookinglist'!A:CT,27,FALSE)</f>
        <v>DOUBLE A (1991) PUBLIC COMPANY LIMITED</v>
      </c>
      <c r="F106" s="62" t="str">
        <f>VLOOKUP(D106,'2.Bookinglist'!A:CT,28,FALSE)</f>
        <v>DOUBLE A (1991) PUBLIC COMPANY LIMITED</v>
      </c>
      <c r="G106" s="60">
        <f>VLOOKUP(D106,'2.Bookinglist'!A:E,5,FALSE)</f>
        <v>0</v>
      </c>
      <c r="H106" s="61" t="str">
        <f>VLOOKUP(D106,'2.Bookinglist'!A:CT,15,FALSE)</f>
        <v>THLCH</v>
      </c>
      <c r="I106" s="61" t="str">
        <f>VLOOKUP(D106,'2.Bookinglist'!A:CT,19,FALSE)</f>
        <v>CNSHA</v>
      </c>
      <c r="J106" s="61">
        <f>VLOOKUP(D106,'2.Bookinglist'!A:CT,26,FALSE)</f>
        <v>0</v>
      </c>
      <c r="K106" s="61" t="str">
        <f>VLOOKUP(A106,'1.Loading'!A:R,5,FALSE)</f>
        <v>22GP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>IF(RIGHT(K106,2)="RE","RF","")</f>
        <v/>
      </c>
      <c r="O106" s="61" t="str">
        <f>VLOOKUP(A106,'1.Loading'!A:R,3,FALSE)</f>
        <v>SWVG</v>
      </c>
      <c r="P106" s="61" t="str">
        <f>VLOOKUP(A106,'1.Loading'!A:R,4,FALSE)</f>
        <v>2612N</v>
      </c>
      <c r="Q106" s="61" t="str">
        <f>VLOOKUP(D106,'2.Bookinglist'!A:CT,12,FALSE)</f>
        <v>PCI2</v>
      </c>
      <c r="R106" s="60" t="str">
        <f>IF(LEFT(K106,2)="22","20'","40'")</f>
        <v>20'</v>
      </c>
      <c r="S106" s="185" t="n"/>
      <c r="T106" s="61" t="str">
        <f>VLOOKUP(A106,'1.Loading'!A:R,2,FALSE)</f>
        <v>2026-10-07</v>
      </c>
      <c r="U106" s="63">
        <f>T106-S106</f>
        <v>46302</v>
      </c>
      <c r="V106" s="186" t="n"/>
      <c r="W106" s="61" t="str">
        <f>VLOOKUP(A106,'3.GateMove'!A:D,4,FALSE)</f>
        <v>2026-10-01</v>
      </c>
      <c r="X106" s="63">
        <f>((T106-W106)+1)</f>
        <v>7</v>
      </c>
      <c r="Y106" s="64">
        <f>IF(AND(OR(C106="BKK01",C106="BKK04"),L106="CFS/CY"),0,IF(M106="DG",1,IF(LEFT(C106,3)="LCH",7,IF(C106="BKK02",5,3))))</f>
        <v>7</v>
      </c>
      <c r="Z106" s="63">
        <f>IF(IF(AND(AC106="TML",AB106&gt;0),((T106-W106)+1)-AB106,((T106-W106)+1)-Y106)&gt;0,IF(AND(AC106="TML",AB106&gt;0),((T106-W106)+1)-AB106,((T106-W106)+1)-Y106),0)</f>
        <v>0</v>
      </c>
      <c r="AA106" s="187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0</v>
      </c>
      <c r="AB106" s="184" t="n"/>
      <c r="AC106" s="184" t="n"/>
      <c r="AD106" s="60">
        <f>IF(M106="DG",3,IF(N106="RF",3,5))+IF(AND(LEFT(C106,3)="BKK",N106="RF",Q106="KTS"),1,0)+IF(Q106="KHS",1,0)</f>
        <v>5</v>
      </c>
      <c r="AE106" s="63">
        <f>(T106-V106)+1</f>
        <v>46303</v>
      </c>
      <c r="AF106" s="63">
        <f>IF(AB106&gt;IF((V106-W106)&gt;0,V106-W106,0),0,IF(AB106&lt;IF((V106-W106)&gt;0,V106-W106,0),IF((V106-W106)&gt;0,V106-W106,0)-AB106,IF((V106-W106)&gt;0,V106-W106,0)))</f>
        <v>0</v>
      </c>
      <c r="AG106" s="187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 t="n"/>
      <c r="AI106" s="65">
        <f>AA106-AH106</f>
        <v>0</v>
      </c>
      <c r="AJ106" s="188" t="n"/>
      <c r="AK106" s="62" t="str">
        <f>VLOOKUP(D106,'2.Bookinglist'!A:CT,40,FALSE)</f>
        <v>Kanokporn</v>
      </c>
      <c r="AL106" s="60" t="str">
        <f>VLOOKUP(D106,'2.Bookinglist'!A:CW,101,FALSE)</f>
        <v>2026-10-03</v>
      </c>
      <c r="AM106" s="60" t="str">
        <f>VLOOKUP(D106,'2.Bookinglist'!A:BK,63,FALSE)</f>
        <v>LCHY5</v>
      </c>
      <c r="AN106" s="62" t="str">
        <f>VLOOKUP(D106,'2.Bookinglist'!A:AZ,52,FALSE)</f>
        <v>CY-RTN : 25-29/09/2026
REF : PI-CN-TH-DA-26090065,PI-CN-TH-DA-26090066,PI-CN-TH-DA-26090068
FRT 31/20'/31/40'HQ  Freetime 21 days 
</v>
      </c>
      <c r="AO106" s="62">
        <f>VLOOKUP(D106,'2.Bookinglist'!A:CY,103,FALSE)</f>
        <v>0</v>
      </c>
    </row>
    <row r="107" ht="12.95" customHeight="1">
      <c r="A107" s="96" t="inlineStr">
        <is>
          <t>SKLU1206106</t>
        </is>
      </c>
      <c r="B107" s="184" t="str">
        <f>IF(C107=Charge!$M$1,Charge!$J$1,IF(C107=Charge!$M$23,Charge!$J$23,IF(C107=Charge!$M$17,Charge!$J$17,IF(C107=Charge!$N$17,Charge!$J$17,Charge!$J$7))))</f>
        <v>G2</v>
      </c>
      <c r="C107" s="61" t="str">
        <f>VLOOKUP(A107,'1.Loading'!A:R,14,FALSE)</f>
        <v>LCH06</v>
      </c>
      <c r="D107" s="61" t="str">
        <f>VLOOKUP(A107,'1.Loading'!A:R,17,FALSE)</f>
        <v>HASLS22260901104</v>
      </c>
      <c r="E107" s="62" t="str">
        <f>VLOOKUP(D107,'2.Bookinglist'!A:CT,27,FALSE)</f>
        <v>TTR FREIGHT AND SERVICE COMPANY LIMITED</v>
      </c>
      <c r="F107" s="62" t="str">
        <f>VLOOKUP(D107,'2.Bookinglist'!A:CT,28,FALSE)</f>
        <v>RAK SYSCOM (THAILAND) COMPANY LIMITD.</v>
      </c>
      <c r="G107" s="60" t="str">
        <f>VLOOKUP(D107,'2.Bookinglist'!A:E,5,FALSE)</f>
        <v>THSRP</v>
      </c>
      <c r="H107" s="61" t="str">
        <f>VLOOKUP(D107,'2.Bookinglist'!A:CT,15,FALSE)</f>
        <v>THLCH</v>
      </c>
      <c r="I107" s="61" t="str">
        <f>VLOOKUP(D107,'2.Bookinglist'!A:CT,19,FALSE)</f>
        <v>CNSHA</v>
      </c>
      <c r="J107" s="61">
        <f>VLOOKUP(D107,'2.Bookinglist'!A:CT,26,FALSE)</f>
        <v>0</v>
      </c>
      <c r="K107" s="61" t="str">
        <f>VLOOKUP(A107,'1.Loading'!A:R,5,FALSE)</f>
        <v>22GP</v>
      </c>
      <c r="L107" s="60" t="str">
        <f>VLOOKUP(D107,'2.Bookinglist'!A:CT,85,FALSE)</f>
        <v>CY/CY</v>
      </c>
      <c r="M107" s="60" t="str">
        <f>IF(VLOOKUP(D107,'2.Bookinglist'!A:CT,43,FALSE)=0,"","DG")</f>
        <v/>
      </c>
      <c r="N107" s="60" t="str">
        <f>IF(RIGHT(K107,2)="RE","RF","")</f>
        <v/>
      </c>
      <c r="O107" s="61" t="str">
        <f>VLOOKUP(A107,'1.Loading'!A:R,3,FALSE)</f>
        <v>SWVG</v>
      </c>
      <c r="P107" s="61" t="str">
        <f>VLOOKUP(A107,'1.Loading'!A:R,4,FALSE)</f>
        <v>2612N</v>
      </c>
      <c r="Q107" s="61" t="str">
        <f>VLOOKUP(D107,'2.Bookinglist'!A:CT,12,FALSE)</f>
        <v>PCI2</v>
      </c>
      <c r="R107" s="60" t="str">
        <f>IF(LEFT(K107,2)="22","20'","40'")</f>
        <v>20'</v>
      </c>
      <c r="S107" s="185" t="n"/>
      <c r="T107" s="61" t="str">
        <f>VLOOKUP(A107,'1.Loading'!A:R,2,FALSE)</f>
        <v>2026-10-07</v>
      </c>
      <c r="U107" s="63">
        <f>T107-S107</f>
        <v>46302</v>
      </c>
      <c r="V107" s="186" t="n"/>
      <c r="W107" s="61" t="str">
        <f>VLOOKUP(A107,'3.GateMove'!A:D,4,FALSE)</f>
        <v>2026-09-26</v>
      </c>
      <c r="X107" s="63">
        <f>((T107-W107)+1)</f>
        <v>12</v>
      </c>
      <c r="Y107" s="64">
        <f>IF(AND(OR(C107="BKK01",C107="BKK04"),L107="CFS/CY"),0,IF(M107="DG",1,IF(LEFT(C107,3)="LCH",7,IF(C107="BKK02",5,3))))</f>
        <v>7</v>
      </c>
      <c r="Z107" s="63">
        <f>IF(IF(AND(AC107="TML",AB107&gt;0),((T107-W107)+1)-AB107,((T107-W107)+1)-Y107)&gt;0,IF(AND(AC107="TML",AB107&gt;0),((T107-W107)+1)-AB107,((T107-W107)+1)-Y107),0)</f>
        <v>5</v>
      </c>
      <c r="AA107" s="187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625</v>
      </c>
      <c r="AB107" s="184" t="n"/>
      <c r="AC107" s="184" t="n"/>
      <c r="AD107" s="60">
        <f>IF(M107="DG",3,IF(N107="RF",3,5))+IF(AND(LEFT(C107,3)="BKK",N107="RF",Q107="KTS"),1,0)+IF(Q107="KHS",1,0)</f>
        <v>5</v>
      </c>
      <c r="AE107" s="63">
        <f>(T107-V107)+1</f>
        <v>46303</v>
      </c>
      <c r="AF107" s="63">
        <f>IF(AB107&gt;IF((V107-W107)&gt;0,V107-W107,0),0,IF(AB107&lt;IF((V107-W107)&gt;0,V107-W107,0),IF((V107-W107)&gt;0,V107-W107,0)-AB107,IF((V107-W107)&gt;0,V107-W107,0)))</f>
        <v>0</v>
      </c>
      <c r="AG107" s="187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 t="n"/>
      <c r="AI107" s="65">
        <f>AA107-AH107</f>
        <v>625</v>
      </c>
      <c r="AJ107" s="188" t="n"/>
      <c r="AK107" s="62" t="str">
        <f>VLOOKUP(D107,'2.Bookinglist'!A:CT,40,FALSE)</f>
        <v>Arunphat W. (Aiw)</v>
      </c>
      <c r="AL107" s="60" t="str">
        <f>VLOOKUP(D107,'2.Bookinglist'!A:CW,101,FALSE)</f>
        <v>2026-10-08</v>
      </c>
      <c r="AM107" s="60" t="str">
        <f>VLOOKUP(D107,'2.Bookinglist'!A:BK,63,FALSE)</f>
        <v>BKK27</v>
      </c>
      <c r="AN107" s="62" t="str">
        <f>VLOOKUP(D107,'2.Bookinglist'!A:AZ,52,FALSE)</f>
        <v>* APPROVE BY KIM JAE-HYUNG DD 29/09* 
SURVEY 21/09  Pickup : 2026-09-21, Return : 2026-09-24 [PAPERLESS CODE : 2829] 
 CLS TIME 24/09 @22.00 </v>
      </c>
      <c r="AO107" s="62" t="str">
        <f>VLOOKUP(D107,'2.Bookinglist'!A:CY,103,FALSE)</f>
        <v>ROLL OVER FROM PREVIOUS VSL HAB 2611N BY ALLOCATION TEAM MS.TAN APPROVED COST IS UNDER HA DD.26/09</v>
      </c>
    </row>
    <row r="108" ht="12.95" customHeight="1">
      <c r="A108" s="96" t="inlineStr">
        <is>
          <t>SKLU1309969</t>
        </is>
      </c>
      <c r="B108" s="184" t="str">
        <f>IF(C108=Charge!$M$1,Charge!$J$1,IF(C108=Charge!$M$23,Charge!$J$23,IF(C108=Charge!$M$17,Charge!$J$17,IF(C108=Charge!$N$17,Charge!$J$17,Charge!$J$7))))</f>
        <v>G2</v>
      </c>
      <c r="C108" s="61" t="str">
        <f>VLOOKUP(A108,'1.Loading'!A:R,14,FALSE)</f>
        <v>LCH06</v>
      </c>
      <c r="D108" s="61" t="str">
        <f>VLOOKUP(A108,'1.Loading'!A:R,17,FALSE)</f>
        <v>HASLS22260901686</v>
      </c>
      <c r="E108" s="62" t="str">
        <f>VLOOKUP(D108,'2.Bookinglist'!A:CT,27,FALSE)</f>
        <v>L.A.1 CO.,LTD.</v>
      </c>
      <c r="F108" s="62" t="str">
        <f>VLOOKUP(D108,'2.Bookinglist'!A:CT,28,FALSE)</f>
        <v>TANATEX CHEMICALS (THAILAND) CO., LTD.</v>
      </c>
      <c r="G108" s="60">
        <f>VLOOKUP(D108,'2.Bookinglist'!A:E,5,FALSE)</f>
        <v>0</v>
      </c>
      <c r="H108" s="61" t="str">
        <f>VLOOKUP(D108,'2.Bookinglist'!A:CT,15,FALSE)</f>
        <v>THLCH</v>
      </c>
      <c r="I108" s="61" t="str">
        <f>VLOOKUP(D108,'2.Bookinglist'!A:CT,19,FALSE)</f>
        <v>JPNGO</v>
      </c>
      <c r="J108" s="61" t="str">
        <f>VLOOKUP(D108,'2.Bookinglist'!A:CT,26,FALSE)</f>
        <v>KRPUS</v>
      </c>
      <c r="K108" s="61" t="str">
        <f>VLOOKUP(A108,'1.Loading'!A:R,5,FALSE)</f>
        <v>22GP</v>
      </c>
      <c r="L108" s="60" t="str">
        <f>VLOOKUP(D108,'2.Bookinglist'!A:CT,85,FALSE)</f>
        <v>CY/CY</v>
      </c>
      <c r="M108" s="60" t="str">
        <f>IF(VLOOKUP(D108,'2.Bookinglist'!A:CT,43,FALSE)=0,"","DG")</f>
        <v>DG</v>
      </c>
      <c r="N108" s="60" t="str">
        <f>IF(RIGHT(K108,2)="RE","RF","")</f>
        <v/>
      </c>
      <c r="O108" s="61" t="str">
        <f>VLOOKUP(A108,'1.Loading'!A:R,3,FALSE)</f>
        <v>SWVG</v>
      </c>
      <c r="P108" s="61" t="str">
        <f>VLOOKUP(A108,'1.Loading'!A:R,4,FALSE)</f>
        <v>2612N</v>
      </c>
      <c r="Q108" s="61" t="str">
        <f>VLOOKUP(D108,'2.Bookinglist'!A:CT,12,FALSE)</f>
        <v>PCI2</v>
      </c>
      <c r="R108" s="60" t="str">
        <f>IF(LEFT(K108,2)="22","20'","40'")</f>
        <v>20'</v>
      </c>
      <c r="S108" s="185" t="n"/>
      <c r="T108" s="61" t="str">
        <f>VLOOKUP(A108,'1.Loading'!A:R,2,FALSE)</f>
        <v>2026-10-07</v>
      </c>
      <c r="U108" s="63">
        <f>T108-S108</f>
        <v>46302</v>
      </c>
      <c r="V108" s="186" t="n"/>
      <c r="W108" s="61" t="str">
        <f>VLOOKUP(A108,'3.GateMove'!A:D,4,FALSE)</f>
        <v>2026-10-07</v>
      </c>
      <c r="X108" s="63">
        <f>((T108-W108)+1)</f>
        <v>1</v>
      </c>
      <c r="Y108" s="64">
        <f>IF(AND(OR(C108="BKK01",C108="BKK04"),L108="CFS/CY"),0,IF(M108="DG",1,IF(LEFT(C108,3)="LCH",7,IF(C108="BKK02",5,3))))</f>
        <v>1</v>
      </c>
      <c r="Z108" s="63">
        <f>IF(IF(AND(AC108="TML",AB108&gt;0),((T108-W108)+1)-AB108,((T108-W108)+1)-Y108)&gt;0,IF(AND(AC108="TML",AB108&gt;0),((T108-W108)+1)-AB108,((T108-W108)+1)-Y108),0)</f>
        <v>0</v>
      </c>
      <c r="AA108" s="187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0</v>
      </c>
      <c r="AB108" s="184" t="n"/>
      <c r="AC108" s="184" t="n"/>
      <c r="AD108" s="60">
        <f>IF(M108="DG",3,IF(N108="RF",3,5))+IF(AND(LEFT(C108,3)="BKK",N108="RF",Q108="KTS"),1,0)+IF(Q108="KHS",1,0)</f>
        <v>3</v>
      </c>
      <c r="AE108" s="63">
        <f>(T108-V108)+1</f>
        <v>46303</v>
      </c>
      <c r="AF108" s="63">
        <f>IF(AB108&gt;IF((V108-W108)&gt;0,V108-W108,0),0,IF(AB108&lt;IF((V108-W108)&gt;0,V108-W108,0),IF((V108-W108)&gt;0,V108-W108,0)-AB108,IF((V108-W108)&gt;0,V108-W108,0)))</f>
        <v>0</v>
      </c>
      <c r="AG108" s="187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 t="n"/>
      <c r="AI108" s="65">
        <f>AA108-AH108</f>
        <v>0</v>
      </c>
      <c r="AJ108" s="188" t="n"/>
      <c r="AK108" s="62" t="str">
        <f>VLOOKUP(D108,'2.Bookinglist'!A:CT,40,FALSE)</f>
        <v>Sukunpoj Damrongying</v>
      </c>
      <c r="AL108" s="60" t="str">
        <f>VLOOKUP(D108,'2.Bookinglist'!A:CW,101,FALSE)</f>
        <v>2026-10-07</v>
      </c>
      <c r="AM108" s="60" t="str">
        <f>VLOOKUP(D108,'2.Bookinglist'!A:BK,63,FALSE)</f>
        <v>LCH28</v>
      </c>
      <c r="AN108" s="62" t="str">
        <f>VLOOKUP(D108,'2.Bookinglist'!A:AZ,52,FALSE)</f>
        <v>**APPROVAL DG IN SYSTEM DD.24/09/2026** DG(Mix)22GPx1 (CLS 9 / UN 3082, CLS 8 / UN 3265) 
Pickup : 2026-10-03, Return @JWD : 2026-10-05 </v>
      </c>
      <c r="AO108" s="62">
        <f>VLOOKUP(D108,'2.Bookinglist'!A:CY,103,FALSE)</f>
        <v>0</v>
      </c>
    </row>
    <row r="109" ht="12.95" customHeight="1">
      <c r="A109" s="96" t="inlineStr">
        <is>
          <t>SKLU1344912</t>
        </is>
      </c>
      <c r="B109" s="184" t="str">
        <f>IF(C109=Charge!$M$1,Charge!$J$1,IF(C109=Charge!$M$23,Charge!$J$23,IF(C109=Charge!$M$17,Charge!$J$17,IF(C109=Charge!$N$17,Charge!$J$17,Charge!$J$7))))</f>
        <v>G2</v>
      </c>
      <c r="C109" s="61" t="str">
        <f>VLOOKUP(A109,'1.Loading'!A:R,14,FALSE)</f>
        <v>LCH06</v>
      </c>
      <c r="D109" s="61" t="str">
        <f>VLOOKUP(A109,'1.Loading'!A:R,17,FALSE)</f>
        <v>HASLS22260901104</v>
      </c>
      <c r="E109" s="62" t="str">
        <f>VLOOKUP(D109,'2.Bookinglist'!A:CT,27,FALSE)</f>
        <v>TTR FREIGHT AND SERVICE COMPANY LIMITED</v>
      </c>
      <c r="F109" s="62" t="str">
        <f>VLOOKUP(D109,'2.Bookinglist'!A:CT,28,FALSE)</f>
        <v>RAK SYSCOM (THAILAND) COMPANY LIMITD.</v>
      </c>
      <c r="G109" s="60" t="str">
        <f>VLOOKUP(D109,'2.Bookinglist'!A:E,5,FALSE)</f>
        <v>THSRP</v>
      </c>
      <c r="H109" s="61" t="str">
        <f>VLOOKUP(D109,'2.Bookinglist'!A:CT,15,FALSE)</f>
        <v>THLCH</v>
      </c>
      <c r="I109" s="61" t="str">
        <f>VLOOKUP(D109,'2.Bookinglist'!A:CT,19,FALSE)</f>
        <v>CNSHA</v>
      </c>
      <c r="J109" s="61">
        <f>VLOOKUP(D109,'2.Bookinglist'!A:CT,26,FALSE)</f>
        <v>0</v>
      </c>
      <c r="K109" s="61" t="str">
        <f>VLOOKUP(A109,'1.Loading'!A:R,5,FALSE)</f>
        <v>22GP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>IF(RIGHT(K109,2)="RE","RF","")</f>
        <v/>
      </c>
      <c r="O109" s="61" t="str">
        <f>VLOOKUP(A109,'1.Loading'!A:R,3,FALSE)</f>
        <v>SWVG</v>
      </c>
      <c r="P109" s="61" t="str">
        <f>VLOOKUP(A109,'1.Loading'!A:R,4,FALSE)</f>
        <v>2612N</v>
      </c>
      <c r="Q109" s="61" t="str">
        <f>VLOOKUP(D109,'2.Bookinglist'!A:CT,12,FALSE)</f>
        <v>PCI2</v>
      </c>
      <c r="R109" s="60" t="str">
        <f>IF(LEFT(K109,2)="22","20'","40'")</f>
        <v>20'</v>
      </c>
      <c r="S109" s="185" t="n"/>
      <c r="T109" s="61" t="str">
        <f>VLOOKUP(A109,'1.Loading'!A:R,2,FALSE)</f>
        <v>2026-10-07</v>
      </c>
      <c r="U109" s="63">
        <f>T109-S109</f>
        <v>46302</v>
      </c>
      <c r="V109" s="186" t="n"/>
      <c r="W109" s="61" t="str">
        <f>VLOOKUP(A109,'3.GateMove'!A:D,4,FALSE)</f>
        <v>2026-09-26</v>
      </c>
      <c r="X109" s="63">
        <f>((T109-W109)+1)</f>
        <v>12</v>
      </c>
      <c r="Y109" s="64">
        <f>IF(AND(OR(C109="BKK01",C109="BKK04"),L109="CFS/CY"),0,IF(M109="DG",1,IF(LEFT(C109,3)="LCH",7,IF(C109="BKK02",5,3))))</f>
        <v>7</v>
      </c>
      <c r="Z109" s="63">
        <f>IF(IF(AND(AC109="TML",AB109&gt;0),((T109-W109)+1)-AB109,((T109-W109)+1)-Y109)&gt;0,IF(AND(AC109="TML",AB109&gt;0),((T109-W109)+1)-AB109,((T109-W109)+1)-Y109),0)</f>
        <v>5</v>
      </c>
      <c r="AA109" s="187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625</v>
      </c>
      <c r="AB109" s="184" t="n"/>
      <c r="AC109" s="184" t="n"/>
      <c r="AD109" s="60">
        <f>IF(M109="DG",3,IF(N109="RF",3,5))+IF(AND(LEFT(C109,3)="BKK",N109="RF",Q109="KTS"),1,0)+IF(Q109="KHS",1,0)</f>
        <v>5</v>
      </c>
      <c r="AE109" s="63">
        <f>(T109-V109)+1</f>
        <v>46303</v>
      </c>
      <c r="AF109" s="63">
        <f>IF(AB109&gt;IF((V109-W109)&gt;0,V109-W109,0),0,IF(AB109&lt;IF((V109-W109)&gt;0,V109-W109,0),IF((V109-W109)&gt;0,V109-W109,0)-AB109,IF((V109-W109)&gt;0,V109-W109,0)))</f>
        <v>0</v>
      </c>
      <c r="AG109" s="187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 t="n"/>
      <c r="AI109" s="65">
        <f>AA109-AH109</f>
        <v>625</v>
      </c>
      <c r="AJ109" s="188" t="n"/>
      <c r="AK109" s="62" t="str">
        <f>VLOOKUP(D109,'2.Bookinglist'!A:CT,40,FALSE)</f>
        <v>Arunphat W. (Aiw)</v>
      </c>
      <c r="AL109" s="60" t="str">
        <f>VLOOKUP(D109,'2.Bookinglist'!A:CW,101,FALSE)</f>
        <v>2026-10-08</v>
      </c>
      <c r="AM109" s="60" t="str">
        <f>VLOOKUP(D109,'2.Bookinglist'!A:BK,63,FALSE)</f>
        <v>BKK27</v>
      </c>
      <c r="AN109" s="62" t="str">
        <f>VLOOKUP(D109,'2.Bookinglist'!A:AZ,52,FALSE)</f>
        <v>* APPROVE BY KIM JAE-HYUNG DD 29/09* 
SURVEY 21/09  Pickup : 2026-09-21, Return : 2026-09-24 [PAPERLESS CODE : 2829] 
 CLS TIME 24/09 @22.00 </v>
      </c>
      <c r="AO109" s="62" t="str">
        <f>VLOOKUP(D109,'2.Bookinglist'!A:CY,103,FALSE)</f>
        <v>ROLL OVER FROM PREVIOUS VSL HAB 2611N BY ALLOCATION TEAM MS.TAN APPROVED COST IS UNDER HA DD.26/09</v>
      </c>
    </row>
    <row r="110" ht="12.95" customHeight="1">
      <c r="A110" s="96" t="inlineStr">
        <is>
          <t>SKLU1417937</t>
        </is>
      </c>
      <c r="B110" s="184" t="str">
        <f>IF(C110=Charge!$M$1,Charge!$J$1,IF(C110=Charge!$M$23,Charge!$J$23,IF(C110=Charge!$M$17,Charge!$J$17,IF(C110=Charge!$N$17,Charge!$J$17,Charge!$J$7))))</f>
        <v>G2</v>
      </c>
      <c r="C110" s="61" t="str">
        <f>VLOOKUP(A110,'1.Loading'!A:R,14,FALSE)</f>
        <v>LCH06</v>
      </c>
      <c r="D110" s="61" t="str">
        <f>VLOOKUP(A110,'1.Loading'!A:R,17,FALSE)</f>
        <v>HASLS22260901310</v>
      </c>
      <c r="E110" s="62" t="str">
        <f>VLOOKUP(D110,'2.Bookinglist'!A:CT,27,FALSE)</f>
        <v>WHA GC LOGISTICS COMPANY LIMITED</v>
      </c>
      <c r="F110" s="62" t="str">
        <f>VLOOKUP(D110,'2.Bookinglist'!A:CT,28,FALSE)</f>
        <v>PTT GLOBAL CHEMICAL PUBLIC COMPANY LIMITED</v>
      </c>
      <c r="G110" s="60">
        <f>VLOOKUP(D110,'2.Bookinglist'!A:E,5,FALSE)</f>
        <v>0</v>
      </c>
      <c r="H110" s="61" t="str">
        <f>VLOOKUP(D110,'2.Bookinglist'!A:CT,15,FALSE)</f>
        <v>THLCH</v>
      </c>
      <c r="I110" s="61" t="str">
        <f>VLOOKUP(D110,'2.Bookinglist'!A:CT,19,FALSE)</f>
        <v>CNSHA</v>
      </c>
      <c r="J110" s="61">
        <f>VLOOKUP(D110,'2.Bookinglist'!A:CT,26,FALSE)</f>
        <v>0</v>
      </c>
      <c r="K110" s="61" t="str">
        <f>VLOOKUP(A110,'1.Loading'!A:R,5,FALSE)</f>
        <v>22GP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>IF(RIGHT(K110,2)="RE","RF","")</f>
        <v/>
      </c>
      <c r="O110" s="61" t="str">
        <f>VLOOKUP(A110,'1.Loading'!A:R,3,FALSE)</f>
        <v>SWVG</v>
      </c>
      <c r="P110" s="61" t="str">
        <f>VLOOKUP(A110,'1.Loading'!A:R,4,FALSE)</f>
        <v>2612N</v>
      </c>
      <c r="Q110" s="61" t="str">
        <f>VLOOKUP(D110,'2.Bookinglist'!A:CT,12,FALSE)</f>
        <v>PCI2</v>
      </c>
      <c r="R110" s="60" t="str">
        <f>IF(LEFT(K110,2)="22","20'","40'")</f>
        <v>20'</v>
      </c>
      <c r="S110" s="185" t="n"/>
      <c r="T110" s="61" t="str">
        <f>VLOOKUP(A110,'1.Loading'!A:R,2,FALSE)</f>
        <v>2026-10-07</v>
      </c>
      <c r="U110" s="63">
        <f>T110-S110</f>
        <v>46302</v>
      </c>
      <c r="V110" s="186" t="n"/>
      <c r="W110" s="61" t="str">
        <f>VLOOKUP(A110,'3.GateMove'!A:D,4,FALSE)</f>
        <v>2026-09-29</v>
      </c>
      <c r="X110" s="63">
        <f>((T110-W110)+1)</f>
        <v>9</v>
      </c>
      <c r="Y110" s="64">
        <f>IF(AND(OR(C110="BKK01",C110="BKK04"),L110="CFS/CY"),0,IF(M110="DG",1,IF(LEFT(C110,3)="LCH",7,IF(C110="BKK02",5,3))))</f>
        <v>7</v>
      </c>
      <c r="Z110" s="63">
        <f>IF(IF(AND(AC110="TML",AB110&gt;0),((T110-W110)+1)-AB110,((T110-W110)+1)-Y110)&gt;0,IF(AND(AC110="TML",AB110&gt;0),((T110-W110)+1)-AB110,((T110-W110)+1)-Y110),0)</f>
        <v>2</v>
      </c>
      <c r="AA110" s="187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250</v>
      </c>
      <c r="AB110" s="184" t="n"/>
      <c r="AC110" s="184" t="n"/>
      <c r="AD110" s="60">
        <f>IF(M110="DG",3,IF(N110="RF",3,5))+IF(AND(LEFT(C110,3)="BKK",N110="RF",Q110="KTS"),1,0)+IF(Q110="KHS",1,0)</f>
        <v>5</v>
      </c>
      <c r="AE110" s="63">
        <f>(T110-V110)+1</f>
        <v>46303</v>
      </c>
      <c r="AF110" s="63">
        <f>IF(AB110&gt;IF((V110-W110)&gt;0,V110-W110,0),0,IF(AB110&lt;IF((V110-W110)&gt;0,V110-W110,0),IF((V110-W110)&gt;0,V110-W110,0)-AB110,IF((V110-W110)&gt;0,V110-W110,0)))</f>
        <v>0</v>
      </c>
      <c r="AG110" s="187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 t="n"/>
      <c r="AI110" s="65">
        <f>AA110-AH110</f>
        <v>250</v>
      </c>
      <c r="AJ110" s="188" t="n"/>
      <c r="AK110" s="62" t="str">
        <f>VLOOKUP(D110,'2.Bookinglist'!A:CT,40,FALSE)</f>
        <v>Dharaporn</v>
      </c>
      <c r="AL110" s="60" t="str">
        <f>VLOOKUP(D110,'2.Bookinglist'!A:CW,101,FALSE)</f>
        <v>2026-10-03</v>
      </c>
      <c r="AM110" s="60" t="str">
        <f>VLOOKUP(D110,'2.Bookinglist'!A:BK,63,FALSE)</f>
        <v>LCHY5</v>
      </c>
      <c r="AN110" s="62" t="str">
        <f>VLOOKUP(D110,'2.Bookinglist'!A:AZ,52,FALSE)</f>
        <v>CY-RTN: 23-27/09/2026</v>
      </c>
      <c r="AO110" s="62">
        <f>VLOOKUP(D110,'2.Bookinglist'!A:CY,103,FALSE)</f>
        <v>0</v>
      </c>
    </row>
    <row r="111" ht="12.95" customHeight="1">
      <c r="A111" s="96" t="inlineStr">
        <is>
          <t>SKLU1541470</t>
        </is>
      </c>
      <c r="B111" s="184" t="str">
        <f>IF(C111=Charge!$M$1,Charge!$J$1,IF(C111=Charge!$M$23,Charge!$J$23,IF(C111=Charge!$M$17,Charge!$J$17,IF(C111=Charge!$N$17,Charge!$J$17,Charge!$J$7))))</f>
        <v>G2</v>
      </c>
      <c r="C111" s="61" t="str">
        <f>VLOOKUP(A111,'1.Loading'!A:R,14,FALSE)</f>
        <v>LCH06</v>
      </c>
      <c r="D111" s="61" t="str">
        <f>VLOOKUP(A111,'1.Loading'!A:R,17,FALSE)</f>
        <v>HASLS22260902060</v>
      </c>
      <c r="E111" s="62" t="str">
        <f>VLOOKUP(D111,'2.Bookinglist'!A:CT,27,FALSE)</f>
        <v>SCGJWD LOGISTICS PUBLIC COMPANY LIMITED</v>
      </c>
      <c r="F111" s="62" t="str">
        <f>VLOOKUP(D111,'2.Bookinglist'!A:CT,28,FALSE)</f>
        <v>THAI POLYETHYLENE CO., LTD.</v>
      </c>
      <c r="G111" s="60">
        <f>VLOOKUP(D111,'2.Bookinglist'!A:E,5,FALSE)</f>
        <v>0</v>
      </c>
      <c r="H111" s="61" t="str">
        <f>VLOOKUP(D111,'2.Bookinglist'!A:CT,15,FALSE)</f>
        <v>THLCH</v>
      </c>
      <c r="I111" s="61" t="str">
        <f>VLOOKUP(D111,'2.Bookinglist'!A:CT,19,FALSE)</f>
        <v>JPISS</v>
      </c>
      <c r="J111" s="61" t="str">
        <f>VLOOKUP(D111,'2.Bookinglist'!A:CT,26,FALSE)</f>
        <v>KRPUS</v>
      </c>
      <c r="K111" s="61" t="str">
        <f>VLOOKUP(A111,'1.Loading'!A:R,5,FALSE)</f>
        <v>22GP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>IF(RIGHT(K111,2)="RE","RF","")</f>
        <v/>
      </c>
      <c r="O111" s="61" t="str">
        <f>VLOOKUP(A111,'1.Loading'!A:R,3,FALSE)</f>
        <v>SWVG</v>
      </c>
      <c r="P111" s="61" t="str">
        <f>VLOOKUP(A111,'1.Loading'!A:R,4,FALSE)</f>
        <v>2612N</v>
      </c>
      <c r="Q111" s="61" t="str">
        <f>VLOOKUP(D111,'2.Bookinglist'!A:CT,12,FALSE)</f>
        <v>PCI2</v>
      </c>
      <c r="R111" s="60" t="str">
        <f>IF(LEFT(K111,2)="22","20'","40'")</f>
        <v>20'</v>
      </c>
      <c r="S111" s="185" t="n"/>
      <c r="T111" s="61" t="str">
        <f>VLOOKUP(A111,'1.Loading'!A:R,2,FALSE)</f>
        <v>2026-10-07</v>
      </c>
      <c r="U111" s="63">
        <f>T111-S111</f>
        <v>46302</v>
      </c>
      <c r="V111" s="186" t="n"/>
      <c r="W111" s="61" t="str">
        <f>VLOOKUP(A111,'3.GateMove'!A:D,4,FALSE)</f>
        <v>2026-10-02</v>
      </c>
      <c r="X111" s="63">
        <f>((T111-W111)+1)</f>
        <v>6</v>
      </c>
      <c r="Y111" s="64">
        <f>IF(AND(OR(C111="BKK01",C111="BKK04"),L111="CFS/CY"),0,IF(M111="DG",1,IF(LEFT(C111,3)="LCH",7,IF(C111="BKK02",5,3))))</f>
        <v>7</v>
      </c>
      <c r="Z111" s="63">
        <f>IF(IF(AND(AC111="TML",AB111&gt;0),((T111-W111)+1)-AB111,((T111-W111)+1)-Y111)&gt;0,IF(AND(AC111="TML",AB111&gt;0),((T111-W111)+1)-AB111,((T111-W111)+1)-Y111),0)</f>
        <v>0</v>
      </c>
      <c r="AA111" s="187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0</v>
      </c>
      <c r="AB111" s="184" t="n"/>
      <c r="AC111" s="184" t="n"/>
      <c r="AD111" s="60">
        <f>IF(M111="DG",3,IF(N111="RF",3,5))+IF(AND(LEFT(C111,3)="BKK",N111="RF",Q111="KTS"),1,0)+IF(Q111="KHS",1,0)</f>
        <v>5</v>
      </c>
      <c r="AE111" s="63">
        <f>(T111-V111)+1</f>
        <v>46303</v>
      </c>
      <c r="AF111" s="63">
        <f>IF(AB111&gt;IF((V111-W111)&gt;0,V111-W111,0),0,IF(AB111&lt;IF((V111-W111)&gt;0,V111-W111,0),IF((V111-W111)&gt;0,V111-W111,0)-AB111,IF((V111-W111)&gt;0,V111-W111,0)))</f>
        <v>0</v>
      </c>
      <c r="AG111" s="187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 t="n"/>
      <c r="AI111" s="65">
        <f>AA111-AH111</f>
        <v>0</v>
      </c>
      <c r="AJ111" s="188" t="n"/>
      <c r="AK111" s="62" t="str">
        <f>VLOOKUP(D111,'2.Bookinglist'!A:CT,40,FALSE)</f>
        <v>Kanokporn</v>
      </c>
      <c r="AL111" s="60" t="str">
        <f>VLOOKUP(D111,'2.Bookinglist'!A:CW,101,FALSE)</f>
        <v>2026-10-06</v>
      </c>
      <c r="AM111" s="60" t="str">
        <f>VLOOKUP(D111,'2.Bookinglist'!A:BK,63,FALSE)</f>
        <v>LCHY5</v>
      </c>
      <c r="AN111" s="62" t="str">
        <f>VLOOKUP(D111,'2.Bookinglist'!A:AZ,52,FALSE)</f>
        <v>[FIX]CY 28/09/26 , RTN 30/09/26 (Invoice No. 3031061666)</v>
      </c>
      <c r="AO111" s="62">
        <f>VLOOKUP(D111,'2.Bookinglist'!A:CY,103,FALSE)</f>
        <v>0</v>
      </c>
    </row>
    <row r="112" ht="12.95" customHeight="1">
      <c r="A112" s="96" t="inlineStr">
        <is>
          <t>SKLU1561380</t>
        </is>
      </c>
      <c r="B112" s="184" t="str">
        <f>IF(C112=Charge!$M$1,Charge!$J$1,IF(C112=Charge!$M$23,Charge!$J$23,IF(C112=Charge!$M$17,Charge!$J$17,IF(C112=Charge!$N$17,Charge!$J$17,Charge!$J$7))))</f>
        <v>G2</v>
      </c>
      <c r="C112" s="61" t="str">
        <f>VLOOKUP(A112,'1.Loading'!A:R,14,FALSE)</f>
        <v>LCH06</v>
      </c>
      <c r="D112" s="61" t="str">
        <f>VLOOKUP(A112,'1.Loading'!A:R,17,FALSE)</f>
        <v>HASLS22260902147</v>
      </c>
      <c r="E112" s="62" t="str">
        <f>VLOOKUP(D112,'2.Bookinglist'!A:CT,27,FALSE)</f>
        <v>DOUBLE A (1991) PUBLIC COMPANY LIMITED</v>
      </c>
      <c r="F112" s="62" t="str">
        <f>VLOOKUP(D112,'2.Bookinglist'!A:CT,28,FALSE)</f>
        <v>DOUBLE A (1991) PUBLIC COMPANY LIMITED</v>
      </c>
      <c r="G112" s="60">
        <f>VLOOKUP(D112,'2.Bookinglist'!A:E,5,FALSE)</f>
        <v>0</v>
      </c>
      <c r="H112" s="61" t="str">
        <f>VLOOKUP(D112,'2.Bookinglist'!A:CT,15,FALSE)</f>
        <v>THLCH</v>
      </c>
      <c r="I112" s="61" t="str">
        <f>VLOOKUP(D112,'2.Bookinglist'!A:CT,19,FALSE)</f>
        <v>CNSHA</v>
      </c>
      <c r="J112" s="61">
        <f>VLOOKUP(D112,'2.Bookinglist'!A:CT,26,FALSE)</f>
        <v>0</v>
      </c>
      <c r="K112" s="61" t="str">
        <f>VLOOKUP(A112,'1.Loading'!A:R,5,FALSE)</f>
        <v>22GP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>IF(RIGHT(K112,2)="RE","RF","")</f>
        <v/>
      </c>
      <c r="O112" s="61" t="str">
        <f>VLOOKUP(A112,'1.Loading'!A:R,3,FALSE)</f>
        <v>SWVG</v>
      </c>
      <c r="P112" s="61" t="str">
        <f>VLOOKUP(A112,'1.Loading'!A:R,4,FALSE)</f>
        <v>2612N</v>
      </c>
      <c r="Q112" s="61" t="str">
        <f>VLOOKUP(D112,'2.Bookinglist'!A:CT,12,FALSE)</f>
        <v>PCI2</v>
      </c>
      <c r="R112" s="60" t="str">
        <f>IF(LEFT(K112,2)="22","20'","40'")</f>
        <v>20'</v>
      </c>
      <c r="S112" s="185" t="n"/>
      <c r="T112" s="61" t="str">
        <f>VLOOKUP(A112,'1.Loading'!A:R,2,FALSE)</f>
        <v>2026-10-07</v>
      </c>
      <c r="U112" s="63">
        <f>T112-S112</f>
        <v>46302</v>
      </c>
      <c r="V112" s="186" t="n"/>
      <c r="W112" s="61" t="str">
        <f>VLOOKUP(A112,'3.GateMove'!A:D,4,FALSE)</f>
        <v>2026-10-04</v>
      </c>
      <c r="X112" s="63">
        <f>((T112-W112)+1)</f>
        <v>4</v>
      </c>
      <c r="Y112" s="64">
        <f>IF(AND(OR(C112="BKK01",C112="BKK04"),L112="CFS/CY"),0,IF(M112="DG",1,IF(LEFT(C112,3)="LCH",7,IF(C112="BKK02",5,3))))</f>
        <v>7</v>
      </c>
      <c r="Z112" s="63">
        <f>IF(IF(AND(AC112="TML",AB112&gt;0),((T112-W112)+1)-AB112,((T112-W112)+1)-Y112)&gt;0,IF(AND(AC112="TML",AB112&gt;0),((T112-W112)+1)-AB112,((T112-W112)+1)-Y112),0)</f>
        <v>0</v>
      </c>
      <c r="AA112" s="187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0</v>
      </c>
      <c r="AB112" s="184" t="n"/>
      <c r="AC112" s="184" t="n"/>
      <c r="AD112" s="60">
        <f>IF(M112="DG",3,IF(N112="RF",3,5))+IF(AND(LEFT(C112,3)="BKK",N112="RF",Q112="KTS"),1,0)+IF(Q112="KHS",1,0)</f>
        <v>5</v>
      </c>
      <c r="AE112" s="63">
        <f>(T112-V112)+1</f>
        <v>46303</v>
      </c>
      <c r="AF112" s="63">
        <f>IF(AB112&gt;IF((V112-W112)&gt;0,V112-W112,0),0,IF(AB112&lt;IF((V112-W112)&gt;0,V112-W112,0),IF((V112-W112)&gt;0,V112-W112,0)-AB112,IF((V112-W112)&gt;0,V112-W112,0)))</f>
        <v>0</v>
      </c>
      <c r="AG112" s="187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 t="n"/>
      <c r="AI112" s="65">
        <f>AA112-AH112</f>
        <v>0</v>
      </c>
      <c r="AJ112" s="188" t="n"/>
      <c r="AK112" s="62" t="str">
        <f>VLOOKUP(D112,'2.Bookinglist'!A:CT,40,FALSE)</f>
        <v>Kanokporn</v>
      </c>
      <c r="AL112" s="60" t="str">
        <f>VLOOKUP(D112,'2.Bookinglist'!A:CW,101,FALSE)</f>
        <v>2026-10-06</v>
      </c>
      <c r="AM112" s="60" t="str">
        <f>VLOOKUP(D112,'2.Bookinglist'!A:BK,63,FALSE)</f>
        <v>LCHY5</v>
      </c>
      <c r="AN112" s="62" t="str">
        <f>VLOOKUP(D112,'2.Bookinglist'!A:AZ,52,FALSE)</f>
        <v>CY-RTN : 29-02/10/2026
REF : PI-CN-TH-DA-26100032. PI-CN-TH-DA-26100033,PI-CN-TH-DA-26100034
FRT 31/20',40'HQ + FREETIME 21DAYS</v>
      </c>
      <c r="AO112" s="62">
        <f>VLOOKUP(D112,'2.Bookinglist'!A:CY,103,FALSE)</f>
        <v>0</v>
      </c>
    </row>
    <row r="113" ht="12.95" customHeight="1">
      <c r="A113" s="96" t="inlineStr">
        <is>
          <t>SKLU1565488</t>
        </is>
      </c>
      <c r="B113" s="184" t="str">
        <f>IF(C113=Charge!$M$1,Charge!$J$1,IF(C113=Charge!$M$23,Charge!$J$23,IF(C113=Charge!$M$17,Charge!$J$17,IF(C113=Charge!$N$17,Charge!$J$17,Charge!$J$7))))</f>
        <v>G2</v>
      </c>
      <c r="C113" s="61" t="str">
        <f>VLOOKUP(A113,'1.Loading'!A:R,14,FALSE)</f>
        <v>LCH06</v>
      </c>
      <c r="D113" s="61" t="str">
        <f>VLOOKUP(A113,'1.Loading'!A:R,17,FALSE)</f>
        <v>HASLS22260901780</v>
      </c>
      <c r="E113" s="62" t="str">
        <f>VLOOKUP(D113,'2.Bookinglist'!A:CT,27,FALSE)</f>
        <v>TRANS-MAKER CO., LTD.</v>
      </c>
      <c r="F113" s="62" t="str">
        <f>VLOOKUP(D113,'2.Bookinglist'!A:CT,28,FALSE)</f>
        <v>TFL LEDERTECHNIK GMBH</v>
      </c>
      <c r="G113" s="60">
        <f>VLOOKUP(D113,'2.Bookinglist'!A:E,5,FALSE)</f>
        <v>0</v>
      </c>
      <c r="H113" s="61" t="str">
        <f>VLOOKUP(D113,'2.Bookinglist'!A:CT,15,FALSE)</f>
        <v>THLCH</v>
      </c>
      <c r="I113" s="61" t="str">
        <f>VLOOKUP(D113,'2.Bookinglist'!A:CT,19,FALSE)</f>
        <v>CNSHA</v>
      </c>
      <c r="J113" s="61">
        <f>VLOOKUP(D113,'2.Bookinglist'!A:CT,26,FALSE)</f>
        <v>0</v>
      </c>
      <c r="K113" s="61" t="str">
        <f>VLOOKUP(A113,'1.Loading'!A:R,5,FALSE)</f>
        <v>22GP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>IF(RIGHT(K113,2)="RE","RF","")</f>
        <v/>
      </c>
      <c r="O113" s="61" t="str">
        <f>VLOOKUP(A113,'1.Loading'!A:R,3,FALSE)</f>
        <v>SWVG</v>
      </c>
      <c r="P113" s="61" t="str">
        <f>VLOOKUP(A113,'1.Loading'!A:R,4,FALSE)</f>
        <v>2612N</v>
      </c>
      <c r="Q113" s="61" t="str">
        <f>VLOOKUP(D113,'2.Bookinglist'!A:CT,12,FALSE)</f>
        <v>PCI2</v>
      </c>
      <c r="R113" s="60" t="str">
        <f>IF(LEFT(K113,2)="22","20'","40'")</f>
        <v>20'</v>
      </c>
      <c r="S113" s="185" t="n"/>
      <c r="T113" s="61" t="str">
        <f>VLOOKUP(A113,'1.Loading'!A:R,2,FALSE)</f>
        <v>2026-10-07</v>
      </c>
      <c r="U113" s="63">
        <f>T113-S113</f>
        <v>46302</v>
      </c>
      <c r="V113" s="186" t="n"/>
      <c r="W113" s="61" t="str">
        <f>VLOOKUP(A113,'3.GateMove'!A:D,4,FALSE)</f>
        <v>2026-10-03</v>
      </c>
      <c r="X113" s="63">
        <f>((T113-W113)+1)</f>
        <v>5</v>
      </c>
      <c r="Y113" s="64">
        <f>IF(AND(OR(C113="BKK01",C113="BKK04"),L113="CFS/CY"),0,IF(M113="DG",1,IF(LEFT(C113,3)="LCH",7,IF(C113="BKK02",5,3))))</f>
        <v>7</v>
      </c>
      <c r="Z113" s="63">
        <f>IF(IF(AND(AC113="TML",AB113&gt;0),((T113-W113)+1)-AB113,((T113-W113)+1)-Y113)&gt;0,IF(AND(AC113="TML",AB113&gt;0),((T113-W113)+1)-AB113,((T113-W113)+1)-Y113),0)</f>
        <v>0</v>
      </c>
      <c r="AA113" s="187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0</v>
      </c>
      <c r="AB113" s="184" t="n"/>
      <c r="AC113" s="184" t="n"/>
      <c r="AD113" s="60">
        <f>IF(M113="DG",3,IF(N113="RF",3,5))+IF(AND(LEFT(C113,3)="BKK",N113="RF",Q113="KTS"),1,0)+IF(Q113="KHS",1,0)</f>
        <v>5</v>
      </c>
      <c r="AE113" s="63">
        <f>(T113-V113)+1</f>
        <v>46303</v>
      </c>
      <c r="AF113" s="63">
        <f>IF(AB113&gt;IF((V113-W113)&gt;0,V113-W113,0),0,IF(AB113&lt;IF((V113-W113)&gt;0,V113-W113,0),IF((V113-W113)&gt;0,V113-W113,0)-AB113,IF((V113-W113)&gt;0,V113-W113,0)))</f>
        <v>0</v>
      </c>
      <c r="AG113" s="187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 t="n"/>
      <c r="AI113" s="65">
        <f>AA113-AH113</f>
        <v>0</v>
      </c>
      <c r="AJ113" s="188" t="n"/>
      <c r="AK113" s="62" t="str">
        <f>VLOOKUP(D113,'2.Bookinglist'!A:CT,40,FALSE)</f>
        <v>Vilaiporn</v>
      </c>
      <c r="AL113" s="60" t="str">
        <f>VLOOKUP(D113,'2.Bookinglist'!A:CW,101,FALSE)</f>
        <v>2026-10-06</v>
      </c>
      <c r="AM113" s="60" t="str">
        <f>VLOOKUP(D113,'2.Bookinglist'!A:BK,63,FALSE)</f>
        <v>LCHY5</v>
      </c>
      <c r="AN113" s="62" t="str">
        <f>VLOOKUP(D113,'2.Bookinglist'!A:AZ,52,FALSE)</f>
        <v>Pickup : 2026-10-01, Return : 2026-10-03</v>
      </c>
      <c r="AO113" s="62">
        <f>VLOOKUP(D113,'2.Bookinglist'!A:CY,103,FALSE)</f>
        <v>0</v>
      </c>
    </row>
    <row r="114" ht="12.95" customHeight="1">
      <c r="A114" s="96" t="inlineStr">
        <is>
          <t>SKLU1604162</t>
        </is>
      </c>
      <c r="B114" s="184" t="str">
        <f>IF(C114=Charge!$M$1,Charge!$J$1,IF(C114=Charge!$M$23,Charge!$J$23,IF(C114=Charge!$M$17,Charge!$J$17,IF(C114=Charge!$N$17,Charge!$J$17,Charge!$J$7))))</f>
        <v>G2</v>
      </c>
      <c r="C114" s="61" t="str">
        <f>VLOOKUP(A114,'1.Loading'!A:R,14,FALSE)</f>
        <v>LCH06</v>
      </c>
      <c r="D114" s="61" t="str">
        <f>VLOOKUP(A114,'1.Loading'!A:R,17,FALSE)</f>
        <v>HASLS22260901582</v>
      </c>
      <c r="E114" s="62" t="str">
        <f>VLOOKUP(D114,'2.Bookinglist'!A:CT,27,FALSE)</f>
        <v>SCGJWD LOGISTICS PUBLIC COMPANY LIMITED</v>
      </c>
      <c r="F114" s="62" t="str">
        <f>VLOOKUP(D114,'2.Bookinglist'!A:CT,28,FALSE)</f>
        <v>THAI POLYETHYLENE CO., LTD.</v>
      </c>
      <c r="G114" s="60">
        <f>VLOOKUP(D114,'2.Bookinglist'!A:E,5,FALSE)</f>
        <v>0</v>
      </c>
      <c r="H114" s="61" t="str">
        <f>VLOOKUP(D114,'2.Bookinglist'!A:CT,15,FALSE)</f>
        <v>THLCH</v>
      </c>
      <c r="I114" s="61" t="str">
        <f>VLOOKUP(D114,'2.Bookinglist'!A:CT,19,FALSE)</f>
        <v>JPMOJ</v>
      </c>
      <c r="J114" s="61" t="str">
        <f>VLOOKUP(D114,'2.Bookinglist'!A:CT,26,FALSE)</f>
        <v>KRPUS</v>
      </c>
      <c r="K114" s="61" t="str">
        <f>VLOOKUP(A114,'1.Loading'!A:R,5,FALSE)</f>
        <v>22GP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>IF(RIGHT(K114,2)="RE","RF","")</f>
        <v/>
      </c>
      <c r="O114" s="61" t="str">
        <f>VLOOKUP(A114,'1.Loading'!A:R,3,FALSE)</f>
        <v>SWVG</v>
      </c>
      <c r="P114" s="61" t="str">
        <f>VLOOKUP(A114,'1.Loading'!A:R,4,FALSE)</f>
        <v>2612N</v>
      </c>
      <c r="Q114" s="61" t="str">
        <f>VLOOKUP(D114,'2.Bookinglist'!A:CT,12,FALSE)</f>
        <v>PCI2</v>
      </c>
      <c r="R114" s="60" t="str">
        <f>IF(LEFT(K114,2)="22","20'","40'")</f>
        <v>20'</v>
      </c>
      <c r="S114" s="185" t="n"/>
      <c r="T114" s="61" t="str">
        <f>VLOOKUP(A114,'1.Loading'!A:R,2,FALSE)</f>
        <v>2026-10-07</v>
      </c>
      <c r="U114" s="63">
        <f>T114-S114</f>
        <v>46302</v>
      </c>
      <c r="V114" s="186" t="n"/>
      <c r="W114" s="61" t="str">
        <f>VLOOKUP(A114,'3.GateMove'!A:D,4,FALSE)</f>
        <v>2026-10-03</v>
      </c>
      <c r="X114" s="63">
        <f>((T114-W114)+1)</f>
        <v>5</v>
      </c>
      <c r="Y114" s="64">
        <f>IF(AND(OR(C114="BKK01",C114="BKK04"),L114="CFS/CY"),0,IF(M114="DG",1,IF(LEFT(C114,3)="LCH",7,IF(C114="BKK02",5,3))))</f>
        <v>7</v>
      </c>
      <c r="Z114" s="63">
        <f>IF(IF(AND(AC114="TML",AB114&gt;0),((T114-W114)+1)-AB114,((T114-W114)+1)-Y114)&gt;0,IF(AND(AC114="TML",AB114&gt;0),((T114-W114)+1)-AB114,((T114-W114)+1)-Y114),0)</f>
        <v>0</v>
      </c>
      <c r="AA114" s="187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0</v>
      </c>
      <c r="AB114" s="184" t="n"/>
      <c r="AC114" s="184" t="n"/>
      <c r="AD114" s="60">
        <f>IF(M114="DG",3,IF(N114="RF",3,5))+IF(AND(LEFT(C114,3)="BKK",N114="RF",Q114="KTS"),1,0)+IF(Q114="KHS",1,0)</f>
        <v>5</v>
      </c>
      <c r="AE114" s="63">
        <f>(T114-V114)+1</f>
        <v>46303</v>
      </c>
      <c r="AF114" s="63">
        <f>IF(AB114&gt;IF((V114-W114)&gt;0,V114-W114,0),0,IF(AB114&lt;IF((V114-W114)&gt;0,V114-W114,0),IF((V114-W114)&gt;0,V114-W114,0)-AB114,IF((V114-W114)&gt;0,V114-W114,0)))</f>
        <v>0</v>
      </c>
      <c r="AG114" s="187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 t="n"/>
      <c r="AI114" s="65">
        <f>AA114-AH114</f>
        <v>0</v>
      </c>
      <c r="AJ114" s="188" t="n"/>
      <c r="AK114" s="62" t="str">
        <f>VLOOKUP(D114,'2.Bookinglist'!A:CT,40,FALSE)</f>
        <v>Kanokporn</v>
      </c>
      <c r="AL114" s="60" t="str">
        <f>VLOOKUP(D114,'2.Bookinglist'!A:CW,101,FALSE)</f>
        <v>2026-10-03</v>
      </c>
      <c r="AM114" s="60" t="str">
        <f>VLOOKUP(D114,'2.Bookinglist'!A:BK,63,FALSE)</f>
        <v>LCHY5</v>
      </c>
      <c r="AN114" s="62" t="str">
        <f>VLOOKUP(D114,'2.Bookinglist'!A:AZ,52,FALSE)</f>
        <v>CY-RTN 28-29/09/26 (  INV  3031061852  )</v>
      </c>
      <c r="AO114" s="62">
        <f>VLOOKUP(D114,'2.Bookinglist'!A:CY,103,FALSE)</f>
        <v>0</v>
      </c>
    </row>
    <row r="115" ht="12.95" customHeight="1">
      <c r="A115" s="96" t="inlineStr">
        <is>
          <t>SKLU1607449</t>
        </is>
      </c>
      <c r="B115" s="184" t="str">
        <f>IF(C115=Charge!$M$1,Charge!$J$1,IF(C115=Charge!$M$23,Charge!$J$23,IF(C115=Charge!$M$17,Charge!$J$17,IF(C115=Charge!$N$17,Charge!$J$17,Charge!$J$7))))</f>
        <v>G2</v>
      </c>
      <c r="C115" s="61" t="str">
        <f>VLOOKUP(A115,'1.Loading'!A:R,14,FALSE)</f>
        <v>LCH06</v>
      </c>
      <c r="D115" s="61" t="str">
        <f>VLOOKUP(A115,'1.Loading'!A:R,17,FALSE)</f>
        <v>HASLS22260901104</v>
      </c>
      <c r="E115" s="62" t="str">
        <f>VLOOKUP(D115,'2.Bookinglist'!A:CT,27,FALSE)</f>
        <v>TTR FREIGHT AND SERVICE COMPANY LIMITED</v>
      </c>
      <c r="F115" s="62" t="str">
        <f>VLOOKUP(D115,'2.Bookinglist'!A:CT,28,FALSE)</f>
        <v>RAK SYSCOM (THAILAND) COMPANY LIMITD.</v>
      </c>
      <c r="G115" s="60" t="str">
        <f>VLOOKUP(D115,'2.Bookinglist'!A:E,5,FALSE)</f>
        <v>THSRP</v>
      </c>
      <c r="H115" s="61" t="str">
        <f>VLOOKUP(D115,'2.Bookinglist'!A:CT,15,FALSE)</f>
        <v>THLCH</v>
      </c>
      <c r="I115" s="61" t="str">
        <f>VLOOKUP(D115,'2.Bookinglist'!A:CT,19,FALSE)</f>
        <v>CNSHA</v>
      </c>
      <c r="J115" s="61">
        <f>VLOOKUP(D115,'2.Bookinglist'!A:CT,26,FALSE)</f>
        <v>0</v>
      </c>
      <c r="K115" s="61" t="str">
        <f>VLOOKUP(A115,'1.Loading'!A:R,5,FALSE)</f>
        <v>22GP</v>
      </c>
      <c r="L115" s="60" t="str">
        <f>VLOOKUP(D115,'2.Bookinglist'!A:CT,85,FALSE)</f>
        <v>CY/CY</v>
      </c>
      <c r="M115" s="60" t="str">
        <f>IF(VLOOKUP(D115,'2.Bookinglist'!A:CT,43,FALSE)=0,"","DG")</f>
        <v/>
      </c>
      <c r="N115" s="60" t="str">
        <f>IF(RIGHT(K115,2)="RE","RF","")</f>
        <v/>
      </c>
      <c r="O115" s="61" t="str">
        <f>VLOOKUP(A115,'1.Loading'!A:R,3,FALSE)</f>
        <v>SWVG</v>
      </c>
      <c r="P115" s="61" t="str">
        <f>VLOOKUP(A115,'1.Loading'!A:R,4,FALSE)</f>
        <v>2612N</v>
      </c>
      <c r="Q115" s="61" t="str">
        <f>VLOOKUP(D115,'2.Bookinglist'!A:CT,12,FALSE)</f>
        <v>PCI2</v>
      </c>
      <c r="R115" s="60" t="str">
        <f>IF(LEFT(K115,2)="22","20'","40'")</f>
        <v>20'</v>
      </c>
      <c r="S115" s="185" t="n"/>
      <c r="T115" s="61" t="str">
        <f>VLOOKUP(A115,'1.Loading'!A:R,2,FALSE)</f>
        <v>2026-10-07</v>
      </c>
      <c r="U115" s="63">
        <f>T115-S115</f>
        <v>46302</v>
      </c>
      <c r="V115" s="186" t="n"/>
      <c r="W115" s="61" t="str">
        <f>VLOOKUP(A115,'3.GateMove'!A:D,4,FALSE)</f>
        <v>2026-09-26</v>
      </c>
      <c r="X115" s="63">
        <f>((T115-W115)+1)</f>
        <v>12</v>
      </c>
      <c r="Y115" s="64">
        <f>IF(AND(OR(C115="BKK01",C115="BKK04"),L115="CFS/CY"),0,IF(M115="DG",1,IF(LEFT(C115,3)="LCH",7,IF(C115="BKK02",5,3))))</f>
        <v>7</v>
      </c>
      <c r="Z115" s="63">
        <f>IF(IF(AND(AC115="TML",AB115&gt;0),((T115-W115)+1)-AB115,((T115-W115)+1)-Y115)&gt;0,IF(AND(AC115="TML",AB115&gt;0),((T115-W115)+1)-AB115,((T115-W115)+1)-Y115),0)</f>
        <v>5</v>
      </c>
      <c r="AA115" s="187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625</v>
      </c>
      <c r="AB115" s="184" t="n"/>
      <c r="AC115" s="184" t="n"/>
      <c r="AD115" s="60">
        <f>IF(M115="DG",3,IF(N115="RF",3,5))+IF(AND(LEFT(C115,3)="BKK",N115="RF",Q115="KTS"),1,0)+IF(Q115="KHS",1,0)</f>
        <v>5</v>
      </c>
      <c r="AE115" s="63">
        <f>(T115-V115)+1</f>
        <v>46303</v>
      </c>
      <c r="AF115" s="63">
        <f>IF(AB115&gt;IF((V115-W115)&gt;0,V115-W115,0),0,IF(AB115&lt;IF((V115-W115)&gt;0,V115-W115,0),IF((V115-W115)&gt;0,V115-W115,0)-AB115,IF((V115-W115)&gt;0,V115-W115,0)))</f>
        <v>0</v>
      </c>
      <c r="AG115" s="187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 t="n"/>
      <c r="AI115" s="65">
        <f>AA115-AH115</f>
        <v>625</v>
      </c>
      <c r="AJ115" s="188" t="n"/>
      <c r="AK115" s="62" t="str">
        <f>VLOOKUP(D115,'2.Bookinglist'!A:CT,40,FALSE)</f>
        <v>Arunphat W. (Aiw)</v>
      </c>
      <c r="AL115" s="60" t="str">
        <f>VLOOKUP(D115,'2.Bookinglist'!A:CW,101,FALSE)</f>
        <v>2026-10-08</v>
      </c>
      <c r="AM115" s="60" t="str">
        <f>VLOOKUP(D115,'2.Bookinglist'!A:BK,63,FALSE)</f>
        <v>BKK27</v>
      </c>
      <c r="AN115" s="62" t="str">
        <f>VLOOKUP(D115,'2.Bookinglist'!A:AZ,52,FALSE)</f>
        <v>* APPROVE BY KIM JAE-HYUNG DD 29/09* 
SURVEY 21/09  Pickup : 2026-09-21, Return : 2026-09-24 [PAPERLESS CODE : 2829] 
 CLS TIME 24/09 @22.00 </v>
      </c>
      <c r="AO115" s="62" t="str">
        <f>VLOOKUP(D115,'2.Bookinglist'!A:CY,103,FALSE)</f>
        <v>ROLL OVER FROM PREVIOUS VSL HAB 2611N BY ALLOCATION TEAM MS.TAN APPROVED COST IS UNDER HA DD.26/09</v>
      </c>
    </row>
    <row r="116" ht="12.95" customHeight="1">
      <c r="A116" s="96" t="inlineStr">
        <is>
          <t>SKLU1613077</t>
        </is>
      </c>
      <c r="B116" s="184" t="str">
        <f>IF(C116=Charge!$M$1,Charge!$J$1,IF(C116=Charge!$M$23,Charge!$J$23,IF(C116=Charge!$M$17,Charge!$J$17,IF(C116=Charge!$N$17,Charge!$J$17,Charge!$J$7))))</f>
        <v>G2</v>
      </c>
      <c r="C116" s="61" t="str">
        <f>VLOOKUP(A116,'1.Loading'!A:R,14,FALSE)</f>
        <v>LCH06</v>
      </c>
      <c r="D116" s="61" t="str">
        <f>VLOOKUP(A116,'1.Loading'!A:R,17,FALSE)</f>
        <v>HASLS22260901582</v>
      </c>
      <c r="E116" s="62" t="str">
        <f>VLOOKUP(D116,'2.Bookinglist'!A:CT,27,FALSE)</f>
        <v>SCGJWD LOGISTICS PUBLIC COMPANY LIMITED</v>
      </c>
      <c r="F116" s="62" t="str">
        <f>VLOOKUP(D116,'2.Bookinglist'!A:CT,28,FALSE)</f>
        <v>THAI POLYETHYLENE CO., LTD.</v>
      </c>
      <c r="G116" s="60">
        <f>VLOOKUP(D116,'2.Bookinglist'!A:E,5,FALSE)</f>
        <v>0</v>
      </c>
      <c r="H116" s="61" t="str">
        <f>VLOOKUP(D116,'2.Bookinglist'!A:CT,15,FALSE)</f>
        <v>THLCH</v>
      </c>
      <c r="I116" s="61" t="str">
        <f>VLOOKUP(D116,'2.Bookinglist'!A:CT,19,FALSE)</f>
        <v>JPMOJ</v>
      </c>
      <c r="J116" s="61" t="str">
        <f>VLOOKUP(D116,'2.Bookinglist'!A:CT,26,FALSE)</f>
        <v>KRPUS</v>
      </c>
      <c r="K116" s="61" t="str">
        <f>VLOOKUP(A116,'1.Loading'!A:R,5,FALSE)</f>
        <v>22GP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>IF(RIGHT(K116,2)="RE","RF","")</f>
        <v/>
      </c>
      <c r="O116" s="61" t="str">
        <f>VLOOKUP(A116,'1.Loading'!A:R,3,FALSE)</f>
        <v>SWVG</v>
      </c>
      <c r="P116" s="61" t="str">
        <f>VLOOKUP(A116,'1.Loading'!A:R,4,FALSE)</f>
        <v>2612N</v>
      </c>
      <c r="Q116" s="61" t="str">
        <f>VLOOKUP(D116,'2.Bookinglist'!A:CT,12,FALSE)</f>
        <v>PCI2</v>
      </c>
      <c r="R116" s="60" t="str">
        <f>IF(LEFT(K116,2)="22","20'","40'")</f>
        <v>20'</v>
      </c>
      <c r="S116" s="185" t="n"/>
      <c r="T116" s="61" t="str">
        <f>VLOOKUP(A116,'1.Loading'!A:R,2,FALSE)</f>
        <v>2026-10-07</v>
      </c>
      <c r="U116" s="63">
        <f>T116-S116</f>
        <v>46302</v>
      </c>
      <c r="V116" s="186" t="n"/>
      <c r="W116" s="61" t="str">
        <f>VLOOKUP(A116,'3.GateMove'!A:D,4,FALSE)</f>
        <v>2026-10-03</v>
      </c>
      <c r="X116" s="63">
        <f>((T116-W116)+1)</f>
        <v>5</v>
      </c>
      <c r="Y116" s="64">
        <f>IF(AND(OR(C116="BKK01",C116="BKK04"),L116="CFS/CY"),0,IF(M116="DG",1,IF(LEFT(C116,3)="LCH",7,IF(C116="BKK02",5,3))))</f>
        <v>7</v>
      </c>
      <c r="Z116" s="63">
        <f>IF(IF(AND(AC116="TML",AB116&gt;0),((T116-W116)+1)-AB116,((T116-W116)+1)-Y116)&gt;0,IF(AND(AC116="TML",AB116&gt;0),((T116-W116)+1)-AB116,((T116-W116)+1)-Y116),0)</f>
        <v>0</v>
      </c>
      <c r="AA116" s="187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0</v>
      </c>
      <c r="AB116" s="184" t="n"/>
      <c r="AC116" s="184" t="n"/>
      <c r="AD116" s="60">
        <f>IF(M116="DG",3,IF(N116="RF",3,5))+IF(AND(LEFT(C116,3)="BKK",N116="RF",Q116="KTS"),1,0)+IF(Q116="KHS",1,0)</f>
        <v>5</v>
      </c>
      <c r="AE116" s="63">
        <f>(T116-V116)+1</f>
        <v>46303</v>
      </c>
      <c r="AF116" s="63">
        <f>IF(AB116&gt;IF((V116-W116)&gt;0,V116-W116,0),0,IF(AB116&lt;IF((V116-W116)&gt;0,V116-W116,0),IF((V116-W116)&gt;0,V116-W116,0)-AB116,IF((V116-W116)&gt;0,V116-W116,0)))</f>
        <v>0</v>
      </c>
      <c r="AG116" s="187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 t="n"/>
      <c r="AI116" s="65">
        <f>AA116-AH116</f>
        <v>0</v>
      </c>
      <c r="AJ116" s="188" t="n"/>
      <c r="AK116" s="62" t="str">
        <f>VLOOKUP(D116,'2.Bookinglist'!A:CT,40,FALSE)</f>
        <v>Kanokporn</v>
      </c>
      <c r="AL116" s="60" t="str">
        <f>VLOOKUP(D116,'2.Bookinglist'!A:CW,101,FALSE)</f>
        <v>2026-10-03</v>
      </c>
      <c r="AM116" s="60" t="str">
        <f>VLOOKUP(D116,'2.Bookinglist'!A:BK,63,FALSE)</f>
        <v>LCHY5</v>
      </c>
      <c r="AN116" s="62" t="str">
        <f>VLOOKUP(D116,'2.Bookinglist'!A:AZ,52,FALSE)</f>
        <v>CY-RTN 28-29/09/26 (  INV  3031061852  )</v>
      </c>
      <c r="AO116" s="62">
        <f>VLOOKUP(D116,'2.Bookinglist'!A:CY,103,FALSE)</f>
        <v>0</v>
      </c>
    </row>
    <row r="117" ht="12.95" customHeight="1">
      <c r="A117" s="96" t="inlineStr">
        <is>
          <t>SKLU1614448</t>
        </is>
      </c>
      <c r="B117" s="184" t="str">
        <f>IF(C117=Charge!$M$1,Charge!$J$1,IF(C117=Charge!$M$23,Charge!$J$23,IF(C117=Charge!$M$17,Charge!$J$17,IF(C117=Charge!$N$17,Charge!$J$17,Charge!$J$7))))</f>
        <v>G2</v>
      </c>
      <c r="C117" s="61" t="str">
        <f>VLOOKUP(A117,'1.Loading'!A:R,14,FALSE)</f>
        <v>LCH06</v>
      </c>
      <c r="D117" s="61" t="str">
        <f>VLOOKUP(A117,'1.Loading'!A:R,17,FALSE)</f>
        <v>HASLS22260902243</v>
      </c>
      <c r="E117" s="62" t="str">
        <f>VLOOKUP(D117,'2.Bookinglist'!A:CT,27,FALSE)</f>
        <v>MAJESTIC INTERNATIONAL LOGISTICS CO., LTD.</v>
      </c>
      <c r="F117" s="62" t="str">
        <f>VLOOKUP(D117,'2.Bookinglist'!A:CT,28,FALSE)</f>
        <v>MITSUBISHI ELECTRIC SIAM COMPRESSOR INDUSTRY CO., LTD.</v>
      </c>
      <c r="G117" s="60">
        <f>VLOOKUP(D117,'2.Bookinglist'!A:E,5,FALSE)</f>
        <v>0</v>
      </c>
      <c r="H117" s="61" t="str">
        <f>VLOOKUP(D117,'2.Bookinglist'!A:CT,15,FALSE)</f>
        <v>THLCH</v>
      </c>
      <c r="I117" s="61" t="str">
        <f>VLOOKUP(D117,'2.Bookinglist'!A:CT,19,FALSE)</f>
        <v>CNSHA</v>
      </c>
      <c r="J117" s="61">
        <f>VLOOKUP(D117,'2.Bookinglist'!A:CT,26,FALSE)</f>
        <v>0</v>
      </c>
      <c r="K117" s="61" t="str">
        <f>VLOOKUP(A117,'1.Loading'!A:R,5,FALSE)</f>
        <v>22GP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>IF(RIGHT(K117,2)="RE","RF","")</f>
        <v/>
      </c>
      <c r="O117" s="61" t="str">
        <f>VLOOKUP(A117,'1.Loading'!A:R,3,FALSE)</f>
        <v>SWVG</v>
      </c>
      <c r="P117" s="61" t="str">
        <f>VLOOKUP(A117,'1.Loading'!A:R,4,FALSE)</f>
        <v>2612N</v>
      </c>
      <c r="Q117" s="61" t="str">
        <f>VLOOKUP(D117,'2.Bookinglist'!A:CT,12,FALSE)</f>
        <v>PCI2</v>
      </c>
      <c r="R117" s="60" t="str">
        <f>IF(LEFT(K117,2)="22","20'","40'")</f>
        <v>20'</v>
      </c>
      <c r="S117" s="185" t="n"/>
      <c r="T117" s="61" t="str">
        <f>VLOOKUP(A117,'1.Loading'!A:R,2,FALSE)</f>
        <v>2026-10-07</v>
      </c>
      <c r="U117" s="63">
        <f>T117-S117</f>
        <v>46302</v>
      </c>
      <c r="V117" s="186" t="n"/>
      <c r="W117" s="61" t="str">
        <f>VLOOKUP(A117,'3.GateMove'!A:D,4,FALSE)</f>
        <v>2026-10-05</v>
      </c>
      <c r="X117" s="63">
        <f>((T117-W117)+1)</f>
        <v>3</v>
      </c>
      <c r="Y117" s="64">
        <f>IF(AND(OR(C117="BKK01",C117="BKK04"),L117="CFS/CY"),0,IF(M117="DG",1,IF(LEFT(C117,3)="LCH",7,IF(C117="BKK02",5,3))))</f>
        <v>7</v>
      </c>
      <c r="Z117" s="63">
        <f>IF(IF(AND(AC117="TML",AB117&gt;0),((T117-W117)+1)-AB117,((T117-W117)+1)-Y117)&gt;0,IF(AND(AC117="TML",AB117&gt;0),((T117-W117)+1)-AB117,((T117-W117)+1)-Y117),0)</f>
        <v>0</v>
      </c>
      <c r="AA117" s="187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0</v>
      </c>
      <c r="AB117" s="184" t="n"/>
      <c r="AC117" s="184" t="n"/>
      <c r="AD117" s="60">
        <f>IF(M117="DG",3,IF(N117="RF",3,5))+IF(AND(LEFT(C117,3)="BKK",N117="RF",Q117="KTS"),1,0)+IF(Q117="KHS",1,0)</f>
        <v>5</v>
      </c>
      <c r="AE117" s="63">
        <f>(T117-V117)+1</f>
        <v>46303</v>
      </c>
      <c r="AF117" s="63">
        <f>IF(AB117&gt;IF((V117-W117)&gt;0,V117-W117,0),0,IF(AB117&lt;IF((V117-W117)&gt;0,V117-W117,0),IF((V117-W117)&gt;0,V117-W117,0)-AB117,IF((V117-W117)&gt;0,V117-W117,0)))</f>
        <v>0</v>
      </c>
      <c r="AG117" s="187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 t="n"/>
      <c r="AI117" s="65">
        <f>AA117-AH117</f>
        <v>0</v>
      </c>
      <c r="AJ117" s="188" t="n"/>
      <c r="AK117" s="62" t="str">
        <f>VLOOKUP(D117,'2.Bookinglist'!A:CT,40,FALSE)</f>
        <v>Arunphat W. (Aiw)</v>
      </c>
      <c r="AL117" s="60" t="str">
        <f>VLOOKUP(D117,'2.Bookinglist'!A:CW,101,FALSE)</f>
        <v>2026-10-08</v>
      </c>
      <c r="AM117" s="60" t="str">
        <f>VLOOKUP(D117,'2.Bookinglist'!A:BK,63,FALSE)</f>
        <v>LCHY5</v>
      </c>
      <c r="AN117" s="62" t="str">
        <f>VLOOKUP(D117,'2.Bookinglist'!A:AZ,52,FALSE)</f>
        <v>Pickup : 2026-10-03, Return : 2026-10-05 
 ** PLEASE CHECK OPEN GATE BEFORE RETURN CNTR **</v>
      </c>
      <c r="AO117" s="62">
        <f>VLOOKUP(D117,'2.Bookinglist'!A:CY,103,FALSE)</f>
        <v>0</v>
      </c>
    </row>
    <row r="118" ht="12.95" customHeight="1">
      <c r="A118" s="96" t="inlineStr">
        <is>
          <t>SKLU1619666</t>
        </is>
      </c>
      <c r="B118" s="184" t="str">
        <f>IF(C118=Charge!$M$1,Charge!$J$1,IF(C118=Charge!$M$23,Charge!$J$23,IF(C118=Charge!$M$17,Charge!$J$17,IF(C118=Charge!$N$17,Charge!$J$17,Charge!$J$7))))</f>
        <v>G2</v>
      </c>
      <c r="C118" s="61" t="str">
        <f>VLOOKUP(A118,'1.Loading'!A:R,14,FALSE)</f>
        <v>LCH06</v>
      </c>
      <c r="D118" s="61" t="str">
        <f>VLOOKUP(A118,'1.Loading'!A:R,17,FALSE)</f>
        <v>HASLS22260901582</v>
      </c>
      <c r="E118" s="62" t="str">
        <f>VLOOKUP(D118,'2.Bookinglist'!A:CT,27,FALSE)</f>
        <v>SCGJWD LOGISTICS PUBLIC COMPANY LIMITED</v>
      </c>
      <c r="F118" s="62" t="str">
        <f>VLOOKUP(D118,'2.Bookinglist'!A:CT,28,FALSE)</f>
        <v>THAI POLYETHYLENE CO., LTD.</v>
      </c>
      <c r="G118" s="60">
        <f>VLOOKUP(D118,'2.Bookinglist'!A:E,5,FALSE)</f>
        <v>0</v>
      </c>
      <c r="H118" s="61" t="str">
        <f>VLOOKUP(D118,'2.Bookinglist'!A:CT,15,FALSE)</f>
        <v>THLCH</v>
      </c>
      <c r="I118" s="61" t="str">
        <f>VLOOKUP(D118,'2.Bookinglist'!A:CT,19,FALSE)</f>
        <v>JPMOJ</v>
      </c>
      <c r="J118" s="61" t="str">
        <f>VLOOKUP(D118,'2.Bookinglist'!A:CT,26,FALSE)</f>
        <v>KRPUS</v>
      </c>
      <c r="K118" s="61" t="str">
        <f>VLOOKUP(A118,'1.Loading'!A:R,5,FALSE)</f>
        <v>22GP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>IF(RIGHT(K118,2)="RE","RF","")</f>
        <v/>
      </c>
      <c r="O118" s="61" t="str">
        <f>VLOOKUP(A118,'1.Loading'!A:R,3,FALSE)</f>
        <v>SWVG</v>
      </c>
      <c r="P118" s="61" t="str">
        <f>VLOOKUP(A118,'1.Loading'!A:R,4,FALSE)</f>
        <v>2612N</v>
      </c>
      <c r="Q118" s="61" t="str">
        <f>VLOOKUP(D118,'2.Bookinglist'!A:CT,12,FALSE)</f>
        <v>PCI2</v>
      </c>
      <c r="R118" s="60" t="str">
        <f>IF(LEFT(K118,2)="22","20'","40'")</f>
        <v>20'</v>
      </c>
      <c r="S118" s="185" t="n"/>
      <c r="T118" s="61" t="str">
        <f>VLOOKUP(A118,'1.Loading'!A:R,2,FALSE)</f>
        <v>2026-10-07</v>
      </c>
      <c r="U118" s="63">
        <f>T118-S118</f>
        <v>46302</v>
      </c>
      <c r="V118" s="186" t="n"/>
      <c r="W118" s="61" t="str">
        <f>VLOOKUP(A118,'3.GateMove'!A:D,4,FALSE)</f>
        <v>2026-10-03</v>
      </c>
      <c r="X118" s="63">
        <f>((T118-W118)+1)</f>
        <v>5</v>
      </c>
      <c r="Y118" s="64">
        <f>IF(AND(OR(C118="BKK01",C118="BKK04"),L118="CFS/CY"),0,IF(M118="DG",1,IF(LEFT(C118,3)="LCH",7,IF(C118="BKK02",5,3))))</f>
        <v>7</v>
      </c>
      <c r="Z118" s="63">
        <f>IF(IF(AND(AC118="TML",AB118&gt;0),((T118-W118)+1)-AB118,((T118-W118)+1)-Y118)&gt;0,IF(AND(AC118="TML",AB118&gt;0),((T118-W118)+1)-AB118,((T118-W118)+1)-Y118),0)</f>
        <v>0</v>
      </c>
      <c r="AA118" s="187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0</v>
      </c>
      <c r="AB118" s="184" t="n"/>
      <c r="AC118" s="184" t="n"/>
      <c r="AD118" s="60">
        <f>IF(M118="DG",3,IF(N118="RF",3,5))+IF(AND(LEFT(C118,3)="BKK",N118="RF",Q118="KTS"),1,0)+IF(Q118="KHS",1,0)</f>
        <v>5</v>
      </c>
      <c r="AE118" s="63">
        <f>(T118-V118)+1</f>
        <v>46303</v>
      </c>
      <c r="AF118" s="63">
        <f>IF(AB118&gt;IF((V118-W118)&gt;0,V118-W118,0),0,IF(AB118&lt;IF((V118-W118)&gt;0,V118-W118,0),IF((V118-W118)&gt;0,V118-W118,0)-AB118,IF((V118-W118)&gt;0,V118-W118,0)))</f>
        <v>0</v>
      </c>
      <c r="AG118" s="187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 t="n"/>
      <c r="AI118" s="65">
        <f>AA118-AH118</f>
        <v>0</v>
      </c>
      <c r="AJ118" s="188" t="n"/>
      <c r="AK118" s="62" t="str">
        <f>VLOOKUP(D118,'2.Bookinglist'!A:CT,40,FALSE)</f>
        <v>Kanokporn</v>
      </c>
      <c r="AL118" s="60" t="str">
        <f>VLOOKUP(D118,'2.Bookinglist'!A:CW,101,FALSE)</f>
        <v>2026-10-03</v>
      </c>
      <c r="AM118" s="60" t="str">
        <f>VLOOKUP(D118,'2.Bookinglist'!A:BK,63,FALSE)</f>
        <v>LCHY5</v>
      </c>
      <c r="AN118" s="62" t="str">
        <f>VLOOKUP(D118,'2.Bookinglist'!A:AZ,52,FALSE)</f>
        <v>CY-RTN 28-29/09/26 (  INV  3031061852  )</v>
      </c>
      <c r="AO118" s="62">
        <f>VLOOKUP(D118,'2.Bookinglist'!A:CY,103,FALSE)</f>
        <v>0</v>
      </c>
    </row>
    <row r="119" ht="12.95" customHeight="1">
      <c r="A119" s="96" t="inlineStr">
        <is>
          <t>SKLU1822713</t>
        </is>
      </c>
      <c r="B119" s="184" t="str">
        <f>IF(C119=Charge!$M$1,Charge!$J$1,IF(C119=Charge!$M$23,Charge!$J$23,IF(C119=Charge!$M$17,Charge!$J$17,IF(C119=Charge!$N$17,Charge!$J$17,Charge!$J$7))))</f>
        <v>G2</v>
      </c>
      <c r="C119" s="61" t="str">
        <f>VLOOKUP(A119,'1.Loading'!A:R,14,FALSE)</f>
        <v>LCH06</v>
      </c>
      <c r="D119" s="61" t="str">
        <f>VLOOKUP(A119,'1.Loading'!A:R,17,FALSE)</f>
        <v>HASLS22260901781</v>
      </c>
      <c r="E119" s="62" t="str">
        <f>VLOOKUP(D119,'2.Bookinglist'!A:CT,27,FALSE)</f>
        <v>SCGJWD LOGISTICS PUBLIC COMPANY LIMITED</v>
      </c>
      <c r="F119" s="62" t="str">
        <f>VLOOKUP(D119,'2.Bookinglist'!A:CT,28,FALSE)</f>
        <v>THAI POLYETHYLENE CO., LTD.</v>
      </c>
      <c r="G119" s="60">
        <f>VLOOKUP(D119,'2.Bookinglist'!A:E,5,FALSE)</f>
        <v>0</v>
      </c>
      <c r="H119" s="61" t="str">
        <f>VLOOKUP(D119,'2.Bookinglist'!A:CT,15,FALSE)</f>
        <v>THLCH</v>
      </c>
      <c r="I119" s="61" t="str">
        <f>VLOOKUP(D119,'2.Bookinglist'!A:CT,19,FALSE)</f>
        <v>CNSHA</v>
      </c>
      <c r="J119" s="61">
        <f>VLOOKUP(D119,'2.Bookinglist'!A:CT,26,FALSE)</f>
        <v>0</v>
      </c>
      <c r="K119" s="61" t="str">
        <f>VLOOKUP(A119,'1.Loading'!A:R,5,FALSE)</f>
        <v>22GP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>IF(RIGHT(K119,2)="RE","RF","")</f>
        <v/>
      </c>
      <c r="O119" s="61" t="str">
        <f>VLOOKUP(A119,'1.Loading'!A:R,3,FALSE)</f>
        <v>SWVG</v>
      </c>
      <c r="P119" s="61" t="str">
        <f>VLOOKUP(A119,'1.Loading'!A:R,4,FALSE)</f>
        <v>2612N</v>
      </c>
      <c r="Q119" s="61" t="str">
        <f>VLOOKUP(D119,'2.Bookinglist'!A:CT,12,FALSE)</f>
        <v>PCI2</v>
      </c>
      <c r="R119" s="60" t="str">
        <f>IF(LEFT(K119,2)="22","20'","40'")</f>
        <v>20'</v>
      </c>
      <c r="S119" s="185" t="n"/>
      <c r="T119" s="61" t="str">
        <f>VLOOKUP(A119,'1.Loading'!A:R,2,FALSE)</f>
        <v>2026-10-07</v>
      </c>
      <c r="U119" s="63">
        <f>T119-S119</f>
        <v>46302</v>
      </c>
      <c r="V119" s="186" t="n"/>
      <c r="W119" s="61" t="str">
        <f>VLOOKUP(A119,'3.GateMove'!A:D,4,FALSE)</f>
        <v>2026-10-03</v>
      </c>
      <c r="X119" s="63">
        <f>((T119-W119)+1)</f>
        <v>5</v>
      </c>
      <c r="Y119" s="64">
        <f>IF(AND(OR(C119="BKK01",C119="BKK04"),L119="CFS/CY"),0,IF(M119="DG",1,IF(LEFT(C119,3)="LCH",7,IF(C119="BKK02",5,3))))</f>
        <v>7</v>
      </c>
      <c r="Z119" s="63">
        <f>IF(IF(AND(AC119="TML",AB119&gt;0),((T119-W119)+1)-AB119,((T119-W119)+1)-Y119)&gt;0,IF(AND(AC119="TML",AB119&gt;0),((T119-W119)+1)-AB119,((T119-W119)+1)-Y119),0)</f>
        <v>0</v>
      </c>
      <c r="AA119" s="187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0</v>
      </c>
      <c r="AB119" s="184" t="n"/>
      <c r="AC119" s="184" t="n"/>
      <c r="AD119" s="60">
        <f>IF(M119="DG",3,IF(N119="RF",3,5))+IF(AND(LEFT(C119,3)="BKK",N119="RF",Q119="KTS"),1,0)+IF(Q119="KHS",1,0)</f>
        <v>5</v>
      </c>
      <c r="AE119" s="63">
        <f>(T119-V119)+1</f>
        <v>46303</v>
      </c>
      <c r="AF119" s="63">
        <f>IF(AB119&gt;IF((V119-W119)&gt;0,V119-W119,0),0,IF(AB119&lt;IF((V119-W119)&gt;0,V119-W119,0),IF((V119-W119)&gt;0,V119-W119,0)-AB119,IF((V119-W119)&gt;0,V119-W119,0)))</f>
        <v>0</v>
      </c>
      <c r="AG119" s="187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 t="n"/>
      <c r="AI119" s="65">
        <f>AA119-AH119</f>
        <v>0</v>
      </c>
      <c r="AJ119" s="188" t="n"/>
      <c r="AK119" s="62" t="str">
        <f>VLOOKUP(D119,'2.Bookinglist'!A:CT,40,FALSE)</f>
        <v>Kanokporn</v>
      </c>
      <c r="AL119" s="60" t="str">
        <f>VLOOKUP(D119,'2.Bookinglist'!A:CW,101,FALSE)</f>
        <v>2026-10-06</v>
      </c>
      <c r="AM119" s="60" t="str">
        <f>VLOOKUP(D119,'2.Bookinglist'!A:BK,63,FALSE)</f>
        <v>LCHY5</v>
      </c>
      <c r="AN119" s="62" t="str">
        <f>VLOOKUP(D119,'2.Bookinglist'!A:AZ,52,FALSE)</f>
        <v>CY-RTN 26-29/09/26 (INV.3031062142)</v>
      </c>
      <c r="AO119" s="62">
        <f>VLOOKUP(D119,'2.Bookinglist'!A:CY,103,FALSE)</f>
        <v>0</v>
      </c>
    </row>
    <row r="120" ht="12.95" customHeight="1">
      <c r="A120" s="96" t="inlineStr">
        <is>
          <t>SKLU1914168</t>
        </is>
      </c>
      <c r="B120" s="184" t="str">
        <f>IF(C120=Charge!$M$1,Charge!$J$1,IF(C120=Charge!$M$23,Charge!$J$23,IF(C120=Charge!$M$17,Charge!$J$17,IF(C120=Charge!$N$17,Charge!$J$17,Charge!$J$7))))</f>
        <v>G2</v>
      </c>
      <c r="C120" s="61" t="str">
        <f>VLOOKUP(A120,'1.Loading'!A:R,14,FALSE)</f>
        <v>LCH06</v>
      </c>
      <c r="D120" s="61" t="str">
        <f>VLOOKUP(A120,'1.Loading'!A:R,17,FALSE)</f>
        <v>HASLS22260901104</v>
      </c>
      <c r="E120" s="62" t="str">
        <f>VLOOKUP(D120,'2.Bookinglist'!A:CT,27,FALSE)</f>
        <v>TTR FREIGHT AND SERVICE COMPANY LIMITED</v>
      </c>
      <c r="F120" s="62" t="str">
        <f>VLOOKUP(D120,'2.Bookinglist'!A:CT,28,FALSE)</f>
        <v>RAK SYSCOM (THAILAND) COMPANY LIMITD.</v>
      </c>
      <c r="G120" s="60" t="str">
        <f>VLOOKUP(D120,'2.Bookinglist'!A:E,5,FALSE)</f>
        <v>THSRP</v>
      </c>
      <c r="H120" s="61" t="str">
        <f>VLOOKUP(D120,'2.Bookinglist'!A:CT,15,FALSE)</f>
        <v>THLCH</v>
      </c>
      <c r="I120" s="61" t="str">
        <f>VLOOKUP(D120,'2.Bookinglist'!A:CT,19,FALSE)</f>
        <v>CNSHA</v>
      </c>
      <c r="J120" s="61">
        <f>VLOOKUP(D120,'2.Bookinglist'!A:CT,26,FALSE)</f>
        <v>0</v>
      </c>
      <c r="K120" s="61" t="str">
        <f>VLOOKUP(A120,'1.Loading'!A:R,5,FALSE)</f>
        <v>22GP</v>
      </c>
      <c r="L120" s="60" t="str">
        <f>VLOOKUP(D120,'2.Bookinglist'!A:CT,85,FALSE)</f>
        <v>CY/CY</v>
      </c>
      <c r="M120" s="60" t="str">
        <f>IF(VLOOKUP(D120,'2.Bookinglist'!A:CT,43,FALSE)=0,"","DG")</f>
        <v/>
      </c>
      <c r="N120" s="60" t="str">
        <f>IF(RIGHT(K120,2)="RE","RF","")</f>
        <v/>
      </c>
      <c r="O120" s="61" t="str">
        <f>VLOOKUP(A120,'1.Loading'!A:R,3,FALSE)</f>
        <v>SWVG</v>
      </c>
      <c r="P120" s="61" t="str">
        <f>VLOOKUP(A120,'1.Loading'!A:R,4,FALSE)</f>
        <v>2612N</v>
      </c>
      <c r="Q120" s="61" t="str">
        <f>VLOOKUP(D120,'2.Bookinglist'!A:CT,12,FALSE)</f>
        <v>PCI2</v>
      </c>
      <c r="R120" s="60" t="str">
        <f>IF(LEFT(K120,2)="22","20'","40'")</f>
        <v>20'</v>
      </c>
      <c r="S120" s="185" t="n"/>
      <c r="T120" s="61" t="str">
        <f>VLOOKUP(A120,'1.Loading'!A:R,2,FALSE)</f>
        <v>2026-10-07</v>
      </c>
      <c r="U120" s="63">
        <f>T120-S120</f>
        <v>46302</v>
      </c>
      <c r="V120" s="186" t="n"/>
      <c r="W120" s="61" t="str">
        <f>VLOOKUP(A120,'3.GateMove'!A:D,4,FALSE)</f>
        <v>2026-09-26</v>
      </c>
      <c r="X120" s="63">
        <f>((T120-W120)+1)</f>
        <v>12</v>
      </c>
      <c r="Y120" s="64">
        <f>IF(AND(OR(C120="BKK01",C120="BKK04"),L120="CFS/CY"),0,IF(M120="DG",1,IF(LEFT(C120,3)="LCH",7,IF(C120="BKK02",5,3))))</f>
        <v>7</v>
      </c>
      <c r="Z120" s="63">
        <f>IF(IF(AND(AC120="TML",AB120&gt;0),((T120-W120)+1)-AB120,((T120-W120)+1)-Y120)&gt;0,IF(AND(AC120="TML",AB120&gt;0),((T120-W120)+1)-AB120,((T120-W120)+1)-Y120),0)</f>
        <v>5</v>
      </c>
      <c r="AA120" s="187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625</v>
      </c>
      <c r="AB120" s="184" t="n"/>
      <c r="AC120" s="184" t="n"/>
      <c r="AD120" s="60">
        <f>IF(M120="DG",3,IF(N120="RF",3,5))+IF(AND(LEFT(C120,3)="BKK",N120="RF",Q120="KTS"),1,0)+IF(Q120="KHS",1,0)</f>
        <v>5</v>
      </c>
      <c r="AE120" s="63">
        <f>(T120-V120)+1</f>
        <v>46303</v>
      </c>
      <c r="AF120" s="63">
        <f>IF(AB120&gt;IF((V120-W120)&gt;0,V120-W120,0),0,IF(AB120&lt;IF((V120-W120)&gt;0,V120-W120,0),IF((V120-W120)&gt;0,V120-W120,0)-AB120,IF((V120-W120)&gt;0,V120-W120,0)))</f>
        <v>0</v>
      </c>
      <c r="AG120" s="187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 t="n"/>
      <c r="AI120" s="65">
        <f>AA120-AH120</f>
        <v>625</v>
      </c>
      <c r="AJ120" s="188" t="n"/>
      <c r="AK120" s="62" t="str">
        <f>VLOOKUP(D120,'2.Bookinglist'!A:CT,40,FALSE)</f>
        <v>Arunphat W. (Aiw)</v>
      </c>
      <c r="AL120" s="60" t="str">
        <f>VLOOKUP(D120,'2.Bookinglist'!A:CW,101,FALSE)</f>
        <v>2026-10-08</v>
      </c>
      <c r="AM120" s="60" t="str">
        <f>VLOOKUP(D120,'2.Bookinglist'!A:BK,63,FALSE)</f>
        <v>BKK27</v>
      </c>
      <c r="AN120" s="62" t="str">
        <f>VLOOKUP(D120,'2.Bookinglist'!A:AZ,52,FALSE)</f>
        <v>* APPROVE BY KIM JAE-HYUNG DD 29/09* 
SURVEY 21/09  Pickup : 2026-09-21, Return : 2026-09-24 [PAPERLESS CODE : 2829] 
 CLS TIME 24/09 @22.00 </v>
      </c>
      <c r="AO120" s="62" t="str">
        <f>VLOOKUP(D120,'2.Bookinglist'!A:CY,103,FALSE)</f>
        <v>ROLL OVER FROM PREVIOUS VSL HAB 2611N BY ALLOCATION TEAM MS.TAN APPROVED COST IS UNDER HA DD.26/09</v>
      </c>
    </row>
    <row r="121" ht="12.95" customHeight="1">
      <c r="A121" s="96" t="inlineStr">
        <is>
          <t>SKLU1948147</t>
        </is>
      </c>
      <c r="B121" s="184" t="str">
        <f>IF(C121=Charge!$M$1,Charge!$J$1,IF(C121=Charge!$M$23,Charge!$J$23,IF(C121=Charge!$M$17,Charge!$J$17,IF(C121=Charge!$N$17,Charge!$J$17,Charge!$J$7))))</f>
        <v>G2</v>
      </c>
      <c r="C121" s="61" t="str">
        <f>VLOOKUP(A121,'1.Loading'!A:R,14,FALSE)</f>
        <v>LCH06</v>
      </c>
      <c r="D121" s="61" t="str">
        <f>VLOOKUP(A121,'1.Loading'!A:R,17,FALSE)</f>
        <v>HASLS22260902022</v>
      </c>
      <c r="E121" s="62" t="str">
        <f>VLOOKUP(D121,'2.Bookinglist'!A:CT,27,FALSE)</f>
        <v>RCL LOGISTICS CO., LTD.</v>
      </c>
      <c r="F121" s="62" t="str">
        <f>VLOOKUP(D121,'2.Bookinglist'!A:CT,28,FALSE)</f>
        <v>CHUKYO YUSHI (THAILAND) CO., LTD.</v>
      </c>
      <c r="G121" s="60">
        <f>VLOOKUP(D121,'2.Bookinglist'!A:E,5,FALSE)</f>
        <v>0</v>
      </c>
      <c r="H121" s="61" t="str">
        <f>VLOOKUP(D121,'2.Bookinglist'!A:CT,15,FALSE)</f>
        <v>THLCH</v>
      </c>
      <c r="I121" s="61" t="str">
        <f>VLOOKUP(D121,'2.Bookinglist'!A:CT,19,FALSE)</f>
        <v>CNSHA</v>
      </c>
      <c r="J121" s="61">
        <f>VLOOKUP(D121,'2.Bookinglist'!A:CT,26,FALSE)</f>
        <v>0</v>
      </c>
      <c r="K121" s="61" t="str">
        <f>VLOOKUP(A121,'1.Loading'!A:R,5,FALSE)</f>
        <v>22GP</v>
      </c>
      <c r="L121" s="60" t="str">
        <f>VLOOKUP(D121,'2.Bookinglist'!A:CT,85,FALSE)</f>
        <v>CY/CY</v>
      </c>
      <c r="M121" s="60" t="str">
        <f>IF(VLOOKUP(D121,'2.Bookinglist'!A:CT,43,FALSE)=0,"","DG")</f>
        <v>DG</v>
      </c>
      <c r="N121" s="60" t="str">
        <f>IF(RIGHT(K121,2)="RE","RF","")</f>
        <v/>
      </c>
      <c r="O121" s="61" t="str">
        <f>VLOOKUP(A121,'1.Loading'!A:R,3,FALSE)</f>
        <v>SWVG</v>
      </c>
      <c r="P121" s="61" t="str">
        <f>VLOOKUP(A121,'1.Loading'!A:R,4,FALSE)</f>
        <v>2612N</v>
      </c>
      <c r="Q121" s="61" t="str">
        <f>VLOOKUP(D121,'2.Bookinglist'!A:CT,12,FALSE)</f>
        <v>PCI2</v>
      </c>
      <c r="R121" s="60" t="str">
        <f>IF(LEFT(K121,2)="22","20'","40'")</f>
        <v>20'</v>
      </c>
      <c r="S121" s="185" t="n"/>
      <c r="T121" s="61" t="str">
        <f>VLOOKUP(A121,'1.Loading'!A:R,2,FALSE)</f>
        <v>2026-10-07</v>
      </c>
      <c r="U121" s="63">
        <f>T121-S121</f>
        <v>46302</v>
      </c>
      <c r="V121" s="186" t="n"/>
      <c r="W121" s="61" t="str">
        <f>VLOOKUP(A121,'3.GateMove'!A:D,4,FALSE)</f>
        <v>2026-10-07</v>
      </c>
      <c r="X121" s="63">
        <f>((T121-W121)+1)</f>
        <v>1</v>
      </c>
      <c r="Y121" s="64">
        <f>IF(AND(OR(C121="BKK01",C121="BKK04"),L121="CFS/CY"),0,IF(M121="DG",1,IF(LEFT(C121,3)="LCH",7,IF(C121="BKK02",5,3))))</f>
        <v>1</v>
      </c>
      <c r="Z121" s="63">
        <f>IF(IF(AND(AC121="TML",AB121&gt;0),((T121-W121)+1)-AB121,((T121-W121)+1)-Y121)&gt;0,IF(AND(AC121="TML",AB121&gt;0),((T121-W121)+1)-AB121,((T121-W121)+1)-Y121),0)</f>
        <v>0</v>
      </c>
      <c r="AA121" s="187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0</v>
      </c>
      <c r="AB121" s="184" t="n"/>
      <c r="AC121" s="184" t="n"/>
      <c r="AD121" s="60">
        <f>IF(M121="DG",3,IF(N121="RF",3,5))+IF(AND(LEFT(C121,3)="BKK",N121="RF",Q121="KTS"),1,0)+IF(Q121="KHS",1,0)</f>
        <v>3</v>
      </c>
      <c r="AE121" s="63">
        <f>(T121-V121)+1</f>
        <v>46303</v>
      </c>
      <c r="AF121" s="63">
        <f>IF(AB121&gt;IF((V121-W121)&gt;0,V121-W121,0),0,IF(AB121&lt;IF((V121-W121)&gt;0,V121-W121,0),IF((V121-W121)&gt;0,V121-W121,0)-AB121,IF((V121-W121)&gt;0,V121-W121,0)))</f>
        <v>0</v>
      </c>
      <c r="AG121" s="187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 t="n"/>
      <c r="AI121" s="65">
        <f>AA121-AH121</f>
        <v>0</v>
      </c>
      <c r="AJ121" s="188" t="n"/>
      <c r="AK121" s="62" t="str">
        <f>VLOOKUP(D121,'2.Bookinglist'!A:CT,40,FALSE)</f>
        <v>Pattarapong Saengthong</v>
      </c>
      <c r="AL121" s="60" t="str">
        <f>VLOOKUP(D121,'2.Bookinglist'!A:CW,101,FALSE)</f>
        <v>2026-10-06</v>
      </c>
      <c r="AM121" s="60" t="str">
        <f>VLOOKUP(D121,'2.Bookinglist'!A:BK,63,FALSE)</f>
        <v>LCHY5</v>
      </c>
      <c r="AN121" s="62" t="str">
        <f>VLOOKUP(D121,'2.Bookinglist'!A:AZ,52,FALSE)</f>
        <v>**APPROVE BY JAEHKIM DD: 29/09/26** DG22GPx1 (CLS 3 / UN 3295) 
Pickup : 2026-10-01 Return @JWD : 2026-10-03 </v>
      </c>
      <c r="AO121" s="62">
        <f>VLOOKUP(D121,'2.Bookinglist'!A:CY,103,FALSE)</f>
        <v>0</v>
      </c>
    </row>
    <row r="122" ht="12.95" customHeight="1">
      <c r="A122" s="96" t="inlineStr">
        <is>
          <t>SKLU2075931</t>
        </is>
      </c>
      <c r="B122" s="184" t="str">
        <f>IF(C122=Charge!$M$1,Charge!$J$1,IF(C122=Charge!$M$23,Charge!$J$23,IF(C122=Charge!$M$17,Charge!$J$17,IF(C122=Charge!$N$17,Charge!$J$17,Charge!$J$7))))</f>
        <v>G2</v>
      </c>
      <c r="C122" s="61" t="str">
        <f>VLOOKUP(A122,'1.Loading'!A:R,14,FALSE)</f>
        <v>LCH06</v>
      </c>
      <c r="D122" s="61" t="str">
        <f>VLOOKUP(A122,'1.Loading'!A:R,17,FALSE)</f>
        <v>HASLS22260901104</v>
      </c>
      <c r="E122" s="62" t="str">
        <f>VLOOKUP(D122,'2.Bookinglist'!A:CT,27,FALSE)</f>
        <v>TTR FREIGHT AND SERVICE COMPANY LIMITED</v>
      </c>
      <c r="F122" s="62" t="str">
        <f>VLOOKUP(D122,'2.Bookinglist'!A:CT,28,FALSE)</f>
        <v>RAK SYSCOM (THAILAND) COMPANY LIMITD.</v>
      </c>
      <c r="G122" s="60" t="str">
        <f>VLOOKUP(D122,'2.Bookinglist'!A:E,5,FALSE)</f>
        <v>THSRP</v>
      </c>
      <c r="H122" s="61" t="str">
        <f>VLOOKUP(D122,'2.Bookinglist'!A:CT,15,FALSE)</f>
        <v>THLCH</v>
      </c>
      <c r="I122" s="61" t="str">
        <f>VLOOKUP(D122,'2.Bookinglist'!A:CT,19,FALSE)</f>
        <v>CNSHA</v>
      </c>
      <c r="J122" s="61">
        <f>VLOOKUP(D122,'2.Bookinglist'!A:CT,26,FALSE)</f>
        <v>0</v>
      </c>
      <c r="K122" s="61" t="str">
        <f>VLOOKUP(A122,'1.Loading'!A:R,5,FALSE)</f>
        <v>22GP</v>
      </c>
      <c r="L122" s="60" t="str">
        <f>VLOOKUP(D122,'2.Bookinglist'!A:CT,85,FALSE)</f>
        <v>CY/CY</v>
      </c>
      <c r="M122" s="60" t="str">
        <f>IF(VLOOKUP(D122,'2.Bookinglist'!A:CT,43,FALSE)=0,"","DG")</f>
        <v/>
      </c>
      <c r="N122" s="60" t="str">
        <f>IF(RIGHT(K122,2)="RE","RF","")</f>
        <v/>
      </c>
      <c r="O122" s="61" t="str">
        <f>VLOOKUP(A122,'1.Loading'!A:R,3,FALSE)</f>
        <v>SWVG</v>
      </c>
      <c r="P122" s="61" t="str">
        <f>VLOOKUP(A122,'1.Loading'!A:R,4,FALSE)</f>
        <v>2612N</v>
      </c>
      <c r="Q122" s="61" t="str">
        <f>VLOOKUP(D122,'2.Bookinglist'!A:CT,12,FALSE)</f>
        <v>PCI2</v>
      </c>
      <c r="R122" s="60" t="str">
        <f>IF(LEFT(K122,2)="22","20'","40'")</f>
        <v>20'</v>
      </c>
      <c r="S122" s="185" t="n"/>
      <c r="T122" s="61" t="str">
        <f>VLOOKUP(A122,'1.Loading'!A:R,2,FALSE)</f>
        <v>2026-10-07</v>
      </c>
      <c r="U122" s="63">
        <f>T122-S122</f>
        <v>46302</v>
      </c>
      <c r="V122" s="186" t="n"/>
      <c r="W122" s="61" t="str">
        <f>VLOOKUP(A122,'3.GateMove'!A:D,4,FALSE)</f>
        <v>2026-09-26</v>
      </c>
      <c r="X122" s="63">
        <f>((T122-W122)+1)</f>
        <v>12</v>
      </c>
      <c r="Y122" s="64">
        <f>IF(AND(OR(C122="BKK01",C122="BKK04"),L122="CFS/CY"),0,IF(M122="DG",1,IF(LEFT(C122,3)="LCH",7,IF(C122="BKK02",5,3))))</f>
        <v>7</v>
      </c>
      <c r="Z122" s="63">
        <f>IF(IF(AND(AC122="TML",AB122&gt;0),((T122-W122)+1)-AB122,((T122-W122)+1)-Y122)&gt;0,IF(AND(AC122="TML",AB122&gt;0),((T122-W122)+1)-AB122,((T122-W122)+1)-Y122),0)</f>
        <v>5</v>
      </c>
      <c r="AA122" s="187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625</v>
      </c>
      <c r="AB122" s="184" t="n"/>
      <c r="AC122" s="184" t="n"/>
      <c r="AD122" s="60">
        <f>IF(M122="DG",3,IF(N122="RF",3,5))+IF(AND(LEFT(C122,3)="BKK",N122="RF",Q122="KTS"),1,0)+IF(Q122="KHS",1,0)</f>
        <v>5</v>
      </c>
      <c r="AE122" s="63">
        <f>(T122-V122)+1</f>
        <v>46303</v>
      </c>
      <c r="AF122" s="63">
        <f>IF(AB122&gt;IF((V122-W122)&gt;0,V122-W122,0),0,IF(AB122&lt;IF((V122-W122)&gt;0,V122-W122,0),IF((V122-W122)&gt;0,V122-W122,0)-AB122,IF((V122-W122)&gt;0,V122-W122,0)))</f>
        <v>0</v>
      </c>
      <c r="AG122" s="187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 t="n"/>
      <c r="AI122" s="65">
        <f>AA122-AH122</f>
        <v>625</v>
      </c>
      <c r="AJ122" s="188" t="n"/>
      <c r="AK122" s="62" t="str">
        <f>VLOOKUP(D122,'2.Bookinglist'!A:CT,40,FALSE)</f>
        <v>Arunphat W. (Aiw)</v>
      </c>
      <c r="AL122" s="60" t="str">
        <f>VLOOKUP(D122,'2.Bookinglist'!A:CW,101,FALSE)</f>
        <v>2026-10-08</v>
      </c>
      <c r="AM122" s="60" t="str">
        <f>VLOOKUP(D122,'2.Bookinglist'!A:BK,63,FALSE)</f>
        <v>BKK27</v>
      </c>
      <c r="AN122" s="62" t="str">
        <f>VLOOKUP(D122,'2.Bookinglist'!A:AZ,52,FALSE)</f>
        <v>* APPROVE BY KIM JAE-HYUNG DD 29/09* 
SURVEY 21/09  Pickup : 2026-09-21, Return : 2026-09-24 [PAPERLESS CODE : 2829] 
 CLS TIME 24/09 @22.00 </v>
      </c>
      <c r="AO122" s="62" t="str">
        <f>VLOOKUP(D122,'2.Bookinglist'!A:CY,103,FALSE)</f>
        <v>ROLL OVER FROM PREVIOUS VSL HAB 2611N BY ALLOCATION TEAM MS.TAN APPROVED COST IS UNDER HA DD.26/09</v>
      </c>
    </row>
    <row r="123" ht="12.95" customHeight="1">
      <c r="A123" s="96" t="inlineStr">
        <is>
          <t>SKLU2112212</t>
        </is>
      </c>
      <c r="B123" s="184" t="str">
        <f>IF(C123=Charge!$M$1,Charge!$J$1,IF(C123=Charge!$M$23,Charge!$J$23,IF(C123=Charge!$M$17,Charge!$J$17,IF(C123=Charge!$N$17,Charge!$J$17,Charge!$J$7))))</f>
        <v>G2</v>
      </c>
      <c r="C123" s="61" t="str">
        <f>VLOOKUP(A123,'1.Loading'!A:R,14,FALSE)</f>
        <v>LCH06</v>
      </c>
      <c r="D123" s="61" t="str">
        <f>VLOOKUP(A123,'1.Loading'!A:R,17,FALSE)</f>
        <v>HASLS22260902147</v>
      </c>
      <c r="E123" s="62" t="str">
        <f>VLOOKUP(D123,'2.Bookinglist'!A:CT,27,FALSE)</f>
        <v>DOUBLE A (1991) PUBLIC COMPANY LIMITED</v>
      </c>
      <c r="F123" s="62" t="str">
        <f>VLOOKUP(D123,'2.Bookinglist'!A:CT,28,FALSE)</f>
        <v>DOUBLE A (1991) PUBLIC COMPANY LIMITED</v>
      </c>
      <c r="G123" s="60">
        <f>VLOOKUP(D123,'2.Bookinglist'!A:E,5,FALSE)</f>
        <v>0</v>
      </c>
      <c r="H123" s="61" t="str">
        <f>VLOOKUP(D123,'2.Bookinglist'!A:CT,15,FALSE)</f>
        <v>THLCH</v>
      </c>
      <c r="I123" s="61" t="str">
        <f>VLOOKUP(D123,'2.Bookinglist'!A:CT,19,FALSE)</f>
        <v>CNSHA</v>
      </c>
      <c r="J123" s="61">
        <f>VLOOKUP(D123,'2.Bookinglist'!A:CT,26,FALSE)</f>
        <v>0</v>
      </c>
      <c r="K123" s="61" t="str">
        <f>VLOOKUP(A123,'1.Loading'!A:R,5,FALSE)</f>
        <v>22GP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>IF(RIGHT(K123,2)="RE","RF","")</f>
        <v/>
      </c>
      <c r="O123" s="61" t="str">
        <f>VLOOKUP(A123,'1.Loading'!A:R,3,FALSE)</f>
        <v>SWVG</v>
      </c>
      <c r="P123" s="61" t="str">
        <f>VLOOKUP(A123,'1.Loading'!A:R,4,FALSE)</f>
        <v>2612N</v>
      </c>
      <c r="Q123" s="61" t="str">
        <f>VLOOKUP(D123,'2.Bookinglist'!A:CT,12,FALSE)</f>
        <v>PCI2</v>
      </c>
      <c r="R123" s="60" t="str">
        <f>IF(LEFT(K123,2)="22","20'","40'")</f>
        <v>20'</v>
      </c>
      <c r="S123" s="185" t="n"/>
      <c r="T123" s="61" t="str">
        <f>VLOOKUP(A123,'1.Loading'!A:R,2,FALSE)</f>
        <v>2026-10-07</v>
      </c>
      <c r="U123" s="63">
        <f>T123-S123</f>
        <v>46302</v>
      </c>
      <c r="V123" s="186" t="n"/>
      <c r="W123" s="61" t="str">
        <f>VLOOKUP(A123,'3.GateMove'!A:D,4,FALSE)</f>
        <v>2026-10-04</v>
      </c>
      <c r="X123" s="63">
        <f>((T123-W123)+1)</f>
        <v>4</v>
      </c>
      <c r="Y123" s="64">
        <f>IF(AND(OR(C123="BKK01",C123="BKK04"),L123="CFS/CY"),0,IF(M123="DG",1,IF(LEFT(C123,3)="LCH",7,IF(C123="BKK02",5,3))))</f>
        <v>7</v>
      </c>
      <c r="Z123" s="63">
        <f>IF(IF(AND(AC123="TML",AB123&gt;0),((T123-W123)+1)-AB123,((T123-W123)+1)-Y123)&gt;0,IF(AND(AC123="TML",AB123&gt;0),((T123-W123)+1)-AB123,((T123-W123)+1)-Y123),0)</f>
        <v>0</v>
      </c>
      <c r="AA123" s="187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0</v>
      </c>
      <c r="AB123" s="184" t="n"/>
      <c r="AC123" s="184" t="n"/>
      <c r="AD123" s="60">
        <f>IF(M123="DG",3,IF(N123="RF",3,5))+IF(AND(LEFT(C123,3)="BKK",N123="RF",Q123="KTS"),1,0)+IF(Q123="KHS",1,0)</f>
        <v>5</v>
      </c>
      <c r="AE123" s="63">
        <f>(T123-V123)+1</f>
        <v>46303</v>
      </c>
      <c r="AF123" s="63">
        <f>IF(AB123&gt;IF((V123-W123)&gt;0,V123-W123,0),0,IF(AB123&lt;IF((V123-W123)&gt;0,V123-W123,0),IF((V123-W123)&gt;0,V123-W123,0)-AB123,IF((V123-W123)&gt;0,V123-W123,0)))</f>
        <v>0</v>
      </c>
      <c r="AG123" s="187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 t="n"/>
      <c r="AI123" s="65">
        <f>AA123-AH123</f>
        <v>0</v>
      </c>
      <c r="AJ123" s="188" t="n"/>
      <c r="AK123" s="62" t="str">
        <f>VLOOKUP(D123,'2.Bookinglist'!A:CT,40,FALSE)</f>
        <v>Kanokporn</v>
      </c>
      <c r="AL123" s="60" t="str">
        <f>VLOOKUP(D123,'2.Bookinglist'!A:CW,101,FALSE)</f>
        <v>2026-10-06</v>
      </c>
      <c r="AM123" s="60" t="str">
        <f>VLOOKUP(D123,'2.Bookinglist'!A:BK,63,FALSE)</f>
        <v>LCHY5</v>
      </c>
      <c r="AN123" s="62" t="str">
        <f>VLOOKUP(D123,'2.Bookinglist'!A:AZ,52,FALSE)</f>
        <v>CY-RTN : 29-02/10/2026
REF : PI-CN-TH-DA-26100032. PI-CN-TH-DA-26100033,PI-CN-TH-DA-26100034
FRT 31/20',40'HQ + FREETIME 21DAYS</v>
      </c>
      <c r="AO123" s="62">
        <f>VLOOKUP(D123,'2.Bookinglist'!A:CY,103,FALSE)</f>
        <v>0</v>
      </c>
    </row>
    <row r="124" ht="12.95" customHeight="1">
      <c r="A124" s="96" t="inlineStr">
        <is>
          <t>SKLU2125992</t>
        </is>
      </c>
      <c r="B124" s="184" t="str">
        <f>IF(C124=Charge!$M$1,Charge!$J$1,IF(C124=Charge!$M$23,Charge!$J$23,IF(C124=Charge!$M$17,Charge!$J$17,IF(C124=Charge!$N$17,Charge!$J$17,Charge!$J$7))))</f>
        <v>G2</v>
      </c>
      <c r="C124" s="61" t="str">
        <f>VLOOKUP(A124,'1.Loading'!A:R,14,FALSE)</f>
        <v>LCH06</v>
      </c>
      <c r="D124" s="61" t="str">
        <f>VLOOKUP(A124,'1.Loading'!A:R,17,FALSE)</f>
        <v>HASLS22260902059</v>
      </c>
      <c r="E124" s="62" t="str">
        <f>VLOOKUP(D124,'2.Bookinglist'!A:CT,27,FALSE)</f>
        <v>SCGJWD LOGISTICS PUBLIC COMPANY LIMITED</v>
      </c>
      <c r="F124" s="62" t="str">
        <f>VLOOKUP(D124,'2.Bookinglist'!A:CT,28,FALSE)</f>
        <v>THAI POLYETHYLENE CO., LTD.</v>
      </c>
      <c r="G124" s="60">
        <f>VLOOKUP(D124,'2.Bookinglist'!A:E,5,FALSE)</f>
        <v>0</v>
      </c>
      <c r="H124" s="61" t="str">
        <f>VLOOKUP(D124,'2.Bookinglist'!A:CT,15,FALSE)</f>
        <v>THLCH</v>
      </c>
      <c r="I124" s="61" t="str">
        <f>VLOOKUP(D124,'2.Bookinglist'!A:CT,19,FALSE)</f>
        <v>JPHHE</v>
      </c>
      <c r="J124" s="61" t="str">
        <f>VLOOKUP(D124,'2.Bookinglist'!A:CT,26,FALSE)</f>
        <v>KRPUS</v>
      </c>
      <c r="K124" s="61" t="str">
        <f>VLOOKUP(A124,'1.Loading'!A:R,5,FALSE)</f>
        <v>22GP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>IF(RIGHT(K124,2)="RE","RF","")</f>
        <v/>
      </c>
      <c r="O124" s="61" t="str">
        <f>VLOOKUP(A124,'1.Loading'!A:R,3,FALSE)</f>
        <v>SWVG</v>
      </c>
      <c r="P124" s="61" t="str">
        <f>VLOOKUP(A124,'1.Loading'!A:R,4,FALSE)</f>
        <v>2612N</v>
      </c>
      <c r="Q124" s="61" t="str">
        <f>VLOOKUP(D124,'2.Bookinglist'!A:CT,12,FALSE)</f>
        <v>PCI2</v>
      </c>
      <c r="R124" s="60" t="str">
        <f>IF(LEFT(K124,2)="22","20'","40'")</f>
        <v>20'</v>
      </c>
      <c r="S124" s="185" t="n"/>
      <c r="T124" s="61" t="str">
        <f>VLOOKUP(A124,'1.Loading'!A:R,2,FALSE)</f>
        <v>2026-10-07</v>
      </c>
      <c r="U124" s="63">
        <f>T124-S124</f>
        <v>46302</v>
      </c>
      <c r="V124" s="186" t="n"/>
      <c r="W124" s="61" t="str">
        <f>VLOOKUP(A124,'3.GateMove'!A:D,4,FALSE)</f>
        <v>2026-10-02</v>
      </c>
      <c r="X124" s="63">
        <f>((T124-W124)+1)</f>
        <v>6</v>
      </c>
      <c r="Y124" s="64">
        <f>IF(AND(OR(C124="BKK01",C124="BKK04"),L124="CFS/CY"),0,IF(M124="DG",1,IF(LEFT(C124,3)="LCH",7,IF(C124="BKK02",5,3))))</f>
        <v>7</v>
      </c>
      <c r="Z124" s="63">
        <f>IF(IF(AND(AC124="TML",AB124&gt;0),((T124-W124)+1)-AB124,((T124-W124)+1)-Y124)&gt;0,IF(AND(AC124="TML",AB124&gt;0),((T124-W124)+1)-AB124,((T124-W124)+1)-Y124),0)</f>
        <v>0</v>
      </c>
      <c r="AA124" s="187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0</v>
      </c>
      <c r="AB124" s="184" t="n"/>
      <c r="AC124" s="184" t="n"/>
      <c r="AD124" s="60">
        <f>IF(M124="DG",3,IF(N124="RF",3,5))+IF(AND(LEFT(C124,3)="BKK",N124="RF",Q124="KTS"),1,0)+IF(Q124="KHS",1,0)</f>
        <v>5</v>
      </c>
      <c r="AE124" s="63">
        <f>(T124-V124)+1</f>
        <v>46303</v>
      </c>
      <c r="AF124" s="63">
        <f>IF(AB124&gt;IF((V124-W124)&gt;0,V124-W124,0),0,IF(AB124&lt;IF((V124-W124)&gt;0,V124-W124,0),IF((V124-W124)&gt;0,V124-W124,0)-AB124,IF((V124-W124)&gt;0,V124-W124,0)))</f>
        <v>0</v>
      </c>
      <c r="AG124" s="187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 t="n"/>
      <c r="AI124" s="65">
        <f>AA124-AH124</f>
        <v>0</v>
      </c>
      <c r="AJ124" s="188" t="n"/>
      <c r="AK124" s="62" t="str">
        <f>VLOOKUP(D124,'2.Bookinglist'!A:CT,40,FALSE)</f>
        <v>Kanokporn</v>
      </c>
      <c r="AL124" s="60" t="str">
        <f>VLOOKUP(D124,'2.Bookinglist'!A:CW,101,FALSE)</f>
        <v>2026-10-06</v>
      </c>
      <c r="AM124" s="60" t="str">
        <f>VLOOKUP(D124,'2.Bookinglist'!A:BK,63,FALSE)</f>
        <v>LCHY5</v>
      </c>
      <c r="AN124" s="62" t="str">
        <f>VLOOKUP(D124,'2.Bookinglist'!A:AZ,52,FALSE)</f>
        <v>[FIX]CY 28/09/26 , RTN 30/09/26 (Invoice No. 3031060891)</v>
      </c>
      <c r="AO124" s="62">
        <f>VLOOKUP(D124,'2.Bookinglist'!A:CY,103,FALSE)</f>
        <v>0</v>
      </c>
    </row>
    <row r="125" ht="12.95" customHeight="1">
      <c r="A125" s="96" t="inlineStr">
        <is>
          <t>SKLU2303034</t>
        </is>
      </c>
      <c r="B125" s="184" t="str">
        <f>IF(C125=Charge!$M$1,Charge!$J$1,IF(C125=Charge!$M$23,Charge!$J$23,IF(C125=Charge!$M$17,Charge!$J$17,IF(C125=Charge!$N$17,Charge!$J$17,Charge!$J$7))))</f>
        <v>G2</v>
      </c>
      <c r="C125" s="61" t="str">
        <f>VLOOKUP(A125,'1.Loading'!A:R,14,FALSE)</f>
        <v>LCH06</v>
      </c>
      <c r="D125" s="61" t="str">
        <f>VLOOKUP(A125,'1.Loading'!A:R,17,FALSE)</f>
        <v>HASLS22260900208</v>
      </c>
      <c r="E125" s="62" t="str">
        <f>VLOOKUP(D125,'2.Bookinglist'!A:CT,27,FALSE)</f>
        <v>EXPEDITORS (THAILAND) LTD.</v>
      </c>
      <c r="F125" s="62" t="str">
        <f>VLOOKUP(D125,'2.Bookinglist'!A:CT,28,FALSE)</f>
        <v>SCGJWD LOGISTICS PUBLIC COMPANY LIMITED</v>
      </c>
      <c r="G125" s="60">
        <f>VLOOKUP(D125,'2.Bookinglist'!A:E,5,FALSE)</f>
        <v>0</v>
      </c>
      <c r="H125" s="61" t="str">
        <f>VLOOKUP(D125,'2.Bookinglist'!A:CT,15,FALSE)</f>
        <v>THLCH</v>
      </c>
      <c r="I125" s="61" t="str">
        <f>VLOOKUP(D125,'2.Bookinglist'!A:CT,19,FALSE)</f>
        <v>CNSHA</v>
      </c>
      <c r="J125" s="61">
        <f>VLOOKUP(D125,'2.Bookinglist'!A:CT,26,FALSE)</f>
        <v>0</v>
      </c>
      <c r="K125" s="61" t="str">
        <f>VLOOKUP(A125,'1.Loading'!A:R,5,FALSE)</f>
        <v>22GP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>IF(RIGHT(K125,2)="RE","RF","")</f>
        <v/>
      </c>
      <c r="O125" s="61" t="str">
        <f>VLOOKUP(A125,'1.Loading'!A:R,3,FALSE)</f>
        <v>SWVG</v>
      </c>
      <c r="P125" s="61" t="str">
        <f>VLOOKUP(A125,'1.Loading'!A:R,4,FALSE)</f>
        <v>2612N</v>
      </c>
      <c r="Q125" s="61" t="str">
        <f>VLOOKUP(D125,'2.Bookinglist'!A:CT,12,FALSE)</f>
        <v>PCI2</v>
      </c>
      <c r="R125" s="60" t="str">
        <f>IF(LEFT(K125,2)="22","20'","40'")</f>
        <v>20'</v>
      </c>
      <c r="S125" s="185" t="n"/>
      <c r="T125" s="61" t="str">
        <f>VLOOKUP(A125,'1.Loading'!A:R,2,FALSE)</f>
        <v>2026-10-07</v>
      </c>
      <c r="U125" s="63">
        <f>T125-S125</f>
        <v>46302</v>
      </c>
      <c r="V125" s="186" t="n"/>
      <c r="W125" s="61" t="str">
        <f>VLOOKUP(A125,'3.GateMove'!A:D,4,FALSE)</f>
        <v>2026-10-05</v>
      </c>
      <c r="X125" s="63">
        <f>((T125-W125)+1)</f>
        <v>3</v>
      </c>
      <c r="Y125" s="64">
        <f>IF(AND(OR(C125="BKK01",C125="BKK04"),L125="CFS/CY"),0,IF(M125="DG",1,IF(LEFT(C125,3)="LCH",7,IF(C125="BKK02",5,3))))</f>
        <v>7</v>
      </c>
      <c r="Z125" s="63">
        <f>IF(IF(AND(AC125="TML",AB125&gt;0),((T125-W125)+1)-AB125,((T125-W125)+1)-Y125)&gt;0,IF(AND(AC125="TML",AB125&gt;0),((T125-W125)+1)-AB125,((T125-W125)+1)-Y125),0)</f>
        <v>0</v>
      </c>
      <c r="AA125" s="187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0</v>
      </c>
      <c r="AB125" s="184" t="n"/>
      <c r="AC125" s="184" t="n"/>
      <c r="AD125" s="60">
        <f>IF(M125="DG",3,IF(N125="RF",3,5))+IF(AND(LEFT(C125,3)="BKK",N125="RF",Q125="KTS"),1,0)+IF(Q125="KHS",1,0)</f>
        <v>5</v>
      </c>
      <c r="AE125" s="63">
        <f>(T125-V125)+1</f>
        <v>46303</v>
      </c>
      <c r="AF125" s="63">
        <f>IF(AB125&gt;IF((V125-W125)&gt;0,V125-W125,0),0,IF(AB125&lt;IF((V125-W125)&gt;0,V125-W125,0),IF((V125-W125)&gt;0,V125-W125,0)-AB125,IF((V125-W125)&gt;0,V125-W125,0)))</f>
        <v>0</v>
      </c>
      <c r="AG125" s="187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 t="n"/>
      <c r="AI125" s="65">
        <f>AA125-AH125</f>
        <v>0</v>
      </c>
      <c r="AJ125" s="188" t="n"/>
      <c r="AK125" s="62" t="str">
        <f>VLOOKUP(D125,'2.Bookinglist'!A:CT,40,FALSE)</f>
        <v>Kanokporn</v>
      </c>
      <c r="AL125" s="60" t="str">
        <f>VLOOKUP(D125,'2.Bookinglist'!A:CW,101,FALSE)</f>
        <v>2026-10-07</v>
      </c>
      <c r="AM125" s="60" t="str">
        <f>VLOOKUP(D125,'2.Bookinglist'!A:BK,63,FALSE)</f>
        <v>LCH27</v>
      </c>
      <c r="AN125" s="62" t="str">
        <f>VLOOKUP(D125,'2.Bookinglist'!A:AZ,52,FALSE)</f>
        <v>Pickup : 2026-10-03, Return : 2026-10-05</v>
      </c>
      <c r="AO125" s="62">
        <f>VLOOKUP(D125,'2.Bookinglist'!A:CY,103,FALSE)</f>
        <v>0</v>
      </c>
    </row>
    <row r="126" ht="12.95" customHeight="1">
      <c r="A126" s="96" t="inlineStr">
        <is>
          <t>SKLU2361365</t>
        </is>
      </c>
      <c r="B126" s="184" t="str">
        <f>IF(C126=Charge!$M$1,Charge!$J$1,IF(C126=Charge!$M$23,Charge!$J$23,IF(C126=Charge!$M$17,Charge!$J$17,IF(C126=Charge!$N$17,Charge!$J$17,Charge!$J$7))))</f>
        <v>G2</v>
      </c>
      <c r="C126" s="61" t="str">
        <f>VLOOKUP(A126,'1.Loading'!A:R,14,FALSE)</f>
        <v>LCH06</v>
      </c>
      <c r="D126" s="61" t="str">
        <f>VLOOKUP(A126,'1.Loading'!A:R,17,FALSE)</f>
        <v>HASLS22260900438</v>
      </c>
      <c r="E126" s="62" t="str">
        <f>VLOOKUP(D126,'2.Bookinglist'!A:CT,27,FALSE)</f>
        <v>DOW CHEMICAL THAILAND LTD.</v>
      </c>
      <c r="F126" s="62" t="str">
        <f>VLOOKUP(D126,'2.Bookinglist'!A:CT,28,FALSE)</f>
        <v>SIAM POLYETHYLENE CO., LTD.</v>
      </c>
      <c r="G126" s="60">
        <f>VLOOKUP(D126,'2.Bookinglist'!A:E,5,FALSE)</f>
        <v>0</v>
      </c>
      <c r="H126" s="61" t="str">
        <f>VLOOKUP(D126,'2.Bookinglist'!A:CT,15,FALSE)</f>
        <v>THLCH</v>
      </c>
      <c r="I126" s="61" t="str">
        <f>VLOOKUP(D126,'2.Bookinglist'!A:CT,19,FALSE)</f>
        <v>JPNGO</v>
      </c>
      <c r="J126" s="61" t="str">
        <f>VLOOKUP(D126,'2.Bookinglist'!A:CT,26,FALSE)</f>
        <v>KRPUS</v>
      </c>
      <c r="K126" s="61" t="str">
        <f>VLOOKUP(A126,'1.Loading'!A:R,5,FALSE)</f>
        <v>22GP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>IF(RIGHT(K126,2)="RE","RF","")</f>
        <v/>
      </c>
      <c r="O126" s="61" t="str">
        <f>VLOOKUP(A126,'1.Loading'!A:R,3,FALSE)</f>
        <v>SWVG</v>
      </c>
      <c r="P126" s="61" t="str">
        <f>VLOOKUP(A126,'1.Loading'!A:R,4,FALSE)</f>
        <v>2612N</v>
      </c>
      <c r="Q126" s="61" t="str">
        <f>VLOOKUP(D126,'2.Bookinglist'!A:CT,12,FALSE)</f>
        <v>PCI2</v>
      </c>
      <c r="R126" s="60" t="str">
        <f>IF(LEFT(K126,2)="22","20'","40'")</f>
        <v>20'</v>
      </c>
      <c r="S126" s="185" t="n"/>
      <c r="T126" s="61" t="str">
        <f>VLOOKUP(A126,'1.Loading'!A:R,2,FALSE)</f>
        <v>2026-10-07</v>
      </c>
      <c r="U126" s="63">
        <f>T126-S126</f>
        <v>46302</v>
      </c>
      <c r="V126" s="186" t="n"/>
      <c r="W126" s="61" t="str">
        <f>VLOOKUP(A126,'3.GateMove'!A:D,4,FALSE)</f>
        <v>2026-10-04</v>
      </c>
      <c r="X126" s="63">
        <f>((T126-W126)+1)</f>
        <v>4</v>
      </c>
      <c r="Y126" s="64">
        <f>IF(AND(OR(C126="BKK01",C126="BKK04"),L126="CFS/CY"),0,IF(M126="DG",1,IF(LEFT(C126,3)="LCH",7,IF(C126="BKK02",5,3))))</f>
        <v>7</v>
      </c>
      <c r="Z126" s="63">
        <f>IF(IF(AND(AC126="TML",AB126&gt;0),((T126-W126)+1)-AB126,((T126-W126)+1)-Y126)&gt;0,IF(AND(AC126="TML",AB126&gt;0),((T126-W126)+1)-AB126,((T126-W126)+1)-Y126),0)</f>
        <v>0</v>
      </c>
      <c r="AA126" s="187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0</v>
      </c>
      <c r="AB126" s="184" t="n"/>
      <c r="AC126" s="184" t="n"/>
      <c r="AD126" s="60">
        <f>IF(M126="DG",3,IF(N126="RF",3,5))+IF(AND(LEFT(C126,3)="BKK",N126="RF",Q126="KTS"),1,0)+IF(Q126="KHS",1,0)</f>
        <v>5</v>
      </c>
      <c r="AE126" s="63">
        <f>(T126-V126)+1</f>
        <v>46303</v>
      </c>
      <c r="AF126" s="63">
        <f>IF(AB126&gt;IF((V126-W126)&gt;0,V126-W126,0),0,IF(AB126&lt;IF((V126-W126)&gt;0,V126-W126,0),IF((V126-W126)&gt;0,V126-W126,0)-AB126,IF((V126-W126)&gt;0,V126-W126,0)))</f>
        <v>0</v>
      </c>
      <c r="AG126" s="187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 t="n"/>
      <c r="AI126" s="65">
        <f>AA126-AH126</f>
        <v>0</v>
      </c>
      <c r="AJ126" s="188" t="n"/>
      <c r="AK126" s="62" t="str">
        <f>VLOOKUP(D126,'2.Bookinglist'!A:CT,40,FALSE)</f>
        <v>SEO JI YEONG</v>
      </c>
      <c r="AL126" s="60" t="str">
        <f>VLOOKUP(D126,'2.Bookinglist'!A:CW,101,FALSE)</f>
        <v>2026-09-28</v>
      </c>
      <c r="AM126" s="60" t="str">
        <f>VLOOKUP(D126,'2.Bookinglist'!A:BK,63,FALSE)</f>
        <v>LCHY5</v>
      </c>
      <c r="AN126" s="62" t="str">
        <f>VLOOKUP(D126,'2.Bookinglist'!A:AZ,52,FALSE)</f>
        <v>Pickup : 2026-09-21, Return : 2026-09-26</v>
      </c>
      <c r="AO126" s="62">
        <f>VLOOKUP(D126,'2.Bookinglist'!A:CY,103,FALSE)</f>
        <v>0</v>
      </c>
    </row>
    <row r="127" ht="12.95" customHeight="1">
      <c r="A127" s="96" t="inlineStr">
        <is>
          <t>SKLU2409216</t>
        </is>
      </c>
      <c r="B127" s="184" t="str">
        <f>IF(C127=Charge!$M$1,Charge!$J$1,IF(C127=Charge!$M$23,Charge!$J$23,IF(C127=Charge!$M$17,Charge!$J$17,IF(C127=Charge!$N$17,Charge!$J$17,Charge!$J$7))))</f>
        <v>G2</v>
      </c>
      <c r="C127" s="61" t="str">
        <f>VLOOKUP(A127,'1.Loading'!A:R,14,FALSE)</f>
        <v>LCH06</v>
      </c>
      <c r="D127" s="61" t="str">
        <f>VLOOKUP(A127,'1.Loading'!A:R,17,FALSE)</f>
        <v>HASLS22260900437</v>
      </c>
      <c r="E127" s="62" t="str">
        <f>VLOOKUP(D127,'2.Bookinglist'!A:CT,27,FALSE)</f>
        <v>DOW CHEMICAL THAILAND LTD.</v>
      </c>
      <c r="F127" s="62" t="str">
        <f>VLOOKUP(D127,'2.Bookinglist'!A:CT,28,FALSE)</f>
        <v>SIAM POLYETHYLENE CO., LTD.</v>
      </c>
      <c r="G127" s="60">
        <f>VLOOKUP(D127,'2.Bookinglist'!A:E,5,FALSE)</f>
        <v>0</v>
      </c>
      <c r="H127" s="61" t="str">
        <f>VLOOKUP(D127,'2.Bookinglist'!A:CT,15,FALSE)</f>
        <v>THLCH</v>
      </c>
      <c r="I127" s="61" t="str">
        <f>VLOOKUP(D127,'2.Bookinglist'!A:CT,19,FALSE)</f>
        <v>JPNGO</v>
      </c>
      <c r="J127" s="61" t="str">
        <f>VLOOKUP(D127,'2.Bookinglist'!A:CT,26,FALSE)</f>
        <v>KRPUS</v>
      </c>
      <c r="K127" s="61" t="str">
        <f>VLOOKUP(A127,'1.Loading'!A:R,5,FALSE)</f>
        <v>22GP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>IF(RIGHT(K127,2)="RE","RF","")</f>
        <v/>
      </c>
      <c r="O127" s="61" t="str">
        <f>VLOOKUP(A127,'1.Loading'!A:R,3,FALSE)</f>
        <v>SWVG</v>
      </c>
      <c r="P127" s="61" t="str">
        <f>VLOOKUP(A127,'1.Loading'!A:R,4,FALSE)</f>
        <v>2612N</v>
      </c>
      <c r="Q127" s="61" t="str">
        <f>VLOOKUP(D127,'2.Bookinglist'!A:CT,12,FALSE)</f>
        <v>PCI2</v>
      </c>
      <c r="R127" s="60" t="str">
        <f>IF(LEFT(K127,2)="22","20'","40'")</f>
        <v>20'</v>
      </c>
      <c r="S127" s="185" t="n"/>
      <c r="T127" s="61" t="str">
        <f>VLOOKUP(A127,'1.Loading'!A:R,2,FALSE)</f>
        <v>2026-10-07</v>
      </c>
      <c r="U127" s="63">
        <f>T127-S127</f>
        <v>46302</v>
      </c>
      <c r="V127" s="186" t="n"/>
      <c r="W127" s="61" t="str">
        <f>VLOOKUP(A127,'3.GateMove'!A:D,4,FALSE)</f>
        <v>2026-10-04</v>
      </c>
      <c r="X127" s="63">
        <f>((T127-W127)+1)</f>
        <v>4</v>
      </c>
      <c r="Y127" s="64">
        <f>IF(AND(OR(C127="BKK01",C127="BKK04"),L127="CFS/CY"),0,IF(M127="DG",1,IF(LEFT(C127,3)="LCH",7,IF(C127="BKK02",5,3))))</f>
        <v>7</v>
      </c>
      <c r="Z127" s="63">
        <f>IF(IF(AND(AC127="TML",AB127&gt;0),((T127-W127)+1)-AB127,((T127-W127)+1)-Y127)&gt;0,IF(AND(AC127="TML",AB127&gt;0),((T127-W127)+1)-AB127,((T127-W127)+1)-Y127),0)</f>
        <v>0</v>
      </c>
      <c r="AA127" s="187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0</v>
      </c>
      <c r="AB127" s="184" t="n"/>
      <c r="AC127" s="184" t="n"/>
      <c r="AD127" s="60">
        <f>IF(M127="DG",3,IF(N127="RF",3,5))+IF(AND(LEFT(C127,3)="BKK",N127="RF",Q127="KTS"),1,0)+IF(Q127="KHS",1,0)</f>
        <v>5</v>
      </c>
      <c r="AE127" s="63">
        <f>(T127-V127)+1</f>
        <v>46303</v>
      </c>
      <c r="AF127" s="63">
        <f>IF(AB127&gt;IF((V127-W127)&gt;0,V127-W127,0),0,IF(AB127&lt;IF((V127-W127)&gt;0,V127-W127,0),IF((V127-W127)&gt;0,V127-W127,0)-AB127,IF((V127-W127)&gt;0,V127-W127,0)))</f>
        <v>0</v>
      </c>
      <c r="AG127" s="187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 t="n"/>
      <c r="AI127" s="65">
        <f>AA127-AH127</f>
        <v>0</v>
      </c>
      <c r="AJ127" s="188" t="n"/>
      <c r="AK127" s="62" t="str">
        <f>VLOOKUP(D127,'2.Bookinglist'!A:CT,40,FALSE)</f>
        <v>SEO JI YEONG</v>
      </c>
      <c r="AL127" s="60" t="str">
        <f>VLOOKUP(D127,'2.Bookinglist'!A:CW,101,FALSE)</f>
        <v>2026-09-28</v>
      </c>
      <c r="AM127" s="60" t="str">
        <f>VLOOKUP(D127,'2.Bookinglist'!A:BK,63,FALSE)</f>
        <v>LCHY5</v>
      </c>
      <c r="AN127" s="62" t="str">
        <f>VLOOKUP(D127,'2.Bookinglist'!A:AZ,52,FALSE)</f>
        <v>Pickup : 2026-09-21, Return : 2026-09-26</v>
      </c>
      <c r="AO127" s="62">
        <f>VLOOKUP(D127,'2.Bookinglist'!A:CY,103,FALSE)</f>
        <v>0</v>
      </c>
    </row>
    <row r="128" ht="12.95" customHeight="1">
      <c r="A128" s="96" t="inlineStr">
        <is>
          <t>SKLU2409833</t>
        </is>
      </c>
      <c r="B128" s="184" t="str">
        <f>IF(C128=Charge!$M$1,Charge!$J$1,IF(C128=Charge!$M$23,Charge!$J$23,IF(C128=Charge!$M$17,Charge!$J$17,IF(C128=Charge!$N$17,Charge!$J$17,Charge!$J$7))))</f>
        <v>G2</v>
      </c>
      <c r="C128" s="61" t="str">
        <f>VLOOKUP(A128,'1.Loading'!A:R,14,FALSE)</f>
        <v>LCH06</v>
      </c>
      <c r="D128" s="61" t="str">
        <f>VLOOKUP(A128,'1.Loading'!A:R,17,FALSE)</f>
        <v>HASLS22260901582</v>
      </c>
      <c r="E128" s="62" t="str">
        <f>VLOOKUP(D128,'2.Bookinglist'!A:CT,27,FALSE)</f>
        <v>SCGJWD LOGISTICS PUBLIC COMPANY LIMITED</v>
      </c>
      <c r="F128" s="62" t="str">
        <f>VLOOKUP(D128,'2.Bookinglist'!A:CT,28,FALSE)</f>
        <v>THAI POLYETHYLENE CO., LTD.</v>
      </c>
      <c r="G128" s="60">
        <f>VLOOKUP(D128,'2.Bookinglist'!A:E,5,FALSE)</f>
        <v>0</v>
      </c>
      <c r="H128" s="61" t="str">
        <f>VLOOKUP(D128,'2.Bookinglist'!A:CT,15,FALSE)</f>
        <v>THLCH</v>
      </c>
      <c r="I128" s="61" t="str">
        <f>VLOOKUP(D128,'2.Bookinglist'!A:CT,19,FALSE)</f>
        <v>JPMOJ</v>
      </c>
      <c r="J128" s="61" t="str">
        <f>VLOOKUP(D128,'2.Bookinglist'!A:CT,26,FALSE)</f>
        <v>KRPUS</v>
      </c>
      <c r="K128" s="61" t="str">
        <f>VLOOKUP(A128,'1.Loading'!A:R,5,FALSE)</f>
        <v>22GP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>IF(RIGHT(K128,2)="RE","RF","")</f>
        <v/>
      </c>
      <c r="O128" s="61" t="str">
        <f>VLOOKUP(A128,'1.Loading'!A:R,3,FALSE)</f>
        <v>SWVG</v>
      </c>
      <c r="P128" s="61" t="str">
        <f>VLOOKUP(A128,'1.Loading'!A:R,4,FALSE)</f>
        <v>2612N</v>
      </c>
      <c r="Q128" s="61" t="str">
        <f>VLOOKUP(D128,'2.Bookinglist'!A:CT,12,FALSE)</f>
        <v>PCI2</v>
      </c>
      <c r="R128" s="60" t="str">
        <f>IF(LEFT(K128,2)="22","20'","40'")</f>
        <v>20'</v>
      </c>
      <c r="S128" s="185" t="n"/>
      <c r="T128" s="61" t="str">
        <f>VLOOKUP(A128,'1.Loading'!A:R,2,FALSE)</f>
        <v>2026-10-07</v>
      </c>
      <c r="U128" s="63">
        <f>T128-S128</f>
        <v>46302</v>
      </c>
      <c r="V128" s="186" t="n"/>
      <c r="W128" s="61" t="str">
        <f>VLOOKUP(A128,'3.GateMove'!A:D,4,FALSE)</f>
        <v>2026-10-03</v>
      </c>
      <c r="X128" s="63">
        <f>((T128-W128)+1)</f>
        <v>5</v>
      </c>
      <c r="Y128" s="64">
        <f>IF(AND(OR(C128="BKK01",C128="BKK04"),L128="CFS/CY"),0,IF(M128="DG",1,IF(LEFT(C128,3)="LCH",7,IF(C128="BKK02",5,3))))</f>
        <v>7</v>
      </c>
      <c r="Z128" s="63">
        <f>IF(IF(AND(AC128="TML",AB128&gt;0),((T128-W128)+1)-AB128,((T128-W128)+1)-Y128)&gt;0,IF(AND(AC128="TML",AB128&gt;0),((T128-W128)+1)-AB128,((T128-W128)+1)-Y128),0)</f>
        <v>0</v>
      </c>
      <c r="AA128" s="187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0</v>
      </c>
      <c r="AB128" s="184" t="n"/>
      <c r="AC128" s="184" t="n"/>
      <c r="AD128" s="60">
        <f>IF(M128="DG",3,IF(N128="RF",3,5))+IF(AND(LEFT(C128,3)="BKK",N128="RF",Q128="KTS"),1,0)+IF(Q128="KHS",1,0)</f>
        <v>5</v>
      </c>
      <c r="AE128" s="63">
        <f>(T128-V128)+1</f>
        <v>46303</v>
      </c>
      <c r="AF128" s="63">
        <f>IF(AB128&gt;IF((V128-W128)&gt;0,V128-W128,0),0,IF(AB128&lt;IF((V128-W128)&gt;0,V128-W128,0),IF((V128-W128)&gt;0,V128-W128,0)-AB128,IF((V128-W128)&gt;0,V128-W128,0)))</f>
        <v>0</v>
      </c>
      <c r="AG128" s="187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 t="n"/>
      <c r="AI128" s="65">
        <f>AA128-AH128</f>
        <v>0</v>
      </c>
      <c r="AJ128" s="188" t="n"/>
      <c r="AK128" s="62" t="str">
        <f>VLOOKUP(D128,'2.Bookinglist'!A:CT,40,FALSE)</f>
        <v>Kanokporn</v>
      </c>
      <c r="AL128" s="60" t="str">
        <f>VLOOKUP(D128,'2.Bookinglist'!A:CW,101,FALSE)</f>
        <v>2026-10-03</v>
      </c>
      <c r="AM128" s="60" t="str">
        <f>VLOOKUP(D128,'2.Bookinglist'!A:BK,63,FALSE)</f>
        <v>LCHY5</v>
      </c>
      <c r="AN128" s="62" t="str">
        <f>VLOOKUP(D128,'2.Bookinglist'!A:AZ,52,FALSE)</f>
        <v>CY-RTN 28-29/09/26 (  INV  3031061852  )</v>
      </c>
      <c r="AO128" s="62">
        <f>VLOOKUP(D128,'2.Bookinglist'!A:CY,103,FALSE)</f>
        <v>0</v>
      </c>
    </row>
    <row r="129" ht="12.95" customHeight="1">
      <c r="A129" s="96" t="inlineStr">
        <is>
          <t>SKLU2474000</t>
        </is>
      </c>
      <c r="B129" s="184" t="str">
        <f>IF(C129=Charge!$M$1,Charge!$J$1,IF(C129=Charge!$M$23,Charge!$J$23,IF(C129=Charge!$M$17,Charge!$J$17,IF(C129=Charge!$N$17,Charge!$J$17,Charge!$J$7))))</f>
        <v>G2</v>
      </c>
      <c r="C129" s="61" t="str">
        <f>VLOOKUP(A129,'1.Loading'!A:R,14,FALSE)</f>
        <v>LCH06</v>
      </c>
      <c r="D129" s="61" t="str">
        <f>VLOOKUP(A129,'1.Loading'!A:R,17,FALSE)</f>
        <v>HASLS22260901331</v>
      </c>
      <c r="E129" s="62" t="str">
        <f>VLOOKUP(D129,'2.Bookinglist'!A:CT,27,FALSE)</f>
        <v>ROJANA DISTRIBUTION CENTER CO., LTD.</v>
      </c>
      <c r="F129" s="62" t="str">
        <f>VLOOKUP(D129,'2.Bookinglist'!A:CT,28,FALSE)</f>
        <v>NIPPON STEEL WELDING (THAILAND) CO., LTD.</v>
      </c>
      <c r="G129" s="60">
        <f>VLOOKUP(D129,'2.Bookinglist'!A:E,5,FALSE)</f>
        <v>0</v>
      </c>
      <c r="H129" s="61" t="str">
        <f>VLOOKUP(D129,'2.Bookinglist'!A:CT,15,FALSE)</f>
        <v>THLCH</v>
      </c>
      <c r="I129" s="61" t="str">
        <f>VLOOKUP(D129,'2.Bookinglist'!A:CT,19,FALSE)</f>
        <v>JPTMK</v>
      </c>
      <c r="J129" s="61" t="str">
        <f>VLOOKUP(D129,'2.Bookinglist'!A:CT,26,FALSE)</f>
        <v>KRPUS</v>
      </c>
      <c r="K129" s="61" t="str">
        <f>VLOOKUP(A129,'1.Loading'!A:R,5,FALSE)</f>
        <v>22GP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>IF(RIGHT(K129,2)="RE","RF","")</f>
        <v/>
      </c>
      <c r="O129" s="61" t="str">
        <f>VLOOKUP(A129,'1.Loading'!A:R,3,FALSE)</f>
        <v>SWVG</v>
      </c>
      <c r="P129" s="61" t="str">
        <f>VLOOKUP(A129,'1.Loading'!A:R,4,FALSE)</f>
        <v>2612N</v>
      </c>
      <c r="Q129" s="61" t="str">
        <f>VLOOKUP(D129,'2.Bookinglist'!A:CT,12,FALSE)</f>
        <v>PCI2</v>
      </c>
      <c r="R129" s="60" t="str">
        <f>IF(LEFT(K129,2)="22","20'","40'")</f>
        <v>20'</v>
      </c>
      <c r="S129" s="185" t="n"/>
      <c r="T129" s="61" t="str">
        <f>VLOOKUP(A129,'1.Loading'!A:R,2,FALSE)</f>
        <v>2026-10-07</v>
      </c>
      <c r="U129" s="63">
        <f>T129-S129</f>
        <v>46302</v>
      </c>
      <c r="V129" s="186" t="n"/>
      <c r="W129" s="61" t="str">
        <f>VLOOKUP(A129,'3.GateMove'!A:D,4,FALSE)</f>
        <v>2026-10-05</v>
      </c>
      <c r="X129" s="63">
        <f>((T129-W129)+1)</f>
        <v>3</v>
      </c>
      <c r="Y129" s="64">
        <f>IF(AND(OR(C129="BKK01",C129="BKK04"),L129="CFS/CY"),0,IF(M129="DG",1,IF(LEFT(C129,3)="LCH",7,IF(C129="BKK02",5,3))))</f>
        <v>7</v>
      </c>
      <c r="Z129" s="63">
        <f>IF(IF(AND(AC129="TML",AB129&gt;0),((T129-W129)+1)-AB129,((T129-W129)+1)-Y129)&gt;0,IF(AND(AC129="TML",AB129&gt;0),((T129-W129)+1)-AB129,((T129-W129)+1)-Y129),0)</f>
        <v>0</v>
      </c>
      <c r="AA129" s="187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0</v>
      </c>
      <c r="AB129" s="184" t="n"/>
      <c r="AC129" s="184" t="n"/>
      <c r="AD129" s="60">
        <f>IF(M129="DG",3,IF(N129="RF",3,5))+IF(AND(LEFT(C129,3)="BKK",N129="RF",Q129="KTS"),1,0)+IF(Q129="KHS",1,0)</f>
        <v>5</v>
      </c>
      <c r="AE129" s="63">
        <f>(T129-V129)+1</f>
        <v>46303</v>
      </c>
      <c r="AF129" s="63">
        <f>IF(AB129&gt;IF((V129-W129)&gt;0,V129-W129,0),0,IF(AB129&lt;IF((V129-W129)&gt;0,V129-W129,0),IF((V129-W129)&gt;0,V129-W129,0)-AB129,IF((V129-W129)&gt;0,V129-W129,0)))</f>
        <v>0</v>
      </c>
      <c r="AG129" s="187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 t="n"/>
      <c r="AI129" s="65">
        <f>AA129-AH129</f>
        <v>0</v>
      </c>
      <c r="AJ129" s="188" t="n"/>
      <c r="AK129" s="62" t="str">
        <f>VLOOKUP(D129,'2.Bookinglist'!A:CT,40,FALSE)</f>
        <v>Dharaporn</v>
      </c>
      <c r="AL129" s="60" t="str">
        <f>VLOOKUP(D129,'2.Bookinglist'!A:CW,101,FALSE)</f>
        <v>2026-10-08</v>
      </c>
      <c r="AM129" s="60" t="str">
        <f>VLOOKUP(D129,'2.Bookinglist'!A:BK,63,FALSE)</f>
        <v>LCH27</v>
      </c>
      <c r="AN129" s="62" t="str">
        <f>VLOOKUP(D129,'2.Bookinglist'!A:AZ,52,FALSE)</f>
        <v>[FIX]Pickup : 2026-10-02, Return : 2026-10-05</v>
      </c>
      <c r="AO129" s="62">
        <f>VLOOKUP(D129,'2.Bookinglist'!A:CY,103,FALSE)</f>
        <v>0</v>
      </c>
    </row>
    <row r="130" ht="12.95" customHeight="1">
      <c r="A130" s="96" t="inlineStr">
        <is>
          <t>TCLU1829458</t>
        </is>
      </c>
      <c r="B130" s="184" t="str">
        <f>IF(C130=Charge!$M$1,Charge!$J$1,IF(C130=Charge!$M$23,Charge!$J$23,IF(C130=Charge!$M$17,Charge!$J$17,IF(C130=Charge!$N$17,Charge!$J$17,Charge!$J$7))))</f>
        <v>G2</v>
      </c>
      <c r="C130" s="61" t="str">
        <f>VLOOKUP(A130,'1.Loading'!A:R,14,FALSE)</f>
        <v>LCH06</v>
      </c>
      <c r="D130" s="61" t="str">
        <f>VLOOKUP(A130,'1.Loading'!A:R,17,FALSE)</f>
        <v>HASLS22260802507</v>
      </c>
      <c r="E130" s="62" t="str">
        <f>VLOOKUP(D130,'2.Bookinglist'!A:CT,27,FALSE)</f>
        <v>WHA GC LOGISTICS COMPANY LIMITED</v>
      </c>
      <c r="F130" s="62" t="str">
        <f>VLOOKUP(D130,'2.Bookinglist'!A:CT,28,FALSE)</f>
        <v>PTT GLOBAL CHEMICAL PUBLIC COMPANY LIMITED</v>
      </c>
      <c r="G130" s="60">
        <f>VLOOKUP(D130,'2.Bookinglist'!A:E,5,FALSE)</f>
        <v>0</v>
      </c>
      <c r="H130" s="61" t="str">
        <f>VLOOKUP(D130,'2.Bookinglist'!A:CT,15,FALSE)</f>
        <v>THLCH</v>
      </c>
      <c r="I130" s="61" t="str">
        <f>VLOOKUP(D130,'2.Bookinglist'!A:CT,19,FALSE)</f>
        <v>CNSHA</v>
      </c>
      <c r="J130" s="61">
        <f>VLOOKUP(D130,'2.Bookinglist'!A:CT,26,FALSE)</f>
        <v>0</v>
      </c>
      <c r="K130" s="61" t="str">
        <f>VLOOKUP(A130,'1.Loading'!A:R,5,FALSE)</f>
        <v>45GP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>IF(RIGHT(K130,2)="RE","RF","")</f>
        <v/>
      </c>
      <c r="O130" s="61" t="str">
        <f>VLOOKUP(A130,'1.Loading'!A:R,3,FALSE)</f>
        <v>SWVG</v>
      </c>
      <c r="P130" s="61" t="str">
        <f>VLOOKUP(A130,'1.Loading'!A:R,4,FALSE)</f>
        <v>2612N</v>
      </c>
      <c r="Q130" s="61" t="str">
        <f>VLOOKUP(D130,'2.Bookinglist'!A:CT,12,FALSE)</f>
        <v>PCI2</v>
      </c>
      <c r="R130" s="60" t="str">
        <f>IF(LEFT(K130,2)="22","20'","40'")</f>
        <v>40'</v>
      </c>
      <c r="S130" s="185" t="n"/>
      <c r="T130" s="61" t="str">
        <f>VLOOKUP(A130,'1.Loading'!A:R,2,FALSE)</f>
        <v>2026-10-07</v>
      </c>
      <c r="U130" s="63">
        <f>T130-S130</f>
        <v>46302</v>
      </c>
      <c r="V130" s="186" t="n"/>
      <c r="W130" s="61" t="str">
        <f>VLOOKUP(A130,'3.GateMove'!A:D,4,FALSE)</f>
        <v>2026-09-28</v>
      </c>
      <c r="X130" s="63">
        <f>((T130-W130)+1)</f>
        <v>10</v>
      </c>
      <c r="Y130" s="64">
        <f>IF(AND(OR(C130="BKK01",C130="BKK04"),L130="CFS/CY"),0,IF(M130="DG",1,IF(LEFT(C130,3)="LCH",7,IF(C130="BKK02",5,3))))</f>
        <v>7</v>
      </c>
      <c r="Z130" s="63">
        <f>IF(IF(AND(AC130="TML",AB130&gt;0),((T130-W130)+1)-AB130,((T130-W130)+1)-Y130)&gt;0,IF(AND(AC130="TML",AB130&gt;0),((T130-W130)+1)-AB130,((T130-W130)+1)-Y130),0)</f>
        <v>3</v>
      </c>
      <c r="AA130" s="187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750</v>
      </c>
      <c r="AB130" s="184" t="n"/>
      <c r="AC130" s="184" t="n"/>
      <c r="AD130" s="60">
        <f>IF(M130="DG",3,IF(N130="RF",3,5))+IF(AND(LEFT(C130,3)="BKK",N130="RF",Q130="KTS"),1,0)+IF(Q130="KHS",1,0)</f>
        <v>5</v>
      </c>
      <c r="AE130" s="63">
        <f>(T130-V130)+1</f>
        <v>46303</v>
      </c>
      <c r="AF130" s="63">
        <f>IF(AB130&gt;IF((V130-W130)&gt;0,V130-W130,0),0,IF(AB130&lt;IF((V130-W130)&gt;0,V130-W130,0),IF((V130-W130)&gt;0,V130-W130,0)-AB130,IF((V130-W130)&gt;0,V130-W130,0)))</f>
        <v>0</v>
      </c>
      <c r="AG130" s="187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 t="n"/>
      <c r="AI130" s="65">
        <f>AA130-AH130</f>
        <v>750</v>
      </c>
      <c r="AJ130" s="188" t="n"/>
      <c r="AK130" s="62" t="str">
        <f>VLOOKUP(D130,'2.Bookinglist'!A:CT,40,FALSE)</f>
        <v>Dharaporn</v>
      </c>
      <c r="AL130" s="60" t="str">
        <f>VLOOKUP(D130,'2.Bookinglist'!A:CW,101,FALSE)</f>
        <v>2026-10-07</v>
      </c>
      <c r="AM130" s="60" t="str">
        <f>VLOOKUP(D130,'2.Bookinglist'!A:BK,63,FALSE)</f>
        <v>LCHY5</v>
      </c>
      <c r="AN130" s="62" t="str">
        <f>VLOOKUP(D130,'2.Bookinglist'!A:AZ,52,FALSE)</f>
        <v>CY -RTN DD.21/09 -27/09/2026 /CHECK OPEN GATE BEFORE RETURN CNTR </v>
      </c>
      <c r="AO130" s="62">
        <f>VLOOKUP(D130,'2.Bookinglist'!A:CY,103,FALSE)</f>
        <v>0</v>
      </c>
    </row>
    <row r="131" ht="12.95" customHeight="1">
      <c r="A131" s="96" t="inlineStr">
        <is>
          <t>TCLU8724124</t>
        </is>
      </c>
      <c r="B131" s="184" t="str">
        <f>IF(C131=Charge!$M$1,Charge!$J$1,IF(C131=Charge!$M$23,Charge!$J$23,IF(C131=Charge!$M$17,Charge!$J$17,IF(C131=Charge!$N$17,Charge!$J$17,Charge!$J$7))))</f>
        <v>G2</v>
      </c>
      <c r="C131" s="61" t="str">
        <f>VLOOKUP(A131,'1.Loading'!A:R,14,FALSE)</f>
        <v>LCH06</v>
      </c>
      <c r="D131" s="61" t="str">
        <f>VLOOKUP(A131,'1.Loading'!A:R,17,FALSE)</f>
        <v>HASLS22260901668</v>
      </c>
      <c r="E131" s="62" t="str">
        <f>VLOOKUP(D131,'2.Bookinglist'!A:CT,27,FALSE)</f>
        <v>BARKLAYS LOGISTICS (THAILAND) CO., LTD.</v>
      </c>
      <c r="F131" s="62" t="str">
        <f>VLOOKUP(D131,'2.Bookinglist'!A:CT,28,FALSE)</f>
        <v>GOLDEN CRANE (GOLDEN DRAGON) CO.,LTD.</v>
      </c>
      <c r="G131" s="60">
        <f>VLOOKUP(D131,'2.Bookinglist'!A:E,5,FALSE)</f>
        <v>0</v>
      </c>
      <c r="H131" s="61" t="str">
        <f>VLOOKUP(D131,'2.Bookinglist'!A:CT,15,FALSE)</f>
        <v>THLCH</v>
      </c>
      <c r="I131" s="61" t="str">
        <f>VLOOKUP(D131,'2.Bookinglist'!A:CT,19,FALSE)</f>
        <v>CNSHA</v>
      </c>
      <c r="J131" s="61">
        <f>VLOOKUP(D131,'2.Bookinglist'!A:CT,26,FALSE)</f>
        <v>0</v>
      </c>
      <c r="K131" s="61" t="str">
        <f>VLOOKUP(A131,'1.Loading'!A:R,5,FALSE)</f>
        <v>45GP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>IF(RIGHT(K131,2)="RE","RF","")</f>
        <v/>
      </c>
      <c r="O131" s="61" t="str">
        <f>VLOOKUP(A131,'1.Loading'!A:R,3,FALSE)</f>
        <v>SWVG</v>
      </c>
      <c r="P131" s="61" t="str">
        <f>VLOOKUP(A131,'1.Loading'!A:R,4,FALSE)</f>
        <v>2612N</v>
      </c>
      <c r="Q131" s="61" t="str">
        <f>VLOOKUP(D131,'2.Bookinglist'!A:CT,12,FALSE)</f>
        <v>PCI2</v>
      </c>
      <c r="R131" s="60" t="str">
        <f>IF(LEFT(K131,2)="22","20'","40'")</f>
        <v>40'</v>
      </c>
      <c r="S131" s="185" t="n"/>
      <c r="T131" s="61" t="str">
        <f>VLOOKUP(A131,'1.Loading'!A:R,2,FALSE)</f>
        <v>2026-10-07</v>
      </c>
      <c r="U131" s="63">
        <f>T131-S131</f>
        <v>46302</v>
      </c>
      <c r="V131" s="186" t="n"/>
      <c r="W131" s="61" t="str">
        <f>VLOOKUP(A131,'3.GateMove'!A:D,4,FALSE)</f>
        <v>2026-09-20</v>
      </c>
      <c r="X131" s="63">
        <f>((T131-W131)+1)</f>
        <v>18</v>
      </c>
      <c r="Y131" s="64">
        <f>IF(AND(OR(C131="BKK01",C131="BKK04"),L131="CFS/CY"),0,IF(M131="DG",1,IF(LEFT(C131,3)="LCH",7,IF(C131="BKK02",5,3))))</f>
        <v>7</v>
      </c>
      <c r="Z131" s="63">
        <f>IF(IF(AND(AC131="TML",AB131&gt;0),((T131-W131)+1)-AB131,((T131-W131)+1)-Y131)&gt;0,IF(AND(AC131="TML",AB131&gt;0),((T131-W131)+1)-AB131,((T131-W131)+1)-Y131),0)</f>
        <v>11</v>
      </c>
      <c r="AA131" s="187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3750</v>
      </c>
      <c r="AB131" s="184" t="n"/>
      <c r="AC131" s="184" t="n"/>
      <c r="AD131" s="60">
        <f>IF(M131="DG",3,IF(N131="RF",3,5))+IF(AND(LEFT(C131,3)="BKK",N131="RF",Q131="KTS"),1,0)+IF(Q131="KHS",1,0)</f>
        <v>5</v>
      </c>
      <c r="AE131" s="63">
        <f>(T131-V131)+1</f>
        <v>46303</v>
      </c>
      <c r="AF131" s="63">
        <f>IF(AB131&gt;IF((V131-W131)&gt;0,V131-W131,0),0,IF(AB131&lt;IF((V131-W131)&gt;0,V131-W131,0),IF((V131-W131)&gt;0,V131-W131,0)-AB131,IF((V131-W131)&gt;0,V131-W131,0)))</f>
        <v>0</v>
      </c>
      <c r="AG131" s="187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 t="n"/>
      <c r="AI131" s="65">
        <f>AA131-AH131</f>
        <v>3750</v>
      </c>
      <c r="AJ131" s="188" t="n"/>
      <c r="AK131" s="62" t="str">
        <f>VLOOKUP(D131,'2.Bookinglist'!A:CT,40,FALSE)</f>
        <v>Nannaapust Sukporntaweewat</v>
      </c>
      <c r="AL131" s="60" t="str">
        <f>VLOOKUP(D131,'2.Bookinglist'!A:CW,101,FALSE)</f>
        <v>2026-10-08</v>
      </c>
      <c r="AM131" s="60" t="str">
        <f>VLOOKUP(D131,'2.Bookinglist'!A:BK,63,FALSE)</f>
        <v>LCHY5</v>
      </c>
      <c r="AN131" s="62" t="str">
        <f>VLOOKUP(D131,'2.Bookinglist'!A:AZ,52,FALSE)</f>
        <v>Pickup : 2026-09-18, Return : 2026-09-19</v>
      </c>
      <c r="AO131" s="62" t="str">
        <f>VLOOKUP(D131,'2.Bookinglist'!A:CY,103,FALSE)</f>
        <v>ROLL OVER FROM PREVIOUS VSL HAB 2611N  BY ALLOCATION TEAM MS.TARN APPROVED COST IS UNDER HA DD.25/09</v>
      </c>
    </row>
    <row r="132" ht="12.95" customHeight="1">
      <c r="A132" s="96" t="inlineStr">
        <is>
          <t>TCLU8767342</t>
        </is>
      </c>
      <c r="B132" s="184" t="str">
        <f>IF(C132=Charge!$M$1,Charge!$J$1,IF(C132=Charge!$M$23,Charge!$J$23,IF(C132=Charge!$M$17,Charge!$J$17,IF(C132=Charge!$N$17,Charge!$J$17,Charge!$J$7))))</f>
        <v>G2</v>
      </c>
      <c r="C132" s="61" t="str">
        <f>VLOOKUP(A132,'1.Loading'!A:R,14,FALSE)</f>
        <v>LCH06</v>
      </c>
      <c r="D132" s="61" t="str">
        <f>VLOOKUP(A132,'1.Loading'!A:R,17,FALSE)</f>
        <v>HASLS22260900441</v>
      </c>
      <c r="E132" s="62" t="str">
        <f>VLOOKUP(D132,'2.Bookinglist'!A:CT,27,FALSE)</f>
        <v>BARKLAYS LOGISTICS (THAILAND) CO., LTD.</v>
      </c>
      <c r="F132" s="62" t="str">
        <f>VLOOKUP(D132,'2.Bookinglist'!A:CT,28,FALSE)</f>
        <v>GOLDEN CRANE (GOLDEN DRAGON) CO.,LTD.</v>
      </c>
      <c r="G132" s="60">
        <f>VLOOKUP(D132,'2.Bookinglist'!A:E,5,FALSE)</f>
        <v>0</v>
      </c>
      <c r="H132" s="61" t="str">
        <f>VLOOKUP(D132,'2.Bookinglist'!A:CT,15,FALSE)</f>
        <v>THLCH</v>
      </c>
      <c r="I132" s="61" t="str">
        <f>VLOOKUP(D132,'2.Bookinglist'!A:CT,19,FALSE)</f>
        <v>CNSHA</v>
      </c>
      <c r="J132" s="61">
        <f>VLOOKUP(D132,'2.Bookinglist'!A:CT,26,FALSE)</f>
        <v>0</v>
      </c>
      <c r="K132" s="61" t="str">
        <f>VLOOKUP(A132,'1.Loading'!A:R,5,FALSE)</f>
        <v>45GP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>IF(RIGHT(K132,2)="RE","RF","")</f>
        <v/>
      </c>
      <c r="O132" s="61" t="str">
        <f>VLOOKUP(A132,'1.Loading'!A:R,3,FALSE)</f>
        <v>SWVG</v>
      </c>
      <c r="P132" s="61" t="str">
        <f>VLOOKUP(A132,'1.Loading'!A:R,4,FALSE)</f>
        <v>2612N</v>
      </c>
      <c r="Q132" s="61" t="str">
        <f>VLOOKUP(D132,'2.Bookinglist'!A:CT,12,FALSE)</f>
        <v>PCI2</v>
      </c>
      <c r="R132" s="60" t="str">
        <f>IF(LEFT(K132,2)="22","20'","40'")</f>
        <v>40'</v>
      </c>
      <c r="S132" s="185" t="n"/>
      <c r="T132" s="61" t="str">
        <f>VLOOKUP(A132,'1.Loading'!A:R,2,FALSE)</f>
        <v>2026-10-07</v>
      </c>
      <c r="U132" s="63">
        <f>T132-S132</f>
        <v>46302</v>
      </c>
      <c r="V132" s="186" t="n"/>
      <c r="W132" s="61" t="str">
        <f>VLOOKUP(A132,'3.GateMove'!A:D,4,FALSE)</f>
        <v>2026-09-19</v>
      </c>
      <c r="X132" s="63">
        <f>((T132-W132)+1)</f>
        <v>19</v>
      </c>
      <c r="Y132" s="64">
        <f>IF(AND(OR(C132="BKK01",C132="BKK04"),L132="CFS/CY"),0,IF(M132="DG",1,IF(LEFT(C132,3)="LCH",7,IF(C132="BKK02",5,3))))</f>
        <v>7</v>
      </c>
      <c r="Z132" s="63">
        <f>IF(IF(AND(AC132="TML",AB132&gt;0),((T132-W132)+1)-AB132,((T132-W132)+1)-Y132)&gt;0,IF(AND(AC132="TML",AB132&gt;0),((T132-W132)+1)-AB132,((T132-W132)+1)-Y132),0)</f>
        <v>12</v>
      </c>
      <c r="AA132" s="187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4250</v>
      </c>
      <c r="AB132" s="184" t="n"/>
      <c r="AC132" s="184" t="n"/>
      <c r="AD132" s="60">
        <f>IF(M132="DG",3,IF(N132="RF",3,5))+IF(AND(LEFT(C132,3)="BKK",N132="RF",Q132="KTS"),1,0)+IF(Q132="KHS",1,0)</f>
        <v>5</v>
      </c>
      <c r="AE132" s="63">
        <f>(T132-V132)+1</f>
        <v>46303</v>
      </c>
      <c r="AF132" s="63">
        <f>IF(AB132&gt;IF((V132-W132)&gt;0,V132-W132,0),0,IF(AB132&lt;IF((V132-W132)&gt;0,V132-W132,0),IF((V132-W132)&gt;0,V132-W132,0)-AB132,IF((V132-W132)&gt;0,V132-W132,0)))</f>
        <v>0</v>
      </c>
      <c r="AG132" s="187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 t="n"/>
      <c r="AI132" s="65">
        <f>AA132-AH132</f>
        <v>4250</v>
      </c>
      <c r="AJ132" s="188" t="n"/>
      <c r="AK132" s="62" t="str">
        <f>VLOOKUP(D132,'2.Bookinglist'!A:CT,40,FALSE)</f>
        <v>Nannaapust Sukporntaweewat</v>
      </c>
      <c r="AL132" s="60" t="str">
        <f>VLOOKUP(D132,'2.Bookinglist'!A:CW,101,FALSE)</f>
        <v>2026-10-08</v>
      </c>
      <c r="AM132" s="60" t="str">
        <f>VLOOKUP(D132,'2.Bookinglist'!A:BK,63,FALSE)</f>
        <v>LCHY5</v>
      </c>
      <c r="AN132" s="62" t="str">
        <f>VLOOKUP(D132,'2.Bookinglist'!A:AZ,52,FALSE)</f>
        <v>Pickup : 2026-09-18, Return : 2026-09-19</v>
      </c>
      <c r="AO132" s="62" t="str">
        <f>VLOOKUP(D132,'2.Bookinglist'!A:CY,103,FALSE)</f>
        <v>ROLL OVER FROM PREVIOUS VSL HAB 2611N  BY ALLOCATION TEAM MS.TARN APPROVED COST IS UNDER HA DD.25/09</v>
      </c>
    </row>
    <row r="133" ht="12.95" customHeight="1">
      <c r="A133" s="96" t="inlineStr">
        <is>
          <t>TCNU4883212</t>
        </is>
      </c>
      <c r="B133" s="184" t="str">
        <f>IF(C133=Charge!$M$1,Charge!$J$1,IF(C133=Charge!$M$23,Charge!$J$23,IF(C133=Charge!$M$17,Charge!$J$17,IF(C133=Charge!$N$17,Charge!$J$17,Charge!$J$7))))</f>
        <v>G2</v>
      </c>
      <c r="C133" s="61" t="str">
        <f>VLOOKUP(A133,'1.Loading'!A:R,14,FALSE)</f>
        <v>LCH06</v>
      </c>
      <c r="D133" s="61" t="str">
        <f>VLOOKUP(A133,'1.Loading'!A:R,17,FALSE)</f>
        <v>HASLS22260901668</v>
      </c>
      <c r="E133" s="62" t="str">
        <f>VLOOKUP(D133,'2.Bookinglist'!A:CT,27,FALSE)</f>
        <v>BARKLAYS LOGISTICS (THAILAND) CO., LTD.</v>
      </c>
      <c r="F133" s="62" t="str">
        <f>VLOOKUP(D133,'2.Bookinglist'!A:CT,28,FALSE)</f>
        <v>GOLDEN CRANE (GOLDEN DRAGON) CO.,LTD.</v>
      </c>
      <c r="G133" s="60">
        <f>VLOOKUP(D133,'2.Bookinglist'!A:E,5,FALSE)</f>
        <v>0</v>
      </c>
      <c r="H133" s="61" t="str">
        <f>VLOOKUP(D133,'2.Bookinglist'!A:CT,15,FALSE)</f>
        <v>THLCH</v>
      </c>
      <c r="I133" s="61" t="str">
        <f>VLOOKUP(D133,'2.Bookinglist'!A:CT,19,FALSE)</f>
        <v>CNSHA</v>
      </c>
      <c r="J133" s="61">
        <f>VLOOKUP(D133,'2.Bookinglist'!A:CT,26,FALSE)</f>
        <v>0</v>
      </c>
      <c r="K133" s="61" t="str">
        <f>VLOOKUP(A133,'1.Loading'!A:R,5,FALSE)</f>
        <v>45GP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>IF(RIGHT(K133,2)="RE","RF","")</f>
        <v/>
      </c>
      <c r="O133" s="61" t="str">
        <f>VLOOKUP(A133,'1.Loading'!A:R,3,FALSE)</f>
        <v>SWVG</v>
      </c>
      <c r="P133" s="61" t="str">
        <f>VLOOKUP(A133,'1.Loading'!A:R,4,FALSE)</f>
        <v>2612N</v>
      </c>
      <c r="Q133" s="61" t="str">
        <f>VLOOKUP(D133,'2.Bookinglist'!A:CT,12,FALSE)</f>
        <v>PCI2</v>
      </c>
      <c r="R133" s="60" t="str">
        <f>IF(LEFT(K133,2)="22","20'","40'")</f>
        <v>40'</v>
      </c>
      <c r="S133" s="185" t="n"/>
      <c r="T133" s="61" t="str">
        <f>VLOOKUP(A133,'1.Loading'!A:R,2,FALSE)</f>
        <v>2026-10-07</v>
      </c>
      <c r="U133" s="63">
        <f>T133-S133</f>
        <v>46302</v>
      </c>
      <c r="V133" s="186" t="n"/>
      <c r="W133" s="61" t="str">
        <f>VLOOKUP(A133,'3.GateMove'!A:D,4,FALSE)</f>
        <v>2026-09-20</v>
      </c>
      <c r="X133" s="63">
        <f>((T133-W133)+1)</f>
        <v>18</v>
      </c>
      <c r="Y133" s="64">
        <f>IF(AND(OR(C133="BKK01",C133="BKK04"),L133="CFS/CY"),0,IF(M133="DG",1,IF(LEFT(C133,3)="LCH",7,IF(C133="BKK02",5,3))))</f>
        <v>7</v>
      </c>
      <c r="Z133" s="63">
        <f>IF(IF(AND(AC133="TML",AB133&gt;0),((T133-W133)+1)-AB133,((T133-W133)+1)-Y133)&gt;0,IF(AND(AC133="TML",AB133&gt;0),((T133-W133)+1)-AB133,((T133-W133)+1)-Y133),0)</f>
        <v>11</v>
      </c>
      <c r="AA133" s="187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3750</v>
      </c>
      <c r="AB133" s="184" t="n"/>
      <c r="AC133" s="184" t="n"/>
      <c r="AD133" s="60">
        <f>IF(M133="DG",3,IF(N133="RF",3,5))+IF(AND(LEFT(C133,3)="BKK",N133="RF",Q133="KTS"),1,0)+IF(Q133="KHS",1,0)</f>
        <v>5</v>
      </c>
      <c r="AE133" s="63">
        <f>(T133-V133)+1</f>
        <v>46303</v>
      </c>
      <c r="AF133" s="63">
        <f>IF(AB133&gt;IF((V133-W133)&gt;0,V133-W133,0),0,IF(AB133&lt;IF((V133-W133)&gt;0,V133-W133,0),IF((V133-W133)&gt;0,V133-W133,0)-AB133,IF((V133-W133)&gt;0,V133-W133,0)))</f>
        <v>0</v>
      </c>
      <c r="AG133" s="187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 t="n"/>
      <c r="AI133" s="65">
        <f>AA133-AH133</f>
        <v>3750</v>
      </c>
      <c r="AJ133" s="188" t="n"/>
      <c r="AK133" s="62" t="str">
        <f>VLOOKUP(D133,'2.Bookinglist'!A:CT,40,FALSE)</f>
        <v>Nannaapust Sukporntaweewat</v>
      </c>
      <c r="AL133" s="60" t="str">
        <f>VLOOKUP(D133,'2.Bookinglist'!A:CW,101,FALSE)</f>
        <v>2026-10-08</v>
      </c>
      <c r="AM133" s="60" t="str">
        <f>VLOOKUP(D133,'2.Bookinglist'!A:BK,63,FALSE)</f>
        <v>LCHY5</v>
      </c>
      <c r="AN133" s="62" t="str">
        <f>VLOOKUP(D133,'2.Bookinglist'!A:AZ,52,FALSE)</f>
        <v>Pickup : 2026-09-18, Return : 2026-09-19</v>
      </c>
      <c r="AO133" s="62" t="str">
        <f>VLOOKUP(D133,'2.Bookinglist'!A:CY,103,FALSE)</f>
        <v>ROLL OVER FROM PREVIOUS VSL HAB 2611N  BY ALLOCATION TEAM MS.TARN APPROVED COST IS UNDER HA DD.25/09</v>
      </c>
    </row>
    <row r="134" ht="12.95" customHeight="1">
      <c r="A134" s="96" t="inlineStr">
        <is>
          <t>TCNU5131098</t>
        </is>
      </c>
      <c r="B134" s="184" t="str">
        <f>IF(C134=Charge!$M$1,Charge!$J$1,IF(C134=Charge!$M$23,Charge!$J$23,IF(C134=Charge!$M$17,Charge!$J$17,IF(C134=Charge!$N$17,Charge!$J$17,Charge!$J$7))))</f>
        <v>G2</v>
      </c>
      <c r="C134" s="61" t="str">
        <f>VLOOKUP(A134,'1.Loading'!A:R,14,FALSE)</f>
        <v>LCH06</v>
      </c>
      <c r="D134" s="61" t="str">
        <f>VLOOKUP(A134,'1.Loading'!A:R,17,FALSE)</f>
        <v>HASLS22260902522</v>
      </c>
      <c r="E134" s="62" t="str">
        <f>VLOOKUP(D134,'2.Bookinglist'!A:CT,27,FALSE)</f>
        <v>AWOT GLOBAL LOGISTICS (THAILAND) CO., LTD.</v>
      </c>
      <c r="F134" s="62" t="str">
        <f>VLOOKUP(D134,'2.Bookinglist'!A:CT,28,FALSE)</f>
        <v>PACIFIC PRECISION FORGING TECHNOLOGY(THAILAND) CO.,LTD.</v>
      </c>
      <c r="G134" s="60">
        <f>VLOOKUP(D134,'2.Bookinglist'!A:E,5,FALSE)</f>
        <v>0</v>
      </c>
      <c r="H134" s="61" t="str">
        <f>VLOOKUP(D134,'2.Bookinglist'!A:CT,15,FALSE)</f>
        <v>THLCH</v>
      </c>
      <c r="I134" s="61" t="str">
        <f>VLOOKUP(D134,'2.Bookinglist'!A:CT,19,FALSE)</f>
        <v>CNSHA</v>
      </c>
      <c r="J134" s="61">
        <f>VLOOKUP(D134,'2.Bookinglist'!A:CT,26,FALSE)</f>
        <v>0</v>
      </c>
      <c r="K134" s="61" t="str">
        <f>VLOOKUP(A134,'1.Loading'!A:R,5,FALSE)</f>
        <v>45GP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>IF(RIGHT(K134,2)="RE","RF","")</f>
        <v/>
      </c>
      <c r="O134" s="61" t="str">
        <f>VLOOKUP(A134,'1.Loading'!A:R,3,FALSE)</f>
        <v>SWVG</v>
      </c>
      <c r="P134" s="61" t="str">
        <f>VLOOKUP(A134,'1.Loading'!A:R,4,FALSE)</f>
        <v>2612N</v>
      </c>
      <c r="Q134" s="61" t="str">
        <f>VLOOKUP(D134,'2.Bookinglist'!A:CT,12,FALSE)</f>
        <v>PCI2</v>
      </c>
      <c r="R134" s="60" t="str">
        <f>IF(LEFT(K134,2)="22","20'","40'")</f>
        <v>40'</v>
      </c>
      <c r="S134" s="185" t="n"/>
      <c r="T134" s="61" t="str">
        <f>VLOOKUP(A134,'1.Loading'!A:R,2,FALSE)</f>
        <v>2026-10-07</v>
      </c>
      <c r="U134" s="63">
        <f>T134-S134</f>
        <v>46302</v>
      </c>
      <c r="V134" s="186" t="n"/>
      <c r="W134" s="61" t="str">
        <f>VLOOKUP(A134,'3.GateMove'!A:D,4,FALSE)</f>
        <v>2026-10-03</v>
      </c>
      <c r="X134" s="63">
        <f>((T134-W134)+1)</f>
        <v>5</v>
      </c>
      <c r="Y134" s="64">
        <f>IF(AND(OR(C134="BKK01",C134="BKK04"),L134="CFS/CY"),0,IF(M134="DG",1,IF(LEFT(C134,3)="LCH",7,IF(C134="BKK02",5,3))))</f>
        <v>7</v>
      </c>
      <c r="Z134" s="63">
        <f>IF(IF(AND(AC134="TML",AB134&gt;0),((T134-W134)+1)-AB134,((T134-W134)+1)-Y134)&gt;0,IF(AND(AC134="TML",AB134&gt;0),((T134-W134)+1)-AB134,((T134-W134)+1)-Y134),0)</f>
        <v>0</v>
      </c>
      <c r="AA134" s="187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0</v>
      </c>
      <c r="AB134" s="184" t="n"/>
      <c r="AC134" s="184" t="n"/>
      <c r="AD134" s="60">
        <f>IF(M134="DG",3,IF(N134="RF",3,5))+IF(AND(LEFT(C134,3)="BKK",N134="RF",Q134="KTS"),1,0)+IF(Q134="KHS",1,0)</f>
        <v>5</v>
      </c>
      <c r="AE134" s="63">
        <f>(T134-V134)+1</f>
        <v>46303</v>
      </c>
      <c r="AF134" s="63">
        <f>IF(AB134&gt;IF((V134-W134)&gt;0,V134-W134,0),0,IF(AB134&lt;IF((V134-W134)&gt;0,V134-W134,0),IF((V134-W134)&gt;0,V134-W134,0)-AB134,IF((V134-W134)&gt;0,V134-W134,0)))</f>
        <v>0</v>
      </c>
      <c r="AG134" s="187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 t="n"/>
      <c r="AI134" s="65">
        <f>AA134-AH134</f>
        <v>0</v>
      </c>
      <c r="AJ134" s="188" t="n"/>
      <c r="AK134" s="62" t="str">
        <f>VLOOKUP(D134,'2.Bookinglist'!A:CT,40,FALSE)</f>
        <v>Pattarapong Saengthong</v>
      </c>
      <c r="AL134" s="60" t="str">
        <f>VLOOKUP(D134,'2.Bookinglist'!A:CW,101,FALSE)</f>
        <v>2026-10-07</v>
      </c>
      <c r="AM134" s="60" t="str">
        <f>VLOOKUP(D134,'2.Bookinglist'!A:BK,63,FALSE)</f>
        <v>LCHY5</v>
      </c>
      <c r="AN134" s="62" t="str">
        <f>VLOOKUP(D134,'2.Bookinglist'!A:AZ,52,FALSE)</f>
        <v>Pickup : 2026-10-02, Return : 2026-10-03
CLOSING TIME DD.05/10/2026 @ 23.59Hrs.</v>
      </c>
      <c r="AO134" s="62">
        <f>VLOOKUP(D134,'2.Bookinglist'!A:CY,103,FALSE)</f>
        <v>0</v>
      </c>
    </row>
    <row r="135" ht="12.95" customHeight="1">
      <c r="A135" s="96" t="inlineStr">
        <is>
          <t>TCNU6722900</t>
        </is>
      </c>
      <c r="B135" s="184" t="str">
        <f>IF(C135=Charge!$M$1,Charge!$J$1,IF(C135=Charge!$M$23,Charge!$J$23,IF(C135=Charge!$M$17,Charge!$J$17,IF(C135=Charge!$N$17,Charge!$J$17,Charge!$J$7))))</f>
        <v>G2</v>
      </c>
      <c r="C135" s="61" t="str">
        <f>VLOOKUP(A135,'1.Loading'!A:R,14,FALSE)</f>
        <v>LCH06</v>
      </c>
      <c r="D135" s="61" t="str">
        <f>VLOOKUP(A135,'1.Loading'!A:R,17,FALSE)</f>
        <v>HASLS22260901668</v>
      </c>
      <c r="E135" s="62" t="str">
        <f>VLOOKUP(D135,'2.Bookinglist'!A:CT,27,FALSE)</f>
        <v>BARKLAYS LOGISTICS (THAILAND) CO., LTD.</v>
      </c>
      <c r="F135" s="62" t="str">
        <f>VLOOKUP(D135,'2.Bookinglist'!A:CT,28,FALSE)</f>
        <v>GOLDEN CRANE (GOLDEN DRAGON) CO.,LTD.</v>
      </c>
      <c r="G135" s="60">
        <f>VLOOKUP(D135,'2.Bookinglist'!A:E,5,FALSE)</f>
        <v>0</v>
      </c>
      <c r="H135" s="61" t="str">
        <f>VLOOKUP(D135,'2.Bookinglist'!A:CT,15,FALSE)</f>
        <v>THLCH</v>
      </c>
      <c r="I135" s="61" t="str">
        <f>VLOOKUP(D135,'2.Bookinglist'!A:CT,19,FALSE)</f>
        <v>CNSHA</v>
      </c>
      <c r="J135" s="61">
        <f>VLOOKUP(D135,'2.Bookinglist'!A:CT,26,FALSE)</f>
        <v>0</v>
      </c>
      <c r="K135" s="61" t="str">
        <f>VLOOKUP(A135,'1.Loading'!A:R,5,FALSE)</f>
        <v>45GP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>IF(RIGHT(K135,2)="RE","RF","")</f>
        <v/>
      </c>
      <c r="O135" s="61" t="str">
        <f>VLOOKUP(A135,'1.Loading'!A:R,3,FALSE)</f>
        <v>SWVG</v>
      </c>
      <c r="P135" s="61" t="str">
        <f>VLOOKUP(A135,'1.Loading'!A:R,4,FALSE)</f>
        <v>2612N</v>
      </c>
      <c r="Q135" s="61" t="str">
        <f>VLOOKUP(D135,'2.Bookinglist'!A:CT,12,FALSE)</f>
        <v>PCI2</v>
      </c>
      <c r="R135" s="60" t="str">
        <f>IF(LEFT(K135,2)="22","20'","40'")</f>
        <v>40'</v>
      </c>
      <c r="S135" s="185" t="n"/>
      <c r="T135" s="61" t="str">
        <f>VLOOKUP(A135,'1.Loading'!A:R,2,FALSE)</f>
        <v>2026-10-07</v>
      </c>
      <c r="U135" s="63">
        <f>T135-S135</f>
        <v>46302</v>
      </c>
      <c r="V135" s="186" t="n"/>
      <c r="W135" s="61" t="str">
        <f>VLOOKUP(A135,'3.GateMove'!A:D,4,FALSE)</f>
        <v>2026-09-19</v>
      </c>
      <c r="X135" s="63">
        <f>((T135-W135)+1)</f>
        <v>19</v>
      </c>
      <c r="Y135" s="64">
        <f>IF(AND(OR(C135="BKK01",C135="BKK04"),L135="CFS/CY"),0,IF(M135="DG",1,IF(LEFT(C135,3)="LCH",7,IF(C135="BKK02",5,3))))</f>
        <v>7</v>
      </c>
      <c r="Z135" s="63">
        <f>IF(IF(AND(AC135="TML",AB135&gt;0),((T135-W135)+1)-AB135,((T135-W135)+1)-Y135)&gt;0,IF(AND(AC135="TML",AB135&gt;0),((T135-W135)+1)-AB135,((T135-W135)+1)-Y135),0)</f>
        <v>12</v>
      </c>
      <c r="AA135" s="187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4250</v>
      </c>
      <c r="AB135" s="184" t="n"/>
      <c r="AC135" s="184" t="n"/>
      <c r="AD135" s="60">
        <f>IF(M135="DG",3,IF(N135="RF",3,5))+IF(AND(LEFT(C135,3)="BKK",N135="RF",Q135="KTS"),1,0)+IF(Q135="KHS",1,0)</f>
        <v>5</v>
      </c>
      <c r="AE135" s="63">
        <f>(T135-V135)+1</f>
        <v>46303</v>
      </c>
      <c r="AF135" s="63">
        <f>IF(AB135&gt;IF((V135-W135)&gt;0,V135-W135,0),0,IF(AB135&lt;IF((V135-W135)&gt;0,V135-W135,0),IF((V135-W135)&gt;0,V135-W135,0)-AB135,IF((V135-W135)&gt;0,V135-W135,0)))</f>
        <v>0</v>
      </c>
      <c r="AG135" s="187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 t="n"/>
      <c r="AI135" s="65">
        <f>AA135-AH135</f>
        <v>4250</v>
      </c>
      <c r="AJ135" s="188" t="n"/>
      <c r="AK135" s="62" t="str">
        <f>VLOOKUP(D135,'2.Bookinglist'!A:CT,40,FALSE)</f>
        <v>Nannaapust Sukporntaweewat</v>
      </c>
      <c r="AL135" s="60" t="str">
        <f>VLOOKUP(D135,'2.Bookinglist'!A:CW,101,FALSE)</f>
        <v>2026-10-08</v>
      </c>
      <c r="AM135" s="60" t="str">
        <f>VLOOKUP(D135,'2.Bookinglist'!A:BK,63,FALSE)</f>
        <v>LCHY5</v>
      </c>
      <c r="AN135" s="62" t="str">
        <f>VLOOKUP(D135,'2.Bookinglist'!A:AZ,52,FALSE)</f>
        <v>Pickup : 2026-09-18, Return : 2026-09-19</v>
      </c>
      <c r="AO135" s="62" t="str">
        <f>VLOOKUP(D135,'2.Bookinglist'!A:CY,103,FALSE)</f>
        <v>ROLL OVER FROM PREVIOUS VSL HAB 2611N  BY ALLOCATION TEAM MS.TARN APPROVED COST IS UNDER HA DD.25/09</v>
      </c>
    </row>
    <row r="136" ht="12.95" customHeight="1">
      <c r="A136" s="96" t="inlineStr">
        <is>
          <t>TCNU8361453</t>
        </is>
      </c>
      <c r="B136" s="184" t="str">
        <f>IF(C136=Charge!$M$1,Charge!$J$1,IF(C136=Charge!$M$23,Charge!$J$23,IF(C136=Charge!$M$17,Charge!$J$17,IF(C136=Charge!$N$17,Charge!$J$17,Charge!$J$7))))</f>
        <v>G2</v>
      </c>
      <c r="C136" s="61" t="str">
        <f>VLOOKUP(A136,'1.Loading'!A:R,14,FALSE)</f>
        <v>LCH06</v>
      </c>
      <c r="D136" s="61" t="str">
        <f>VLOOKUP(A136,'1.Loading'!A:R,17,FALSE)</f>
        <v>HASLS22260901668</v>
      </c>
      <c r="E136" s="62" t="str">
        <f>VLOOKUP(D136,'2.Bookinglist'!A:CT,27,FALSE)</f>
        <v>BARKLAYS LOGISTICS (THAILAND) CO., LTD.</v>
      </c>
      <c r="F136" s="62" t="str">
        <f>VLOOKUP(D136,'2.Bookinglist'!A:CT,28,FALSE)</f>
        <v>GOLDEN CRANE (GOLDEN DRAGON) CO.,LTD.</v>
      </c>
      <c r="G136" s="60">
        <f>VLOOKUP(D136,'2.Bookinglist'!A:E,5,FALSE)</f>
        <v>0</v>
      </c>
      <c r="H136" s="61" t="str">
        <f>VLOOKUP(D136,'2.Bookinglist'!A:CT,15,FALSE)</f>
        <v>THLCH</v>
      </c>
      <c r="I136" s="61" t="str">
        <f>VLOOKUP(D136,'2.Bookinglist'!A:CT,19,FALSE)</f>
        <v>CNSHA</v>
      </c>
      <c r="J136" s="61">
        <f>VLOOKUP(D136,'2.Bookinglist'!A:CT,26,FALSE)</f>
        <v>0</v>
      </c>
      <c r="K136" s="61" t="str">
        <f>VLOOKUP(A136,'1.Loading'!A:R,5,FALSE)</f>
        <v>45GP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>IF(RIGHT(K136,2)="RE","RF","")</f>
        <v/>
      </c>
      <c r="O136" s="61" t="str">
        <f>VLOOKUP(A136,'1.Loading'!A:R,3,FALSE)</f>
        <v>SWVG</v>
      </c>
      <c r="P136" s="61" t="str">
        <f>VLOOKUP(A136,'1.Loading'!A:R,4,FALSE)</f>
        <v>2612N</v>
      </c>
      <c r="Q136" s="61" t="str">
        <f>VLOOKUP(D136,'2.Bookinglist'!A:CT,12,FALSE)</f>
        <v>PCI2</v>
      </c>
      <c r="R136" s="60" t="str">
        <f>IF(LEFT(K136,2)="22","20'","40'")</f>
        <v>40'</v>
      </c>
      <c r="S136" s="185" t="n"/>
      <c r="T136" s="61" t="str">
        <f>VLOOKUP(A136,'1.Loading'!A:R,2,FALSE)</f>
        <v>2026-10-07</v>
      </c>
      <c r="U136" s="63">
        <f>T136-S136</f>
        <v>46302</v>
      </c>
      <c r="V136" s="186" t="n"/>
      <c r="W136" s="61" t="str">
        <f>VLOOKUP(A136,'3.GateMove'!A:D,4,FALSE)</f>
        <v>2026-09-20</v>
      </c>
      <c r="X136" s="63">
        <f>((T136-W136)+1)</f>
        <v>18</v>
      </c>
      <c r="Y136" s="64">
        <f>IF(AND(OR(C136="BKK01",C136="BKK04"),L136="CFS/CY"),0,IF(M136="DG",1,IF(LEFT(C136,3)="LCH",7,IF(C136="BKK02",5,3))))</f>
        <v>7</v>
      </c>
      <c r="Z136" s="63">
        <f>IF(IF(AND(AC136="TML",AB136&gt;0),((T136-W136)+1)-AB136,((T136-W136)+1)-Y136)&gt;0,IF(AND(AC136="TML",AB136&gt;0),((T136-W136)+1)-AB136,((T136-W136)+1)-Y136),0)</f>
        <v>11</v>
      </c>
      <c r="AA136" s="187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3750</v>
      </c>
      <c r="AB136" s="184" t="n"/>
      <c r="AC136" s="184" t="n"/>
      <c r="AD136" s="60">
        <f>IF(M136="DG",3,IF(N136="RF",3,5))+IF(AND(LEFT(C136,3)="BKK",N136="RF",Q136="KTS"),1,0)+IF(Q136="KHS",1,0)</f>
        <v>5</v>
      </c>
      <c r="AE136" s="63">
        <f>(T136-V136)+1</f>
        <v>46303</v>
      </c>
      <c r="AF136" s="63">
        <f>IF(AB136&gt;IF((V136-W136)&gt;0,V136-W136,0),0,IF(AB136&lt;IF((V136-W136)&gt;0,V136-W136,0),IF((V136-W136)&gt;0,V136-W136,0)-AB136,IF((V136-W136)&gt;0,V136-W136,0)))</f>
        <v>0</v>
      </c>
      <c r="AG136" s="187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 t="n"/>
      <c r="AI136" s="65">
        <f>AA136-AH136</f>
        <v>3750</v>
      </c>
      <c r="AJ136" s="188" t="n"/>
      <c r="AK136" s="62" t="str">
        <f>VLOOKUP(D136,'2.Bookinglist'!A:CT,40,FALSE)</f>
        <v>Nannaapust Sukporntaweewat</v>
      </c>
      <c r="AL136" s="60" t="str">
        <f>VLOOKUP(D136,'2.Bookinglist'!A:CW,101,FALSE)</f>
        <v>2026-10-08</v>
      </c>
      <c r="AM136" s="60" t="str">
        <f>VLOOKUP(D136,'2.Bookinglist'!A:BK,63,FALSE)</f>
        <v>LCHY5</v>
      </c>
      <c r="AN136" s="62" t="str">
        <f>VLOOKUP(D136,'2.Bookinglist'!A:AZ,52,FALSE)</f>
        <v>Pickup : 2026-09-18, Return : 2026-09-19</v>
      </c>
      <c r="AO136" s="62" t="str">
        <f>VLOOKUP(D136,'2.Bookinglist'!A:CY,103,FALSE)</f>
        <v>ROLL OVER FROM PREVIOUS VSL HAB 2611N  BY ALLOCATION TEAM MS.TARN APPROVED COST IS UNDER HA DD.25/09</v>
      </c>
    </row>
    <row r="137" ht="12.95" customHeight="1">
      <c r="A137" s="96" t="inlineStr">
        <is>
          <t>TGBU4383768</t>
        </is>
      </c>
      <c r="B137" s="184" t="str">
        <f>IF(C137=Charge!$M$1,Charge!$J$1,IF(C137=Charge!$M$23,Charge!$J$23,IF(C137=Charge!$M$17,Charge!$J$17,IF(C137=Charge!$N$17,Charge!$J$17,Charge!$J$7))))</f>
        <v>G2</v>
      </c>
      <c r="C137" s="61" t="str">
        <f>VLOOKUP(A137,'1.Loading'!A:R,14,FALSE)</f>
        <v>LCH06</v>
      </c>
      <c r="D137" s="61" t="str">
        <f>VLOOKUP(A137,'1.Loading'!A:R,17,FALSE)</f>
        <v>HASLS22260901668</v>
      </c>
      <c r="E137" s="62" t="str">
        <f>VLOOKUP(D137,'2.Bookinglist'!A:CT,27,FALSE)</f>
        <v>BARKLAYS LOGISTICS (THAILAND) CO., LTD.</v>
      </c>
      <c r="F137" s="62" t="str">
        <f>VLOOKUP(D137,'2.Bookinglist'!A:CT,28,FALSE)</f>
        <v>GOLDEN CRANE (GOLDEN DRAGON) CO.,LTD.</v>
      </c>
      <c r="G137" s="60">
        <f>VLOOKUP(D137,'2.Bookinglist'!A:E,5,FALSE)</f>
        <v>0</v>
      </c>
      <c r="H137" s="61" t="str">
        <f>VLOOKUP(D137,'2.Bookinglist'!A:CT,15,FALSE)</f>
        <v>THLCH</v>
      </c>
      <c r="I137" s="61" t="str">
        <f>VLOOKUP(D137,'2.Bookinglist'!A:CT,19,FALSE)</f>
        <v>CNSHA</v>
      </c>
      <c r="J137" s="61">
        <f>VLOOKUP(D137,'2.Bookinglist'!A:CT,26,FALSE)</f>
        <v>0</v>
      </c>
      <c r="K137" s="61" t="str">
        <f>VLOOKUP(A137,'1.Loading'!A:R,5,FALSE)</f>
        <v>45GP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>IF(RIGHT(K137,2)="RE","RF","")</f>
        <v/>
      </c>
      <c r="O137" s="61" t="str">
        <f>VLOOKUP(A137,'1.Loading'!A:R,3,FALSE)</f>
        <v>SWVG</v>
      </c>
      <c r="P137" s="61" t="str">
        <f>VLOOKUP(A137,'1.Loading'!A:R,4,FALSE)</f>
        <v>2612N</v>
      </c>
      <c r="Q137" s="61" t="str">
        <f>VLOOKUP(D137,'2.Bookinglist'!A:CT,12,FALSE)</f>
        <v>PCI2</v>
      </c>
      <c r="R137" s="60" t="str">
        <f>IF(LEFT(K137,2)="22","20'","40'")</f>
        <v>40'</v>
      </c>
      <c r="S137" s="185" t="n"/>
      <c r="T137" s="61" t="str">
        <f>VLOOKUP(A137,'1.Loading'!A:R,2,FALSE)</f>
        <v>2026-10-07</v>
      </c>
      <c r="U137" s="63">
        <f>T137-S137</f>
        <v>46302</v>
      </c>
      <c r="V137" s="186" t="n"/>
      <c r="W137" s="61" t="str">
        <f>VLOOKUP(A137,'3.GateMove'!A:D,4,FALSE)</f>
        <v>2026-09-19</v>
      </c>
      <c r="X137" s="63">
        <f>((T137-W137)+1)</f>
        <v>19</v>
      </c>
      <c r="Y137" s="64">
        <f>IF(AND(OR(C137="BKK01",C137="BKK04"),L137="CFS/CY"),0,IF(M137="DG",1,IF(LEFT(C137,3)="LCH",7,IF(C137="BKK02",5,3))))</f>
        <v>7</v>
      </c>
      <c r="Z137" s="63">
        <f>IF(IF(AND(AC137="TML",AB137&gt;0),((T137-W137)+1)-AB137,((T137-W137)+1)-Y137)&gt;0,IF(AND(AC137="TML",AB137&gt;0),((T137-W137)+1)-AB137,((T137-W137)+1)-Y137),0)</f>
        <v>12</v>
      </c>
      <c r="AA137" s="187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4250</v>
      </c>
      <c r="AB137" s="184" t="n"/>
      <c r="AC137" s="184" t="n"/>
      <c r="AD137" s="60">
        <f>IF(M137="DG",3,IF(N137="RF",3,5))+IF(AND(LEFT(C137,3)="BKK",N137="RF",Q137="KTS"),1,0)+IF(Q137="KHS",1,0)</f>
        <v>5</v>
      </c>
      <c r="AE137" s="63">
        <f>(T137-V137)+1</f>
        <v>46303</v>
      </c>
      <c r="AF137" s="63">
        <f>IF(AB137&gt;IF((V137-W137)&gt;0,V137-W137,0),0,IF(AB137&lt;IF((V137-W137)&gt;0,V137-W137,0),IF((V137-W137)&gt;0,V137-W137,0)-AB137,IF((V137-W137)&gt;0,V137-W137,0)))</f>
        <v>0</v>
      </c>
      <c r="AG137" s="187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 t="n"/>
      <c r="AI137" s="65">
        <f>AA137-AH137</f>
        <v>4250</v>
      </c>
      <c r="AJ137" s="188" t="n"/>
      <c r="AK137" s="62" t="str">
        <f>VLOOKUP(D137,'2.Bookinglist'!A:CT,40,FALSE)</f>
        <v>Nannaapust Sukporntaweewat</v>
      </c>
      <c r="AL137" s="60" t="str">
        <f>VLOOKUP(D137,'2.Bookinglist'!A:CW,101,FALSE)</f>
        <v>2026-10-08</v>
      </c>
      <c r="AM137" s="60" t="str">
        <f>VLOOKUP(D137,'2.Bookinglist'!A:BK,63,FALSE)</f>
        <v>LCHY5</v>
      </c>
      <c r="AN137" s="62" t="str">
        <f>VLOOKUP(D137,'2.Bookinglist'!A:AZ,52,FALSE)</f>
        <v>Pickup : 2026-09-18, Return : 2026-09-19</v>
      </c>
      <c r="AO137" s="62" t="str">
        <f>VLOOKUP(D137,'2.Bookinglist'!A:CY,103,FALSE)</f>
        <v>ROLL OVER FROM PREVIOUS VSL HAB 2611N  BY ALLOCATION TEAM MS.TARN APPROVED COST IS UNDER HA DD.25/09</v>
      </c>
    </row>
    <row r="138" ht="12.95" customHeight="1">
      <c r="A138" s="96" t="inlineStr">
        <is>
          <t>TGBU5320379</t>
        </is>
      </c>
      <c r="B138" s="184" t="str">
        <f>IF(C138=Charge!$M$1,Charge!$J$1,IF(C138=Charge!$M$23,Charge!$J$23,IF(C138=Charge!$M$17,Charge!$J$17,IF(C138=Charge!$N$17,Charge!$J$17,Charge!$J$7))))</f>
        <v>G2</v>
      </c>
      <c r="C138" s="61" t="str">
        <f>VLOOKUP(A138,'1.Loading'!A:R,14,FALSE)</f>
        <v>LCH06</v>
      </c>
      <c r="D138" s="61" t="str">
        <f>VLOOKUP(A138,'1.Loading'!A:R,17,FALSE)</f>
        <v>HASLS22260900441</v>
      </c>
      <c r="E138" s="62" t="str">
        <f>VLOOKUP(D138,'2.Bookinglist'!A:CT,27,FALSE)</f>
        <v>BARKLAYS LOGISTICS (THAILAND) CO., LTD.</v>
      </c>
      <c r="F138" s="62" t="str">
        <f>VLOOKUP(D138,'2.Bookinglist'!A:CT,28,FALSE)</f>
        <v>GOLDEN CRANE (GOLDEN DRAGON) CO.,LTD.</v>
      </c>
      <c r="G138" s="60">
        <f>VLOOKUP(D138,'2.Bookinglist'!A:E,5,FALSE)</f>
        <v>0</v>
      </c>
      <c r="H138" s="61" t="str">
        <f>VLOOKUP(D138,'2.Bookinglist'!A:CT,15,FALSE)</f>
        <v>THLCH</v>
      </c>
      <c r="I138" s="61" t="str">
        <f>VLOOKUP(D138,'2.Bookinglist'!A:CT,19,FALSE)</f>
        <v>CNSHA</v>
      </c>
      <c r="J138" s="61">
        <f>VLOOKUP(D138,'2.Bookinglist'!A:CT,26,FALSE)</f>
        <v>0</v>
      </c>
      <c r="K138" s="61" t="str">
        <f>VLOOKUP(A138,'1.Loading'!A:R,5,FALSE)</f>
        <v>45GP</v>
      </c>
      <c r="L138" s="60" t="str">
        <f>VLOOKUP(D138,'2.Bookinglist'!A:CT,85,FALSE)</f>
        <v>CY/CY</v>
      </c>
      <c r="M138" s="60" t="str">
        <f>IF(VLOOKUP(D138,'2.Bookinglist'!A:CT,43,FALSE)=0,"","DG")</f>
        <v/>
      </c>
      <c r="N138" s="60" t="str">
        <f>IF(RIGHT(K138,2)="RE","RF","")</f>
        <v/>
      </c>
      <c r="O138" s="61" t="str">
        <f>VLOOKUP(A138,'1.Loading'!A:R,3,FALSE)</f>
        <v>SWVG</v>
      </c>
      <c r="P138" s="61" t="str">
        <f>VLOOKUP(A138,'1.Loading'!A:R,4,FALSE)</f>
        <v>2612N</v>
      </c>
      <c r="Q138" s="61" t="str">
        <f>VLOOKUP(D138,'2.Bookinglist'!A:CT,12,FALSE)</f>
        <v>PCI2</v>
      </c>
      <c r="R138" s="60" t="str">
        <f>IF(LEFT(K138,2)="22","20'","40'")</f>
        <v>40'</v>
      </c>
      <c r="S138" s="185" t="n"/>
      <c r="T138" s="61" t="str">
        <f>VLOOKUP(A138,'1.Loading'!A:R,2,FALSE)</f>
        <v>2026-10-07</v>
      </c>
      <c r="U138" s="63">
        <f>T138-S138</f>
        <v>46302</v>
      </c>
      <c r="V138" s="186" t="n"/>
      <c r="W138" s="61" t="str">
        <f>VLOOKUP(A138,'3.GateMove'!A:D,4,FALSE)</f>
        <v>2026-09-19</v>
      </c>
      <c r="X138" s="63">
        <f>((T138-W138)+1)</f>
        <v>19</v>
      </c>
      <c r="Y138" s="64">
        <f>IF(AND(OR(C138="BKK01",C138="BKK04"),L138="CFS/CY"),0,IF(M138="DG",1,IF(LEFT(C138,3)="LCH",7,IF(C138="BKK02",5,3))))</f>
        <v>7</v>
      </c>
      <c r="Z138" s="63">
        <f>IF(IF(AND(AC138="TML",AB138&gt;0),((T138-W138)+1)-AB138,((T138-W138)+1)-Y138)&gt;0,IF(AND(AC138="TML",AB138&gt;0),((T138-W138)+1)-AB138,((T138-W138)+1)-Y138),0)</f>
        <v>12</v>
      </c>
      <c r="AA138" s="187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4250</v>
      </c>
      <c r="AB138" s="184" t="n"/>
      <c r="AC138" s="184" t="n"/>
      <c r="AD138" s="60">
        <f>IF(M138="DG",3,IF(N138="RF",3,5))+IF(AND(LEFT(C138,3)="BKK",N138="RF",Q138="KTS"),1,0)+IF(Q138="KHS",1,0)</f>
        <v>5</v>
      </c>
      <c r="AE138" s="63">
        <f>(T138-V138)+1</f>
        <v>46303</v>
      </c>
      <c r="AF138" s="63">
        <f>IF(AB138&gt;IF((V138-W138)&gt;0,V138-W138,0),0,IF(AB138&lt;IF((V138-W138)&gt;0,V138-W138,0),IF((V138-W138)&gt;0,V138-W138,0)-AB138,IF((V138-W138)&gt;0,V138-W138,0)))</f>
        <v>0</v>
      </c>
      <c r="AG138" s="187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 t="n"/>
      <c r="AI138" s="65">
        <f>AA138-AH138</f>
        <v>4250</v>
      </c>
      <c r="AJ138" s="188" t="n"/>
      <c r="AK138" s="62" t="str">
        <f>VLOOKUP(D138,'2.Bookinglist'!A:CT,40,FALSE)</f>
        <v>Nannaapust Sukporntaweewat</v>
      </c>
      <c r="AL138" s="60" t="str">
        <f>VLOOKUP(D138,'2.Bookinglist'!A:CW,101,FALSE)</f>
        <v>2026-10-08</v>
      </c>
      <c r="AM138" s="60" t="str">
        <f>VLOOKUP(D138,'2.Bookinglist'!A:BK,63,FALSE)</f>
        <v>LCHY5</v>
      </c>
      <c r="AN138" s="62" t="str">
        <f>VLOOKUP(D138,'2.Bookinglist'!A:AZ,52,FALSE)</f>
        <v>Pickup : 2026-09-18, Return : 2026-09-19</v>
      </c>
      <c r="AO138" s="62" t="str">
        <f>VLOOKUP(D138,'2.Bookinglist'!A:CY,103,FALSE)</f>
        <v>ROLL OVER FROM PREVIOUS VSL HAB 2611N  BY ALLOCATION TEAM MS.TARN APPROVED COST IS UNDER HA DD.25/09</v>
      </c>
    </row>
    <row r="139" ht="12.95" customHeight="1">
      <c r="A139" s="96" t="inlineStr">
        <is>
          <t>TGCU2397581</t>
        </is>
      </c>
      <c r="B139" s="184" t="str">
        <f>IF(C139=Charge!$M$1,Charge!$J$1,IF(C139=Charge!$M$23,Charge!$J$23,IF(C139=Charge!$M$17,Charge!$J$17,IF(C139=Charge!$N$17,Charge!$J$17,Charge!$J$7))))</f>
        <v>G2</v>
      </c>
      <c r="C139" s="61" t="str">
        <f>VLOOKUP(A139,'1.Loading'!A:R,14,FALSE)</f>
        <v>LCH06</v>
      </c>
      <c r="D139" s="61" t="str">
        <f>VLOOKUP(A139,'1.Loading'!A:R,17,FALSE)</f>
        <v>HASLS22260901408</v>
      </c>
      <c r="E139" s="62" t="str">
        <f>VLOOKUP(D139,'2.Bookinglist'!A:CT,27,FALSE)</f>
        <v>ROJANA DISTRIBUTION CENTER CO., LTD.</v>
      </c>
      <c r="F139" s="62" t="str">
        <f>VLOOKUP(D139,'2.Bookinglist'!A:CT,28,FALSE)</f>
        <v>NIPPON STEEL WELDING (THAILAND) CO., LTD.</v>
      </c>
      <c r="G139" s="60">
        <f>VLOOKUP(D139,'2.Bookinglist'!A:E,5,FALSE)</f>
        <v>0</v>
      </c>
      <c r="H139" s="61" t="str">
        <f>VLOOKUP(D139,'2.Bookinglist'!A:CT,15,FALSE)</f>
        <v>THLCH</v>
      </c>
      <c r="I139" s="61" t="str">
        <f>VLOOKUP(D139,'2.Bookinglist'!A:CT,19,FALSE)</f>
        <v>JPFKY</v>
      </c>
      <c r="J139" s="61" t="str">
        <f>VLOOKUP(D139,'2.Bookinglist'!A:CT,26,FALSE)</f>
        <v>KRPUS</v>
      </c>
      <c r="K139" s="61" t="str">
        <f>VLOOKUP(A139,'1.Loading'!A:R,5,FALSE)</f>
        <v>22GP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>IF(RIGHT(K139,2)="RE","RF","")</f>
        <v/>
      </c>
      <c r="O139" s="61" t="str">
        <f>VLOOKUP(A139,'1.Loading'!A:R,3,FALSE)</f>
        <v>SWVG</v>
      </c>
      <c r="P139" s="61" t="str">
        <f>VLOOKUP(A139,'1.Loading'!A:R,4,FALSE)</f>
        <v>2612N</v>
      </c>
      <c r="Q139" s="61" t="str">
        <f>VLOOKUP(D139,'2.Bookinglist'!A:CT,12,FALSE)</f>
        <v>PCI2</v>
      </c>
      <c r="R139" s="60" t="str">
        <f>IF(LEFT(K139,2)="22","20'","40'")</f>
        <v>20'</v>
      </c>
      <c r="S139" s="185" t="n"/>
      <c r="T139" s="61" t="str">
        <f>VLOOKUP(A139,'1.Loading'!A:R,2,FALSE)</f>
        <v>2026-10-07</v>
      </c>
      <c r="U139" s="63">
        <f>T139-S139</f>
        <v>46302</v>
      </c>
      <c r="V139" s="186" t="n"/>
      <c r="W139" s="61" t="str">
        <f>VLOOKUP(A139,'3.GateMove'!A:D,4,FALSE)</f>
        <v>2026-10-05</v>
      </c>
      <c r="X139" s="63">
        <f>((T139-W139)+1)</f>
        <v>3</v>
      </c>
      <c r="Y139" s="64">
        <f>IF(AND(OR(C139="BKK01",C139="BKK04"),L139="CFS/CY"),0,IF(M139="DG",1,IF(LEFT(C139,3)="LCH",7,IF(C139="BKK02",5,3))))</f>
        <v>7</v>
      </c>
      <c r="Z139" s="63">
        <f>IF(IF(AND(AC139="TML",AB139&gt;0),((T139-W139)+1)-AB139,((T139-W139)+1)-Y139)&gt;0,IF(AND(AC139="TML",AB139&gt;0),((T139-W139)+1)-AB139,((T139-W139)+1)-Y139),0)</f>
        <v>0</v>
      </c>
      <c r="AA139" s="187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0</v>
      </c>
      <c r="AB139" s="184" t="n"/>
      <c r="AC139" s="184" t="n"/>
      <c r="AD139" s="60">
        <f>IF(M139="DG",3,IF(N139="RF",3,5))+IF(AND(LEFT(C139,3)="BKK",N139="RF",Q139="KTS"),1,0)+IF(Q139="KHS",1,0)</f>
        <v>5</v>
      </c>
      <c r="AE139" s="63">
        <f>(T139-V139)+1</f>
        <v>46303</v>
      </c>
      <c r="AF139" s="63">
        <f>IF(AB139&gt;IF((V139-W139)&gt;0,V139-W139,0),0,IF(AB139&lt;IF((V139-W139)&gt;0,V139-W139,0),IF((V139-W139)&gt;0,V139-W139,0)-AB139,IF((V139-W139)&gt;0,V139-W139,0)))</f>
        <v>0</v>
      </c>
      <c r="AG139" s="187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 t="n"/>
      <c r="AI139" s="65">
        <f>AA139-AH139</f>
        <v>0</v>
      </c>
      <c r="AJ139" s="188" t="n"/>
      <c r="AK139" s="62" t="str">
        <f>VLOOKUP(D139,'2.Bookinglist'!A:CT,40,FALSE)</f>
        <v>Dharaporn</v>
      </c>
      <c r="AL139" s="60" t="str">
        <f>VLOOKUP(D139,'2.Bookinglist'!A:CW,101,FALSE)</f>
        <v>2026-10-08</v>
      </c>
      <c r="AM139" s="60" t="str">
        <f>VLOOKUP(D139,'2.Bookinglist'!A:BK,63,FALSE)</f>
        <v>LCH27</v>
      </c>
      <c r="AN139" s="62" t="str">
        <f>VLOOKUP(D139,'2.Bookinglist'!A:AZ,52,FALSE)</f>
        <v>Pickup : 2026-10-02, Return : 2026-10-05</v>
      </c>
      <c r="AO139" s="62">
        <f>VLOOKUP(D139,'2.Bookinglist'!A:CY,103,FALSE)</f>
        <v>0</v>
      </c>
    </row>
    <row r="140" ht="12.95" customHeight="1">
      <c r="A140" s="96" t="inlineStr">
        <is>
          <t>TRHU5279710</t>
        </is>
      </c>
      <c r="B140" s="184" t="str">
        <f>IF(C140=Charge!$M$1,Charge!$J$1,IF(C140=Charge!$M$23,Charge!$J$23,IF(C140=Charge!$M$17,Charge!$J$17,IF(C140=Charge!$N$17,Charge!$J$17,Charge!$J$7))))</f>
        <v>G2</v>
      </c>
      <c r="C140" s="61" t="str">
        <f>VLOOKUP(A140,'1.Loading'!A:R,14,FALSE)</f>
        <v>LCH06</v>
      </c>
      <c r="D140" s="61" t="str">
        <f>VLOOKUP(A140,'1.Loading'!A:R,17,FALSE)</f>
        <v>HASLS22260901513</v>
      </c>
      <c r="E140" s="62" t="str">
        <f>VLOOKUP(D140,'2.Bookinglist'!A:CT,27,FALSE)</f>
        <v>DOUBLE A (1991) PUBLIC COMPANY LIMITED</v>
      </c>
      <c r="F140" s="62" t="str">
        <f>VLOOKUP(D140,'2.Bookinglist'!A:CT,28,FALSE)</f>
        <v>DOUBLE A (1991) PUBLIC COMPANY LIMITED</v>
      </c>
      <c r="G140" s="60">
        <f>VLOOKUP(D140,'2.Bookinglist'!A:E,5,FALSE)</f>
        <v>0</v>
      </c>
      <c r="H140" s="61" t="str">
        <f>VLOOKUP(D140,'2.Bookinglist'!A:CT,15,FALSE)</f>
        <v>THLCH</v>
      </c>
      <c r="I140" s="61" t="str">
        <f>VLOOKUP(D140,'2.Bookinglist'!A:CT,19,FALSE)</f>
        <v>CNSHA</v>
      </c>
      <c r="J140" s="61">
        <f>VLOOKUP(D140,'2.Bookinglist'!A:CT,26,FALSE)</f>
        <v>0</v>
      </c>
      <c r="K140" s="61" t="str">
        <f>VLOOKUP(A140,'1.Loading'!A:R,5,FALSE)</f>
        <v>45GP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>IF(RIGHT(K140,2)="RE","RF","")</f>
        <v/>
      </c>
      <c r="O140" s="61" t="str">
        <f>VLOOKUP(A140,'1.Loading'!A:R,3,FALSE)</f>
        <v>SWVG</v>
      </c>
      <c r="P140" s="61" t="str">
        <f>VLOOKUP(A140,'1.Loading'!A:R,4,FALSE)</f>
        <v>2612N</v>
      </c>
      <c r="Q140" s="61" t="str">
        <f>VLOOKUP(D140,'2.Bookinglist'!A:CT,12,FALSE)</f>
        <v>PCI2</v>
      </c>
      <c r="R140" s="60" t="str">
        <f>IF(LEFT(K140,2)="22","20'","40'")</f>
        <v>40'</v>
      </c>
      <c r="S140" s="185" t="n"/>
      <c r="T140" s="61" t="str">
        <f>VLOOKUP(A140,'1.Loading'!A:R,2,FALSE)</f>
        <v>2026-10-07</v>
      </c>
      <c r="U140" s="63">
        <f>T140-S140</f>
        <v>46302</v>
      </c>
      <c r="V140" s="186" t="n"/>
      <c r="W140" s="61" t="str">
        <f>VLOOKUP(A140,'3.GateMove'!A:D,4,FALSE)</f>
        <v>2026-09-29</v>
      </c>
      <c r="X140" s="63">
        <f>((T140-W140)+1)</f>
        <v>9</v>
      </c>
      <c r="Y140" s="64">
        <f>IF(AND(OR(C140="BKK01",C140="BKK04"),L140="CFS/CY"),0,IF(M140="DG",1,IF(LEFT(C140,3)="LCH",7,IF(C140="BKK02",5,3))))</f>
        <v>7</v>
      </c>
      <c r="Z140" s="63">
        <f>IF(IF(AND(AC140="TML",AB140&gt;0),((T140-W140)+1)-AB140,((T140-W140)+1)-Y140)&gt;0,IF(AND(AC140="TML",AB140&gt;0),((T140-W140)+1)-AB140,((T140-W140)+1)-Y140),0)</f>
        <v>2</v>
      </c>
      <c r="AA140" s="187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500</v>
      </c>
      <c r="AB140" s="184" t="n"/>
      <c r="AC140" s="184" t="n"/>
      <c r="AD140" s="60">
        <f>IF(M140="DG",3,IF(N140="RF",3,5))+IF(AND(LEFT(C140,3)="BKK",N140="RF",Q140="KTS"),1,0)+IF(Q140="KHS",1,0)</f>
        <v>5</v>
      </c>
      <c r="AE140" s="63">
        <f>(T140-V140)+1</f>
        <v>46303</v>
      </c>
      <c r="AF140" s="63">
        <f>IF(AB140&gt;IF((V140-W140)&gt;0,V140-W140,0),0,IF(AB140&lt;IF((V140-W140)&gt;0,V140-W140,0),IF((V140-W140)&gt;0,V140-W140,0)-AB140,IF((V140-W140)&gt;0,V140-W140,0)))</f>
        <v>0</v>
      </c>
      <c r="AG140" s="187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 t="n"/>
      <c r="AI140" s="65">
        <f>AA140-AH140</f>
        <v>500</v>
      </c>
      <c r="AJ140" s="188" t="n"/>
      <c r="AK140" s="62" t="str">
        <f>VLOOKUP(D140,'2.Bookinglist'!A:CT,40,FALSE)</f>
        <v>Kanokporn</v>
      </c>
      <c r="AL140" s="60" t="str">
        <f>VLOOKUP(D140,'2.Bookinglist'!A:CW,101,FALSE)</f>
        <v>2026-10-03</v>
      </c>
      <c r="AM140" s="60" t="str">
        <f>VLOOKUP(D140,'2.Bookinglist'!A:BK,63,FALSE)</f>
        <v>LCHY5</v>
      </c>
      <c r="AN140" s="62" t="str">
        <f>VLOOKUP(D140,'2.Bookinglist'!A:AZ,52,FALSE)</f>
        <v>CY-RTN : 25-29/09/2026
REF : PI-CN-TH-DA-26090065,PI-CN-TH-DA-26090066,PI-CN-TH-DA-26090068
FRT 31/20'/31/40'HQ  Freetime 21 days 
</v>
      </c>
      <c r="AO140" s="62">
        <f>VLOOKUP(D140,'2.Bookinglist'!A:CY,103,FALSE)</f>
        <v>0</v>
      </c>
    </row>
    <row r="141" ht="12.95" customHeight="1">
      <c r="A141" s="96" t="inlineStr">
        <is>
          <t>TRHU5286339</t>
        </is>
      </c>
      <c r="B141" s="184" t="str">
        <f>IF(C141=Charge!$M$1,Charge!$J$1,IF(C141=Charge!$M$23,Charge!$J$23,IF(C141=Charge!$M$17,Charge!$J$17,IF(C141=Charge!$N$17,Charge!$J$17,Charge!$J$7))))</f>
        <v>G2</v>
      </c>
      <c r="C141" s="61" t="str">
        <f>VLOOKUP(A141,'1.Loading'!A:R,14,FALSE)</f>
        <v>LCH06</v>
      </c>
      <c r="D141" s="61" t="str">
        <f>VLOOKUP(A141,'1.Loading'!A:R,17,FALSE)</f>
        <v>HASLS22260802360</v>
      </c>
      <c r="E141" s="62" t="str">
        <f>VLOOKUP(D141,'2.Bookinglist'!A:CT,27,FALSE)</f>
        <v>WHA GC LOGISTICS COMPANY LIMITED</v>
      </c>
      <c r="F141" s="62" t="str">
        <f>VLOOKUP(D141,'2.Bookinglist'!A:CT,28,FALSE)</f>
        <v>PTT GLOBAL CHEMICAL PUBLIC COMPANY LIMITED</v>
      </c>
      <c r="G141" s="60">
        <f>VLOOKUP(D141,'2.Bookinglist'!A:E,5,FALSE)</f>
        <v>0</v>
      </c>
      <c r="H141" s="61" t="str">
        <f>VLOOKUP(D141,'2.Bookinglist'!A:CT,15,FALSE)</f>
        <v>THLCH</v>
      </c>
      <c r="I141" s="61" t="str">
        <f>VLOOKUP(D141,'2.Bookinglist'!A:CT,19,FALSE)</f>
        <v>JPMYJ</v>
      </c>
      <c r="J141" s="61" t="str">
        <f>VLOOKUP(D141,'2.Bookinglist'!A:CT,26,FALSE)</f>
        <v>KRPUS</v>
      </c>
      <c r="K141" s="61" t="str">
        <f>VLOOKUP(A141,'1.Loading'!A:R,5,FALSE)</f>
        <v>45GP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>IF(RIGHT(K141,2)="RE","RF","")</f>
        <v/>
      </c>
      <c r="O141" s="61" t="str">
        <f>VLOOKUP(A141,'1.Loading'!A:R,3,FALSE)</f>
        <v>SWVG</v>
      </c>
      <c r="P141" s="61" t="str">
        <f>VLOOKUP(A141,'1.Loading'!A:R,4,FALSE)</f>
        <v>2612N</v>
      </c>
      <c r="Q141" s="61" t="str">
        <f>VLOOKUP(D141,'2.Bookinglist'!A:CT,12,FALSE)</f>
        <v>PCI2</v>
      </c>
      <c r="R141" s="60" t="str">
        <f>IF(LEFT(K141,2)="22","20'","40'")</f>
        <v>40'</v>
      </c>
      <c r="S141" s="185" t="n"/>
      <c r="T141" s="61" t="str">
        <f>VLOOKUP(A141,'1.Loading'!A:R,2,FALSE)</f>
        <v>2026-10-07</v>
      </c>
      <c r="U141" s="63">
        <f>T141-S141</f>
        <v>46302</v>
      </c>
      <c r="V141" s="186" t="n"/>
      <c r="W141" s="61" t="str">
        <f>VLOOKUP(A141,'3.GateMove'!A:D,4,FALSE)</f>
        <v>2026-09-28</v>
      </c>
      <c r="X141" s="63">
        <f>((T141-W141)+1)</f>
        <v>10</v>
      </c>
      <c r="Y141" s="64">
        <f>IF(AND(OR(C141="BKK01",C141="BKK04"),L141="CFS/CY"),0,IF(M141="DG",1,IF(LEFT(C141,3)="LCH",7,IF(C141="BKK02",5,3))))</f>
        <v>7</v>
      </c>
      <c r="Z141" s="63">
        <f>IF(IF(AND(AC141="TML",AB141&gt;0),((T141-W141)+1)-AB141,((T141-W141)+1)-Y141)&gt;0,IF(AND(AC141="TML",AB141&gt;0),((T141-W141)+1)-AB141,((T141-W141)+1)-Y141),0)</f>
        <v>3</v>
      </c>
      <c r="AA141" s="187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750</v>
      </c>
      <c r="AB141" s="184" t="n"/>
      <c r="AC141" s="184" t="n"/>
      <c r="AD141" s="60">
        <f>IF(M141="DG",3,IF(N141="RF",3,5))+IF(AND(LEFT(C141,3)="BKK",N141="RF",Q141="KTS"),1,0)+IF(Q141="KHS",1,0)</f>
        <v>5</v>
      </c>
      <c r="AE141" s="63">
        <f>(T141-V141)+1</f>
        <v>46303</v>
      </c>
      <c r="AF141" s="63">
        <f>IF(AB141&gt;IF((V141-W141)&gt;0,V141-W141,0),0,IF(AB141&lt;IF((V141-W141)&gt;0,V141-W141,0),IF((V141-W141)&gt;0,V141-W141,0)-AB141,IF((V141-W141)&gt;0,V141-W141,0)))</f>
        <v>0</v>
      </c>
      <c r="AG141" s="187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 t="n"/>
      <c r="AI141" s="65">
        <f>AA141-AH141</f>
        <v>750</v>
      </c>
      <c r="AJ141" s="188" t="n"/>
      <c r="AK141" s="62" t="str">
        <f>VLOOKUP(D141,'2.Bookinglist'!A:CT,40,FALSE)</f>
        <v>Dharaporn</v>
      </c>
      <c r="AL141" s="60" t="str">
        <f>VLOOKUP(D141,'2.Bookinglist'!A:CW,101,FALSE)</f>
        <v>2026-10-03</v>
      </c>
      <c r="AM141" s="60" t="str">
        <f>VLOOKUP(D141,'2.Bookinglist'!A:BK,63,FALSE)</f>
        <v>LCH28</v>
      </c>
      <c r="AN141" s="62" t="str">
        <f>VLOOKUP(D141,'2.Bookinglist'!A:AZ,52,FALSE)</f>
        <v>CY-RTN 23-27/09/26
*PLS CHECK OPEN GATE BEFORE RETURN CTNR*</v>
      </c>
      <c r="AO141" s="62">
        <f>VLOOKUP(D141,'2.Bookinglist'!A:CY,103,FALSE)</f>
        <v>0</v>
      </c>
    </row>
    <row r="142" ht="12.95" customHeight="1">
      <c r="A142" s="96" t="inlineStr">
        <is>
          <t>TRHU5288434</t>
        </is>
      </c>
      <c r="B142" s="184" t="str">
        <f>IF(C142=Charge!$M$1,Charge!$J$1,IF(C142=Charge!$M$23,Charge!$J$23,IF(C142=Charge!$M$17,Charge!$J$17,IF(C142=Charge!$N$17,Charge!$J$17,Charge!$J$7))))</f>
        <v>G2</v>
      </c>
      <c r="C142" s="61" t="str">
        <f>VLOOKUP(A142,'1.Loading'!A:R,14,FALSE)</f>
        <v>LCH06</v>
      </c>
      <c r="D142" s="61" t="str">
        <f>VLOOKUP(A142,'1.Loading'!A:R,17,FALSE)</f>
        <v>HASLS22260900326</v>
      </c>
      <c r="E142" s="62" t="str">
        <f>VLOOKUP(D142,'2.Bookinglist'!A:CT,27,FALSE)</f>
        <v>WHA GC LOGISTICS COMPANY LIMITED</v>
      </c>
      <c r="F142" s="62" t="str">
        <f>VLOOKUP(D142,'2.Bookinglist'!A:CT,28,FALSE)</f>
        <v>PTT GLOBAL CHEMICAL PUBLIC COMPANY LIMITED</v>
      </c>
      <c r="G142" s="60">
        <f>VLOOKUP(D142,'2.Bookinglist'!A:E,5,FALSE)</f>
        <v>0</v>
      </c>
      <c r="H142" s="61" t="str">
        <f>VLOOKUP(D142,'2.Bookinglist'!A:CT,15,FALSE)</f>
        <v>THLCH</v>
      </c>
      <c r="I142" s="61" t="str">
        <f>VLOOKUP(D142,'2.Bookinglist'!A:CT,19,FALSE)</f>
        <v>JPKMJ</v>
      </c>
      <c r="J142" s="61" t="str">
        <f>VLOOKUP(D142,'2.Bookinglist'!A:CT,26,FALSE)</f>
        <v>KRPUS</v>
      </c>
      <c r="K142" s="61" t="str">
        <f>VLOOKUP(A142,'1.Loading'!A:R,5,FALSE)</f>
        <v>45GP</v>
      </c>
      <c r="L142" s="60" t="str">
        <f>VLOOKUP(D142,'2.Bookinglist'!A:CT,85,FALSE)</f>
        <v>CY/CY</v>
      </c>
      <c r="M142" s="60" t="str">
        <f>IF(VLOOKUP(D142,'2.Bookinglist'!A:CT,43,FALSE)=0,"","DG")</f>
        <v/>
      </c>
      <c r="N142" s="60" t="str">
        <f>IF(RIGHT(K142,2)="RE","RF","")</f>
        <v/>
      </c>
      <c r="O142" s="61" t="str">
        <f>VLOOKUP(A142,'1.Loading'!A:R,3,FALSE)</f>
        <v>SWVG</v>
      </c>
      <c r="P142" s="61" t="str">
        <f>VLOOKUP(A142,'1.Loading'!A:R,4,FALSE)</f>
        <v>2612N</v>
      </c>
      <c r="Q142" s="61" t="str">
        <f>VLOOKUP(D142,'2.Bookinglist'!A:CT,12,FALSE)</f>
        <v>PCI2</v>
      </c>
      <c r="R142" s="60" t="str">
        <f>IF(LEFT(K142,2)="22","20'","40'")</f>
        <v>40'</v>
      </c>
      <c r="S142" s="185" t="n"/>
      <c r="T142" s="61" t="str">
        <f>VLOOKUP(A142,'1.Loading'!A:R,2,FALSE)</f>
        <v>2026-10-07</v>
      </c>
      <c r="U142" s="63">
        <f>T142-S142</f>
        <v>46302</v>
      </c>
      <c r="V142" s="186" t="n"/>
      <c r="W142" s="61" t="str">
        <f>VLOOKUP(A142,'3.GateMove'!A:D,4,FALSE)</f>
        <v>2026-09-28</v>
      </c>
      <c r="X142" s="63">
        <f>((T142-W142)+1)</f>
        <v>10</v>
      </c>
      <c r="Y142" s="64">
        <f>IF(AND(OR(C142="BKK01",C142="BKK04"),L142="CFS/CY"),0,IF(M142="DG",1,IF(LEFT(C142,3)="LCH",7,IF(C142="BKK02",5,3))))</f>
        <v>7</v>
      </c>
      <c r="Z142" s="63">
        <f>IF(IF(AND(AC142="TML",AB142&gt;0),((T142-W142)+1)-AB142,((T142-W142)+1)-Y142)&gt;0,IF(AND(AC142="TML",AB142&gt;0),((T142-W142)+1)-AB142,((T142-W142)+1)-Y142),0)</f>
        <v>3</v>
      </c>
      <c r="AA142" s="187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750</v>
      </c>
      <c r="AB142" s="184" t="n"/>
      <c r="AC142" s="184" t="n"/>
      <c r="AD142" s="60">
        <f>IF(M142="DG",3,IF(N142="RF",3,5))+IF(AND(LEFT(C142,3)="BKK",N142="RF",Q142="KTS"),1,0)+IF(Q142="KHS",1,0)</f>
        <v>5</v>
      </c>
      <c r="AE142" s="63">
        <f>(T142-V142)+1</f>
        <v>46303</v>
      </c>
      <c r="AF142" s="63">
        <f>IF(AB142&gt;IF((V142-W142)&gt;0,V142-W142,0),0,IF(AB142&lt;IF((V142-W142)&gt;0,V142-W142,0),IF((V142-W142)&gt;0,V142-W142,0)-AB142,IF((V142-W142)&gt;0,V142-W142,0)))</f>
        <v>0</v>
      </c>
      <c r="AG142" s="187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5" t="n"/>
      <c r="AI142" s="65">
        <f>AA142-AH142</f>
        <v>750</v>
      </c>
      <c r="AJ142" s="188" t="n"/>
      <c r="AK142" s="62" t="str">
        <f>VLOOKUP(D142,'2.Bookinglist'!A:CT,40,FALSE)</f>
        <v>Dharaporn</v>
      </c>
      <c r="AL142" s="60" t="str">
        <f>VLOOKUP(D142,'2.Bookinglist'!A:CW,101,FALSE)</f>
        <v>2026-09-27</v>
      </c>
      <c r="AM142" s="60" t="str">
        <f>VLOOKUP(D142,'2.Bookinglist'!A:BK,63,FALSE)</f>
        <v>LCHY5</v>
      </c>
      <c r="AN142" s="62" t="str">
        <f>VLOOKUP(D142,'2.Bookinglist'!A:AZ,52,FALSE)</f>
        <v>CY-RTN : 25-27/09/2026 
RQST GOOD &amp; CLEAN CNTR</v>
      </c>
      <c r="AO142" s="62">
        <f>VLOOKUP(D142,'2.Bookinglist'!A:CY,103,FALSE)</f>
        <v>0</v>
      </c>
    </row>
    <row r="143" ht="12.95" customHeight="1">
      <c r="A143" s="96" t="inlineStr">
        <is>
          <t>TRHU6242886</t>
        </is>
      </c>
      <c r="B143" s="184" t="str">
        <f>IF(C143=Charge!$M$1,Charge!$J$1,IF(C143=Charge!$M$23,Charge!$J$23,IF(C143=Charge!$M$17,Charge!$J$17,IF(C143=Charge!$N$17,Charge!$J$17,Charge!$J$7))))</f>
        <v>G2</v>
      </c>
      <c r="C143" s="61" t="str">
        <f>VLOOKUP(A143,'1.Loading'!A:R,14,FALSE)</f>
        <v>LCH06</v>
      </c>
      <c r="D143" s="61" t="str">
        <f>VLOOKUP(A143,'1.Loading'!A:R,17,FALSE)</f>
        <v>HASLS22260901668</v>
      </c>
      <c r="E143" s="62" t="str">
        <f>VLOOKUP(D143,'2.Bookinglist'!A:CT,27,FALSE)</f>
        <v>BARKLAYS LOGISTICS (THAILAND) CO., LTD.</v>
      </c>
      <c r="F143" s="62" t="str">
        <f>VLOOKUP(D143,'2.Bookinglist'!A:CT,28,FALSE)</f>
        <v>GOLDEN CRANE (GOLDEN DRAGON) CO.,LTD.</v>
      </c>
      <c r="G143" s="60">
        <f>VLOOKUP(D143,'2.Bookinglist'!A:E,5,FALSE)</f>
        <v>0</v>
      </c>
      <c r="H143" s="61" t="str">
        <f>VLOOKUP(D143,'2.Bookinglist'!A:CT,15,FALSE)</f>
        <v>THLCH</v>
      </c>
      <c r="I143" s="61" t="str">
        <f>VLOOKUP(D143,'2.Bookinglist'!A:CT,19,FALSE)</f>
        <v>CNSHA</v>
      </c>
      <c r="J143" s="61">
        <f>VLOOKUP(D143,'2.Bookinglist'!A:CT,26,FALSE)</f>
        <v>0</v>
      </c>
      <c r="K143" s="61" t="str">
        <f>VLOOKUP(A143,'1.Loading'!A:R,5,FALSE)</f>
        <v>45GP</v>
      </c>
      <c r="L143" s="60" t="str">
        <f>VLOOKUP(D143,'2.Bookinglist'!A:CT,85,FALSE)</f>
        <v>CY/CY</v>
      </c>
      <c r="M143" s="60" t="str">
        <f>IF(VLOOKUP(D143,'2.Bookinglist'!A:CT,43,FALSE)=0,"","DG")</f>
        <v/>
      </c>
      <c r="N143" s="60" t="str">
        <f>IF(RIGHT(K143,2)="RE","RF","")</f>
        <v/>
      </c>
      <c r="O143" s="61" t="str">
        <f>VLOOKUP(A143,'1.Loading'!A:R,3,FALSE)</f>
        <v>SWVG</v>
      </c>
      <c r="P143" s="61" t="str">
        <f>VLOOKUP(A143,'1.Loading'!A:R,4,FALSE)</f>
        <v>2612N</v>
      </c>
      <c r="Q143" s="61" t="str">
        <f>VLOOKUP(D143,'2.Bookinglist'!A:CT,12,FALSE)</f>
        <v>PCI2</v>
      </c>
      <c r="R143" s="60" t="str">
        <f>IF(LEFT(K143,2)="22","20'","40'")</f>
        <v>40'</v>
      </c>
      <c r="S143" s="185" t="n"/>
      <c r="T143" s="61" t="str">
        <f>VLOOKUP(A143,'1.Loading'!A:R,2,FALSE)</f>
        <v>2026-10-07</v>
      </c>
      <c r="U143" s="63">
        <f>T143-S143</f>
        <v>46302</v>
      </c>
      <c r="V143" s="186" t="n"/>
      <c r="W143" s="61" t="str">
        <f>VLOOKUP(A143,'3.GateMove'!A:D,4,FALSE)</f>
        <v>2026-09-19</v>
      </c>
      <c r="X143" s="63">
        <f>((T143-W143)+1)</f>
        <v>19</v>
      </c>
      <c r="Y143" s="64">
        <f>IF(AND(OR(C143="BKK01",C143="BKK04"),L143="CFS/CY"),0,IF(M143="DG",1,IF(LEFT(C143,3)="LCH",7,IF(C143="BKK02",5,3))))</f>
        <v>7</v>
      </c>
      <c r="Z143" s="63">
        <f>IF(IF(AND(AC143="TML",AB143&gt;0),((T143-W143)+1)-AB143,((T143-W143)+1)-Y143)&gt;0,IF(AND(AC143="TML",AB143&gt;0),((T143-W143)+1)-AB143,((T143-W143)+1)-Y143),0)</f>
        <v>12</v>
      </c>
      <c r="AA143" s="187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4250</v>
      </c>
      <c r="AB143" s="184" t="n"/>
      <c r="AC143" s="184" t="n"/>
      <c r="AD143" s="60">
        <f>IF(M143="DG",3,IF(N143="RF",3,5))+IF(AND(LEFT(C143,3)="BKK",N143="RF",Q143="KTS"),1,0)+IF(Q143="KHS",1,0)</f>
        <v>5</v>
      </c>
      <c r="AE143" s="63">
        <f>(T143-V143)+1</f>
        <v>46303</v>
      </c>
      <c r="AF143" s="63">
        <f>IF(AB143&gt;IF((V143-W143)&gt;0,V143-W143,0),0,IF(AB143&lt;IF((V143-W143)&gt;0,V143-W143,0),IF((V143-W143)&gt;0,V143-W143,0)-AB143,IF((V143-W143)&gt;0,V143-W143,0)))</f>
        <v>0</v>
      </c>
      <c r="AG143" s="187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5" t="n"/>
      <c r="AI143" s="65">
        <f>AA143-AH143</f>
        <v>4250</v>
      </c>
      <c r="AJ143" s="188" t="n"/>
      <c r="AK143" s="62" t="str">
        <f>VLOOKUP(D143,'2.Bookinglist'!A:CT,40,FALSE)</f>
        <v>Nannaapust Sukporntaweewat</v>
      </c>
      <c r="AL143" s="60" t="str">
        <f>VLOOKUP(D143,'2.Bookinglist'!A:CW,101,FALSE)</f>
        <v>2026-10-08</v>
      </c>
      <c r="AM143" s="60" t="str">
        <f>VLOOKUP(D143,'2.Bookinglist'!A:BK,63,FALSE)</f>
        <v>LCHY5</v>
      </c>
      <c r="AN143" s="62" t="str">
        <f>VLOOKUP(D143,'2.Bookinglist'!A:AZ,52,FALSE)</f>
        <v>Pickup : 2026-09-18, Return : 2026-09-19</v>
      </c>
      <c r="AO143" s="62" t="str">
        <f>VLOOKUP(D143,'2.Bookinglist'!A:CY,103,FALSE)</f>
        <v>ROLL OVER FROM PREVIOUS VSL HAB 2611N  BY ALLOCATION TEAM MS.TARN APPROVED COST IS UNDER HA DD.25/09</v>
      </c>
    </row>
    <row r="144" ht="12.95" customHeight="1">
      <c r="A144" s="96" t="inlineStr">
        <is>
          <t>TRHU6265768</t>
        </is>
      </c>
      <c r="B144" s="184" t="str">
        <f>IF(C144=Charge!$M$1,Charge!$J$1,IF(C144=Charge!$M$23,Charge!$J$23,IF(C144=Charge!$M$17,Charge!$J$17,IF(C144=Charge!$N$17,Charge!$J$17,Charge!$J$7))))</f>
        <v>G2</v>
      </c>
      <c r="C144" s="61" t="str">
        <f>VLOOKUP(A144,'1.Loading'!A:R,14,FALSE)</f>
        <v>LCH06</v>
      </c>
      <c r="D144" s="61" t="str">
        <f>VLOOKUP(A144,'1.Loading'!A:R,17,FALSE)</f>
        <v>HASLS22260802391</v>
      </c>
      <c r="E144" s="62" t="str">
        <f>VLOOKUP(D144,'2.Bookinglist'!A:CT,27,FALSE)</f>
        <v>WHA GC LOGISTICS COMPANY LIMITED</v>
      </c>
      <c r="F144" s="62" t="str">
        <f>VLOOKUP(D144,'2.Bookinglist'!A:CT,28,FALSE)</f>
        <v>PTT GLOBAL CHEMICAL PUBLIC COMPANY LIMITED</v>
      </c>
      <c r="G144" s="60">
        <f>VLOOKUP(D144,'2.Bookinglist'!A:E,5,FALSE)</f>
        <v>0</v>
      </c>
      <c r="H144" s="61" t="str">
        <f>VLOOKUP(D144,'2.Bookinglist'!A:CT,15,FALSE)</f>
        <v>THLCH</v>
      </c>
      <c r="I144" s="61" t="str">
        <f>VLOOKUP(D144,'2.Bookinglist'!A:CT,19,FALSE)</f>
        <v>JPMYJ</v>
      </c>
      <c r="J144" s="61" t="str">
        <f>VLOOKUP(D144,'2.Bookinglist'!A:CT,26,FALSE)</f>
        <v>KRPUS</v>
      </c>
      <c r="K144" s="61" t="str">
        <f>VLOOKUP(A144,'1.Loading'!A:R,5,FALSE)</f>
        <v>45GP</v>
      </c>
      <c r="L144" s="60" t="str">
        <f>VLOOKUP(D144,'2.Bookinglist'!A:CT,85,FALSE)</f>
        <v>CY/CY</v>
      </c>
      <c r="M144" s="60" t="str">
        <f>IF(VLOOKUP(D144,'2.Bookinglist'!A:CT,43,FALSE)=0,"","DG")</f>
        <v/>
      </c>
      <c r="N144" s="60" t="str">
        <f>IF(RIGHT(K144,2)="RE","RF","")</f>
        <v/>
      </c>
      <c r="O144" s="61" t="str">
        <f>VLOOKUP(A144,'1.Loading'!A:R,3,FALSE)</f>
        <v>SWVG</v>
      </c>
      <c r="P144" s="61" t="str">
        <f>VLOOKUP(A144,'1.Loading'!A:R,4,FALSE)</f>
        <v>2612N</v>
      </c>
      <c r="Q144" s="61" t="str">
        <f>VLOOKUP(D144,'2.Bookinglist'!A:CT,12,FALSE)</f>
        <v>PCI2</v>
      </c>
      <c r="R144" s="60" t="str">
        <f>IF(LEFT(K144,2)="22","20'","40'")</f>
        <v>40'</v>
      </c>
      <c r="S144" s="185" t="n"/>
      <c r="T144" s="61" t="str">
        <f>VLOOKUP(A144,'1.Loading'!A:R,2,FALSE)</f>
        <v>2026-10-07</v>
      </c>
      <c r="U144" s="63">
        <f>T144-S144</f>
        <v>46302</v>
      </c>
      <c r="V144" s="186" t="n"/>
      <c r="W144" s="61" t="str">
        <f>VLOOKUP(A144,'3.GateMove'!A:D,4,FALSE)</f>
        <v>2026-09-27</v>
      </c>
      <c r="X144" s="63">
        <f>((T144-W144)+1)</f>
        <v>11</v>
      </c>
      <c r="Y144" s="64">
        <f>IF(AND(OR(C144="BKK01",C144="BKK04"),L144="CFS/CY"),0,IF(M144="DG",1,IF(LEFT(C144,3)="LCH",7,IF(C144="BKK02",5,3))))</f>
        <v>7</v>
      </c>
      <c r="Z144" s="63">
        <f>IF(IF(AND(AC144="TML",AB144&gt;0),((T144-W144)+1)-AB144,((T144-W144)+1)-Y144)&gt;0,IF(AND(AC144="TML",AB144&gt;0),((T144-W144)+1)-AB144,((T144-W144)+1)-Y144),0)</f>
        <v>4</v>
      </c>
      <c r="AA144" s="187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1000</v>
      </c>
      <c r="AB144" s="184" t="n"/>
      <c r="AC144" s="184" t="n"/>
      <c r="AD144" s="60">
        <f>IF(M144="DG",3,IF(N144="RF",3,5))+IF(AND(LEFT(C144,3)="BKK",N144="RF",Q144="KTS"),1,0)+IF(Q144="KHS",1,0)</f>
        <v>5</v>
      </c>
      <c r="AE144" s="63">
        <f>(T144-V144)+1</f>
        <v>46303</v>
      </c>
      <c r="AF144" s="63">
        <f>IF(AB144&gt;IF((V144-W144)&gt;0,V144-W144,0),0,IF(AB144&lt;IF((V144-W144)&gt;0,V144-W144,0),IF((V144-W144)&gt;0,V144-W144,0)-AB144,IF((V144-W144)&gt;0,V144-W144,0)))</f>
        <v>0</v>
      </c>
      <c r="AG144" s="187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5" t="n"/>
      <c r="AI144" s="65">
        <f>AA144-AH144</f>
        <v>1000</v>
      </c>
      <c r="AJ144" s="188" t="n"/>
      <c r="AK144" s="62" t="str">
        <f>VLOOKUP(D144,'2.Bookinglist'!A:CT,40,FALSE)</f>
        <v>Dharaporn</v>
      </c>
      <c r="AL144" s="60" t="str">
        <f>VLOOKUP(D144,'2.Bookinglist'!A:CW,101,FALSE)</f>
        <v>2026-10-03</v>
      </c>
      <c r="AM144" s="60" t="str">
        <f>VLOOKUP(D144,'2.Bookinglist'!A:BK,63,FALSE)</f>
        <v>LCHY5</v>
      </c>
      <c r="AN144" s="62" t="str">
        <f>VLOOKUP(D144,'2.Bookinglist'!A:AZ,52,FALSE)</f>
        <v>CY-RTN 23-28/09/26 
</v>
      </c>
      <c r="AO144" s="62">
        <f>VLOOKUP(D144,'2.Bookinglist'!A:CY,103,FALSE)</f>
        <v>0</v>
      </c>
    </row>
    <row r="145" ht="12.95" customHeight="1">
      <c r="A145" s="96" t="inlineStr">
        <is>
          <t>TRHU6267478</t>
        </is>
      </c>
      <c r="B145" s="184" t="str">
        <f>IF(C145=Charge!$M$1,Charge!$J$1,IF(C145=Charge!$M$23,Charge!$J$23,IF(C145=Charge!$M$17,Charge!$J$17,IF(C145=Charge!$N$17,Charge!$J$17,Charge!$J$7))))</f>
        <v>G2</v>
      </c>
      <c r="C145" s="61" t="str">
        <f>VLOOKUP(A145,'1.Loading'!A:R,14,FALSE)</f>
        <v>LCH06</v>
      </c>
      <c r="D145" s="61" t="str">
        <f>VLOOKUP(A145,'1.Loading'!A:R,17,FALSE)</f>
        <v>HASLS22260901668</v>
      </c>
      <c r="E145" s="62" t="str">
        <f>VLOOKUP(D145,'2.Bookinglist'!A:CT,27,FALSE)</f>
        <v>BARKLAYS LOGISTICS (THAILAND) CO., LTD.</v>
      </c>
      <c r="F145" s="62" t="str">
        <f>VLOOKUP(D145,'2.Bookinglist'!A:CT,28,FALSE)</f>
        <v>GOLDEN CRANE (GOLDEN DRAGON) CO.,LTD.</v>
      </c>
      <c r="G145" s="60">
        <f>VLOOKUP(D145,'2.Bookinglist'!A:E,5,FALSE)</f>
        <v>0</v>
      </c>
      <c r="H145" s="61" t="str">
        <f>VLOOKUP(D145,'2.Bookinglist'!A:CT,15,FALSE)</f>
        <v>THLCH</v>
      </c>
      <c r="I145" s="61" t="str">
        <f>VLOOKUP(D145,'2.Bookinglist'!A:CT,19,FALSE)</f>
        <v>CNSHA</v>
      </c>
      <c r="J145" s="61">
        <f>VLOOKUP(D145,'2.Bookinglist'!A:CT,26,FALSE)</f>
        <v>0</v>
      </c>
      <c r="K145" s="61" t="str">
        <f>VLOOKUP(A145,'1.Loading'!A:R,5,FALSE)</f>
        <v>45GP</v>
      </c>
      <c r="L145" s="60" t="str">
        <f>VLOOKUP(D145,'2.Bookinglist'!A:CT,85,FALSE)</f>
        <v>CY/CY</v>
      </c>
      <c r="M145" s="60" t="str">
        <f>IF(VLOOKUP(D145,'2.Bookinglist'!A:CT,43,FALSE)=0,"","DG")</f>
        <v/>
      </c>
      <c r="N145" s="60" t="str">
        <f>IF(RIGHT(K145,2)="RE","RF","")</f>
        <v/>
      </c>
      <c r="O145" s="61" t="str">
        <f>VLOOKUP(A145,'1.Loading'!A:R,3,FALSE)</f>
        <v>SWVG</v>
      </c>
      <c r="P145" s="61" t="str">
        <f>VLOOKUP(A145,'1.Loading'!A:R,4,FALSE)</f>
        <v>2612N</v>
      </c>
      <c r="Q145" s="61" t="str">
        <f>VLOOKUP(D145,'2.Bookinglist'!A:CT,12,FALSE)</f>
        <v>PCI2</v>
      </c>
      <c r="R145" s="60" t="str">
        <f>IF(LEFT(K145,2)="22","20'","40'")</f>
        <v>40'</v>
      </c>
      <c r="S145" s="185" t="n"/>
      <c r="T145" s="61" t="str">
        <f>VLOOKUP(A145,'1.Loading'!A:R,2,FALSE)</f>
        <v>2026-10-07</v>
      </c>
      <c r="U145" s="63">
        <f>T145-S145</f>
        <v>46302</v>
      </c>
      <c r="V145" s="186" t="n"/>
      <c r="W145" s="61" t="str">
        <f>VLOOKUP(A145,'3.GateMove'!A:D,4,FALSE)</f>
        <v>2026-09-19</v>
      </c>
      <c r="X145" s="63">
        <f>((T145-W145)+1)</f>
        <v>19</v>
      </c>
      <c r="Y145" s="64">
        <f>IF(AND(OR(C145="BKK01",C145="BKK04"),L145="CFS/CY"),0,IF(M145="DG",1,IF(LEFT(C145,3)="LCH",7,IF(C145="BKK02",5,3))))</f>
        <v>7</v>
      </c>
      <c r="Z145" s="63">
        <f>IF(IF(AND(AC145="TML",AB145&gt;0),((T145-W145)+1)-AB145,((T145-W145)+1)-Y145)&gt;0,IF(AND(AC145="TML",AB145&gt;0),((T145-W145)+1)-AB145,((T145-W145)+1)-Y145),0)</f>
        <v>12</v>
      </c>
      <c r="AA145" s="187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4250</v>
      </c>
      <c r="AB145" s="184" t="n"/>
      <c r="AC145" s="184" t="n"/>
      <c r="AD145" s="60">
        <f>IF(M145="DG",3,IF(N145="RF",3,5))+IF(AND(LEFT(C145,3)="BKK",N145="RF",Q145="KTS"),1,0)+IF(Q145="KHS",1,0)</f>
        <v>5</v>
      </c>
      <c r="AE145" s="63">
        <f>(T145-V145)+1</f>
        <v>46303</v>
      </c>
      <c r="AF145" s="63">
        <f>IF(AB145&gt;IF((V145-W145)&gt;0,V145-W145,0),0,IF(AB145&lt;IF((V145-W145)&gt;0,V145-W145,0),IF((V145-W145)&gt;0,V145-W145,0)-AB145,IF((V145-W145)&gt;0,V145-W145,0)))</f>
        <v>0</v>
      </c>
      <c r="AG145" s="187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5" t="n"/>
      <c r="AI145" s="65">
        <f>AA145-AH145</f>
        <v>4250</v>
      </c>
      <c r="AJ145" s="188" t="n"/>
      <c r="AK145" s="62" t="str">
        <f>VLOOKUP(D145,'2.Bookinglist'!A:CT,40,FALSE)</f>
        <v>Nannaapust Sukporntaweewat</v>
      </c>
      <c r="AL145" s="60" t="str">
        <f>VLOOKUP(D145,'2.Bookinglist'!A:CW,101,FALSE)</f>
        <v>2026-10-08</v>
      </c>
      <c r="AM145" s="60" t="str">
        <f>VLOOKUP(D145,'2.Bookinglist'!A:BK,63,FALSE)</f>
        <v>LCHY5</v>
      </c>
      <c r="AN145" s="62" t="str">
        <f>VLOOKUP(D145,'2.Bookinglist'!A:AZ,52,FALSE)</f>
        <v>Pickup : 2026-09-18, Return : 2026-09-19</v>
      </c>
      <c r="AO145" s="62" t="str">
        <f>VLOOKUP(D145,'2.Bookinglist'!A:CY,103,FALSE)</f>
        <v>ROLL OVER FROM PREVIOUS VSL HAB 2611N  BY ALLOCATION TEAM MS.TARN APPROVED COST IS UNDER HA DD.25/09</v>
      </c>
    </row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2026-10-14T07:17:19Z</dcterms:modified>
  <cp:lastModifiedBy>office4</cp:lastModifiedBy>
  <cp:lastPrinted>2019-11-19T03:03:39Z</cp:lastPrinted>
</cp:coreProperties>
</file>