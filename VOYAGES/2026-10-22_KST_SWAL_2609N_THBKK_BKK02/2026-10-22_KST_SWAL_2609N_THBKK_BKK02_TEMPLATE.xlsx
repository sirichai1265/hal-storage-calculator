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67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HALU5681952</t>
        </is>
      </c>
      <c r="B2" s="161" t="inlineStr">
        <is>
          <t>2026-10-22</t>
        </is>
      </c>
      <c r="C2" s="96" t="inlineStr">
        <is>
          <t>SWAL</t>
        </is>
      </c>
      <c r="D2" s="96" t="inlineStr">
        <is>
          <t>2609N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VNSGN</t>
        </is>
      </c>
      <c r="J2" s="96" t="inlineStr">
        <is>
          <t>VNSGN</t>
        </is>
      </c>
      <c r="K2" s="96" t="inlineStr">
        <is>
          <t>F</t>
        </is>
      </c>
      <c r="L2" s="96" t="inlineStr">
        <is>
          <t>OWN</t>
        </is>
      </c>
      <c r="M2" s="96" t="inlineStr">
        <is>
          <t>VFL</t>
        </is>
      </c>
      <c r="N2" s="96" t="inlineStr">
        <is>
          <t>BKK02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HASLS22260902444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KST</t>
        </is>
      </c>
      <c r="U2" s="97" t="n"/>
      <c r="V2" s="96" t="inlineStr">
        <is>
          <t>SHA15003</t>
        </is>
      </c>
      <c r="W2" s="96" t="inlineStr">
        <is>
          <t>CAPRICORN LOGISTICS CO.,LTD.</t>
        </is>
      </c>
      <c r="X2" s="96" t="inlineStr">
        <is>
          <t>VFD</t>
        </is>
      </c>
      <c r="Y2" s="96" t="inlineStr">
        <is>
          <t>GIA NGUYEN INT'L LOGISTICS CO., LTD</t>
        </is>
      </c>
      <c r="Z2" s="96" t="inlineStr">
        <is>
          <t>GIA NGUYEN INT'L LOGISTICS CO., LTD</t>
        </is>
      </c>
      <c r="AA2" s="97" t="n">
        <v>5463.56</v>
      </c>
      <c r="AB2" s="96" t="inlineStr">
        <is>
          <t>BKK02</t>
        </is>
      </c>
      <c r="AC2" s="96" t="inlineStr">
        <is>
          <t>SGN03</t>
        </is>
      </c>
    </row>
    <row r="3" ht="12" customHeight="1">
      <c r="A3" s="96" t="inlineStr">
        <is>
          <t>HALU2075503</t>
        </is>
      </c>
      <c r="B3" s="161" t="inlineStr">
        <is>
          <t>2026-10-22</t>
        </is>
      </c>
      <c r="C3" s="96" t="inlineStr">
        <is>
          <t>SWAL</t>
        </is>
      </c>
      <c r="D3" s="96" t="inlineStr">
        <is>
          <t>2609N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OWN</t>
        </is>
      </c>
      <c r="M3" s="96" t="inlineStr">
        <is>
          <t>VFL</t>
        </is>
      </c>
      <c r="N3" s="96" t="inlineStr">
        <is>
          <t>BKK02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HASLS22260902836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KST</t>
        </is>
      </c>
      <c r="U3" s="97" t="n"/>
      <c r="V3" s="96" t="inlineStr">
        <is>
          <t>TXG15006</t>
        </is>
      </c>
      <c r="W3" s="96" t="inlineStr">
        <is>
          <t>O.S. WAX TRADING CO., LTD.</t>
        </is>
      </c>
      <c r="X3" s="96" t="inlineStr">
        <is>
          <t>VFD</t>
        </is>
      </c>
      <c r="Y3" s="96" t="inlineStr">
        <is>
          <t>VRG DONGWHA MDF JOINT STOCK COMPANY</t>
        </is>
      </c>
      <c r="Z3" s="96" t="inlineStr">
        <is>
          <t>EXCELUBE MARKETING SDN BHD</t>
        </is>
      </c>
      <c r="AA3" s="97" t="n">
        <v>21030</v>
      </c>
      <c r="AB3" s="96" t="inlineStr">
        <is>
          <t>BKK02</t>
        </is>
      </c>
      <c r="AC3" s="96" t="inlineStr">
        <is>
          <t>SGN03</t>
        </is>
      </c>
    </row>
    <row r="4" ht="12" customHeight="1">
      <c r="A4" s="96" t="inlineStr">
        <is>
          <t>HALU2075360</t>
        </is>
      </c>
      <c r="B4" s="161" t="inlineStr">
        <is>
          <t>2026-10-22</t>
        </is>
      </c>
      <c r="C4" s="96" t="inlineStr">
        <is>
          <t>SWAL</t>
        </is>
      </c>
      <c r="D4" s="96" t="inlineStr">
        <is>
          <t>2609N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BKK02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HASLS22260801961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KST</t>
        </is>
      </c>
      <c r="U4" s="97" t="n"/>
      <c r="V4" s="96" t="inlineStr">
        <is>
          <t>TXG15006</t>
        </is>
      </c>
      <c r="W4" s="96" t="inlineStr">
        <is>
          <t>SCG INTERNATIONAL CORPORATION CO.,</t>
        </is>
      </c>
      <c r="X4" s="96" t="inlineStr">
        <is>
          <t>VFD</t>
        </is>
      </c>
      <c r="Y4" s="96" t="inlineStr">
        <is>
          <t>BUU LONG INDUSTRY AND INVESTMENT</t>
        </is>
      </c>
      <c r="Z4" s="96" t="inlineStr">
        <is>
          <t>BUU LONG INDUSTRY AND INVESTMENT</t>
        </is>
      </c>
      <c r="AA4" s="97" t="n">
        <v>25260</v>
      </c>
      <c r="AB4" s="96" t="inlineStr">
        <is>
          <t>BKK02</t>
        </is>
      </c>
      <c r="AC4" s="96" t="inlineStr">
        <is>
          <t>SGN03</t>
        </is>
      </c>
    </row>
    <row r="5" ht="12" customHeight="1">
      <c r="A5" s="96" t="inlineStr">
        <is>
          <t>HALU2024574</t>
        </is>
      </c>
      <c r="B5" s="161" t="inlineStr">
        <is>
          <t>2026-10-22</t>
        </is>
      </c>
      <c r="C5" s="96" t="inlineStr">
        <is>
          <t>SWAL</t>
        </is>
      </c>
      <c r="D5" s="96" t="inlineStr">
        <is>
          <t>2609N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KRINC</t>
        </is>
      </c>
      <c r="J5" s="96" t="inlineStr">
        <is>
          <t>KRINC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BKK02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HASLS22260801065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KST</t>
        </is>
      </c>
      <c r="U5" s="97" t="n"/>
      <c r="V5" s="96" t="inlineStr">
        <is>
          <t>TXG13016</t>
        </is>
      </c>
      <c r="W5" s="96" t="inlineStr">
        <is>
          <t>KORCHINA FREIGHT(THAILAND)CO.,LTD.</t>
        </is>
      </c>
      <c r="X5" s="96" t="inlineStr">
        <is>
          <t>VFD</t>
        </is>
      </c>
      <c r="Y5" s="96" t="inlineStr">
        <is>
          <t>PARKS WAY CO.,LTD.</t>
        </is>
      </c>
      <c r="Z5" s="96" t="inlineStr">
        <is>
          <t>PARKS WAY CO.,LTD.</t>
        </is>
      </c>
      <c r="AA5" s="97" t="n">
        <v>20664</v>
      </c>
      <c r="AB5" s="96" t="inlineStr">
        <is>
          <t>BKK02</t>
        </is>
      </c>
      <c r="AC5" s="96" t="inlineStr">
        <is>
          <t>INC07</t>
        </is>
      </c>
    </row>
    <row r="6" ht="12" customHeight="1">
      <c r="A6" s="96" t="inlineStr">
        <is>
          <t>HALU2092645</t>
        </is>
      </c>
      <c r="B6" s="161" t="inlineStr">
        <is>
          <t>2026-10-22</t>
        </is>
      </c>
      <c r="C6" s="96" t="inlineStr">
        <is>
          <t>SWAL</t>
        </is>
      </c>
      <c r="D6" s="96" t="inlineStr">
        <is>
          <t>2609N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KRINC</t>
        </is>
      </c>
      <c r="J6" s="96" t="inlineStr">
        <is>
          <t>KRINC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BKK02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HASLS22260801065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KST</t>
        </is>
      </c>
      <c r="U6" s="97" t="n"/>
      <c r="V6" s="96" t="inlineStr">
        <is>
          <t>TXG15008</t>
        </is>
      </c>
      <c r="W6" s="96" t="inlineStr">
        <is>
          <t>KORCHINA FREIGHT(THAILAND)CO.,LTD.</t>
        </is>
      </c>
      <c r="X6" s="96" t="inlineStr">
        <is>
          <t>VFD</t>
        </is>
      </c>
      <c r="Y6" s="96" t="inlineStr">
        <is>
          <t>PARKS WAY CO.,LTD.</t>
        </is>
      </c>
      <c r="Z6" s="96" t="inlineStr">
        <is>
          <t>PARKS WAY CO.,LTD.</t>
        </is>
      </c>
      <c r="AA6" s="97" t="n">
        <v>20664</v>
      </c>
      <c r="AB6" s="96" t="inlineStr">
        <is>
          <t>BKK02</t>
        </is>
      </c>
      <c r="AC6" s="96" t="inlineStr">
        <is>
          <t>INC07</t>
        </is>
      </c>
    </row>
    <row r="7" ht="12" customHeight="1">
      <c r="A7" s="96" t="inlineStr">
        <is>
          <t>HALU2090663</t>
        </is>
      </c>
      <c r="B7" s="161" t="inlineStr">
        <is>
          <t>2026-10-22</t>
        </is>
      </c>
      <c r="C7" s="96" t="inlineStr">
        <is>
          <t>SWAL</t>
        </is>
      </c>
      <c r="D7" s="96" t="inlineStr">
        <is>
          <t>2609N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VNSGN</t>
        </is>
      </c>
      <c r="J7" s="96" t="inlineStr">
        <is>
          <t>VNSGN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BKK02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HASLS22260801961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KST</t>
        </is>
      </c>
      <c r="U7" s="97" t="n"/>
      <c r="V7" s="96" t="inlineStr">
        <is>
          <t>TXG15011</t>
        </is>
      </c>
      <c r="W7" s="96" t="inlineStr">
        <is>
          <t>SCG INTERNATIONAL CORPORATION CO.,</t>
        </is>
      </c>
      <c r="X7" s="96" t="inlineStr">
        <is>
          <t>VFD</t>
        </is>
      </c>
      <c r="Y7" s="96" t="inlineStr">
        <is>
          <t>BUU LONG INDUSTRY AND INVESTMENT</t>
        </is>
      </c>
      <c r="Z7" s="96" t="inlineStr">
        <is>
          <t>BUU LONG INDUSTRY AND INVESTMENT</t>
        </is>
      </c>
      <c r="AA7" s="97" t="n">
        <v>25300</v>
      </c>
      <c r="AB7" s="96" t="inlineStr">
        <is>
          <t>BKK02</t>
        </is>
      </c>
      <c r="AC7" s="96" t="inlineStr">
        <is>
          <t>SGN03</t>
        </is>
      </c>
    </row>
    <row r="8" ht="12" customHeight="1">
      <c r="A8" s="96" t="inlineStr">
        <is>
          <t>SKHU6455248</t>
        </is>
      </c>
      <c r="B8" s="161" t="inlineStr">
        <is>
          <t>2026-10-22</t>
        </is>
      </c>
      <c r="C8" s="96" t="inlineStr">
        <is>
          <t>SWAL</t>
        </is>
      </c>
      <c r="D8" s="96" t="inlineStr">
        <is>
          <t>2609N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VNSGN</t>
        </is>
      </c>
      <c r="J8" s="96" t="inlineStr">
        <is>
          <t>VNSGN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BKK02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HASLS22260902622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KST</t>
        </is>
      </c>
      <c r="U8" s="97" t="n"/>
      <c r="V8" s="96" t="inlineStr">
        <is>
          <t>K0120023</t>
        </is>
      </c>
      <c r="W8" s="96" t="inlineStr">
        <is>
          <t>OCEAN AIR INTERNATIONAL CO.,LTD.</t>
        </is>
      </c>
      <c r="X8" s="96" t="inlineStr">
        <is>
          <t>VFD</t>
        </is>
      </c>
      <c r="Y8" s="96" t="inlineStr">
        <is>
          <t>AO SHIPPING TRANSPORT CORPORATION</t>
        </is>
      </c>
      <c r="Z8" s="96" t="inlineStr">
        <is>
          <t>AO SHIPPING TRANSPORT CORPORATION</t>
        </is>
      </c>
      <c r="AA8" s="97" t="n">
        <v>5923.5</v>
      </c>
      <c r="AB8" s="96" t="inlineStr">
        <is>
          <t>BKK02</t>
        </is>
      </c>
      <c r="AC8" s="96" t="inlineStr">
        <is>
          <t>SGN03</t>
        </is>
      </c>
    </row>
    <row r="9" ht="12" customHeight="1">
      <c r="A9" s="96" t="inlineStr">
        <is>
          <t>SKHU6506535</t>
        </is>
      </c>
      <c r="B9" s="161" t="inlineStr">
        <is>
          <t>2026-10-22</t>
        </is>
      </c>
      <c r="C9" s="96" t="inlineStr">
        <is>
          <t>SWAL</t>
        </is>
      </c>
      <c r="D9" s="96" t="inlineStr">
        <is>
          <t>2609N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KRPUS</t>
        </is>
      </c>
      <c r="J9" s="96" t="inlineStr">
        <is>
          <t>JPTKS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BKK02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HASLS22260900821</t>
        </is>
      </c>
      <c r="R9" s="96" t="inlineStr">
        <is>
          <t>Y</t>
        </is>
      </c>
      <c r="S9" s="96" t="inlineStr">
        <is>
          <t>N</t>
        </is>
      </c>
      <c r="T9" s="96" t="inlineStr">
        <is>
          <t>KST</t>
        </is>
      </c>
      <c r="U9" s="97" t="n"/>
      <c r="V9" s="96" t="inlineStr">
        <is>
          <t>K0120023</t>
        </is>
      </c>
      <c r="W9" s="96" t="inlineStr">
        <is>
          <t>YONGSUWAT TRADING CO., LTD.</t>
        </is>
      </c>
      <c r="X9" s="96" t="inlineStr">
        <is>
          <t>VFD</t>
        </is>
      </c>
      <c r="Y9" s="96" t="inlineStr">
        <is>
          <t>VOX TRADING CO., LTD.</t>
        </is>
      </c>
      <c r="Z9" s="96" t="inlineStr">
        <is>
          <t>VOX TRADING CO., LTD.</t>
        </is>
      </c>
      <c r="AA9" s="97" t="n">
        <v>24080</v>
      </c>
      <c r="AB9" s="96" t="inlineStr">
        <is>
          <t>BKK02</t>
        </is>
      </c>
      <c r="AC9" s="96" t="inlineStr">
        <is>
          <t>TKS02</t>
        </is>
      </c>
    </row>
    <row r="10" ht="12" customHeight="1">
      <c r="A10" s="96" t="inlineStr">
        <is>
          <t>SKHU6538548</t>
        </is>
      </c>
      <c r="B10" s="161" t="inlineStr">
        <is>
          <t>2026-10-22</t>
        </is>
      </c>
      <c r="C10" s="96" t="inlineStr">
        <is>
          <t>SWAL</t>
        </is>
      </c>
      <c r="D10" s="96" t="inlineStr">
        <is>
          <t>2609N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KRPUS</t>
        </is>
      </c>
      <c r="J10" s="96" t="inlineStr">
        <is>
          <t>JPTOS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BKK02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HASLS22260900823</t>
        </is>
      </c>
      <c r="R10" s="96" t="inlineStr">
        <is>
          <t>Y</t>
        </is>
      </c>
      <c r="S10" s="96" t="inlineStr">
        <is>
          <t>N</t>
        </is>
      </c>
      <c r="T10" s="96" t="inlineStr">
        <is>
          <t>KST</t>
        </is>
      </c>
      <c r="U10" s="97" t="n"/>
      <c r="V10" s="96" t="inlineStr">
        <is>
          <t>K0120023</t>
        </is>
      </c>
      <c r="W10" s="96" t="inlineStr">
        <is>
          <t>YONGSUWAT TRADING CO., LTD.</t>
        </is>
      </c>
      <c r="X10" s="96" t="inlineStr">
        <is>
          <t>VFD</t>
        </is>
      </c>
      <c r="Y10" s="96" t="inlineStr">
        <is>
          <t>VOX TRADING CO., LTD.</t>
        </is>
      </c>
      <c r="Z10" s="96" t="inlineStr">
        <is>
          <t>VOX TRADING CO., LTD.</t>
        </is>
      </c>
      <c r="AA10" s="97" t="n">
        <v>24080</v>
      </c>
      <c r="AB10" s="96" t="inlineStr">
        <is>
          <t>BKK02</t>
        </is>
      </c>
      <c r="AC10" s="96" t="inlineStr">
        <is>
          <t>TOS01</t>
        </is>
      </c>
    </row>
    <row r="11" ht="12" customHeight="1">
      <c r="A11" s="96" t="inlineStr">
        <is>
          <t>SKHU6613364</t>
        </is>
      </c>
      <c r="B11" s="161" t="inlineStr">
        <is>
          <t>2026-10-22</t>
        </is>
      </c>
      <c r="C11" s="96" t="inlineStr">
        <is>
          <t>SWAL</t>
        </is>
      </c>
      <c r="D11" s="96" t="inlineStr">
        <is>
          <t>2609N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KRPUS</t>
        </is>
      </c>
      <c r="J11" s="96" t="inlineStr">
        <is>
          <t>JPTOS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BKK02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HASLS22260900823</t>
        </is>
      </c>
      <c r="R11" s="96" t="inlineStr">
        <is>
          <t>Y</t>
        </is>
      </c>
      <c r="S11" s="96" t="inlineStr">
        <is>
          <t>N</t>
        </is>
      </c>
      <c r="T11" s="96" t="inlineStr">
        <is>
          <t>KST</t>
        </is>
      </c>
      <c r="U11" s="97" t="n"/>
      <c r="V11" s="96" t="inlineStr">
        <is>
          <t>K0120023</t>
        </is>
      </c>
      <c r="W11" s="96" t="inlineStr">
        <is>
          <t>YONGSUWAT TRADING CO., LTD.</t>
        </is>
      </c>
      <c r="X11" s="96" t="inlineStr">
        <is>
          <t>VFD</t>
        </is>
      </c>
      <c r="Y11" s="96" t="inlineStr">
        <is>
          <t>VOX TRADING CO., LTD.</t>
        </is>
      </c>
      <c r="Z11" s="96" t="inlineStr">
        <is>
          <t>VOX TRADING CO., LTD.</t>
        </is>
      </c>
      <c r="AA11" s="97" t="n">
        <v>24080</v>
      </c>
      <c r="AB11" s="96" t="inlineStr">
        <is>
          <t>BKK02</t>
        </is>
      </c>
      <c r="AC11" s="96" t="inlineStr">
        <is>
          <t>TOS01</t>
        </is>
      </c>
    </row>
    <row r="12" ht="12" customHeight="1">
      <c r="A12" s="96" t="inlineStr">
        <is>
          <t>SKHU9110975</t>
        </is>
      </c>
      <c r="B12" s="161" t="inlineStr">
        <is>
          <t>2026-10-22</t>
        </is>
      </c>
      <c r="C12" s="96" t="inlineStr">
        <is>
          <t>SWAL</t>
        </is>
      </c>
      <c r="D12" s="96" t="inlineStr">
        <is>
          <t>2609N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VNSGN</t>
        </is>
      </c>
      <c r="J12" s="96" t="inlineStr">
        <is>
          <t>VNSGN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BKK02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HASLS22260901080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KST</t>
        </is>
      </c>
      <c r="U12" s="97" t="n"/>
      <c r="V12" s="96" t="inlineStr">
        <is>
          <t>K0120023</t>
        </is>
      </c>
      <c r="W12" s="96" t="inlineStr">
        <is>
          <t>EAST-LINK CORPORATION CO. , LTD.</t>
        </is>
      </c>
      <c r="X12" s="96" t="inlineStr">
        <is>
          <t>VFD</t>
        </is>
      </c>
      <c r="Y12" s="96" t="inlineStr">
        <is>
          <t>BEE LOGISTICS CORP - HANOI BRANCH</t>
        </is>
      </c>
      <c r="Z12" s="96" t="inlineStr">
        <is>
          <t>BEE LOGISTICS CORP - HANOI BRANCH</t>
        </is>
      </c>
      <c r="AA12" s="97" t="n">
        <v>2656.85</v>
      </c>
      <c r="AB12" s="96" t="inlineStr">
        <is>
          <t>BKK02</t>
        </is>
      </c>
      <c r="AC12" s="96" t="inlineStr">
        <is>
          <t>SGN03</t>
        </is>
      </c>
    </row>
    <row r="13" ht="12" customHeight="1">
      <c r="A13" s="96" t="inlineStr">
        <is>
          <t>SKHU9107863</t>
        </is>
      </c>
      <c r="B13" s="161" t="inlineStr">
        <is>
          <t>2026-10-22</t>
        </is>
      </c>
      <c r="C13" s="96" t="inlineStr">
        <is>
          <t>SWAL</t>
        </is>
      </c>
      <c r="D13" s="96" t="inlineStr">
        <is>
          <t>2609N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BKK02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HASLS22260902280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KST</t>
        </is>
      </c>
      <c r="U13" s="97" t="n"/>
      <c r="V13" s="96" t="inlineStr">
        <is>
          <t>K0120023</t>
        </is>
      </c>
      <c r="W13" s="96" t="inlineStr">
        <is>
          <t>DIGITAL TRANSPORT SYSTEM CO.,LTD</t>
        </is>
      </c>
      <c r="X13" s="96" t="inlineStr">
        <is>
          <t>VFD</t>
        </is>
      </c>
      <c r="Y13" s="96" t="inlineStr">
        <is>
          <t>ORIENT DRAGON FREIGHT CO., LTD</t>
        </is>
      </c>
      <c r="Z13" s="96" t="inlineStr">
        <is>
          <t>ORIENT DRAGON FREIGHT CO., LTD</t>
        </is>
      </c>
      <c r="AA13" s="97" t="n">
        <v>3836</v>
      </c>
      <c r="AB13" s="96" t="inlineStr">
        <is>
          <t>BKK02</t>
        </is>
      </c>
      <c r="AC13" s="96" t="inlineStr">
        <is>
          <t>SGN03</t>
        </is>
      </c>
    </row>
    <row r="14" ht="12" customHeight="1">
      <c r="A14" s="96" t="inlineStr">
        <is>
          <t>SKHU6540099</t>
        </is>
      </c>
      <c r="B14" s="161" t="inlineStr">
        <is>
          <t>2026-10-22</t>
        </is>
      </c>
      <c r="C14" s="96" t="inlineStr">
        <is>
          <t>SWAL</t>
        </is>
      </c>
      <c r="D14" s="96" t="inlineStr">
        <is>
          <t>2609N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BKK02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HASLS22261000265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KST</t>
        </is>
      </c>
      <c r="U14" s="97" t="n"/>
      <c r="V14" s="96" t="inlineStr">
        <is>
          <t>K0120023</t>
        </is>
      </c>
      <c r="W14" s="96" t="inlineStr">
        <is>
          <t>ALLIANZ GLOBAL LOGISTICS CO.,LTD.</t>
        </is>
      </c>
      <c r="X14" s="96" t="inlineStr">
        <is>
          <t>VFD</t>
        </is>
      </c>
      <c r="Y14" s="96" t="inlineStr">
        <is>
          <t>DOLPHIN SEA AIR SERVICES</t>
        </is>
      </c>
      <c r="Z14" s="96" t="inlineStr">
        <is>
          <t>DOLPHIN SEA AIR SERVICES</t>
        </is>
      </c>
      <c r="AA14" s="97" t="n">
        <v>17203.2</v>
      </c>
      <c r="AB14" s="96" t="inlineStr">
        <is>
          <t>BKK02</t>
        </is>
      </c>
      <c r="AC14" s="96" t="inlineStr">
        <is>
          <t>SGN03</t>
        </is>
      </c>
    </row>
    <row r="15" ht="12" customHeight="1">
      <c r="A15" s="96" t="inlineStr">
        <is>
          <t>GCXU5997475</t>
        </is>
      </c>
      <c r="B15" s="161" t="inlineStr">
        <is>
          <t>2026-10-22</t>
        </is>
      </c>
      <c r="C15" s="96" t="inlineStr">
        <is>
          <t>SWAL</t>
        </is>
      </c>
      <c r="D15" s="96" t="inlineStr">
        <is>
          <t>2609N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KRINC</t>
        </is>
      </c>
      <c r="J15" s="96" t="inlineStr">
        <is>
          <t>KRINC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BKK02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HASLS22260901978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KST</t>
        </is>
      </c>
      <c r="U15" s="97" t="n"/>
      <c r="V15" s="96" t="inlineStr">
        <is>
          <t>K0120023</t>
        </is>
      </c>
      <c r="W15" s="96" t="inlineStr">
        <is>
          <t>WORLDNET EXPRESS CO.,LTD.</t>
        </is>
      </c>
      <c r="X15" s="96" t="inlineStr">
        <is>
          <t>VFD</t>
        </is>
      </c>
      <c r="Y15" s="96" t="inlineStr">
        <is>
          <t>WORLD NET LOGISTICS(KOREA) CO.,LTD.</t>
        </is>
      </c>
      <c r="Z15" s="96" t="inlineStr">
        <is>
          <t>WORLD NET LOGISTICS(KOREA) CO.,LTD.</t>
        </is>
      </c>
      <c r="AA15" s="97" t="n">
        <v>9072</v>
      </c>
      <c r="AB15" s="96" t="inlineStr">
        <is>
          <t>BKK02</t>
        </is>
      </c>
      <c r="AC15" s="96" t="inlineStr">
        <is>
          <t>INC07</t>
        </is>
      </c>
    </row>
    <row r="16" ht="12" customHeight="1">
      <c r="A16" s="96" t="inlineStr">
        <is>
          <t>SKHU6612671</t>
        </is>
      </c>
      <c r="B16" s="161" t="inlineStr">
        <is>
          <t>2026-10-22</t>
        </is>
      </c>
      <c r="C16" s="96" t="inlineStr">
        <is>
          <t>SWAL</t>
        </is>
      </c>
      <c r="D16" s="96" t="inlineStr">
        <is>
          <t>2609N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BKK02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HASLS22261000265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KST</t>
        </is>
      </c>
      <c r="U16" s="97" t="n"/>
      <c r="V16" s="96" t="inlineStr">
        <is>
          <t>K0120023</t>
        </is>
      </c>
      <c r="W16" s="96" t="inlineStr">
        <is>
          <t>ALLIANZ GLOBAL LOGISTICS CO.,LTD.</t>
        </is>
      </c>
      <c r="X16" s="96" t="inlineStr">
        <is>
          <t>VFD</t>
        </is>
      </c>
      <c r="Y16" s="96" t="inlineStr">
        <is>
          <t>DOLPHIN SEA AIR SERVICES</t>
        </is>
      </c>
      <c r="Z16" s="96" t="inlineStr">
        <is>
          <t>DOLPHIN SEA AIR SERVICES</t>
        </is>
      </c>
      <c r="AA16" s="97" t="n">
        <v>17203.2</v>
      </c>
      <c r="AB16" s="96" t="inlineStr">
        <is>
          <t>BKK02</t>
        </is>
      </c>
      <c r="AC16" s="96" t="inlineStr">
        <is>
          <t>SGN03</t>
        </is>
      </c>
    </row>
    <row r="17" ht="12" customHeight="1">
      <c r="A17" s="96" t="inlineStr">
        <is>
          <t>SKHU8433612</t>
        </is>
      </c>
      <c r="B17" s="161" t="inlineStr">
        <is>
          <t>2026-10-22</t>
        </is>
      </c>
      <c r="C17" s="96" t="inlineStr">
        <is>
          <t>SWAL</t>
        </is>
      </c>
      <c r="D17" s="96" t="inlineStr">
        <is>
          <t>2609N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BKK02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HASLS22260902444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KST</t>
        </is>
      </c>
      <c r="U17" s="97" t="n"/>
      <c r="V17" s="96" t="inlineStr">
        <is>
          <t>K0120023</t>
        </is>
      </c>
      <c r="W17" s="96" t="inlineStr">
        <is>
          <t>CAPRICORN LOGISTICS CO.,LTD.</t>
        </is>
      </c>
      <c r="X17" s="96" t="inlineStr">
        <is>
          <t>VFD</t>
        </is>
      </c>
      <c r="Y17" s="96" t="inlineStr">
        <is>
          <t>GIA NGUYEN INT'L LOGISTICS CO., LTD</t>
        </is>
      </c>
      <c r="Z17" s="96" t="inlineStr">
        <is>
          <t>GIA NGUYEN INT'L LOGISTICS CO., LTD</t>
        </is>
      </c>
      <c r="AA17" s="97" t="n">
        <v>5463.56</v>
      </c>
      <c r="AB17" s="96" t="inlineStr">
        <is>
          <t>BKK02</t>
        </is>
      </c>
      <c r="AC17" s="96" t="inlineStr">
        <is>
          <t>SGN03</t>
        </is>
      </c>
    </row>
    <row r="18" ht="12" customHeight="1">
      <c r="A18" s="96" t="inlineStr">
        <is>
          <t>SKHU9540791</t>
        </is>
      </c>
      <c r="B18" s="161" t="inlineStr">
        <is>
          <t>2026-10-22</t>
        </is>
      </c>
      <c r="C18" s="96" t="inlineStr">
        <is>
          <t>SWAL</t>
        </is>
      </c>
      <c r="D18" s="96" t="inlineStr">
        <is>
          <t>2609N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VNSGN</t>
        </is>
      </c>
      <c r="J18" s="96" t="inlineStr">
        <is>
          <t>VNSGN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BKK02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HASLS22260902444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KST</t>
        </is>
      </c>
      <c r="U18" s="97" t="n"/>
      <c r="V18" s="96" t="inlineStr">
        <is>
          <t>K0120023</t>
        </is>
      </c>
      <c r="W18" s="96" t="inlineStr">
        <is>
          <t>CAPRICORN LOGISTICS CO.,LTD.</t>
        </is>
      </c>
      <c r="X18" s="96" t="inlineStr">
        <is>
          <t>VFD</t>
        </is>
      </c>
      <c r="Y18" s="96" t="inlineStr">
        <is>
          <t>GIA NGUYEN INT'L LOGISTICS CO., LTD</t>
        </is>
      </c>
      <c r="Z18" s="96" t="inlineStr">
        <is>
          <t>GIA NGUYEN INT'L LOGISTICS CO., LTD</t>
        </is>
      </c>
      <c r="AA18" s="97" t="n">
        <v>5463.56</v>
      </c>
      <c r="AB18" s="96" t="inlineStr">
        <is>
          <t>BKK02</t>
        </is>
      </c>
      <c r="AC18" s="96" t="inlineStr">
        <is>
          <t>SGN03</t>
        </is>
      </c>
    </row>
    <row r="19" ht="12" customHeight="1">
      <c r="A19" s="96" t="inlineStr">
        <is>
          <t>SKHU9622035</t>
        </is>
      </c>
      <c r="B19" s="161" t="inlineStr">
        <is>
          <t>2026-10-22</t>
        </is>
      </c>
      <c r="C19" s="96" t="inlineStr">
        <is>
          <t>SWAL</t>
        </is>
      </c>
      <c r="D19" s="96" t="inlineStr">
        <is>
          <t>2609N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BKK02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HASLS22260902444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KST</t>
        </is>
      </c>
      <c r="U19" s="97" t="n"/>
      <c r="V19" s="96" t="inlineStr">
        <is>
          <t>K0120023</t>
        </is>
      </c>
      <c r="W19" s="96" t="inlineStr">
        <is>
          <t>CAPRICORN LOGISTICS CO.,LTD.</t>
        </is>
      </c>
      <c r="X19" s="96" t="inlineStr">
        <is>
          <t>VFD</t>
        </is>
      </c>
      <c r="Y19" s="96" t="inlineStr">
        <is>
          <t>GIA NGUYEN INT'L LOGISTICS CO., LTD</t>
        </is>
      </c>
      <c r="Z19" s="96" t="inlineStr">
        <is>
          <t>GIA NGUYEN INT'L LOGISTICS CO., LTD</t>
        </is>
      </c>
      <c r="AA19" s="97" t="n">
        <v>5463.56</v>
      </c>
      <c r="AB19" s="96" t="inlineStr">
        <is>
          <t>BKK02</t>
        </is>
      </c>
      <c r="AC19" s="96" t="inlineStr">
        <is>
          <t>SGN03</t>
        </is>
      </c>
    </row>
    <row r="20" ht="12" customHeight="1">
      <c r="A20" s="96" t="inlineStr">
        <is>
          <t>FDCU0245256</t>
        </is>
      </c>
      <c r="B20" s="161" t="inlineStr">
        <is>
          <t>2026-10-22</t>
        </is>
      </c>
      <c r="C20" s="96" t="inlineStr">
        <is>
          <t>SWAL</t>
        </is>
      </c>
      <c r="D20" s="96" t="inlineStr">
        <is>
          <t>2609N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BKK02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HASLS22261000779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KST</t>
        </is>
      </c>
      <c r="U20" s="97" t="n"/>
      <c r="V20" s="96" t="inlineStr">
        <is>
          <t>K0120023</t>
        </is>
      </c>
      <c r="W20" s="96" t="inlineStr">
        <is>
          <t>TOSHIBA LOGISTICS (THAILAND)</t>
        </is>
      </c>
      <c r="X20" s="96" t="inlineStr">
        <is>
          <t>VFD</t>
        </is>
      </c>
      <c r="Y20" s="96" t="inlineStr">
        <is>
          <t>TOSHIBA LOGISTICS VIETNAM CO.,LTD.</t>
        </is>
      </c>
      <c r="Z20" s="96" t="inlineStr">
        <is>
          <t>TOSHIBA LOGISTICS VIETNAM CO.,LTD.</t>
        </is>
      </c>
      <c r="AA20" s="97" t="n">
        <v>7872</v>
      </c>
      <c r="AB20" s="96" t="inlineStr">
        <is>
          <t>BKK02</t>
        </is>
      </c>
      <c r="AC20" s="96" t="inlineStr">
        <is>
          <t>SGN03</t>
        </is>
      </c>
    </row>
    <row r="21" ht="12" customHeight="1">
      <c r="A21" s="96" t="inlineStr">
        <is>
          <t>SKHU6401283</t>
        </is>
      </c>
      <c r="B21" s="161" t="inlineStr">
        <is>
          <t>2026-10-22</t>
        </is>
      </c>
      <c r="C21" s="96" t="inlineStr">
        <is>
          <t>SWAL</t>
        </is>
      </c>
      <c r="D21" s="96" t="inlineStr">
        <is>
          <t>2609N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BKK02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HASLS22260902439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KST</t>
        </is>
      </c>
      <c r="U21" s="97" t="n"/>
      <c r="V21" s="96" t="inlineStr">
        <is>
          <t>K0120023</t>
        </is>
      </c>
      <c r="W21" s="96" t="inlineStr">
        <is>
          <t>CAPRICORN LOGISTICS CO.,LTD.</t>
        </is>
      </c>
      <c r="X21" s="96" t="inlineStr">
        <is>
          <t>VFD</t>
        </is>
      </c>
      <c r="Y21" s="96" t="inlineStr">
        <is>
          <t>GIA NGUYEN INT'L LOGISTICS CO., LTD</t>
        </is>
      </c>
      <c r="Z21" s="96" t="inlineStr">
        <is>
          <t>GIA NGUYEN INT'L LOGISTICS CO., LTD</t>
        </is>
      </c>
      <c r="AA21" s="97" t="n">
        <v>5463.56</v>
      </c>
      <c r="AB21" s="96" t="inlineStr">
        <is>
          <t>BKK02</t>
        </is>
      </c>
      <c r="AC21" s="96" t="inlineStr">
        <is>
          <t>SGN03</t>
        </is>
      </c>
    </row>
    <row r="22" ht="12" customHeight="1">
      <c r="A22" s="96" t="inlineStr">
        <is>
          <t>SKHU6528560</t>
        </is>
      </c>
      <c r="B22" s="161" t="inlineStr">
        <is>
          <t>2026-10-22</t>
        </is>
      </c>
      <c r="C22" s="96" t="inlineStr">
        <is>
          <t>SWAL</t>
        </is>
      </c>
      <c r="D22" s="96" t="inlineStr">
        <is>
          <t>2609N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VNSGN</t>
        </is>
      </c>
      <c r="J22" s="96" t="inlineStr">
        <is>
          <t>VNSGN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BKK02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HASLS22260902439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KST</t>
        </is>
      </c>
      <c r="U22" s="97" t="n"/>
      <c r="V22" s="96" t="inlineStr">
        <is>
          <t>K0120023</t>
        </is>
      </c>
      <c r="W22" s="96" t="inlineStr">
        <is>
          <t>CAPRICORN LOGISTICS CO.,LTD.</t>
        </is>
      </c>
      <c r="X22" s="96" t="inlineStr">
        <is>
          <t>VFD</t>
        </is>
      </c>
      <c r="Y22" s="96" t="inlineStr">
        <is>
          <t>GIA NGUYEN INT'L LOGISTICS CO., LTD</t>
        </is>
      </c>
      <c r="Z22" s="96" t="inlineStr">
        <is>
          <t>GIA NGUYEN INT'L LOGISTICS CO., LTD</t>
        </is>
      </c>
      <c r="AA22" s="97" t="n">
        <v>5463.56</v>
      </c>
      <c r="AB22" s="96" t="inlineStr">
        <is>
          <t>BKK02</t>
        </is>
      </c>
      <c r="AC22" s="96" t="inlineStr">
        <is>
          <t>SGN03</t>
        </is>
      </c>
    </row>
    <row r="23" ht="12" customHeight="1">
      <c r="A23" s="96" t="inlineStr">
        <is>
          <t>SKHU8101198</t>
        </is>
      </c>
      <c r="B23" s="161" t="inlineStr">
        <is>
          <t>2026-10-22</t>
        </is>
      </c>
      <c r="C23" s="96" t="inlineStr">
        <is>
          <t>SWAL</t>
        </is>
      </c>
      <c r="D23" s="96" t="inlineStr">
        <is>
          <t>2609N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BKK02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HASLS22260902439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KST</t>
        </is>
      </c>
      <c r="U23" s="97" t="n"/>
      <c r="V23" s="96" t="inlineStr">
        <is>
          <t>K0120023</t>
        </is>
      </c>
      <c r="W23" s="96" t="inlineStr">
        <is>
          <t>CAPRICORN LOGISTICS CO.,LTD.</t>
        </is>
      </c>
      <c r="X23" s="96" t="inlineStr">
        <is>
          <t>VFD</t>
        </is>
      </c>
      <c r="Y23" s="96" t="inlineStr">
        <is>
          <t>GIA NGUYEN INT'L LOGISTICS CO., LTD</t>
        </is>
      </c>
      <c r="Z23" s="96" t="inlineStr">
        <is>
          <t>GIA NGUYEN INT'L LOGISTICS CO., LTD</t>
        </is>
      </c>
      <c r="AA23" s="97" t="n">
        <v>5463.56</v>
      </c>
      <c r="AB23" s="96" t="inlineStr">
        <is>
          <t>BKK02</t>
        </is>
      </c>
      <c r="AC23" s="96" t="inlineStr">
        <is>
          <t>SGN03</t>
        </is>
      </c>
    </row>
    <row r="24" ht="12" customHeight="1">
      <c r="A24" s="96" t="inlineStr">
        <is>
          <t>SEGU9785737</t>
        </is>
      </c>
      <c r="B24" s="161" t="inlineStr">
        <is>
          <t>2026-10-22</t>
        </is>
      </c>
      <c r="C24" s="96" t="inlineStr">
        <is>
          <t>SWAL</t>
        </is>
      </c>
      <c r="D24" s="96" t="inlineStr">
        <is>
          <t>2609N</t>
        </is>
      </c>
      <c r="E24" s="96" t="inlineStr">
        <is>
          <t>45RE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KRINC</t>
        </is>
      </c>
      <c r="J24" s="96" t="inlineStr">
        <is>
          <t>KRINC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BKK02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HASLS22261000499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KST</t>
        </is>
      </c>
      <c r="U24" s="97" t="n"/>
      <c r="V24" s="96" t="inlineStr">
        <is>
          <t>K0120025</t>
        </is>
      </c>
      <c r="W24" s="96" t="inlineStr">
        <is>
          <t>SAHA FARMS INTERNATIONAL CO.,LTD.</t>
        </is>
      </c>
      <c r="X24" s="96" t="inlineStr">
        <is>
          <t>VFD</t>
        </is>
      </c>
      <c r="Y24" s="96" t="inlineStr">
        <is>
          <t>SASE CO.,LTD.</t>
        </is>
      </c>
      <c r="Z24" s="96" t="inlineStr">
        <is>
          <t>SASE CO.,LTD.</t>
        </is>
      </c>
      <c r="AA24" s="97" t="n">
        <v>19666.5</v>
      </c>
      <c r="AB24" s="96" t="inlineStr">
        <is>
          <t>BKK02</t>
        </is>
      </c>
      <c r="AC24" s="96" t="inlineStr">
        <is>
          <t>INC07</t>
        </is>
      </c>
    </row>
    <row r="25" ht="12" customHeight="1">
      <c r="A25" s="96" t="inlineStr">
        <is>
          <t>SKLU2409710</t>
        </is>
      </c>
      <c r="B25" s="161" t="inlineStr">
        <is>
          <t>2026-10-22</t>
        </is>
      </c>
      <c r="C25" s="96" t="inlineStr">
        <is>
          <t>SWAL</t>
        </is>
      </c>
      <c r="D25" s="96" t="inlineStr">
        <is>
          <t>2609N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BKK02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HASLS22260901654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KST</t>
        </is>
      </c>
      <c r="U25" s="97" t="n"/>
      <c r="V25" s="96" t="inlineStr">
        <is>
          <t>K0120021</t>
        </is>
      </c>
      <c r="W25" s="96" t="inlineStr">
        <is>
          <t>EXPEDITORS THAILAND LTD.</t>
        </is>
      </c>
      <c r="X25" s="96" t="inlineStr">
        <is>
          <t>VFD</t>
        </is>
      </c>
      <c r="Y25" s="96" t="inlineStr">
        <is>
          <t>EXPEDITORS VIETNAM COMPANY LIMITED</t>
        </is>
      </c>
      <c r="Z25" s="96" t="inlineStr">
        <is>
          <t>EXPEDITORS VIETNAM COMPANY LIMITED</t>
        </is>
      </c>
      <c r="AA25" s="97" t="n">
        <v>25150</v>
      </c>
      <c r="AB25" s="96" t="inlineStr">
        <is>
          <t>BKK02</t>
        </is>
      </c>
      <c r="AC25" s="96" t="inlineStr">
        <is>
          <t>SGN03</t>
        </is>
      </c>
    </row>
    <row r="26" ht="12" customHeight="1">
      <c r="A26" s="96" t="inlineStr">
        <is>
          <t>SKLU0563412</t>
        </is>
      </c>
      <c r="B26" s="161" t="inlineStr">
        <is>
          <t>2026-10-22</t>
        </is>
      </c>
      <c r="C26" s="96" t="inlineStr">
        <is>
          <t>SWAL</t>
        </is>
      </c>
      <c r="D26" s="96" t="inlineStr">
        <is>
          <t>2609N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VNSGN</t>
        </is>
      </c>
      <c r="J26" s="96" t="inlineStr">
        <is>
          <t>VNSGN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BKK02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HASLS22260902497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KST</t>
        </is>
      </c>
      <c r="U26" s="97" t="n"/>
      <c r="V26" s="96" t="inlineStr">
        <is>
          <t>K0120021</t>
        </is>
      </c>
      <c r="W26" s="96" t="inlineStr">
        <is>
          <t>PACIFIC STAR ALLIANCE CO.,LTD.</t>
        </is>
      </c>
      <c r="X26" s="96" t="inlineStr">
        <is>
          <t>VFD</t>
        </is>
      </c>
      <c r="Y26" s="96" t="inlineStr">
        <is>
          <t>SCT LOGISTICS JOINT STOCK COMPANY</t>
        </is>
      </c>
      <c r="Z26" s="96" t="inlineStr">
        <is>
          <t>SCT LOGISTICS JOINT STOCK COMPANY</t>
        </is>
      </c>
      <c r="AA26" s="97" t="n">
        <v>6336.1</v>
      </c>
      <c r="AB26" s="96" t="inlineStr">
        <is>
          <t>BKK02</t>
        </is>
      </c>
      <c r="AC26" s="96" t="inlineStr">
        <is>
          <t>SGN03</t>
        </is>
      </c>
    </row>
    <row r="27" ht="12" customHeight="1">
      <c r="A27" s="96" t="inlineStr">
        <is>
          <t>SKLU1667704</t>
        </is>
      </c>
      <c r="B27" s="161" t="inlineStr">
        <is>
          <t>2026-10-22</t>
        </is>
      </c>
      <c r="C27" s="96" t="inlineStr">
        <is>
          <t>SWAL</t>
        </is>
      </c>
      <c r="D27" s="96" t="inlineStr">
        <is>
          <t>2609N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KRINC</t>
        </is>
      </c>
      <c r="J27" s="96" t="inlineStr">
        <is>
          <t>KRINC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BKK02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HASLS22260801065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KST</t>
        </is>
      </c>
      <c r="U27" s="97" t="n"/>
      <c r="V27" s="96" t="inlineStr">
        <is>
          <t>K0120021</t>
        </is>
      </c>
      <c r="W27" s="96" t="inlineStr">
        <is>
          <t>KORCHINA FREIGHT(THAILAND)CO.,LTD.</t>
        </is>
      </c>
      <c r="X27" s="96" t="inlineStr">
        <is>
          <t>VFD</t>
        </is>
      </c>
      <c r="Y27" s="96" t="inlineStr">
        <is>
          <t>PARKS WAY CO.,LTD.</t>
        </is>
      </c>
      <c r="Z27" s="96" t="inlineStr">
        <is>
          <t>PARKS WAY CO.,LTD.</t>
        </is>
      </c>
      <c r="AA27" s="97" t="n">
        <v>20664</v>
      </c>
      <c r="AB27" s="96" t="inlineStr">
        <is>
          <t>BKK02</t>
        </is>
      </c>
      <c r="AC27" s="96" t="inlineStr">
        <is>
          <t>INC07</t>
        </is>
      </c>
    </row>
    <row r="28" ht="12" customHeight="1">
      <c r="A28" s="96" t="inlineStr">
        <is>
          <t>SKLU2349755</t>
        </is>
      </c>
      <c r="B28" s="161" t="inlineStr">
        <is>
          <t>2026-10-22</t>
        </is>
      </c>
      <c r="C28" s="96" t="inlineStr">
        <is>
          <t>SWAL</t>
        </is>
      </c>
      <c r="D28" s="96" t="inlineStr">
        <is>
          <t>2609N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KRINC</t>
        </is>
      </c>
      <c r="J28" s="96" t="inlineStr">
        <is>
          <t>KRINC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BKK02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HASLS22260801065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KST</t>
        </is>
      </c>
      <c r="U28" s="97" t="n"/>
      <c r="V28" s="96" t="inlineStr">
        <is>
          <t>K0120021</t>
        </is>
      </c>
      <c r="W28" s="96" t="inlineStr">
        <is>
          <t>KORCHINA FREIGHT(THAILAND)CO.,LTD.</t>
        </is>
      </c>
      <c r="X28" s="96" t="inlineStr">
        <is>
          <t>VFD</t>
        </is>
      </c>
      <c r="Y28" s="96" t="inlineStr">
        <is>
          <t>PARKS WAY CO.,LTD.</t>
        </is>
      </c>
      <c r="Z28" s="96" t="inlineStr">
        <is>
          <t>PARKS WAY CO.,LTD.</t>
        </is>
      </c>
      <c r="AA28" s="97" t="n">
        <v>20664</v>
      </c>
      <c r="AB28" s="96" t="inlineStr">
        <is>
          <t>BKK02</t>
        </is>
      </c>
      <c r="AC28" s="96" t="inlineStr">
        <is>
          <t>INC07</t>
        </is>
      </c>
    </row>
    <row r="29" ht="12" customHeight="1">
      <c r="A29" s="96" t="inlineStr">
        <is>
          <t>SKLU2488642</t>
        </is>
      </c>
      <c r="B29" s="161" t="inlineStr">
        <is>
          <t>2026-10-22</t>
        </is>
      </c>
      <c r="C29" s="96" t="inlineStr">
        <is>
          <t>SWAL</t>
        </is>
      </c>
      <c r="D29" s="96" t="inlineStr">
        <is>
          <t>2609N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KRINC</t>
        </is>
      </c>
      <c r="J29" s="96" t="inlineStr">
        <is>
          <t>KRINC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BKK02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HASLS22261001072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KST</t>
        </is>
      </c>
      <c r="U29" s="97" t="n"/>
      <c r="V29" s="96" t="inlineStr">
        <is>
          <t>K0120021</t>
        </is>
      </c>
      <c r="W29" s="96" t="inlineStr">
        <is>
          <t>MAC-NELS SHIPPING (THAILAND) LTD.</t>
        </is>
      </c>
      <c r="X29" s="96" t="inlineStr">
        <is>
          <t>VED</t>
        </is>
      </c>
      <c r="Y29" s="96" t="inlineStr">
        <is>
          <t>MNCL LINE CO.,LTD (BUSAN OFFICE)</t>
        </is>
      </c>
      <c r="Z29" s="96" t="inlineStr">
        <is>
          <t>MNCL LINE CO.,LTD (BUSAN OFFICE)</t>
        </is>
      </c>
      <c r="AA29" s="97" t="n">
        <v>2436</v>
      </c>
      <c r="AB29" s="96" t="inlineStr">
        <is>
          <t>BKK02</t>
        </is>
      </c>
      <c r="AC29" s="96" t="inlineStr">
        <is>
          <t>INC07</t>
        </is>
      </c>
    </row>
    <row r="30" ht="12" customHeight="1">
      <c r="A30" s="96" t="inlineStr">
        <is>
          <t>SKLU2308592</t>
        </is>
      </c>
      <c r="B30" s="161" t="inlineStr">
        <is>
          <t>2026-10-22</t>
        </is>
      </c>
      <c r="C30" s="96" t="inlineStr">
        <is>
          <t>SWAL</t>
        </is>
      </c>
      <c r="D30" s="96" t="inlineStr">
        <is>
          <t>2609N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VNSGN</t>
        </is>
      </c>
      <c r="J30" s="96" t="inlineStr">
        <is>
          <t>VNSGN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BKK02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HASLS22260902836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KST</t>
        </is>
      </c>
      <c r="U30" s="97" t="n"/>
      <c r="V30" s="96" t="inlineStr">
        <is>
          <t>K0120021</t>
        </is>
      </c>
      <c r="W30" s="96" t="inlineStr">
        <is>
          <t>O.S. WAX TRADING CO., LTD.</t>
        </is>
      </c>
      <c r="X30" s="96" t="inlineStr">
        <is>
          <t>VFD</t>
        </is>
      </c>
      <c r="Y30" s="96" t="inlineStr">
        <is>
          <t>VRG DONGWHA MDF JOINT STOCK COMPANY</t>
        </is>
      </c>
      <c r="Z30" s="96" t="inlineStr">
        <is>
          <t>EXCELUBE MARKETING SDN BHD</t>
        </is>
      </c>
      <c r="AA30" s="97" t="n">
        <v>21030</v>
      </c>
      <c r="AB30" s="96" t="inlineStr">
        <is>
          <t>BKK02</t>
        </is>
      </c>
      <c r="AC30" s="96" t="inlineStr">
        <is>
          <t>SGN03</t>
        </is>
      </c>
    </row>
    <row r="31" ht="12" customHeight="1">
      <c r="A31" s="96" t="inlineStr">
        <is>
          <t>SKLU2018839</t>
        </is>
      </c>
      <c r="B31" s="161" t="inlineStr">
        <is>
          <t>2026-10-22</t>
        </is>
      </c>
      <c r="C31" s="96" t="inlineStr">
        <is>
          <t>SWAL</t>
        </is>
      </c>
      <c r="D31" s="96" t="inlineStr">
        <is>
          <t>2609N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KRINC</t>
        </is>
      </c>
      <c r="J31" s="96" t="inlineStr">
        <is>
          <t>KRINC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BKK02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HASLS22260902611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KST</t>
        </is>
      </c>
      <c r="U31" s="97" t="n"/>
      <c r="V31" s="96" t="inlineStr">
        <is>
          <t>K0120021</t>
        </is>
      </c>
      <c r="W31" s="96" t="inlineStr">
        <is>
          <t>CELESTIAL XPRESS LOGISTICS</t>
        </is>
      </c>
      <c r="X31" s="96" t="inlineStr">
        <is>
          <t>VFD</t>
        </is>
      </c>
      <c r="Y31" s="96" t="inlineStr">
        <is>
          <t>BEL SHIPPING CO., LTD.</t>
        </is>
      </c>
      <c r="Z31" s="96" t="inlineStr">
        <is>
          <t>BEL SHIPPING CO., LTD.</t>
        </is>
      </c>
      <c r="AA31" s="97" t="n">
        <v>16236</v>
      </c>
      <c r="AB31" s="96" t="inlineStr">
        <is>
          <t>BKK02</t>
        </is>
      </c>
      <c r="AC31" s="96" t="inlineStr">
        <is>
          <t>INC07</t>
        </is>
      </c>
    </row>
    <row r="32" ht="12" customHeight="1">
      <c r="A32" s="96" t="inlineStr">
        <is>
          <t>SKLU1904956</t>
        </is>
      </c>
      <c r="B32" s="161" t="inlineStr">
        <is>
          <t>2026-10-22</t>
        </is>
      </c>
      <c r="C32" s="96" t="inlineStr">
        <is>
          <t>SWAL</t>
        </is>
      </c>
      <c r="D32" s="96" t="inlineStr">
        <is>
          <t>2609N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BKK02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HASLS22260902347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KST</t>
        </is>
      </c>
      <c r="U32" s="97" t="n"/>
      <c r="V32" s="96" t="inlineStr">
        <is>
          <t>K0120021</t>
        </is>
      </c>
      <c r="W32" s="96" t="inlineStr">
        <is>
          <t>DIMERCO EXPRESS (THAILAND) CO.,LTD.</t>
        </is>
      </c>
      <c r="X32" s="96" t="inlineStr">
        <is>
          <t>VFD</t>
        </is>
      </c>
      <c r="Y32" s="96" t="inlineStr">
        <is>
          <t>DIMERCO EXPRESS (VIETNAM) CO., LTD</t>
        </is>
      </c>
      <c r="Z32" s="96" t="inlineStr">
        <is>
          <t>DIMERCO EXPRESS (VIETNAM) CO., LTD</t>
        </is>
      </c>
      <c r="AA32" s="97" t="n">
        <v>4217.45</v>
      </c>
      <c r="AB32" s="96" t="inlineStr">
        <is>
          <t>BKK02</t>
        </is>
      </c>
      <c r="AC32" s="96" t="inlineStr">
        <is>
          <t>SGN03</t>
        </is>
      </c>
    </row>
    <row r="33" ht="12" customHeight="1">
      <c r="A33" s="96" t="inlineStr">
        <is>
          <t>SKLU2408164</t>
        </is>
      </c>
      <c r="B33" s="161" t="inlineStr">
        <is>
          <t>2026-10-22</t>
        </is>
      </c>
      <c r="C33" s="96" t="inlineStr">
        <is>
          <t>SWAL</t>
        </is>
      </c>
      <c r="D33" s="96" t="inlineStr">
        <is>
          <t>2609N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BKK02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HASLS22260900541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KST</t>
        </is>
      </c>
      <c r="U33" s="97" t="n"/>
      <c r="V33" s="96" t="inlineStr">
        <is>
          <t>K0120021</t>
        </is>
      </c>
      <c r="W33" s="96" t="inlineStr">
        <is>
          <t>UENO FINE CHEMICALS INDUSTRY</t>
        </is>
      </c>
      <c r="X33" s="96" t="inlineStr">
        <is>
          <t>VFD</t>
        </is>
      </c>
      <c r="Y33" s="96" t="inlineStr">
        <is>
          <t>YAKULT VIETNAM CO.,LTD.</t>
        </is>
      </c>
      <c r="Z33" s="96" t="inlineStr">
        <is>
          <t>YAKULT VIETNAM CO.,LTD.</t>
        </is>
      </c>
      <c r="AA33" s="97" t="n">
        <v>20080</v>
      </c>
      <c r="AB33" s="96" t="inlineStr">
        <is>
          <t>BKK02</t>
        </is>
      </c>
      <c r="AC33" s="96" t="inlineStr">
        <is>
          <t>SGN03</t>
        </is>
      </c>
    </row>
    <row r="34" ht="12" customHeight="1">
      <c r="A34" s="96" t="inlineStr">
        <is>
          <t>SKLU3516190</t>
        </is>
      </c>
      <c r="B34" s="161" t="inlineStr">
        <is>
          <t>2026-10-22</t>
        </is>
      </c>
      <c r="C34" s="96" t="inlineStr">
        <is>
          <t>SWAL</t>
        </is>
      </c>
      <c r="D34" s="96" t="inlineStr">
        <is>
          <t>2609N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KRINC</t>
        </is>
      </c>
      <c r="J34" s="96" t="inlineStr">
        <is>
          <t>KRINC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BKK02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HASLS22260801065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KST</t>
        </is>
      </c>
      <c r="U34" s="97" t="n"/>
      <c r="V34" s="96" t="inlineStr">
        <is>
          <t>K0120021</t>
        </is>
      </c>
      <c r="W34" s="96" t="inlineStr">
        <is>
          <t>KORCHINA FREIGHT(THAILAND)CO.,LTD.</t>
        </is>
      </c>
      <c r="X34" s="96" t="inlineStr">
        <is>
          <t>VFD</t>
        </is>
      </c>
      <c r="Y34" s="96" t="inlineStr">
        <is>
          <t>PARKS WAY CO.,LTD.</t>
        </is>
      </c>
      <c r="Z34" s="96" t="inlineStr">
        <is>
          <t>PARKS WAY CO.,LTD.</t>
        </is>
      </c>
      <c r="AA34" s="97" t="n">
        <v>20664</v>
      </c>
      <c r="AB34" s="96" t="inlineStr">
        <is>
          <t>BKK02</t>
        </is>
      </c>
      <c r="AC34" s="96" t="inlineStr">
        <is>
          <t>INC07</t>
        </is>
      </c>
    </row>
    <row r="35" ht="12" customHeight="1">
      <c r="A35" s="96" t="inlineStr">
        <is>
          <t>SKLU1565359</t>
        </is>
      </c>
      <c r="B35" s="161" t="inlineStr">
        <is>
          <t>2026-10-22</t>
        </is>
      </c>
      <c r="C35" s="96" t="inlineStr">
        <is>
          <t>SWAL</t>
        </is>
      </c>
      <c r="D35" s="96" t="inlineStr">
        <is>
          <t>2609N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VNSGN</t>
        </is>
      </c>
      <c r="J35" s="96" t="inlineStr">
        <is>
          <t>VNSGN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BKK02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HASLS22261000779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KST</t>
        </is>
      </c>
      <c r="U35" s="97" t="n"/>
      <c r="V35" s="96" t="inlineStr">
        <is>
          <t>K0120021</t>
        </is>
      </c>
      <c r="W35" s="96" t="inlineStr">
        <is>
          <t>TOSHIBA LOGISTICS (THAILAND)</t>
        </is>
      </c>
      <c r="X35" s="96" t="inlineStr">
        <is>
          <t>VFD</t>
        </is>
      </c>
      <c r="Y35" s="96" t="inlineStr">
        <is>
          <t>TOSHIBA LOGISTICS VIETNAM CO.,LTD.</t>
        </is>
      </c>
      <c r="Z35" s="96" t="inlineStr">
        <is>
          <t>TOSHIBA LOGISTICS VIETNAM CO.,LTD.</t>
        </is>
      </c>
      <c r="AA35" s="97" t="n">
        <v>2880</v>
      </c>
      <c r="AB35" s="96" t="inlineStr">
        <is>
          <t>BKK02</t>
        </is>
      </c>
      <c r="AC35" s="96" t="inlineStr">
        <is>
          <t>SGN03</t>
        </is>
      </c>
    </row>
    <row r="36" ht="12" customHeight="1">
      <c r="A36" s="96" t="inlineStr">
        <is>
          <t>FCIU5641542</t>
        </is>
      </c>
      <c r="B36" s="161" t="inlineStr">
        <is>
          <t>2026-10-22</t>
        </is>
      </c>
      <c r="C36" s="96" t="inlineStr">
        <is>
          <t>SWAL</t>
        </is>
      </c>
      <c r="D36" s="96" t="inlineStr">
        <is>
          <t>2609N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BKK02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HASLS22260801961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KST</t>
        </is>
      </c>
      <c r="U36" s="97" t="n"/>
      <c r="V36" s="96" t="inlineStr">
        <is>
          <t>K0120021</t>
        </is>
      </c>
      <c r="W36" s="96" t="inlineStr">
        <is>
          <t>SCG INTERNATIONAL CORPORATION CO.,</t>
        </is>
      </c>
      <c r="X36" s="96" t="inlineStr">
        <is>
          <t>VFD</t>
        </is>
      </c>
      <c r="Y36" s="96" t="inlineStr">
        <is>
          <t>BUU LONG INDUSTRY AND INVESTMENT</t>
        </is>
      </c>
      <c r="Z36" s="96" t="inlineStr">
        <is>
          <t>BUU LONG INDUSTRY AND INVESTMENT</t>
        </is>
      </c>
      <c r="AA36" s="97" t="n">
        <v>25190</v>
      </c>
      <c r="AB36" s="96" t="inlineStr">
        <is>
          <t>BKK02</t>
        </is>
      </c>
      <c r="AC36" s="96" t="inlineStr">
        <is>
          <t>SGN03</t>
        </is>
      </c>
    </row>
    <row r="37" ht="12" customHeight="1">
      <c r="A37" s="96" t="inlineStr">
        <is>
          <t>SKLU2028396</t>
        </is>
      </c>
      <c r="B37" s="161" t="inlineStr">
        <is>
          <t>2026-10-22</t>
        </is>
      </c>
      <c r="C37" s="96" t="inlineStr">
        <is>
          <t>SWAL</t>
        </is>
      </c>
      <c r="D37" s="96" t="inlineStr">
        <is>
          <t>2609N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VNSGN</t>
        </is>
      </c>
      <c r="J37" s="96" t="inlineStr">
        <is>
          <t>VNSGN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BKK02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HASLS22260902006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KST</t>
        </is>
      </c>
      <c r="U37" s="97" t="n"/>
      <c r="V37" s="96" t="inlineStr">
        <is>
          <t>K0120021</t>
        </is>
      </c>
      <c r="W37" s="96" t="inlineStr">
        <is>
          <t>ROYAL CAN INDUSTRIES CO., LTD</t>
        </is>
      </c>
      <c r="X37" s="96" t="inlineStr">
        <is>
          <t>VFD</t>
        </is>
      </c>
      <c r="Y37" s="96" t="inlineStr">
        <is>
          <t>PATAYA  FOOD INDUSTRIES (VIETNAM)</t>
        </is>
      </c>
      <c r="Z37" s="96" t="inlineStr">
        <is>
          <t>PATAYA  FOOD INDUSTRIES (VIETNAM)</t>
        </is>
      </c>
      <c r="AA37" s="97" t="n">
        <v>5184</v>
      </c>
      <c r="AB37" s="96" t="inlineStr">
        <is>
          <t>BKK02</t>
        </is>
      </c>
      <c r="AC37" s="96" t="inlineStr">
        <is>
          <t>SGN03</t>
        </is>
      </c>
    </row>
    <row r="38" ht="12" customHeight="1">
      <c r="A38" s="96" t="inlineStr">
        <is>
          <t>SKLU0409454</t>
        </is>
      </c>
      <c r="B38" s="161" t="inlineStr">
        <is>
          <t>2026-10-22</t>
        </is>
      </c>
      <c r="C38" s="96" t="inlineStr">
        <is>
          <t>SWAL</t>
        </is>
      </c>
      <c r="D38" s="96" t="inlineStr">
        <is>
          <t>2609N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VNSGN</t>
        </is>
      </c>
      <c r="J38" s="96" t="inlineStr">
        <is>
          <t>VNSGN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BKK02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HASLS22260801961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KST</t>
        </is>
      </c>
      <c r="U38" s="97" t="n"/>
      <c r="V38" s="96" t="inlineStr">
        <is>
          <t>K0120021</t>
        </is>
      </c>
      <c r="W38" s="96" t="inlineStr">
        <is>
          <t>SCG INTERNATIONAL CORPORATION CO.,</t>
        </is>
      </c>
      <c r="X38" s="96" t="inlineStr">
        <is>
          <t>VFD</t>
        </is>
      </c>
      <c r="Y38" s="96" t="inlineStr">
        <is>
          <t>BUU LONG INDUSTRY AND INVESTMENT</t>
        </is>
      </c>
      <c r="Z38" s="96" t="inlineStr">
        <is>
          <t>BUU LONG INDUSTRY AND INVESTMENT</t>
        </is>
      </c>
      <c r="AA38" s="97" t="n">
        <v>25260</v>
      </c>
      <c r="AB38" s="96" t="inlineStr">
        <is>
          <t>BKK02</t>
        </is>
      </c>
      <c r="AC38" s="96" t="inlineStr">
        <is>
          <t>SGN03</t>
        </is>
      </c>
    </row>
    <row r="39" ht="12" customHeight="1">
      <c r="A39" s="96" t="inlineStr">
        <is>
          <t>SKLU1439598</t>
        </is>
      </c>
      <c r="B39" s="161" t="inlineStr">
        <is>
          <t>2026-10-22</t>
        </is>
      </c>
      <c r="C39" s="96" t="inlineStr">
        <is>
          <t>SWAL</t>
        </is>
      </c>
      <c r="D39" s="96" t="inlineStr">
        <is>
          <t>2609N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VNSGN</t>
        </is>
      </c>
      <c r="J39" s="96" t="inlineStr">
        <is>
          <t>VNSGN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BKK02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HASLS22260801961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KST</t>
        </is>
      </c>
      <c r="U39" s="97" t="n"/>
      <c r="V39" s="96" t="inlineStr">
        <is>
          <t>K0120021</t>
        </is>
      </c>
      <c r="W39" s="96" t="inlineStr">
        <is>
          <t>SCG INTERNATIONAL CORPORATION CO.,</t>
        </is>
      </c>
      <c r="X39" s="96" t="inlineStr">
        <is>
          <t>VFD</t>
        </is>
      </c>
      <c r="Y39" s="96" t="inlineStr">
        <is>
          <t>BUU LONG INDUSTRY AND INVESTMENT</t>
        </is>
      </c>
      <c r="Z39" s="96" t="inlineStr">
        <is>
          <t>BUU LONG INDUSTRY AND INVESTMENT</t>
        </is>
      </c>
      <c r="AA39" s="97" t="n">
        <v>25220</v>
      </c>
      <c r="AB39" s="96" t="inlineStr">
        <is>
          <t>BKK02</t>
        </is>
      </c>
      <c r="AC39" s="96" t="inlineStr">
        <is>
          <t>SGN03</t>
        </is>
      </c>
    </row>
    <row r="40" ht="12" customHeight="1">
      <c r="A40" s="96" t="inlineStr">
        <is>
          <t>SKLU1443387</t>
        </is>
      </c>
      <c r="B40" s="161" t="inlineStr">
        <is>
          <t>2026-10-22</t>
        </is>
      </c>
      <c r="C40" s="96" t="inlineStr">
        <is>
          <t>SWAL</t>
        </is>
      </c>
      <c r="D40" s="96" t="inlineStr">
        <is>
          <t>2609N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BKK02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HASLS22260801961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KST</t>
        </is>
      </c>
      <c r="U40" s="97" t="n"/>
      <c r="V40" s="96" t="inlineStr">
        <is>
          <t>K0120021</t>
        </is>
      </c>
      <c r="W40" s="96" t="inlineStr">
        <is>
          <t>SCG INTERNATIONAL CORPORATION CO.,</t>
        </is>
      </c>
      <c r="X40" s="96" t="inlineStr">
        <is>
          <t>VFD</t>
        </is>
      </c>
      <c r="Y40" s="96" t="inlineStr">
        <is>
          <t>BUU LONG INDUSTRY AND INVESTMENT</t>
        </is>
      </c>
      <c r="Z40" s="96" t="inlineStr">
        <is>
          <t>BUU LONG INDUSTRY AND INVESTMENT</t>
        </is>
      </c>
      <c r="AA40" s="97" t="n">
        <v>25230</v>
      </c>
      <c r="AB40" s="96" t="inlineStr">
        <is>
          <t>BKK02</t>
        </is>
      </c>
      <c r="AC40" s="96" t="inlineStr">
        <is>
          <t>SGN03</t>
        </is>
      </c>
    </row>
    <row r="41" ht="12" customHeight="1">
      <c r="A41" s="96" t="inlineStr">
        <is>
          <t>SKLU1570735</t>
        </is>
      </c>
      <c r="B41" s="161" t="inlineStr">
        <is>
          <t>2026-10-22</t>
        </is>
      </c>
      <c r="C41" s="96" t="inlineStr">
        <is>
          <t>SWAL</t>
        </is>
      </c>
      <c r="D41" s="96" t="inlineStr">
        <is>
          <t>2609N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VNSGN</t>
        </is>
      </c>
      <c r="J41" s="96" t="inlineStr">
        <is>
          <t>VNSGN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BKK02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HASLS22260801961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KST</t>
        </is>
      </c>
      <c r="U41" s="97" t="n"/>
      <c r="V41" s="96" t="inlineStr">
        <is>
          <t>K0120021</t>
        </is>
      </c>
      <c r="W41" s="96" t="inlineStr">
        <is>
          <t>SCG INTERNATIONAL CORPORATION CO.,</t>
        </is>
      </c>
      <c r="X41" s="96" t="inlineStr">
        <is>
          <t>VFD</t>
        </is>
      </c>
      <c r="Y41" s="96" t="inlineStr">
        <is>
          <t>BUU LONG INDUSTRY AND INVESTMENT</t>
        </is>
      </c>
      <c r="Z41" s="96" t="inlineStr">
        <is>
          <t>BUU LONG INDUSTRY AND INVESTMENT</t>
        </is>
      </c>
      <c r="AA41" s="97" t="n">
        <v>25320</v>
      </c>
      <c r="AB41" s="96" t="inlineStr">
        <is>
          <t>BKK02</t>
        </is>
      </c>
      <c r="AC41" s="96" t="inlineStr">
        <is>
          <t>SGN03</t>
        </is>
      </c>
    </row>
    <row r="42" ht="12" customHeight="1">
      <c r="A42" s="96" t="inlineStr">
        <is>
          <t>SKLU1650050</t>
        </is>
      </c>
      <c r="B42" s="161" t="inlineStr">
        <is>
          <t>2026-10-22</t>
        </is>
      </c>
      <c r="C42" s="96" t="inlineStr">
        <is>
          <t>SWAL</t>
        </is>
      </c>
      <c r="D42" s="96" t="inlineStr">
        <is>
          <t>2609N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VNSGN</t>
        </is>
      </c>
      <c r="J42" s="96" t="inlineStr">
        <is>
          <t>VNSGN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BKK02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HASLS22260801961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KST</t>
        </is>
      </c>
      <c r="U42" s="97" t="n"/>
      <c r="V42" s="96" t="inlineStr">
        <is>
          <t>K0120021</t>
        </is>
      </c>
      <c r="W42" s="96" t="inlineStr">
        <is>
          <t>SCG INTERNATIONAL CORPORATION CO.,</t>
        </is>
      </c>
      <c r="X42" s="96" t="inlineStr">
        <is>
          <t>VFD</t>
        </is>
      </c>
      <c r="Y42" s="96" t="inlineStr">
        <is>
          <t>BUU LONG INDUSTRY AND INVESTMENT</t>
        </is>
      </c>
      <c r="Z42" s="96" t="inlineStr">
        <is>
          <t>BUU LONG INDUSTRY AND INVESTMENT</t>
        </is>
      </c>
      <c r="AA42" s="97" t="n">
        <v>25240</v>
      </c>
      <c r="AB42" s="96" t="inlineStr">
        <is>
          <t>BKK02</t>
        </is>
      </c>
      <c r="AC42" s="96" t="inlineStr">
        <is>
          <t>SGN03</t>
        </is>
      </c>
    </row>
    <row r="43" ht="12" customHeight="1">
      <c r="A43" s="96" t="inlineStr">
        <is>
          <t>SKLU3504199</t>
        </is>
      </c>
      <c r="B43" s="161" t="inlineStr">
        <is>
          <t>2026-10-22</t>
        </is>
      </c>
      <c r="C43" s="96" t="inlineStr">
        <is>
          <t>SWAL</t>
        </is>
      </c>
      <c r="D43" s="96" t="inlineStr">
        <is>
          <t>2609N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BKK02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HASLS22260801961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KST</t>
        </is>
      </c>
      <c r="U43" s="97" t="n"/>
      <c r="V43" s="96" t="inlineStr">
        <is>
          <t>K0120021</t>
        </is>
      </c>
      <c r="W43" s="96" t="inlineStr">
        <is>
          <t>SCG INTERNATIONAL CORPORATION CO.,</t>
        </is>
      </c>
      <c r="X43" s="96" t="inlineStr">
        <is>
          <t>VFD</t>
        </is>
      </c>
      <c r="Y43" s="96" t="inlineStr">
        <is>
          <t>BUU LONG INDUSTRY AND INVESTMENT</t>
        </is>
      </c>
      <c r="Z43" s="96" t="inlineStr">
        <is>
          <t>BUU LONG INDUSTRY AND INVESTMENT</t>
        </is>
      </c>
      <c r="AA43" s="97" t="n">
        <v>25250</v>
      </c>
      <c r="AB43" s="96" t="inlineStr">
        <is>
          <t>BKK02</t>
        </is>
      </c>
      <c r="AC43" s="96" t="inlineStr">
        <is>
          <t>SGN03</t>
        </is>
      </c>
    </row>
    <row r="44" ht="12" customHeight="1">
      <c r="A44" s="96" t="inlineStr">
        <is>
          <t>TCLU3315925</t>
        </is>
      </c>
      <c r="B44" s="161" t="inlineStr">
        <is>
          <t>2026-10-22</t>
        </is>
      </c>
      <c r="C44" s="96" t="inlineStr">
        <is>
          <t>SWAL</t>
        </is>
      </c>
      <c r="D44" s="96" t="inlineStr">
        <is>
          <t>2609N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VNSGN</t>
        </is>
      </c>
      <c r="J44" s="96" t="inlineStr">
        <is>
          <t>VNSGN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BKK02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HASLS22260801961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KST</t>
        </is>
      </c>
      <c r="U44" s="97" t="n"/>
      <c r="V44" s="96" t="inlineStr">
        <is>
          <t>K0120021</t>
        </is>
      </c>
      <c r="W44" s="96" t="inlineStr">
        <is>
          <t>SCG INTERNATIONAL CORPORATION CO.,</t>
        </is>
      </c>
      <c r="X44" s="96" t="inlineStr">
        <is>
          <t>VFD</t>
        </is>
      </c>
      <c r="Y44" s="96" t="inlineStr">
        <is>
          <t>BUU LONG INDUSTRY AND INVESTMENT</t>
        </is>
      </c>
      <c r="Z44" s="96" t="inlineStr">
        <is>
          <t>BUU LONG INDUSTRY AND INVESTMENT</t>
        </is>
      </c>
      <c r="AA44" s="97" t="n">
        <v>25270</v>
      </c>
      <c r="AB44" s="96" t="inlineStr">
        <is>
          <t>BKK02</t>
        </is>
      </c>
      <c r="AC44" s="96" t="inlineStr">
        <is>
          <t>SGN03</t>
        </is>
      </c>
    </row>
    <row r="45" ht="12" customHeight="1">
      <c r="A45" s="96" t="inlineStr">
        <is>
          <t>HLHU8322165</t>
        </is>
      </c>
      <c r="B45" s="161" t="inlineStr">
        <is>
          <t>2026-10-22</t>
        </is>
      </c>
      <c r="C45" s="96" t="inlineStr">
        <is>
          <t>SWAL</t>
        </is>
      </c>
      <c r="D45" s="96" t="inlineStr">
        <is>
          <t>2609N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VNSGN</t>
        </is>
      </c>
      <c r="J45" s="96" t="inlineStr">
        <is>
          <t>VNSGN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BKK02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HASLS22260902491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KST</t>
        </is>
      </c>
      <c r="U45" s="97" t="n"/>
      <c r="V45" s="96" t="inlineStr">
        <is>
          <t>C0723001</t>
        </is>
      </c>
      <c r="W45" s="96" t="inlineStr">
        <is>
          <t>BEE LOGISTICS (THAILAND) CO., LTD.</t>
        </is>
      </c>
      <c r="X45" s="96" t="inlineStr">
        <is>
          <t>VFD</t>
        </is>
      </c>
      <c r="Y45" s="96" t="inlineStr">
        <is>
          <t>BEE LOGISTICS CORPORATION -</t>
        </is>
      </c>
      <c r="Z45" s="96" t="inlineStr">
        <is>
          <t>BEE LOGISTICS CORPORATION -</t>
        </is>
      </c>
      <c r="AA45" s="97" t="n">
        <v>10765.98</v>
      </c>
      <c r="AB45" s="96" t="inlineStr">
        <is>
          <t>BKK02</t>
        </is>
      </c>
      <c r="AC45" s="96" t="inlineStr">
        <is>
          <t>SGN03</t>
        </is>
      </c>
    </row>
    <row r="46" ht="12" customHeight="1">
      <c r="A46" s="96" t="inlineStr">
        <is>
          <t>HALU2338277</t>
        </is>
      </c>
      <c r="B46" s="161" t="inlineStr">
        <is>
          <t>2026-10-22</t>
        </is>
      </c>
      <c r="C46" s="96" t="inlineStr">
        <is>
          <t>SWAL</t>
        </is>
      </c>
      <c r="D46" s="96" t="inlineStr">
        <is>
          <t>2609N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VNSGN</t>
        </is>
      </c>
      <c r="J46" s="96" t="inlineStr">
        <is>
          <t>VNSGN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BKK02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HASLS22261000202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KST</t>
        </is>
      </c>
      <c r="U46" s="97" t="n"/>
      <c r="V46" s="96" t="inlineStr">
        <is>
          <t>C0423001</t>
        </is>
      </c>
      <c r="W46" s="96" t="inlineStr">
        <is>
          <t>PACIFIC STAR ALLIANCE CO.,LTD.</t>
        </is>
      </c>
      <c r="X46" s="96" t="inlineStr">
        <is>
          <t>VFD</t>
        </is>
      </c>
      <c r="Y46" s="96" t="inlineStr">
        <is>
          <t>SCT LOGISTICS JOINT STOCK COMPANY</t>
        </is>
      </c>
      <c r="Z46" s="96" t="inlineStr">
        <is>
          <t>SCT LOGISTICS JOINT STOCK COMPANY</t>
        </is>
      </c>
      <c r="AA46" s="97" t="n">
        <v>3875.84</v>
      </c>
      <c r="AB46" s="96" t="inlineStr">
        <is>
          <t>BKK02</t>
        </is>
      </c>
      <c r="AC46" s="96" t="inlineStr">
        <is>
          <t>SGN03</t>
        </is>
      </c>
    </row>
    <row r="47" ht="12" customHeight="1">
      <c r="A47" s="96" t="inlineStr">
        <is>
          <t>HLHU8365188</t>
        </is>
      </c>
      <c r="B47" s="161" t="inlineStr">
        <is>
          <t>2026-10-22</t>
        </is>
      </c>
      <c r="C47" s="96" t="inlineStr">
        <is>
          <t>SWAL</t>
        </is>
      </c>
      <c r="D47" s="96" t="inlineStr">
        <is>
          <t>2609N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VNSGN</t>
        </is>
      </c>
      <c r="J47" s="96" t="inlineStr">
        <is>
          <t>VNSGN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BKK02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HASLS22260902439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KST</t>
        </is>
      </c>
      <c r="U47" s="97" t="n"/>
      <c r="V47" s="96" t="inlineStr">
        <is>
          <t>C5623002</t>
        </is>
      </c>
      <c r="W47" s="96" t="inlineStr">
        <is>
          <t>CAPRICORN LOGISTICS CO.,LTD.</t>
        </is>
      </c>
      <c r="X47" s="96" t="inlineStr">
        <is>
          <t>VFD</t>
        </is>
      </c>
      <c r="Y47" s="96" t="inlineStr">
        <is>
          <t>GIA NGUYEN INT'L LOGISTICS CO., LTD</t>
        </is>
      </c>
      <c r="Z47" s="96" t="inlineStr">
        <is>
          <t>GIA NGUYEN INT'L LOGISTICS CO., LTD</t>
        </is>
      </c>
      <c r="AA47" s="97" t="n">
        <v>5463.56</v>
      </c>
      <c r="AB47" s="96" t="inlineStr">
        <is>
          <t>BKK02</t>
        </is>
      </c>
      <c r="AC47" s="96" t="inlineStr">
        <is>
          <t>SGN03</t>
        </is>
      </c>
    </row>
    <row r="48" ht="12" customHeight="1">
      <c r="A48" s="96" t="inlineStr">
        <is>
          <t>HALU2345379</t>
        </is>
      </c>
      <c r="B48" s="161" t="inlineStr">
        <is>
          <t>2026-10-22</t>
        </is>
      </c>
      <c r="C48" s="96" t="inlineStr">
        <is>
          <t>SWAL</t>
        </is>
      </c>
      <c r="D48" s="96" t="inlineStr">
        <is>
          <t>2609N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VNSGN</t>
        </is>
      </c>
      <c r="J48" s="96" t="inlineStr">
        <is>
          <t>VNSGN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BKK02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HASLS22261000771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KST</t>
        </is>
      </c>
      <c r="U48" s="97" t="n"/>
      <c r="V48" s="96" t="inlineStr">
        <is>
          <t>C0123011</t>
        </is>
      </c>
      <c r="W48" s="96" t="inlineStr">
        <is>
          <t>ALLIANZ GLOBAL LOGISTICS CO.,LTD.</t>
        </is>
      </c>
      <c r="X48" s="96" t="inlineStr">
        <is>
          <t>VFD</t>
        </is>
      </c>
      <c r="Y48" s="96" t="inlineStr">
        <is>
          <t>WIN WIN LOGISTICS JOINT</t>
        </is>
      </c>
      <c r="Z48" s="96" t="inlineStr">
        <is>
          <t>WIN WIN LOGISTICS JOINT</t>
        </is>
      </c>
      <c r="AA48" s="97" t="n">
        <v>16891</v>
      </c>
      <c r="AB48" s="96" t="inlineStr">
        <is>
          <t>BKK02</t>
        </is>
      </c>
      <c r="AC48" s="96" t="inlineStr">
        <is>
          <t>SGN03</t>
        </is>
      </c>
    </row>
    <row r="49" ht="12" customHeight="1">
      <c r="A49" s="96" t="inlineStr">
        <is>
          <t>HLHU8403098</t>
        </is>
      </c>
      <c r="B49" s="161" t="inlineStr">
        <is>
          <t>2026-10-22</t>
        </is>
      </c>
      <c r="C49" s="96" t="inlineStr">
        <is>
          <t>SWAL</t>
        </is>
      </c>
      <c r="D49" s="96" t="inlineStr">
        <is>
          <t>2609N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VNSGN</t>
        </is>
      </c>
      <c r="J49" s="96" t="inlineStr">
        <is>
          <t>VNSGN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BKK02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HASLS22260902444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KST</t>
        </is>
      </c>
      <c r="U49" s="97" t="n"/>
      <c r="V49" s="96" t="inlineStr">
        <is>
          <t>C0124001</t>
        </is>
      </c>
      <c r="W49" s="96" t="inlineStr">
        <is>
          <t>CAPRICORN LOGISTICS CO.,LTD.</t>
        </is>
      </c>
      <c r="X49" s="96" t="inlineStr">
        <is>
          <t>VFD</t>
        </is>
      </c>
      <c r="Y49" s="96" t="inlineStr">
        <is>
          <t>GIA NGUYEN INT'L LOGISTICS CO., LTD</t>
        </is>
      </c>
      <c r="Z49" s="96" t="inlineStr">
        <is>
          <t>GIA NGUYEN INT'L LOGISTICS CO., LTD</t>
        </is>
      </c>
      <c r="AA49" s="97" t="n">
        <v>5463.56</v>
      </c>
      <c r="AB49" s="96" t="inlineStr">
        <is>
          <t>BKK02</t>
        </is>
      </c>
      <c r="AC49" s="96" t="inlineStr">
        <is>
          <t>SGN03</t>
        </is>
      </c>
    </row>
    <row r="50" ht="12" customHeight="1">
      <c r="A50" s="96" t="inlineStr">
        <is>
          <t>HLHU8436039</t>
        </is>
      </c>
      <c r="B50" s="161" t="inlineStr">
        <is>
          <t>2026-10-22</t>
        </is>
      </c>
      <c r="C50" s="96" t="inlineStr">
        <is>
          <t>SWAL</t>
        </is>
      </c>
      <c r="D50" s="96" t="inlineStr">
        <is>
          <t>2609N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VNSGN</t>
        </is>
      </c>
      <c r="J50" s="96" t="inlineStr">
        <is>
          <t>VNSGN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BKK02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HASLS22261000779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KST</t>
        </is>
      </c>
      <c r="U50" s="97" t="n"/>
      <c r="V50" s="96" t="inlineStr">
        <is>
          <t>C0124001</t>
        </is>
      </c>
      <c r="W50" s="96" t="inlineStr">
        <is>
          <t>TOSHIBA LOGISTICS (THAILAND)</t>
        </is>
      </c>
      <c r="X50" s="96" t="inlineStr">
        <is>
          <t>VFD</t>
        </is>
      </c>
      <c r="Y50" s="96" t="inlineStr">
        <is>
          <t>TOSHIBA LOGISTICS VIETNAM CO.,LTD.</t>
        </is>
      </c>
      <c r="Z50" s="96" t="inlineStr">
        <is>
          <t>TOSHIBA LOGISTICS VIETNAM CO.,LTD.</t>
        </is>
      </c>
      <c r="AA50" s="97" t="n">
        <v>8000</v>
      </c>
      <c r="AB50" s="96" t="inlineStr">
        <is>
          <t>BKK02</t>
        </is>
      </c>
      <c r="AC50" s="96" t="inlineStr">
        <is>
          <t>SGN03</t>
        </is>
      </c>
    </row>
    <row r="51" ht="12" customHeight="1">
      <c r="A51" s="96" t="inlineStr">
        <is>
          <t>HLHU8440152</t>
        </is>
      </c>
      <c r="B51" s="161" t="inlineStr">
        <is>
          <t>2026-10-22</t>
        </is>
      </c>
      <c r="C51" s="96" t="inlineStr">
        <is>
          <t>SWAL</t>
        </is>
      </c>
      <c r="D51" s="96" t="inlineStr">
        <is>
          <t>2609N</t>
        </is>
      </c>
      <c r="E51" s="96" t="inlineStr">
        <is>
          <t>45GP</t>
        </is>
      </c>
      <c r="F51" s="96" t="inlineStr">
        <is>
          <t>SD</t>
        </is>
      </c>
      <c r="G51" s="96" t="inlineStr">
        <is>
          <t>THBKK</t>
        </is>
      </c>
      <c r="H51" s="96" t="inlineStr">
        <is>
          <t>THBKK</t>
        </is>
      </c>
      <c r="I51" s="96" t="inlineStr">
        <is>
          <t>VNSGN</t>
        </is>
      </c>
      <c r="J51" s="96" t="inlineStr">
        <is>
          <t>VNSGN</t>
        </is>
      </c>
      <c r="K51" s="96" t="inlineStr">
        <is>
          <t>F</t>
        </is>
      </c>
      <c r="L51" s="96" t="inlineStr">
        <is>
          <t>OWN</t>
        </is>
      </c>
      <c r="M51" s="96" t="inlineStr">
        <is>
          <t>VFL</t>
        </is>
      </c>
      <c r="N51" s="96" t="inlineStr">
        <is>
          <t>BKK02</t>
        </is>
      </c>
      <c r="O51" s="96" t="inlineStr">
        <is>
          <t>BKK</t>
        </is>
      </c>
      <c r="P51" s="96" t="inlineStr">
        <is>
          <t>TH</t>
        </is>
      </c>
      <c r="Q51" s="96" t="inlineStr">
        <is>
          <t>HASLS22261000779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KST</t>
        </is>
      </c>
      <c r="U51" s="97" t="n"/>
      <c r="V51" s="96" t="inlineStr">
        <is>
          <t>C0124001</t>
        </is>
      </c>
      <c r="W51" s="96" t="inlineStr">
        <is>
          <t>TOSHIBA LOGISTICS (THAILAND)</t>
        </is>
      </c>
      <c r="X51" s="96" t="inlineStr">
        <is>
          <t>VFD</t>
        </is>
      </c>
      <c r="Y51" s="96" t="inlineStr">
        <is>
          <t>TOSHIBA LOGISTICS VIETNAM CO.,LTD.</t>
        </is>
      </c>
      <c r="Z51" s="96" t="inlineStr">
        <is>
          <t>TOSHIBA LOGISTICS VIETNAM CO.,LTD.</t>
        </is>
      </c>
      <c r="AA51" s="97" t="n">
        <v>8000</v>
      </c>
      <c r="AB51" s="96" t="inlineStr">
        <is>
          <t>BKK02</t>
        </is>
      </c>
      <c r="AC51" s="96" t="inlineStr">
        <is>
          <t>SGN03</t>
        </is>
      </c>
    </row>
    <row r="52" ht="12" customHeight="1">
      <c r="A52" s="96" t="inlineStr">
        <is>
          <t>HALU2503094</t>
        </is>
      </c>
      <c r="B52" s="161" t="inlineStr">
        <is>
          <t>2026-10-22</t>
        </is>
      </c>
      <c r="C52" s="96" t="inlineStr">
        <is>
          <t>SWAL</t>
        </is>
      </c>
      <c r="D52" s="96" t="inlineStr">
        <is>
          <t>2609N</t>
        </is>
      </c>
      <c r="E52" s="96" t="inlineStr">
        <is>
          <t>22GP</t>
        </is>
      </c>
      <c r="F52" s="96" t="inlineStr">
        <is>
          <t>SD</t>
        </is>
      </c>
      <c r="G52" s="96" t="inlineStr">
        <is>
          <t>THBKK</t>
        </is>
      </c>
      <c r="H52" s="96" t="inlineStr">
        <is>
          <t>THBKK</t>
        </is>
      </c>
      <c r="I52" s="96" t="inlineStr">
        <is>
          <t>VNSGN</t>
        </is>
      </c>
      <c r="J52" s="96" t="inlineStr">
        <is>
          <t>VNSGN</t>
        </is>
      </c>
      <c r="K52" s="96" t="inlineStr">
        <is>
          <t>F</t>
        </is>
      </c>
      <c r="L52" s="96" t="inlineStr">
        <is>
          <t>OWN</t>
        </is>
      </c>
      <c r="M52" s="96" t="inlineStr">
        <is>
          <t>VFL</t>
        </is>
      </c>
      <c r="N52" s="96" t="inlineStr">
        <is>
          <t>BKK02</t>
        </is>
      </c>
      <c r="O52" s="96" t="inlineStr">
        <is>
          <t>BKK</t>
        </is>
      </c>
      <c r="P52" s="96" t="inlineStr">
        <is>
          <t>TH</t>
        </is>
      </c>
      <c r="Q52" s="96" t="inlineStr">
        <is>
          <t>HASLS22260901991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KST</t>
        </is>
      </c>
      <c r="U52" s="97" t="n"/>
      <c r="V52" s="96" t="inlineStr">
        <is>
          <t>C0125002</t>
        </is>
      </c>
      <c r="W52" s="96" t="inlineStr">
        <is>
          <t>CHINCHANA INDUSTRIES (THAILAND)</t>
        </is>
      </c>
      <c r="X52" s="96" t="inlineStr">
        <is>
          <t>VFD</t>
        </is>
      </c>
      <c r="Y52" s="96" t="inlineStr">
        <is>
          <t>JOTUN PAINTS VIETNAM CO.,LTD.</t>
        </is>
      </c>
      <c r="Z52" s="96" t="inlineStr">
        <is>
          <t>JOTUN PAINTS  (VIETNAM) CO.,LTD.</t>
        </is>
      </c>
      <c r="AA52" s="97" t="n">
        <v>24600</v>
      </c>
      <c r="AB52" s="96" t="inlineStr">
        <is>
          <t>BKK02</t>
        </is>
      </c>
      <c r="AC52" s="96" t="inlineStr">
        <is>
          <t>SGN03</t>
        </is>
      </c>
    </row>
    <row r="53" ht="12" customHeight="1">
      <c r="A53" s="96" t="inlineStr">
        <is>
          <t>HALU2563215</t>
        </is>
      </c>
      <c r="B53" s="161" t="inlineStr">
        <is>
          <t>2026-10-22</t>
        </is>
      </c>
      <c r="C53" s="96" t="inlineStr">
        <is>
          <t>SWAL</t>
        </is>
      </c>
      <c r="D53" s="96" t="inlineStr">
        <is>
          <t>2609N</t>
        </is>
      </c>
      <c r="E53" s="96" t="inlineStr">
        <is>
          <t>22GP</t>
        </is>
      </c>
      <c r="F53" s="96" t="inlineStr">
        <is>
          <t>SD</t>
        </is>
      </c>
      <c r="G53" s="96" t="inlineStr">
        <is>
          <t>THBKK</t>
        </is>
      </c>
      <c r="H53" s="96" t="inlineStr">
        <is>
          <t>THBKK</t>
        </is>
      </c>
      <c r="I53" s="96" t="inlineStr">
        <is>
          <t>KRINC</t>
        </is>
      </c>
      <c r="J53" s="96" t="inlineStr">
        <is>
          <t>KRINC</t>
        </is>
      </c>
      <c r="K53" s="96" t="inlineStr">
        <is>
          <t>F</t>
        </is>
      </c>
      <c r="L53" s="96" t="inlineStr">
        <is>
          <t>OWN</t>
        </is>
      </c>
      <c r="M53" s="96" t="inlineStr">
        <is>
          <t>VFL</t>
        </is>
      </c>
      <c r="N53" s="96" t="inlineStr">
        <is>
          <t>BKK02</t>
        </is>
      </c>
      <c r="O53" s="96" t="inlineStr">
        <is>
          <t>BKK</t>
        </is>
      </c>
      <c r="P53" s="96" t="inlineStr">
        <is>
          <t>TH</t>
        </is>
      </c>
      <c r="Q53" s="96" t="inlineStr">
        <is>
          <t>HASLS22261000844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KST</t>
        </is>
      </c>
      <c r="U53" s="97" t="n"/>
      <c r="V53" s="96" t="inlineStr">
        <is>
          <t>C0325006</t>
        </is>
      </c>
      <c r="W53" s="96" t="inlineStr">
        <is>
          <t>BANGKOK THAI-RUS INTERCORP CO.,LTD.</t>
        </is>
      </c>
      <c r="X53" s="96" t="inlineStr">
        <is>
          <t>VFD</t>
        </is>
      </c>
      <c r="Y53" s="96" t="inlineStr">
        <is>
          <t>WORLD CORPORATION</t>
        </is>
      </c>
      <c r="Z53" s="96" t="inlineStr">
        <is>
          <t>WORLD CORPORATION</t>
        </is>
      </c>
      <c r="AA53" s="97" t="n">
        <v>16400</v>
      </c>
      <c r="AB53" s="96" t="inlineStr">
        <is>
          <t>BKK02</t>
        </is>
      </c>
      <c r="AC53" s="96" t="inlineStr">
        <is>
          <t>INC07</t>
        </is>
      </c>
    </row>
    <row r="54" ht="12" customHeight="1">
      <c r="A54" s="96" t="inlineStr">
        <is>
          <t>HALU2572860</t>
        </is>
      </c>
      <c r="B54" s="161" t="inlineStr">
        <is>
          <t>2026-10-22</t>
        </is>
      </c>
      <c r="C54" s="96" t="inlineStr">
        <is>
          <t>SWAL</t>
        </is>
      </c>
      <c r="D54" s="96" t="inlineStr">
        <is>
          <t>2609N</t>
        </is>
      </c>
      <c r="E54" s="96" t="inlineStr">
        <is>
          <t>22GP</t>
        </is>
      </c>
      <c r="F54" s="96" t="inlineStr">
        <is>
          <t>SD</t>
        </is>
      </c>
      <c r="G54" s="96" t="inlineStr">
        <is>
          <t>THBKK</t>
        </is>
      </c>
      <c r="H54" s="96" t="inlineStr">
        <is>
          <t>THBKK</t>
        </is>
      </c>
      <c r="I54" s="96" t="inlineStr">
        <is>
          <t>VNSGN</t>
        </is>
      </c>
      <c r="J54" s="96" t="inlineStr">
        <is>
          <t>VNSGN</t>
        </is>
      </c>
      <c r="K54" s="96" t="inlineStr">
        <is>
          <t>F</t>
        </is>
      </c>
      <c r="L54" s="96" t="inlineStr">
        <is>
          <t>OWN</t>
        </is>
      </c>
      <c r="M54" s="96" t="inlineStr">
        <is>
          <t>VFL</t>
        </is>
      </c>
      <c r="N54" s="96" t="inlineStr">
        <is>
          <t>BKK02</t>
        </is>
      </c>
      <c r="O54" s="96" t="inlineStr">
        <is>
          <t>BKK</t>
        </is>
      </c>
      <c r="P54" s="96" t="inlineStr">
        <is>
          <t>TH</t>
        </is>
      </c>
      <c r="Q54" s="96" t="inlineStr">
        <is>
          <t>HASLS22260901757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KST</t>
        </is>
      </c>
      <c r="U54" s="97" t="n"/>
      <c r="V54" s="96" t="inlineStr">
        <is>
          <t>C0225005</t>
        </is>
      </c>
      <c r="W54" s="96" t="inlineStr">
        <is>
          <t>SIAM BROTHERS CORP.,LTD.</t>
        </is>
      </c>
      <c r="X54" s="96" t="inlineStr">
        <is>
          <t>VFD</t>
        </is>
      </c>
      <c r="Y54" s="96" t="inlineStr">
        <is>
          <t>THAI VIET NET JOINT STOCK COMPANY</t>
        </is>
      </c>
      <c r="Z54" s="96" t="inlineStr">
        <is>
          <t>THAI VIET NET JOINT STOCK COMPANY</t>
        </is>
      </c>
      <c r="AA54" s="97" t="n">
        <v>7018</v>
      </c>
      <c r="AB54" s="96" t="inlineStr">
        <is>
          <t>BKK02</t>
        </is>
      </c>
      <c r="AC54" s="96" t="inlineStr">
        <is>
          <t>SGN03</t>
        </is>
      </c>
    </row>
    <row r="55" ht="12" customHeight="1">
      <c r="A55" s="96" t="inlineStr">
        <is>
          <t>HLHU6404310</t>
        </is>
      </c>
      <c r="B55" s="161" t="inlineStr">
        <is>
          <t>2026-10-22</t>
        </is>
      </c>
      <c r="C55" s="96" t="inlineStr">
        <is>
          <t>SWAL</t>
        </is>
      </c>
      <c r="D55" s="96" t="inlineStr">
        <is>
          <t>2609N</t>
        </is>
      </c>
      <c r="E55" s="96" t="inlineStr">
        <is>
          <t>45GP</t>
        </is>
      </c>
      <c r="F55" s="96" t="inlineStr">
        <is>
          <t>SD</t>
        </is>
      </c>
      <c r="G55" s="96" t="inlineStr">
        <is>
          <t>THBKK</t>
        </is>
      </c>
      <c r="H55" s="96" t="inlineStr">
        <is>
          <t>THBKK</t>
        </is>
      </c>
      <c r="I55" s="96" t="inlineStr">
        <is>
          <t>KRPUS</t>
        </is>
      </c>
      <c r="J55" s="96" t="inlineStr">
        <is>
          <t>JPTKS</t>
        </is>
      </c>
      <c r="K55" s="96" t="inlineStr">
        <is>
          <t>F</t>
        </is>
      </c>
      <c r="L55" s="96" t="inlineStr">
        <is>
          <t>OWN</t>
        </is>
      </c>
      <c r="M55" s="96" t="inlineStr">
        <is>
          <t>VFL</t>
        </is>
      </c>
      <c r="N55" s="96" t="inlineStr">
        <is>
          <t>BKK02</t>
        </is>
      </c>
      <c r="O55" s="96" t="inlineStr">
        <is>
          <t>BKK</t>
        </is>
      </c>
      <c r="P55" s="96" t="inlineStr">
        <is>
          <t>TH</t>
        </is>
      </c>
      <c r="Q55" s="96" t="inlineStr">
        <is>
          <t>HASLS22260900821</t>
        </is>
      </c>
      <c r="R55" s="96" t="inlineStr">
        <is>
          <t>Y</t>
        </is>
      </c>
      <c r="S55" s="96" t="inlineStr">
        <is>
          <t>N</t>
        </is>
      </c>
      <c r="T55" s="96" t="inlineStr">
        <is>
          <t>KST</t>
        </is>
      </c>
      <c r="U55" s="97" t="n"/>
      <c r="V55" s="96" t="inlineStr">
        <is>
          <t>C0724001</t>
        </is>
      </c>
      <c r="W55" s="96" t="inlineStr">
        <is>
          <t>YONGSUWAT TRADING CO., LTD.</t>
        </is>
      </c>
      <c r="X55" s="96" t="inlineStr">
        <is>
          <t>VFD</t>
        </is>
      </c>
      <c r="Y55" s="96" t="inlineStr">
        <is>
          <t>VOX TRADING CO., LTD.</t>
        </is>
      </c>
      <c r="Z55" s="96" t="inlineStr">
        <is>
          <t>VOX TRADING CO., LTD.</t>
        </is>
      </c>
      <c r="AA55" s="97" t="n">
        <v>24080</v>
      </c>
      <c r="AB55" s="96" t="inlineStr">
        <is>
          <t>BKK02</t>
        </is>
      </c>
      <c r="AC55" s="96" t="inlineStr">
        <is>
          <t>TKS02</t>
        </is>
      </c>
    </row>
    <row r="56" ht="12" customHeight="1">
      <c r="A56" s="96" t="inlineStr">
        <is>
          <t>HALU2411763</t>
        </is>
      </c>
      <c r="B56" s="161" t="inlineStr">
        <is>
          <t>2026-10-22</t>
        </is>
      </c>
      <c r="C56" s="96" t="inlineStr">
        <is>
          <t>SWAL</t>
        </is>
      </c>
      <c r="D56" s="96" t="inlineStr">
        <is>
          <t>2609N</t>
        </is>
      </c>
      <c r="E56" s="96" t="inlineStr">
        <is>
          <t>22GP</t>
        </is>
      </c>
      <c r="F56" s="96" t="inlineStr">
        <is>
          <t>SD</t>
        </is>
      </c>
      <c r="G56" s="96" t="inlineStr">
        <is>
          <t>THBKK</t>
        </is>
      </c>
      <c r="H56" s="96" t="inlineStr">
        <is>
          <t>THBKK</t>
        </is>
      </c>
      <c r="I56" s="96" t="inlineStr">
        <is>
          <t>VNSGN</t>
        </is>
      </c>
      <c r="J56" s="96" t="inlineStr">
        <is>
          <t>VNSGN</t>
        </is>
      </c>
      <c r="K56" s="96" t="inlineStr">
        <is>
          <t>F</t>
        </is>
      </c>
      <c r="L56" s="96" t="inlineStr">
        <is>
          <t>OWN</t>
        </is>
      </c>
      <c r="M56" s="96" t="inlineStr">
        <is>
          <t>VFL</t>
        </is>
      </c>
      <c r="N56" s="96" t="inlineStr">
        <is>
          <t>BKK02</t>
        </is>
      </c>
      <c r="O56" s="96" t="inlineStr">
        <is>
          <t>BKK</t>
        </is>
      </c>
      <c r="P56" s="96" t="inlineStr">
        <is>
          <t>TH</t>
        </is>
      </c>
      <c r="Q56" s="96" t="inlineStr">
        <is>
          <t>HASLS22260901654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KST</t>
        </is>
      </c>
      <c r="U56" s="97" t="n"/>
      <c r="V56" s="96" t="inlineStr">
        <is>
          <t>C0124002</t>
        </is>
      </c>
      <c r="W56" s="96" t="inlineStr">
        <is>
          <t>EXPEDITORS THAILAND LTD.</t>
        </is>
      </c>
      <c r="X56" s="96" t="inlineStr">
        <is>
          <t>VFD</t>
        </is>
      </c>
      <c r="Y56" s="96" t="inlineStr">
        <is>
          <t>EXPEDITORS VIETNAM COMPANY LIMITED</t>
        </is>
      </c>
      <c r="Z56" s="96" t="inlineStr">
        <is>
          <t>EXPEDITORS VIETNAM COMPANY LIMITED</t>
        </is>
      </c>
      <c r="AA56" s="97" t="n">
        <v>25150</v>
      </c>
      <c r="AB56" s="96" t="inlineStr">
        <is>
          <t>BKK02</t>
        </is>
      </c>
      <c r="AC56" s="96" t="inlineStr">
        <is>
          <t>SGN03</t>
        </is>
      </c>
    </row>
    <row r="57" ht="12" customHeight="1">
      <c r="A57" s="96" t="inlineStr">
        <is>
          <t>HALU2416050</t>
        </is>
      </c>
      <c r="B57" s="161" t="inlineStr">
        <is>
          <t>2026-10-22</t>
        </is>
      </c>
      <c r="C57" s="96" t="inlineStr">
        <is>
          <t>SWAL</t>
        </is>
      </c>
      <c r="D57" s="96" t="inlineStr">
        <is>
          <t>2609N</t>
        </is>
      </c>
      <c r="E57" s="96" t="inlineStr">
        <is>
          <t>22GP</t>
        </is>
      </c>
      <c r="F57" s="96" t="inlineStr">
        <is>
          <t>SD</t>
        </is>
      </c>
      <c r="G57" s="96" t="inlineStr">
        <is>
          <t>THBKK</t>
        </is>
      </c>
      <c r="H57" s="96" t="inlineStr">
        <is>
          <t>THBKK</t>
        </is>
      </c>
      <c r="I57" s="96" t="inlineStr">
        <is>
          <t>VNSGN</t>
        </is>
      </c>
      <c r="J57" s="96" t="inlineStr">
        <is>
          <t>VNSGN</t>
        </is>
      </c>
      <c r="K57" s="96" t="inlineStr">
        <is>
          <t>F</t>
        </is>
      </c>
      <c r="L57" s="96" t="inlineStr">
        <is>
          <t>OWN</t>
        </is>
      </c>
      <c r="M57" s="96" t="inlineStr">
        <is>
          <t>VFL</t>
        </is>
      </c>
      <c r="N57" s="96" t="inlineStr">
        <is>
          <t>BKK02</t>
        </is>
      </c>
      <c r="O57" s="96" t="inlineStr">
        <is>
          <t>BKK</t>
        </is>
      </c>
      <c r="P57" s="96" t="inlineStr">
        <is>
          <t>TH</t>
        </is>
      </c>
      <c r="Q57" s="96" t="inlineStr">
        <is>
          <t>HASLS22260901654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KST</t>
        </is>
      </c>
      <c r="U57" s="97" t="n"/>
      <c r="V57" s="96" t="inlineStr">
        <is>
          <t>C0124002</t>
        </is>
      </c>
      <c r="W57" s="96" t="inlineStr">
        <is>
          <t>EXPEDITORS THAILAND LTD.</t>
        </is>
      </c>
      <c r="X57" s="96" t="inlineStr">
        <is>
          <t>VFD</t>
        </is>
      </c>
      <c r="Y57" s="96" t="inlineStr">
        <is>
          <t>EXPEDITORS VIETNAM COMPANY LIMITED</t>
        </is>
      </c>
      <c r="Z57" s="96" t="inlineStr">
        <is>
          <t>EXPEDITORS VIETNAM COMPANY LIMITED</t>
        </is>
      </c>
      <c r="AA57" s="97" t="n">
        <v>25150</v>
      </c>
      <c r="AB57" s="96" t="inlineStr">
        <is>
          <t>BKK02</t>
        </is>
      </c>
      <c r="AC57" s="96" t="inlineStr">
        <is>
          <t>SGN03</t>
        </is>
      </c>
    </row>
    <row r="58" ht="12" customHeight="1">
      <c r="A58" s="96" t="inlineStr">
        <is>
          <t>HALU2429510</t>
        </is>
      </c>
      <c r="B58" s="161" t="inlineStr">
        <is>
          <t>2026-10-22</t>
        </is>
      </c>
      <c r="C58" s="96" t="inlineStr">
        <is>
          <t>SWAL</t>
        </is>
      </c>
      <c r="D58" s="96" t="inlineStr">
        <is>
          <t>2609N</t>
        </is>
      </c>
      <c r="E58" s="96" t="inlineStr">
        <is>
          <t>22GP</t>
        </is>
      </c>
      <c r="F58" s="96" t="inlineStr">
        <is>
          <t>SD</t>
        </is>
      </c>
      <c r="G58" s="96" t="inlineStr">
        <is>
          <t>THBKK</t>
        </is>
      </c>
      <c r="H58" s="96" t="inlineStr">
        <is>
          <t>THBKK</t>
        </is>
      </c>
      <c r="I58" s="96" t="inlineStr">
        <is>
          <t>VNSGN</t>
        </is>
      </c>
      <c r="J58" s="96" t="inlineStr">
        <is>
          <t>VNSGN</t>
        </is>
      </c>
      <c r="K58" s="96" t="inlineStr">
        <is>
          <t>F</t>
        </is>
      </c>
      <c r="L58" s="96" t="inlineStr">
        <is>
          <t>OWN</t>
        </is>
      </c>
      <c r="M58" s="96" t="inlineStr">
        <is>
          <t>VFL</t>
        </is>
      </c>
      <c r="N58" s="96" t="inlineStr">
        <is>
          <t>BKK02</t>
        </is>
      </c>
      <c r="O58" s="96" t="inlineStr">
        <is>
          <t>BKK</t>
        </is>
      </c>
      <c r="P58" s="96" t="inlineStr">
        <is>
          <t>TH</t>
        </is>
      </c>
      <c r="Q58" s="96" t="inlineStr">
        <is>
          <t>HASLS22261000583</t>
        </is>
      </c>
      <c r="R58" s="96" t="inlineStr">
        <is>
          <t>N</t>
        </is>
      </c>
      <c r="S58" s="96" t="inlineStr">
        <is>
          <t>N</t>
        </is>
      </c>
      <c r="T58" s="96" t="inlineStr">
        <is>
          <t>KST</t>
        </is>
      </c>
      <c r="U58" s="97" t="n"/>
      <c r="V58" s="96" t="inlineStr">
        <is>
          <t>C0124002</t>
        </is>
      </c>
      <c r="W58" s="96" t="inlineStr">
        <is>
          <t>BIZCON LOGISTICS CO.,LTD.</t>
        </is>
      </c>
      <c r="X58" s="96" t="inlineStr">
        <is>
          <t>VFD</t>
        </is>
      </c>
      <c r="Y58" s="96" t="inlineStr">
        <is>
          <t>TRUONG HAI INTERNATIONAL LOGISTICS</t>
        </is>
      </c>
      <c r="Z58" s="96" t="inlineStr">
        <is>
          <t>TRUONG HAI INTERNATIONAL LOGISTICS</t>
        </is>
      </c>
      <c r="AA58" s="97" t="n">
        <v>14500</v>
      </c>
      <c r="AB58" s="96" t="inlineStr">
        <is>
          <t>BKK02</t>
        </is>
      </c>
      <c r="AC58" s="96" t="inlineStr">
        <is>
          <t>SGN03</t>
        </is>
      </c>
    </row>
    <row r="59" ht="12" customHeight="1">
      <c r="A59" s="96" t="inlineStr">
        <is>
          <t>HALU2418120</t>
        </is>
      </c>
      <c r="B59" s="161" t="inlineStr">
        <is>
          <t>2026-10-22</t>
        </is>
      </c>
      <c r="C59" s="96" t="inlineStr">
        <is>
          <t>SWAL</t>
        </is>
      </c>
      <c r="D59" s="96" t="inlineStr">
        <is>
          <t>2609N</t>
        </is>
      </c>
      <c r="E59" s="96" t="inlineStr">
        <is>
          <t>22GP</t>
        </is>
      </c>
      <c r="F59" s="96" t="inlineStr">
        <is>
          <t>SD</t>
        </is>
      </c>
      <c r="G59" s="96" t="inlineStr">
        <is>
          <t>THBKK</t>
        </is>
      </c>
      <c r="H59" s="96" t="inlineStr">
        <is>
          <t>THBKK</t>
        </is>
      </c>
      <c r="I59" s="96" t="inlineStr">
        <is>
          <t>VNSGN</t>
        </is>
      </c>
      <c r="J59" s="96" t="inlineStr">
        <is>
          <t>VNSGN</t>
        </is>
      </c>
      <c r="K59" s="96" t="inlineStr">
        <is>
          <t>F</t>
        </is>
      </c>
      <c r="L59" s="96" t="inlineStr">
        <is>
          <t>OWN</t>
        </is>
      </c>
      <c r="M59" s="96" t="inlineStr">
        <is>
          <t>VFL</t>
        </is>
      </c>
      <c r="N59" s="96" t="inlineStr">
        <is>
          <t>BKK02</t>
        </is>
      </c>
      <c r="O59" s="96" t="inlineStr">
        <is>
          <t>BKK</t>
        </is>
      </c>
      <c r="P59" s="96" t="inlineStr">
        <is>
          <t>TH</t>
        </is>
      </c>
      <c r="Q59" s="96" t="inlineStr">
        <is>
          <t>HASLS22261000064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KST</t>
        </is>
      </c>
      <c r="U59" s="97" t="n"/>
      <c r="V59" s="96" t="inlineStr">
        <is>
          <t>C0124002</t>
        </is>
      </c>
      <c r="W59" s="96" t="inlineStr">
        <is>
          <t>GENERAL STARCH LIMITED</t>
        </is>
      </c>
      <c r="X59" s="96" t="inlineStr">
        <is>
          <t>VFD</t>
        </is>
      </c>
      <c r="Y59" s="96" t="inlineStr">
        <is>
          <t>CALDIC SPECIALTIES VIETNAM CO.,LTD.</t>
        </is>
      </c>
      <c r="Z59" s="96" t="inlineStr">
        <is>
          <t>CALDIC SPECIALTIES VIETNAM CO.,LTD.</t>
        </is>
      </c>
      <c r="AA59" s="97" t="n">
        <v>15020</v>
      </c>
      <c r="AB59" s="96" t="inlineStr">
        <is>
          <t>BKK02</t>
        </is>
      </c>
      <c r="AC59" s="96" t="inlineStr">
        <is>
          <t>SGN03</t>
        </is>
      </c>
    </row>
    <row r="60" ht="12" customHeight="1">
      <c r="A60" s="96" t="inlineStr">
        <is>
          <t>HALU2415774</t>
        </is>
      </c>
      <c r="B60" s="161" t="inlineStr">
        <is>
          <t>2026-10-22</t>
        </is>
      </c>
      <c r="C60" s="96" t="inlineStr">
        <is>
          <t>SWAL</t>
        </is>
      </c>
      <c r="D60" s="96" t="inlineStr">
        <is>
          <t>2609N</t>
        </is>
      </c>
      <c r="E60" s="96" t="inlineStr">
        <is>
          <t>22GP</t>
        </is>
      </c>
      <c r="F60" s="96" t="inlineStr">
        <is>
          <t>SD</t>
        </is>
      </c>
      <c r="G60" s="96" t="inlineStr">
        <is>
          <t>THBKK</t>
        </is>
      </c>
      <c r="H60" s="96" t="inlineStr">
        <is>
          <t>THBKK</t>
        </is>
      </c>
      <c r="I60" s="96" t="inlineStr">
        <is>
          <t>VNSGN</t>
        </is>
      </c>
      <c r="J60" s="96" t="inlineStr">
        <is>
          <t>VNSGN</t>
        </is>
      </c>
      <c r="K60" s="96" t="inlineStr">
        <is>
          <t>F</t>
        </is>
      </c>
      <c r="L60" s="96" t="inlineStr">
        <is>
          <t>OWN</t>
        </is>
      </c>
      <c r="M60" s="96" t="inlineStr">
        <is>
          <t>VFL</t>
        </is>
      </c>
      <c r="N60" s="96" t="inlineStr">
        <is>
          <t>BKK02</t>
        </is>
      </c>
      <c r="O60" s="96" t="inlineStr">
        <is>
          <t>BKK</t>
        </is>
      </c>
      <c r="P60" s="96" t="inlineStr">
        <is>
          <t>TH</t>
        </is>
      </c>
      <c r="Q60" s="96" t="inlineStr">
        <is>
          <t>HASLS22260900541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KST</t>
        </is>
      </c>
      <c r="U60" s="97" t="n"/>
      <c r="V60" s="96" t="inlineStr">
        <is>
          <t>C0124002</t>
        </is>
      </c>
      <c r="W60" s="96" t="inlineStr">
        <is>
          <t>UENO FINE CHEMICALS INDUSTRY</t>
        </is>
      </c>
      <c r="X60" s="96" t="inlineStr">
        <is>
          <t>VFD</t>
        </is>
      </c>
      <c r="Y60" s="96" t="inlineStr">
        <is>
          <t>YAKULT VIETNAM CO.,LTD.</t>
        </is>
      </c>
      <c r="Z60" s="96" t="inlineStr">
        <is>
          <t>YAKULT VIETNAM CO.,LTD.</t>
        </is>
      </c>
      <c r="AA60" s="97" t="n">
        <v>20080</v>
      </c>
      <c r="AB60" s="96" t="inlineStr">
        <is>
          <t>BKK02</t>
        </is>
      </c>
      <c r="AC60" s="96" t="inlineStr">
        <is>
          <t>SGN03</t>
        </is>
      </c>
    </row>
    <row r="61" ht="12" customHeight="1">
      <c r="A61" s="96" t="inlineStr">
        <is>
          <t>HALU2468809</t>
        </is>
      </c>
      <c r="B61" s="161" t="inlineStr">
        <is>
          <t>2026-10-22</t>
        </is>
      </c>
      <c r="C61" s="96" t="inlineStr">
        <is>
          <t>SWAL</t>
        </is>
      </c>
      <c r="D61" s="96" t="inlineStr">
        <is>
          <t>2609N</t>
        </is>
      </c>
      <c r="E61" s="96" t="inlineStr">
        <is>
          <t>22GP</t>
        </is>
      </c>
      <c r="F61" s="96" t="inlineStr">
        <is>
          <t>SD</t>
        </is>
      </c>
      <c r="G61" s="96" t="inlineStr">
        <is>
          <t>THBKK</t>
        </is>
      </c>
      <c r="H61" s="96" t="inlineStr">
        <is>
          <t>THBKK</t>
        </is>
      </c>
      <c r="I61" s="96" t="inlineStr">
        <is>
          <t>VNSGN</t>
        </is>
      </c>
      <c r="J61" s="96" t="inlineStr">
        <is>
          <t>VNSGN</t>
        </is>
      </c>
      <c r="K61" s="96" t="inlineStr">
        <is>
          <t>F</t>
        </is>
      </c>
      <c r="L61" s="96" t="inlineStr">
        <is>
          <t>OWN</t>
        </is>
      </c>
      <c r="M61" s="96" t="inlineStr">
        <is>
          <t>VFL</t>
        </is>
      </c>
      <c r="N61" s="96" t="inlineStr">
        <is>
          <t>BKK02</t>
        </is>
      </c>
      <c r="O61" s="96" t="inlineStr">
        <is>
          <t>BKK</t>
        </is>
      </c>
      <c r="P61" s="96" t="inlineStr">
        <is>
          <t>TH</t>
        </is>
      </c>
      <c r="Q61" s="96" t="inlineStr">
        <is>
          <t>HASLS22260901654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KST</t>
        </is>
      </c>
      <c r="U61" s="97" t="n"/>
      <c r="V61" s="96" t="inlineStr">
        <is>
          <t>C0424001</t>
        </is>
      </c>
      <c r="W61" s="96" t="inlineStr">
        <is>
          <t>EXPEDITORS THAILAND LTD.</t>
        </is>
      </c>
      <c r="X61" s="96" t="inlineStr">
        <is>
          <t>VFD</t>
        </is>
      </c>
      <c r="Y61" s="96" t="inlineStr">
        <is>
          <t>EXPEDITORS VIETNAM COMPANY LIMITED</t>
        </is>
      </c>
      <c r="Z61" s="96" t="inlineStr">
        <is>
          <t>EXPEDITORS VIETNAM COMPANY LIMITED</t>
        </is>
      </c>
      <c r="AA61" s="97" t="n">
        <v>25150</v>
      </c>
      <c r="AB61" s="96" t="inlineStr">
        <is>
          <t>BKK02</t>
        </is>
      </c>
      <c r="AC61" s="96" t="inlineStr">
        <is>
          <t>SGN03</t>
        </is>
      </c>
    </row>
    <row r="62" ht="12" customHeight="1">
      <c r="A62" s="96" t="inlineStr">
        <is>
          <t>HLHU8462038</t>
        </is>
      </c>
      <c r="B62" s="161" t="inlineStr">
        <is>
          <t>2026-10-22</t>
        </is>
      </c>
      <c r="C62" s="96" t="inlineStr">
        <is>
          <t>SWAL</t>
        </is>
      </c>
      <c r="D62" s="96" t="inlineStr">
        <is>
          <t>2609N</t>
        </is>
      </c>
      <c r="E62" s="96" t="inlineStr">
        <is>
          <t>45GP</t>
        </is>
      </c>
      <c r="F62" s="96" t="inlineStr">
        <is>
          <t>SD</t>
        </is>
      </c>
      <c r="G62" s="96" t="inlineStr">
        <is>
          <t>THBKK</t>
        </is>
      </c>
      <c r="H62" s="96" t="inlineStr">
        <is>
          <t>THBKK</t>
        </is>
      </c>
      <c r="I62" s="96" t="inlineStr">
        <is>
          <t>VNSGN</t>
        </is>
      </c>
      <c r="J62" s="96" t="inlineStr">
        <is>
          <t>VNSGN</t>
        </is>
      </c>
      <c r="K62" s="96" t="inlineStr">
        <is>
          <t>F</t>
        </is>
      </c>
      <c r="L62" s="96" t="inlineStr">
        <is>
          <t>OWN</t>
        </is>
      </c>
      <c r="M62" s="96" t="inlineStr">
        <is>
          <t>VFL</t>
        </is>
      </c>
      <c r="N62" s="96" t="inlineStr">
        <is>
          <t>BKK02</t>
        </is>
      </c>
      <c r="O62" s="96" t="inlineStr">
        <is>
          <t>BKK</t>
        </is>
      </c>
      <c r="P62" s="96" t="inlineStr">
        <is>
          <t>TH</t>
        </is>
      </c>
      <c r="Q62" s="96" t="inlineStr">
        <is>
          <t>HASLS22261000020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KST</t>
        </is>
      </c>
      <c r="U62" s="97" t="n"/>
      <c r="V62" s="96" t="inlineStr">
        <is>
          <t>C5624002</t>
        </is>
      </c>
      <c r="W62" s="96" t="inlineStr">
        <is>
          <t>BEE LOGISTICS (THAILAND) CO., LTD.</t>
        </is>
      </c>
      <c r="X62" s="96" t="inlineStr">
        <is>
          <t>VFD</t>
        </is>
      </c>
      <c r="Y62" s="96" t="inlineStr">
        <is>
          <t>BEE LOGISTICS CORPORATION</t>
        </is>
      </c>
      <c r="Z62" s="96" t="inlineStr">
        <is>
          <t>BEE LOGISTICS CORPORATION</t>
        </is>
      </c>
      <c r="AA62" s="97" t="n">
        <v>6527.8</v>
      </c>
      <c r="AB62" s="96" t="inlineStr">
        <is>
          <t>BKK02</t>
        </is>
      </c>
      <c r="AC62" s="96" t="inlineStr">
        <is>
          <t>SGN03</t>
        </is>
      </c>
    </row>
    <row r="63" ht="12" customHeight="1">
      <c r="A63" s="96" t="inlineStr">
        <is>
          <t>HLHU8518899</t>
        </is>
      </c>
      <c r="B63" s="161" t="inlineStr">
        <is>
          <t>2026-10-22</t>
        </is>
      </c>
      <c r="C63" s="96" t="inlineStr">
        <is>
          <t>SWAL</t>
        </is>
      </c>
      <c r="D63" s="96" t="inlineStr">
        <is>
          <t>2609N</t>
        </is>
      </c>
      <c r="E63" s="96" t="inlineStr">
        <is>
          <t>45GP</t>
        </is>
      </c>
      <c r="F63" s="96" t="inlineStr">
        <is>
          <t>SD</t>
        </is>
      </c>
      <c r="G63" s="96" t="inlineStr">
        <is>
          <t>THBKK</t>
        </is>
      </c>
      <c r="H63" s="96" t="inlineStr">
        <is>
          <t>THBKK</t>
        </is>
      </c>
      <c r="I63" s="96" t="inlineStr">
        <is>
          <t>VNSGN</t>
        </is>
      </c>
      <c r="J63" s="96" t="inlineStr">
        <is>
          <t>VNSGN</t>
        </is>
      </c>
      <c r="K63" s="96" t="inlineStr">
        <is>
          <t>F</t>
        </is>
      </c>
      <c r="L63" s="96" t="inlineStr">
        <is>
          <t>OWN</t>
        </is>
      </c>
      <c r="M63" s="96" t="inlineStr">
        <is>
          <t>VFL</t>
        </is>
      </c>
      <c r="N63" s="96" t="inlineStr">
        <is>
          <t>BKK02</t>
        </is>
      </c>
      <c r="O63" s="96" t="inlineStr">
        <is>
          <t>BKK</t>
        </is>
      </c>
      <c r="P63" s="96" t="inlineStr">
        <is>
          <t>TH</t>
        </is>
      </c>
      <c r="Q63" s="96" t="inlineStr">
        <is>
          <t>HASLS22260902622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KST</t>
        </is>
      </c>
      <c r="U63" s="97" t="n"/>
      <c r="V63" s="96" t="inlineStr">
        <is>
          <t>C0125003</t>
        </is>
      </c>
      <c r="W63" s="96" t="inlineStr">
        <is>
          <t>OCEAN AIR INTERNATIONAL CO.,LTD.</t>
        </is>
      </c>
      <c r="X63" s="96" t="inlineStr">
        <is>
          <t>VFD</t>
        </is>
      </c>
      <c r="Y63" s="96" t="inlineStr">
        <is>
          <t>AO SHIPPING TRANSPORT CORPORATION</t>
        </is>
      </c>
      <c r="Z63" s="96" t="inlineStr">
        <is>
          <t>AO SHIPPING TRANSPORT CORPORATION</t>
        </is>
      </c>
      <c r="AA63" s="97" t="n">
        <v>5923.5</v>
      </c>
      <c r="AB63" s="96" t="inlineStr">
        <is>
          <t>BKK02</t>
        </is>
      </c>
      <c r="AC63" s="96" t="inlineStr">
        <is>
          <t>SGN03</t>
        </is>
      </c>
    </row>
    <row r="64" ht="12" customHeight="1">
      <c r="A64" s="96" t="inlineStr">
        <is>
          <t>HLHU8533933</t>
        </is>
      </c>
      <c r="B64" s="161" t="inlineStr">
        <is>
          <t>2026-10-22</t>
        </is>
      </c>
      <c r="C64" s="96" t="inlineStr">
        <is>
          <t>SWAL</t>
        </is>
      </c>
      <c r="D64" s="96" t="inlineStr">
        <is>
          <t>2609N</t>
        </is>
      </c>
      <c r="E64" s="96" t="inlineStr">
        <is>
          <t>45GP</t>
        </is>
      </c>
      <c r="F64" s="96" t="inlineStr">
        <is>
          <t>SD</t>
        </is>
      </c>
      <c r="G64" s="96" t="inlineStr">
        <is>
          <t>THBKK</t>
        </is>
      </c>
      <c r="H64" s="96" t="inlineStr">
        <is>
          <t>THBKK</t>
        </is>
      </c>
      <c r="I64" s="96" t="inlineStr">
        <is>
          <t>VNSGN</t>
        </is>
      </c>
      <c r="J64" s="96" t="inlineStr">
        <is>
          <t>VNSGN</t>
        </is>
      </c>
      <c r="K64" s="96" t="inlineStr">
        <is>
          <t>F</t>
        </is>
      </c>
      <c r="L64" s="96" t="inlineStr">
        <is>
          <t>OWN</t>
        </is>
      </c>
      <c r="M64" s="96" t="inlineStr">
        <is>
          <t>VFL</t>
        </is>
      </c>
      <c r="N64" s="96" t="inlineStr">
        <is>
          <t>BKK02</t>
        </is>
      </c>
      <c r="O64" s="96" t="inlineStr">
        <is>
          <t>BKK</t>
        </is>
      </c>
      <c r="P64" s="96" t="inlineStr">
        <is>
          <t>TH</t>
        </is>
      </c>
      <c r="Q64" s="96" t="inlineStr">
        <is>
          <t>HASLS22260902439</t>
        </is>
      </c>
      <c r="R64" s="96" t="inlineStr">
        <is>
          <t>N</t>
        </is>
      </c>
      <c r="S64" s="96" t="inlineStr">
        <is>
          <t>N</t>
        </is>
      </c>
      <c r="T64" s="96" t="inlineStr">
        <is>
          <t>KST</t>
        </is>
      </c>
      <c r="U64" s="97" t="n"/>
      <c r="V64" s="96" t="inlineStr">
        <is>
          <t>C0125003</t>
        </is>
      </c>
      <c r="W64" s="96" t="inlineStr">
        <is>
          <t>CAPRICORN LOGISTICS CO.,LTD.</t>
        </is>
      </c>
      <c r="X64" s="96" t="inlineStr">
        <is>
          <t>VFD</t>
        </is>
      </c>
      <c r="Y64" s="96" t="inlineStr">
        <is>
          <t>GIA NGUYEN INT'L LOGISTICS CO., LTD</t>
        </is>
      </c>
      <c r="Z64" s="96" t="inlineStr">
        <is>
          <t>GIA NGUYEN INT'L LOGISTICS CO., LTD</t>
        </is>
      </c>
      <c r="AA64" s="97" t="n">
        <v>5463.56</v>
      </c>
      <c r="AB64" s="96" t="inlineStr">
        <is>
          <t>BKK02</t>
        </is>
      </c>
      <c r="AC64" s="96" t="inlineStr">
        <is>
          <t>SGN03</t>
        </is>
      </c>
    </row>
    <row r="65" ht="12" customHeight="1">
      <c r="A65" s="96" t="inlineStr">
        <is>
          <t>HLHU8600630</t>
        </is>
      </c>
      <c r="B65" s="161" t="inlineStr">
        <is>
          <t>2026-10-22</t>
        </is>
      </c>
      <c r="C65" s="96" t="inlineStr">
        <is>
          <t>SWAL</t>
        </is>
      </c>
      <c r="D65" s="96" t="inlineStr">
        <is>
          <t>2609N</t>
        </is>
      </c>
      <c r="E65" s="96" t="inlineStr">
        <is>
          <t>45GP</t>
        </is>
      </c>
      <c r="F65" s="96" t="inlineStr">
        <is>
          <t>SD</t>
        </is>
      </c>
      <c r="G65" s="96" t="inlineStr">
        <is>
          <t>THBKK</t>
        </is>
      </c>
      <c r="H65" s="96" t="inlineStr">
        <is>
          <t>THBKK</t>
        </is>
      </c>
      <c r="I65" s="96" t="inlineStr">
        <is>
          <t>KRPUS</t>
        </is>
      </c>
      <c r="J65" s="96" t="inlineStr">
        <is>
          <t>JPTKS</t>
        </is>
      </c>
      <c r="K65" s="96" t="inlineStr">
        <is>
          <t>F</t>
        </is>
      </c>
      <c r="L65" s="96" t="inlineStr">
        <is>
          <t>OWN</t>
        </is>
      </c>
      <c r="M65" s="96" t="inlineStr">
        <is>
          <t>VFL</t>
        </is>
      </c>
      <c r="N65" s="96" t="inlineStr">
        <is>
          <t>BKK02</t>
        </is>
      </c>
      <c r="O65" s="96" t="inlineStr">
        <is>
          <t>BKK</t>
        </is>
      </c>
      <c r="P65" s="96" t="inlineStr">
        <is>
          <t>TH</t>
        </is>
      </c>
      <c r="Q65" s="96" t="inlineStr">
        <is>
          <t>HASLS22260900821</t>
        </is>
      </c>
      <c r="R65" s="96" t="inlineStr">
        <is>
          <t>Y</t>
        </is>
      </c>
      <c r="S65" s="96" t="inlineStr">
        <is>
          <t>N</t>
        </is>
      </c>
      <c r="T65" s="96" t="inlineStr">
        <is>
          <t>KST</t>
        </is>
      </c>
      <c r="U65" s="97" t="n"/>
      <c r="V65" s="96" t="inlineStr">
        <is>
          <t>C0725001</t>
        </is>
      </c>
      <c r="W65" s="96" t="inlineStr">
        <is>
          <t>YONGSUWAT TRADING CO., LTD.</t>
        </is>
      </c>
      <c r="X65" s="96" t="inlineStr">
        <is>
          <t>VFD</t>
        </is>
      </c>
      <c r="Y65" s="96" t="inlineStr">
        <is>
          <t>VOX TRADING CO., LTD.</t>
        </is>
      </c>
      <c r="Z65" s="96" t="inlineStr">
        <is>
          <t>VOX TRADING CO., LTD.</t>
        </is>
      </c>
      <c r="AA65" s="97" t="n">
        <v>24080</v>
      </c>
      <c r="AB65" s="96" t="inlineStr">
        <is>
          <t>BKK02</t>
        </is>
      </c>
      <c r="AC65" s="96" t="inlineStr">
        <is>
          <t>TKS02</t>
        </is>
      </c>
    </row>
    <row r="66" ht="12" customHeight="1">
      <c r="A66" s="96" t="inlineStr">
        <is>
          <t>HLHU8576658</t>
        </is>
      </c>
      <c r="B66" s="161" t="inlineStr">
        <is>
          <t>2026-10-22</t>
        </is>
      </c>
      <c r="C66" s="96" t="inlineStr">
        <is>
          <t>SWAL</t>
        </is>
      </c>
      <c r="D66" s="96" t="inlineStr">
        <is>
          <t>2609N</t>
        </is>
      </c>
      <c r="E66" s="96" t="inlineStr">
        <is>
          <t>45GP</t>
        </is>
      </c>
      <c r="F66" s="96" t="inlineStr">
        <is>
          <t>SD</t>
        </is>
      </c>
      <c r="G66" s="96" t="inlineStr">
        <is>
          <t>THBKK</t>
        </is>
      </c>
      <c r="H66" s="96" t="inlineStr">
        <is>
          <t>THBKK</t>
        </is>
      </c>
      <c r="I66" s="96" t="inlineStr">
        <is>
          <t>KRPUS</t>
        </is>
      </c>
      <c r="J66" s="96" t="inlineStr">
        <is>
          <t>JPTOS</t>
        </is>
      </c>
      <c r="K66" s="96" t="inlineStr">
        <is>
          <t>F</t>
        </is>
      </c>
      <c r="L66" s="96" t="inlineStr">
        <is>
          <t>OWN</t>
        </is>
      </c>
      <c r="M66" s="96" t="inlineStr">
        <is>
          <t>VFL</t>
        </is>
      </c>
      <c r="N66" s="96" t="inlineStr">
        <is>
          <t>BKK02</t>
        </is>
      </c>
      <c r="O66" s="96" t="inlineStr">
        <is>
          <t>BKK</t>
        </is>
      </c>
      <c r="P66" s="96" t="inlineStr">
        <is>
          <t>TH</t>
        </is>
      </c>
      <c r="Q66" s="96" t="inlineStr">
        <is>
          <t>HASLS22260900823</t>
        </is>
      </c>
      <c r="R66" s="96" t="inlineStr">
        <is>
          <t>Y</t>
        </is>
      </c>
      <c r="S66" s="96" t="inlineStr">
        <is>
          <t>N</t>
        </is>
      </c>
      <c r="T66" s="96" t="inlineStr">
        <is>
          <t>KST</t>
        </is>
      </c>
      <c r="U66" s="97" t="n"/>
      <c r="V66" s="96" t="inlineStr">
        <is>
          <t>C0725001</t>
        </is>
      </c>
      <c r="W66" s="96" t="inlineStr">
        <is>
          <t>YONGSUWAT TRADING CO., LTD.</t>
        </is>
      </c>
      <c r="X66" s="96" t="inlineStr">
        <is>
          <t>VFD</t>
        </is>
      </c>
      <c r="Y66" s="96" t="inlineStr">
        <is>
          <t>VOX TRADING CO., LTD.</t>
        </is>
      </c>
      <c r="Z66" s="96" t="inlineStr">
        <is>
          <t>VOX TRADING CO., LTD.</t>
        </is>
      </c>
      <c r="AA66" s="97" t="n">
        <v>24080</v>
      </c>
      <c r="AB66" s="96" t="inlineStr">
        <is>
          <t>BKK02</t>
        </is>
      </c>
      <c r="AC66" s="96" t="inlineStr">
        <is>
          <t>TOS01</t>
        </is>
      </c>
    </row>
    <row r="67" ht="12" customHeight="1">
      <c r="A67" s="96" t="inlineStr">
        <is>
          <t>HALU2585810</t>
        </is>
      </c>
      <c r="B67" s="161" t="inlineStr">
        <is>
          <t>2026-10-22</t>
        </is>
      </c>
      <c r="C67" s="96" t="inlineStr">
        <is>
          <t>SWAL</t>
        </is>
      </c>
      <c r="D67" s="96" t="inlineStr">
        <is>
          <t>2609N</t>
        </is>
      </c>
      <c r="E67" s="96" t="inlineStr">
        <is>
          <t>22GP</t>
        </is>
      </c>
      <c r="F67" s="96" t="inlineStr">
        <is>
          <t>SD</t>
        </is>
      </c>
      <c r="G67" s="96" t="inlineStr">
        <is>
          <t>THBKK</t>
        </is>
      </c>
      <c r="H67" s="96" t="inlineStr">
        <is>
          <t>THBKK</t>
        </is>
      </c>
      <c r="I67" s="96" t="inlineStr">
        <is>
          <t>VNSGN</t>
        </is>
      </c>
      <c r="J67" s="96" t="inlineStr">
        <is>
          <t>VNSGN</t>
        </is>
      </c>
      <c r="K67" s="96" t="inlineStr">
        <is>
          <t>F</t>
        </is>
      </c>
      <c r="L67" s="96" t="inlineStr">
        <is>
          <t>OWN</t>
        </is>
      </c>
      <c r="M67" s="96" t="inlineStr">
        <is>
          <t>VFL</t>
        </is>
      </c>
      <c r="N67" s="96" t="inlineStr">
        <is>
          <t>BKK02</t>
        </is>
      </c>
      <c r="O67" s="96" t="inlineStr">
        <is>
          <t>BKK</t>
        </is>
      </c>
      <c r="P67" s="96" t="inlineStr">
        <is>
          <t>TH</t>
        </is>
      </c>
      <c r="Q67" s="96" t="inlineStr">
        <is>
          <t>HASLS22260902436</t>
        </is>
      </c>
      <c r="R67" s="96" t="inlineStr">
        <is>
          <t>N</t>
        </is>
      </c>
      <c r="S67" s="96" t="inlineStr">
        <is>
          <t>N</t>
        </is>
      </c>
      <c r="T67" s="96" t="inlineStr">
        <is>
          <t>KST</t>
        </is>
      </c>
      <c r="U67" s="97" t="n"/>
      <c r="V67" s="96" t="inlineStr">
        <is>
          <t>C0426001</t>
        </is>
      </c>
      <c r="W67" s="96" t="inlineStr">
        <is>
          <t>ACCORD PILOT LOGISTICS (THAILAND)</t>
        </is>
      </c>
      <c r="X67" s="96" t="inlineStr">
        <is>
          <t>VFD</t>
        </is>
      </c>
      <c r="Y67" s="96" t="inlineStr">
        <is>
          <t>0313201593#YOUNG-KO CO.,LTD#</t>
        </is>
      </c>
      <c r="Z67" s="96" t="inlineStr">
        <is>
          <t>0313201593#YOUNG-KO CO.,LTD#</t>
        </is>
      </c>
      <c r="AA67" s="97" t="n">
        <v>21168</v>
      </c>
      <c r="AB67" s="96" t="inlineStr">
        <is>
          <t>BKK02</t>
        </is>
      </c>
      <c r="AC67" s="96" t="inlineStr">
        <is>
          <t>SGN03</t>
        </is>
      </c>
    </row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2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HASLS22260801065</t>
        </is>
      </c>
      <c r="B2" s="96" t="inlineStr">
        <is>
          <t>20'x5</t>
        </is>
      </c>
      <c r="C2" s="97" t="n">
        <v>5</v>
      </c>
      <c r="D2" s="97" t="n">
        <v>5</v>
      </c>
      <c r="E2" s="97" t="n"/>
      <c r="F2" s="97" t="n">
        <v>0</v>
      </c>
      <c r="G2" s="97" t="n">
        <v>5</v>
      </c>
      <c r="H2" s="97" t="n">
        <v>0</v>
      </c>
      <c r="I2" s="97" t="n">
        <v>0</v>
      </c>
      <c r="J2" s="97" t="n">
        <v>5</v>
      </c>
      <c r="K2" s="96" t="inlineStr">
        <is>
          <t>N</t>
        </is>
      </c>
      <c r="L2" s="96" t="inlineStr">
        <is>
          <t>KST</t>
        </is>
      </c>
      <c r="M2" s="96" t="inlineStr">
        <is>
          <t>SWAL</t>
        </is>
      </c>
      <c r="N2" s="96" t="inlineStr">
        <is>
          <t>2609N</t>
        </is>
      </c>
      <c r="O2" s="96" t="inlineStr">
        <is>
          <t>THBKK</t>
        </is>
      </c>
      <c r="P2" s="96" t="inlineStr">
        <is>
          <t>BKK02</t>
        </is>
      </c>
      <c r="Q2" s="96" t="inlineStr">
        <is>
          <t>IA</t>
        </is>
      </c>
      <c r="R2" s="161" t="inlineStr">
        <is>
          <t>2026-10-22</t>
        </is>
      </c>
      <c r="S2" s="96" t="inlineStr">
        <is>
          <t>KRINC</t>
        </is>
      </c>
      <c r="T2" s="96" t="inlineStr">
        <is>
          <t>INC07</t>
        </is>
      </c>
      <c r="U2" s="96" t="inlineStr">
        <is>
          <t>KRINC</t>
        </is>
      </c>
      <c r="V2" s="161" t="inlineStr">
        <is>
          <t>2026-10-30</t>
        </is>
      </c>
      <c r="W2" s="96" t="inlineStr">
        <is>
          <t>KR</t>
        </is>
      </c>
      <c r="X2" s="97" t="n"/>
      <c r="Y2" s="97" t="n"/>
      <c r="Z2" s="97" t="n"/>
      <c r="AA2" s="96" t="inlineStr">
        <is>
          <t>KORCHINA FREIGHT (THAILAND) CO., LTD.</t>
        </is>
      </c>
      <c r="AB2" s="96" t="inlineStr">
        <is>
          <t>RIVER KWAI INTERNATIONAL FOOD INDUSTRY CO., LTD.</t>
        </is>
      </c>
      <c r="AC2" s="163" t="n">
        <v>103320</v>
      </c>
      <c r="AD2" s="163" t="n">
        <v>114320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CON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TH0031</t>
        </is>
      </c>
      <c r="AN2" s="96" t="inlineStr">
        <is>
          <t>Pattarapong Saengthong</t>
        </is>
      </c>
      <c r="AO2" s="96" t="inlineStr">
        <is>
          <t>CANNED KERNEL CORN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SUR</t>
        </is>
      </c>
      <c r="AZ2" s="96" t="inlineStr">
        <is>
          <t>Pickup : 2026-10-07, Return : 2026-10-09</t>
        </is>
      </c>
      <c r="BA2" s="97" t="inlineStr">
        <is>
          <t xml:space="preserve">ROLL OVER FORM PREVIOUS VSL SWBT 2616N BY ALLOCATION TEAM MS.TARN APPROVED COST IS UNDER HA DD.15/10
FM SWDN 2610N DD 09/09
FM KMGY 2610N DD 07/09 
FM SWDN 2610N DD 19/08 </t>
        </is>
      </c>
      <c r="BB2" s="96" t="inlineStr">
        <is>
          <t>P</t>
        </is>
      </c>
      <c r="BC2" s="161" t="inlineStr">
        <is>
          <t>2026-08-14</t>
        </is>
      </c>
      <c r="BD2" s="161" t="inlineStr">
        <is>
          <t>2026-10-15</t>
        </is>
      </c>
      <c r="BE2" s="96" t="inlineStr">
        <is>
          <t>Y</t>
        </is>
      </c>
      <c r="BF2" s="96" t="inlineStr">
        <is>
          <t>CANNED KERNEL CORN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2026-10-07</t>
        </is>
      </c>
      <c r="BM2" s="127" t="n"/>
      <c r="BN2" s="127" t="n">
        <v>5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BKK02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seaexport4@korchina.co.th;seaexport2@korchina.co.th;seaexport@korchina.co.th;toeybaiibaiii@gmail.com</t>
        </is>
      </c>
      <c r="CJ2" s="96" t="inlineStr">
        <is>
          <t>KORCHINA FREIGHT(THAILAND)CO.,LTD.</t>
        </is>
      </c>
      <c r="CK2" s="96" t="inlineStr">
        <is>
          <t>PARKS WAY CO.,LTD.</t>
        </is>
      </c>
      <c r="CL2" s="96" t="inlineStr">
        <is>
          <t>PARKS WAY CO.,LTD.</t>
        </is>
      </c>
      <c r="CM2" s="97" t="inlineStr">
        <is>
          <t>CLOSED</t>
        </is>
      </c>
      <c r="CN2" s="96" t="inlineStr">
        <is>
          <t>202610191700</t>
        </is>
      </c>
      <c r="CO2" s="96" t="inlineStr">
        <is>
          <t>202610201800</t>
        </is>
      </c>
      <c r="CP2" s="97" t="n"/>
      <c r="CQ2" s="96" t="inlineStr">
        <is>
          <t>S22-2308041</t>
        </is>
      </c>
      <c r="CR2" s="96" t="inlineStr">
        <is>
          <t>THTKT0</t>
        </is>
      </c>
      <c r="CS2" s="96" t="inlineStr">
        <is>
          <t>KORCHINA FREIGHT (THAILAND) CO., LTD.</t>
        </is>
      </c>
      <c r="CT2" s="96" t="inlineStr">
        <is>
          <t>N</t>
        </is>
      </c>
      <c r="CU2" s="97" t="n"/>
      <c r="CV2" s="97" t="n"/>
      <c r="CW2" s="161" t="inlineStr">
        <is>
          <t>2026-10-20</t>
        </is>
      </c>
      <c r="CX2" s="97" t="n"/>
      <c r="CY2" s="156" t="n"/>
    </row>
    <row r="3" ht="12" customHeight="1">
      <c r="A3" s="116" t="inlineStr">
        <is>
          <t>HASLS22260801961</t>
        </is>
      </c>
      <c r="B3" s="96" t="inlineStr">
        <is>
          <t>20'x10</t>
        </is>
      </c>
      <c r="C3" s="97" t="n">
        <v>10</v>
      </c>
      <c r="D3" s="97" t="n">
        <v>10</v>
      </c>
      <c r="E3" s="97" t="n"/>
      <c r="F3" s="97" t="n">
        <v>0</v>
      </c>
      <c r="G3" s="97" t="n">
        <v>10</v>
      </c>
      <c r="H3" s="97" t="n">
        <v>0</v>
      </c>
      <c r="I3" s="97" t="n">
        <v>0</v>
      </c>
      <c r="J3" s="97" t="n">
        <v>10</v>
      </c>
      <c r="K3" s="96" t="inlineStr">
        <is>
          <t>N</t>
        </is>
      </c>
      <c r="L3" s="96" t="inlineStr">
        <is>
          <t>KST</t>
        </is>
      </c>
      <c r="M3" s="96" t="inlineStr">
        <is>
          <t>SWAL</t>
        </is>
      </c>
      <c r="N3" s="96" t="inlineStr">
        <is>
          <t>2609N</t>
        </is>
      </c>
      <c r="O3" s="96" t="inlineStr">
        <is>
          <t>THBKK</t>
        </is>
      </c>
      <c r="P3" s="96" t="inlineStr">
        <is>
          <t>BKK02</t>
        </is>
      </c>
      <c r="Q3" s="96" t="inlineStr">
        <is>
          <t>IA</t>
        </is>
      </c>
      <c r="R3" s="161" t="inlineStr">
        <is>
          <t>2026-10-22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2026-10-24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SCGJWD LOGISTICS PUBLIC COMPANY LIMITED</t>
        </is>
      </c>
      <c r="AB3" s="96" t="inlineStr">
        <is>
          <t>SCG INTERNATIONAL CORPORATION CO., LTD.</t>
        </is>
      </c>
      <c r="AC3" s="163" t="n">
        <v>252540</v>
      </c>
      <c r="AD3" s="163" t="n">
        <v>274540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TBKK19</t>
        </is>
      </c>
      <c r="AN3" s="96" t="inlineStr">
        <is>
          <t>Kanokporn</t>
        </is>
      </c>
      <c r="AO3" s="96" t="inlineStr">
        <is>
          <t>WHITE CLINKER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SUR</t>
        </is>
      </c>
      <c r="AZ3" s="96" t="inlineStr">
        <is>
          <t xml:space="preserve">CY-RTN : 12-15/10/2026  (26IHWCL77)  </t>
        </is>
      </c>
      <c r="BA3" s="97" t="inlineStr">
        <is>
          <t>FM SWAL 2608N BY HAL (SKIP THAILAND) DD 01/09   
FM DJCF 0152N BY HAL DD.25/09
RQST CHANGE VSL FM SWIC 2611N BY HA DD.28/10 ถ้าลูกค้าจะคืนวันที่ 9/10 accept นะคะ ทางเราขอย้ายเรือ เขาเนื่องจากน้ำหนักติREQUEST SURRENDER BL ISSUE INVOICE NAME : SCGJWD FREIGHT COMPANY LIMITED 36 KRUNGTHEP KREETHA ROAD, HUAMARK, BANGKAPI, BANGKOK 10240 (HEAD OFFICE) TAX ID :   0105567233336</t>
        </is>
      </c>
      <c r="BB3" s="96" t="inlineStr">
        <is>
          <t>P</t>
        </is>
      </c>
      <c r="BC3" s="161" t="inlineStr">
        <is>
          <t>2026-08-24</t>
        </is>
      </c>
      <c r="BD3" s="161" t="inlineStr">
        <is>
          <t>2026-10-19</t>
        </is>
      </c>
      <c r="BE3" s="96" t="inlineStr">
        <is>
          <t>Y</t>
        </is>
      </c>
      <c r="BF3" s="96" t="inlineStr">
        <is>
          <t>WHITE CLINKER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BKK25</t>
        </is>
      </c>
      <c r="BL3" s="161" t="inlineStr">
        <is>
          <t>2026-10-12</t>
        </is>
      </c>
      <c r="BM3" s="127" t="n"/>
      <c r="BN3" s="127" t="n">
        <v>10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n"/>
      <c r="CB3" s="97" t="n"/>
      <c r="CC3" s="96" t="inlineStr">
        <is>
          <t>BKK02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chadchph@scgjwd.com</t>
        </is>
      </c>
      <c r="CJ3" s="96" t="inlineStr">
        <is>
          <t>SCG INTERNATIONAL CORPORATION CO.,</t>
        </is>
      </c>
      <c r="CK3" s="96" t="inlineStr">
        <is>
          <t>BUU LONG INDUSTRY AND INVESTMENT</t>
        </is>
      </c>
      <c r="CL3" s="96" t="inlineStr">
        <is>
          <t>BUU LONG INDUSTRY AND INVESTMENT</t>
        </is>
      </c>
      <c r="CM3" s="97" t="inlineStr">
        <is>
          <t>CLOSED</t>
        </is>
      </c>
      <c r="CN3" s="96" t="inlineStr">
        <is>
          <t>202610191700</t>
        </is>
      </c>
      <c r="CO3" s="96" t="inlineStr">
        <is>
          <t>202610201800</t>
        </is>
      </c>
      <c r="CP3" s="97" t="n"/>
      <c r="CQ3" s="96" t="inlineStr">
        <is>
          <t>S19-2308041</t>
        </is>
      </c>
      <c r="CR3" s="96" t="inlineStr">
        <is>
          <t>TH0235</t>
        </is>
      </c>
      <c r="CS3" s="96" t="inlineStr">
        <is>
          <t>SCGJWD LOGISTICS PUBLIC COMPANY LIMITED</t>
        </is>
      </c>
      <c r="CT3" s="96" t="inlineStr">
        <is>
          <t>N</t>
        </is>
      </c>
      <c r="CU3" s="97" t="n"/>
      <c r="CV3" s="97" t="n"/>
      <c r="CW3" s="161" t="inlineStr">
        <is>
          <t>2026-10-19</t>
        </is>
      </c>
      <c r="CX3" s="97" t="inlineStr">
        <is>
          <t>252310</t>
        </is>
      </c>
      <c r="CY3" s="183" t="n"/>
    </row>
    <row r="4" ht="12" customHeight="1">
      <c r="A4" s="116" t="inlineStr">
        <is>
          <t>HASLS22260900541</t>
        </is>
      </c>
      <c r="B4" s="96" t="inlineStr">
        <is>
          <t>20'x2</t>
        </is>
      </c>
      <c r="C4" s="97" t="n">
        <v>2</v>
      </c>
      <c r="D4" s="97" t="n">
        <v>2</v>
      </c>
      <c r="E4" s="97" t="n"/>
      <c r="F4" s="97" t="n">
        <v>0</v>
      </c>
      <c r="G4" s="97" t="n">
        <v>2</v>
      </c>
      <c r="H4" s="97" t="n">
        <v>0</v>
      </c>
      <c r="I4" s="97" t="n">
        <v>0</v>
      </c>
      <c r="J4" s="97" t="n">
        <v>2</v>
      </c>
      <c r="K4" s="96" t="inlineStr">
        <is>
          <t>N</t>
        </is>
      </c>
      <c r="L4" s="96" t="inlineStr">
        <is>
          <t>KST</t>
        </is>
      </c>
      <c r="M4" s="96" t="inlineStr">
        <is>
          <t>SWAL</t>
        </is>
      </c>
      <c r="N4" s="96" t="inlineStr">
        <is>
          <t>2609N</t>
        </is>
      </c>
      <c r="O4" s="96" t="inlineStr">
        <is>
          <t>THBKK</t>
        </is>
      </c>
      <c r="P4" s="96" t="inlineStr">
        <is>
          <t>BKK02</t>
        </is>
      </c>
      <c r="Q4" s="96" t="inlineStr">
        <is>
          <t>IA</t>
        </is>
      </c>
      <c r="R4" s="161" t="inlineStr">
        <is>
          <t>2026-10-22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2026-10-24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MERCURIAL LOGISTICS  CO.,LTD</t>
        </is>
      </c>
      <c r="AB4" s="96" t="inlineStr">
        <is>
          <t>UENO FINE CHEMICALS INDUSTRY (THAILAND) LTD.</t>
        </is>
      </c>
      <c r="AC4" s="163" t="n">
        <v>40160</v>
      </c>
      <c r="AD4" s="163" t="n">
        <v>44560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TH0011</t>
        </is>
      </c>
      <c r="AN4" s="96" t="inlineStr">
        <is>
          <t>Nannaapust Sukporntaweewat</t>
        </is>
      </c>
      <c r="AO4" s="96" t="inlineStr">
        <is>
          <t>MALTITOL SYRUP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SUR</t>
        </is>
      </c>
      <c r="AZ4" s="96" t="inlineStr">
        <is>
          <t>Pickup : 2026-09-08, Return : 2026-09-09</t>
        </is>
      </c>
      <c r="BA4" s="97" t="inlineStr">
        <is>
          <t>ROLL OVER FROM PREIVOUS VSL PGPO 2612N BY ALLOCATION TEAM MS,TARN APPROVED COST IS UNDER HA DD.13/10</t>
        </is>
      </c>
      <c r="BB4" s="96" t="inlineStr">
        <is>
          <t>P</t>
        </is>
      </c>
      <c r="BC4" s="161" t="inlineStr">
        <is>
          <t>2026-09-07</t>
        </is>
      </c>
      <c r="BD4" s="161" t="inlineStr">
        <is>
          <t>2026-10-13</t>
        </is>
      </c>
      <c r="BE4" s="96" t="inlineStr">
        <is>
          <t>Y</t>
        </is>
      </c>
      <c r="BF4" s="96" t="inlineStr">
        <is>
          <t>MALTITOL SYRUP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BKK25</t>
        </is>
      </c>
      <c r="BL4" s="161" t="inlineStr">
        <is>
          <t>2026-09-08</t>
        </is>
      </c>
      <c r="BM4" s="127" t="n"/>
      <c r="BN4" s="127" t="n">
        <v>2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BKK02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pongpasin@mercurial.co.th</t>
        </is>
      </c>
      <c r="CJ4" s="96" t="inlineStr">
        <is>
          <t>UENO FINE CHEMICALS INDUSTRY</t>
        </is>
      </c>
      <c r="CK4" s="96" t="inlineStr">
        <is>
          <t>YAKULT VIETNAM CO.,LTD.</t>
        </is>
      </c>
      <c r="CL4" s="96" t="inlineStr">
        <is>
          <t>YAKULT VIETNAM CO.,LTD.</t>
        </is>
      </c>
      <c r="CM4" s="97" t="inlineStr">
        <is>
          <t>CLOSED</t>
        </is>
      </c>
      <c r="CN4" s="96" t="inlineStr">
        <is>
          <t>202610191700</t>
        </is>
      </c>
      <c r="CO4" s="96" t="inlineStr">
        <is>
          <t>202610201800</t>
        </is>
      </c>
      <c r="CP4" s="97" t="n"/>
      <c r="CQ4" s="96" t="inlineStr">
        <is>
          <t>S22-2502030</t>
        </is>
      </c>
      <c r="CR4" s="96" t="inlineStr">
        <is>
          <t>THTTNE</t>
        </is>
      </c>
      <c r="CS4" s="96" t="inlineStr">
        <is>
          <t>MERCURIAL LOGISTICS  CO.,LTD</t>
        </is>
      </c>
      <c r="CT4" s="96" t="inlineStr">
        <is>
          <t>N</t>
        </is>
      </c>
      <c r="CU4" s="97" t="n"/>
      <c r="CV4" s="97" t="n"/>
      <c r="CW4" s="161" t="inlineStr">
        <is>
          <t>2026-10-20</t>
        </is>
      </c>
      <c r="CX4" s="97" t="inlineStr">
        <is>
          <t>382499</t>
        </is>
      </c>
      <c r="CY4" s="183" t="inlineStr">
        <is>
          <t>ROLL OVER FROM PREIVOUS VSL PGPO 2612N BY ALLOCATION TEAM MS,TARN APPROVED COST IS UNDER HA DD.13/10</t>
        </is>
      </c>
    </row>
    <row r="5" ht="12" customHeight="1">
      <c r="A5" s="116" t="inlineStr">
        <is>
          <t>HASLS22260900821</t>
        </is>
      </c>
      <c r="B5" s="96" t="inlineStr">
        <is>
          <t>40Hx3</t>
        </is>
      </c>
      <c r="C5" s="97" t="n">
        <v>3</v>
      </c>
      <c r="D5" s="97" t="n">
        <v>3</v>
      </c>
      <c r="E5" s="97" t="n"/>
      <c r="F5" s="97" t="n">
        <v>0</v>
      </c>
      <c r="G5" s="97" t="n">
        <v>0</v>
      </c>
      <c r="H5" s="97" t="n">
        <v>0</v>
      </c>
      <c r="I5" s="97" t="n">
        <v>3</v>
      </c>
      <c r="J5" s="97" t="n">
        <v>6</v>
      </c>
      <c r="K5" s="96" t="inlineStr">
        <is>
          <t>N</t>
        </is>
      </c>
      <c r="L5" s="96" t="inlineStr">
        <is>
          <t>KST</t>
        </is>
      </c>
      <c r="M5" s="96" t="inlineStr">
        <is>
          <t>SWAL</t>
        </is>
      </c>
      <c r="N5" s="96" t="inlineStr">
        <is>
          <t>2609N</t>
        </is>
      </c>
      <c r="O5" s="96" t="inlineStr">
        <is>
          <t>THBKK</t>
        </is>
      </c>
      <c r="P5" s="96" t="inlineStr">
        <is>
          <t>BKK02</t>
        </is>
      </c>
      <c r="Q5" s="96" t="inlineStr">
        <is>
          <t>IA</t>
        </is>
      </c>
      <c r="R5" s="161" t="inlineStr">
        <is>
          <t>2026-10-22</t>
        </is>
      </c>
      <c r="S5" s="96" t="inlineStr">
        <is>
          <t>JPTKS</t>
        </is>
      </c>
      <c r="T5" s="96" t="inlineStr">
        <is>
          <t>TKS02</t>
        </is>
      </c>
      <c r="U5" s="96" t="inlineStr">
        <is>
          <t>JPTKS</t>
        </is>
      </c>
      <c r="V5" s="161" t="inlineStr">
        <is>
          <t>2026-11-14</t>
        </is>
      </c>
      <c r="W5" s="96" t="inlineStr">
        <is>
          <t>JP</t>
        </is>
      </c>
      <c r="X5" s="97" t="n"/>
      <c r="Y5" s="97" t="inlineStr">
        <is>
          <t>PUS05</t>
        </is>
      </c>
      <c r="Z5" s="97" t="inlineStr">
        <is>
          <t>KRPUS</t>
        </is>
      </c>
      <c r="AA5" s="96" t="inlineStr">
        <is>
          <t>YOUNGSUWAT TRADING CO.,LTD.</t>
        </is>
      </c>
      <c r="AB5" s="96" t="inlineStr">
        <is>
          <t>YOUNGSUWAT TRADING CO.,LTD.</t>
        </is>
      </c>
      <c r="AC5" s="163" t="n">
        <v>72240</v>
      </c>
      <c r="AD5" s="163" t="n">
        <v>84240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TBKK55</t>
        </is>
      </c>
      <c r="AN5" s="96" t="inlineStr">
        <is>
          <t>Vilaiporn</t>
        </is>
      </c>
      <c r="AO5" s="96" t="inlineStr">
        <is>
          <t>CORN COB MEAL</t>
        </is>
      </c>
      <c r="AP5" s="96" t="inlineStr">
        <is>
          <t>T/S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SUR</t>
        </is>
      </c>
      <c r="AZ5" s="96" t="inlineStr">
        <is>
          <t>[FIX]Pickup : 2026-10-14, Return : 2026-10-15</t>
        </is>
      </c>
      <c r="BA5" s="97" t="n"/>
      <c r="BB5" s="96" t="inlineStr">
        <is>
          <t>P</t>
        </is>
      </c>
      <c r="BC5" s="161" t="inlineStr">
        <is>
          <t>2026-09-09</t>
        </is>
      </c>
      <c r="BD5" s="161" t="inlineStr">
        <is>
          <t>2026-10-15</t>
        </is>
      </c>
      <c r="BE5" s="96" t="inlineStr">
        <is>
          <t>Y</t>
        </is>
      </c>
      <c r="BF5" s="96" t="inlineStr">
        <is>
          <t>CORN COB MEAL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2026-10-14</t>
        </is>
      </c>
      <c r="BM5" s="127" t="n"/>
      <c r="BN5" s="127" t="n"/>
      <c r="BO5" s="127" t="n"/>
      <c r="BP5" s="127" t="n">
        <v>3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10</v>
      </c>
      <c r="CA5" s="96" t="inlineStr">
        <is>
          <t>Y</t>
        </is>
      </c>
      <c r="CB5" s="97" t="n"/>
      <c r="CC5" s="96" t="inlineStr">
        <is>
          <t>BKK02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THBKK [SWAL/2609N]; T/S(1st): KRPUS [PCTJ/2650E]; POD: JPTKS [/]</t>
        </is>
      </c>
      <c r="CI5" s="96" t="inlineStr">
        <is>
          <t>phetcharat.p@yswtrading.co.th;export.yst1@gmail.com;piyaluck.p@yswtrading.co.th;export.yst@yswtrading.co.th</t>
        </is>
      </c>
      <c r="CJ5" s="96" t="inlineStr">
        <is>
          <t>YONGSUWAT TRADING CO., LTD.</t>
        </is>
      </c>
      <c r="CK5" s="96" t="inlineStr">
        <is>
          <t>VOX TRADING CO., LTD.</t>
        </is>
      </c>
      <c r="CL5" s="96" t="inlineStr">
        <is>
          <t>VOX TRADING CO., LTD.</t>
        </is>
      </c>
      <c r="CM5" s="97" t="inlineStr">
        <is>
          <t>CLOSED</t>
        </is>
      </c>
      <c r="CN5" s="96" t="inlineStr">
        <is>
          <t>202610191700</t>
        </is>
      </c>
      <c r="CO5" s="96" t="inlineStr">
        <is>
          <t>202610201800</t>
        </is>
      </c>
      <c r="CP5" s="97" t="n"/>
      <c r="CQ5" s="96" t="inlineStr">
        <is>
          <t>S19-2308046</t>
        </is>
      </c>
      <c r="CR5" s="96" t="inlineStr">
        <is>
          <t>THTSPI</t>
        </is>
      </c>
      <c r="CS5" s="96" t="inlineStr">
        <is>
          <t>YOUNGSUWAT TRADING CO.,LTD.</t>
        </is>
      </c>
      <c r="CT5" s="96" t="inlineStr">
        <is>
          <t>N</t>
        </is>
      </c>
      <c r="CU5" s="97" t="n"/>
      <c r="CV5" s="97" t="n"/>
      <c r="CW5" s="161" t="inlineStr">
        <is>
          <t>2026-10-19</t>
        </is>
      </c>
      <c r="CX5" s="97" t="inlineStr">
        <is>
          <t>121300</t>
        </is>
      </c>
      <c r="CY5" s="183" t="n"/>
    </row>
    <row r="6" ht="12" customHeight="1">
      <c r="A6" s="116" t="inlineStr">
        <is>
          <t>HASLS22260900823</t>
        </is>
      </c>
      <c r="B6" s="96" t="inlineStr">
        <is>
          <t>40Hx3</t>
        </is>
      </c>
      <c r="C6" s="97" t="n">
        <v>3</v>
      </c>
      <c r="D6" s="97" t="n">
        <v>3</v>
      </c>
      <c r="E6" s="97" t="n"/>
      <c r="F6" s="97" t="n">
        <v>0</v>
      </c>
      <c r="G6" s="97" t="n">
        <v>0</v>
      </c>
      <c r="H6" s="97" t="n">
        <v>0</v>
      </c>
      <c r="I6" s="97" t="n">
        <v>3</v>
      </c>
      <c r="J6" s="97" t="n">
        <v>6</v>
      </c>
      <c r="K6" s="96" t="inlineStr">
        <is>
          <t>N</t>
        </is>
      </c>
      <c r="L6" s="96" t="inlineStr">
        <is>
          <t>KST</t>
        </is>
      </c>
      <c r="M6" s="96" t="inlineStr">
        <is>
          <t>SWAL</t>
        </is>
      </c>
      <c r="N6" s="96" t="inlineStr">
        <is>
          <t>2609N</t>
        </is>
      </c>
      <c r="O6" s="96" t="inlineStr">
        <is>
          <t>THBKK</t>
        </is>
      </c>
      <c r="P6" s="96" t="inlineStr">
        <is>
          <t>BKK02</t>
        </is>
      </c>
      <c r="Q6" s="96" t="inlineStr">
        <is>
          <t>IA</t>
        </is>
      </c>
      <c r="R6" s="161" t="inlineStr">
        <is>
          <t>2026-10-22</t>
        </is>
      </c>
      <c r="S6" s="96" t="inlineStr">
        <is>
          <t>JPTOS</t>
        </is>
      </c>
      <c r="T6" s="96" t="inlineStr">
        <is>
          <t>TOS01</t>
        </is>
      </c>
      <c r="U6" s="96" t="inlineStr">
        <is>
          <t>JPTOS</t>
        </is>
      </c>
      <c r="V6" s="161" t="inlineStr">
        <is>
          <t>2026-11-12</t>
        </is>
      </c>
      <c r="W6" s="96" t="inlineStr">
        <is>
          <t>JP</t>
        </is>
      </c>
      <c r="X6" s="97" t="n"/>
      <c r="Y6" s="97" t="inlineStr">
        <is>
          <t>PUS05</t>
        </is>
      </c>
      <c r="Z6" s="97" t="inlineStr">
        <is>
          <t>KRPUS</t>
        </is>
      </c>
      <c r="AA6" s="96" t="inlineStr">
        <is>
          <t>YOUNGSUWAT TRADING CO.,LTD.</t>
        </is>
      </c>
      <c r="AB6" s="96" t="inlineStr">
        <is>
          <t>YOUNGSUWAT TRADING CO.,LTD.</t>
        </is>
      </c>
      <c r="AC6" s="163" t="n">
        <v>72240</v>
      </c>
      <c r="AD6" s="163" t="n">
        <v>84240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TBKK55</t>
        </is>
      </c>
      <c r="AN6" s="96" t="inlineStr">
        <is>
          <t>Vilaiporn</t>
        </is>
      </c>
      <c r="AO6" s="96" t="inlineStr">
        <is>
          <t>CORN COB MEAL</t>
        </is>
      </c>
      <c r="AP6" s="96" t="inlineStr">
        <is>
          <t>T/S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SUR</t>
        </is>
      </c>
      <c r="AZ6" s="96" t="inlineStr">
        <is>
          <t xml:space="preserve">Pickup : 2026-10-14, Return : 2026-10-15 </t>
        </is>
      </c>
      <c r="BA6" s="97" t="inlineStr">
        <is>
          <t xml:space="preserve">1X40'HQ SPLIT FM HASLS22260900822 DD 06/10 </t>
        </is>
      </c>
      <c r="BB6" s="96" t="inlineStr">
        <is>
          <t>P</t>
        </is>
      </c>
      <c r="BC6" s="161" t="inlineStr">
        <is>
          <t>2026-09-09</t>
        </is>
      </c>
      <c r="BD6" s="161" t="inlineStr">
        <is>
          <t>2026-10-15</t>
        </is>
      </c>
      <c r="BE6" s="96" t="inlineStr">
        <is>
          <t>Y</t>
        </is>
      </c>
      <c r="BF6" s="96" t="inlineStr">
        <is>
          <t>CORN COB MEAL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BKK27</t>
        </is>
      </c>
      <c r="BL6" s="161" t="inlineStr">
        <is>
          <t>2026-10-14</t>
        </is>
      </c>
      <c r="BM6" s="127" t="n"/>
      <c r="BN6" s="127" t="n"/>
      <c r="BO6" s="127" t="n"/>
      <c r="BP6" s="127" t="n">
        <v>3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>
        <v>8</v>
      </c>
      <c r="CA6" s="96" t="inlineStr">
        <is>
          <t>Y</t>
        </is>
      </c>
      <c r="CB6" s="97" t="n"/>
      <c r="CC6" s="96" t="inlineStr">
        <is>
          <t>BKK02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inlineStr">
        <is>
          <t>POL: THBKK [SWAL/2609N]; T/S(1st): KRPUS [SKJD/2618E]; POD: JPTOS [/]</t>
        </is>
      </c>
      <c r="CI6" s="96" t="inlineStr">
        <is>
          <t>phetcharat.p@yswtrading.co.th;export.yst@yswtrading.co.th;piyaluck.p@yswtrading.co.th</t>
        </is>
      </c>
      <c r="CJ6" s="96" t="inlineStr">
        <is>
          <t>YONGSUWAT TRADING CO., LTD.</t>
        </is>
      </c>
      <c r="CK6" s="96" t="inlineStr">
        <is>
          <t>VOX TRADING CO., LTD.</t>
        </is>
      </c>
      <c r="CL6" s="96" t="inlineStr">
        <is>
          <t>VOX TRADING CO., LTD.</t>
        </is>
      </c>
      <c r="CM6" s="97" t="inlineStr">
        <is>
          <t>CLOSED</t>
        </is>
      </c>
      <c r="CN6" s="96" t="inlineStr">
        <is>
          <t>202610191700</t>
        </is>
      </c>
      <c r="CO6" s="96" t="inlineStr">
        <is>
          <t>202610201800</t>
        </is>
      </c>
      <c r="CP6" s="97" t="n"/>
      <c r="CQ6" s="96" t="inlineStr">
        <is>
          <t>S19-2308046</t>
        </is>
      </c>
      <c r="CR6" s="96" t="inlineStr">
        <is>
          <t>THTSPI</t>
        </is>
      </c>
      <c r="CS6" s="96" t="inlineStr">
        <is>
          <t>YOUNGSUWAT TRADING CO.,LTD.</t>
        </is>
      </c>
      <c r="CT6" s="96" t="inlineStr">
        <is>
          <t>N</t>
        </is>
      </c>
      <c r="CU6" s="97" t="n"/>
      <c r="CV6" s="97" t="n"/>
      <c r="CW6" s="161" t="inlineStr">
        <is>
          <t>2026-10-19</t>
        </is>
      </c>
      <c r="CX6" s="97" t="inlineStr">
        <is>
          <t>121300</t>
        </is>
      </c>
      <c r="CY6" s="183" t="n"/>
    </row>
    <row r="7" ht="12" customHeight="1">
      <c r="A7" s="116" t="inlineStr">
        <is>
          <t>HASLS22260901080</t>
        </is>
      </c>
      <c r="B7" s="96" t="inlineStr">
        <is>
          <t>40Hx1</t>
        </is>
      </c>
      <c r="C7" s="97" t="n">
        <v>1</v>
      </c>
      <c r="D7" s="97" t="n">
        <v>1</v>
      </c>
      <c r="E7" s="97" t="n"/>
      <c r="F7" s="97" t="n">
        <v>0</v>
      </c>
      <c r="G7" s="97" t="n">
        <v>0</v>
      </c>
      <c r="H7" s="97" t="n">
        <v>0</v>
      </c>
      <c r="I7" s="97" t="n">
        <v>1</v>
      </c>
      <c r="J7" s="97" t="n">
        <v>2</v>
      </c>
      <c r="K7" s="96" t="inlineStr">
        <is>
          <t>N</t>
        </is>
      </c>
      <c r="L7" s="96" t="inlineStr">
        <is>
          <t>KST</t>
        </is>
      </c>
      <c r="M7" s="96" t="inlineStr">
        <is>
          <t>SWAL</t>
        </is>
      </c>
      <c r="N7" s="96" t="inlineStr">
        <is>
          <t>2609N</t>
        </is>
      </c>
      <c r="O7" s="96" t="inlineStr">
        <is>
          <t>THBKK</t>
        </is>
      </c>
      <c r="P7" s="96" t="inlineStr">
        <is>
          <t>BKK02</t>
        </is>
      </c>
      <c r="Q7" s="96" t="inlineStr">
        <is>
          <t>IA</t>
        </is>
      </c>
      <c r="R7" s="161" t="inlineStr">
        <is>
          <t>2026-10-22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2026-10-24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EAST-LINK CORPORATION CO., LTD.</t>
        </is>
      </c>
      <c r="AB7" s="96" t="inlineStr">
        <is>
          <t>SIAM FUKOKU CO.,LTD.</t>
        </is>
      </c>
      <c r="AC7" s="163" t="n">
        <v>2656.85</v>
      </c>
      <c r="AD7" s="163" t="n">
        <v>6656.85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CON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BLADE RUBBER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SUR</t>
        </is>
      </c>
      <c r="AZ7" s="96" t="inlineStr">
        <is>
          <t>Pickup : 2026-10-15, Return : 2026-10-16 (EXTEND CLOSING DD.17/10/26 @23.59)</t>
        </is>
      </c>
      <c r="BA7" s="97" t="inlineStr">
        <is>
          <t>RQS CLEAN &amp; GOOD CONTAINER CONDITION.</t>
        </is>
      </c>
      <c r="BB7" s="96" t="inlineStr">
        <is>
          <t>C</t>
        </is>
      </c>
      <c r="BC7" s="161" t="inlineStr">
        <is>
          <t>2026-09-14</t>
        </is>
      </c>
      <c r="BD7" s="161" t="inlineStr">
        <is>
          <t>2026-10-19</t>
        </is>
      </c>
      <c r="BE7" s="96" t="inlineStr">
        <is>
          <t>Y</t>
        </is>
      </c>
      <c r="BF7" s="96" t="inlineStr">
        <is>
          <t>BLADE RUBBER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BKK25</t>
        </is>
      </c>
      <c r="BL7" s="161" t="inlineStr">
        <is>
          <t>2026-10-15</t>
        </is>
      </c>
      <c r="BM7" s="127" t="n"/>
      <c r="BN7" s="127" t="n"/>
      <c r="BO7" s="127" t="n"/>
      <c r="BP7" s="127" t="n">
        <v>1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BKK02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rockwell@eastlink-group.com</t>
        </is>
      </c>
      <c r="CJ7" s="96" t="inlineStr">
        <is>
          <t>EAST-LINK CORPORATION CO. , LTD.</t>
        </is>
      </c>
      <c r="CK7" s="96" t="inlineStr">
        <is>
          <t>BEE LOGISTICS CORP - HANOI BRANCH</t>
        </is>
      </c>
      <c r="CL7" s="96" t="inlineStr">
        <is>
          <t>BEE LOGISTICS CORP - HANOI BRANCH</t>
        </is>
      </c>
      <c r="CM7" s="97" t="inlineStr">
        <is>
          <t>CLOSED</t>
        </is>
      </c>
      <c r="CN7" s="96" t="inlineStr">
        <is>
          <t>202610191700</t>
        </is>
      </c>
      <c r="CO7" s="96" t="inlineStr">
        <is>
          <t>202610201800</t>
        </is>
      </c>
      <c r="CP7" s="97" t="n"/>
      <c r="CQ7" s="96" t="inlineStr">
        <is>
          <t>S22-2308019</t>
        </is>
      </c>
      <c r="CR7" s="96" t="inlineStr">
        <is>
          <t>TH03OT</t>
        </is>
      </c>
      <c r="CS7" s="96" t="inlineStr">
        <is>
          <t>EAST-LINK CORPORATION CO., LTD.</t>
        </is>
      </c>
      <c r="CT7" s="96" t="inlineStr">
        <is>
          <t>N</t>
        </is>
      </c>
      <c r="CU7" s="97" t="n"/>
      <c r="CV7" s="97" t="n"/>
      <c r="CW7" s="161" t="inlineStr">
        <is>
          <t>2026-10-19</t>
        </is>
      </c>
      <c r="CX7" s="97" t="inlineStr">
        <is>
          <t>401699</t>
        </is>
      </c>
      <c r="CY7" s="183" t="n"/>
    </row>
    <row r="8" ht="12" customHeight="1">
      <c r="A8" s="116" t="inlineStr">
        <is>
          <t>HASLS22260901654</t>
        </is>
      </c>
      <c r="B8" s="96" t="inlineStr">
        <is>
          <t>20'x4</t>
        </is>
      </c>
      <c r="C8" s="97" t="n">
        <v>0</v>
      </c>
      <c r="D8" s="97" t="n">
        <v>0</v>
      </c>
      <c r="E8" s="97" t="n"/>
      <c r="F8" s="97" t="n">
        <v>0</v>
      </c>
      <c r="G8" s="97" t="n">
        <v>4</v>
      </c>
      <c r="H8" s="97" t="n">
        <v>0</v>
      </c>
      <c r="I8" s="97" t="n">
        <v>0</v>
      </c>
      <c r="J8" s="97" t="n">
        <v>4</v>
      </c>
      <c r="K8" s="96" t="inlineStr">
        <is>
          <t>N</t>
        </is>
      </c>
      <c r="L8" s="96" t="inlineStr">
        <is>
          <t>KST</t>
        </is>
      </c>
      <c r="M8" s="96" t="inlineStr">
        <is>
          <t>SWAL</t>
        </is>
      </c>
      <c r="N8" s="96" t="inlineStr">
        <is>
          <t>2609N</t>
        </is>
      </c>
      <c r="O8" s="96" t="inlineStr">
        <is>
          <t>THBKK</t>
        </is>
      </c>
      <c r="P8" s="96" t="inlineStr">
        <is>
          <t>BKK02</t>
        </is>
      </c>
      <c r="Q8" s="96" t="inlineStr">
        <is>
          <t>IA</t>
        </is>
      </c>
      <c r="R8" s="161" t="inlineStr">
        <is>
          <t>2026-10-22</t>
        </is>
      </c>
      <c r="S8" s="96" t="inlineStr">
        <is>
          <t>VNSGN</t>
        </is>
      </c>
      <c r="T8" s="96" t="inlineStr">
        <is>
          <t>SGN03</t>
        </is>
      </c>
      <c r="U8" s="96" t="inlineStr">
        <is>
          <t>VNSGN</t>
        </is>
      </c>
      <c r="V8" s="161" t="inlineStr">
        <is>
          <t>2026-10-24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EXPEDITORS (THAILAND) LTD.</t>
        </is>
      </c>
      <c r="AB8" s="96" t="inlineStr">
        <is>
          <t>MINERAL RESOURCES DEVELOPMENT CO., LTD.</t>
        </is>
      </c>
      <c r="AC8" s="163" t="n">
        <v>100600</v>
      </c>
      <c r="AD8" s="163" t="n">
        <v>109400</v>
      </c>
      <c r="AE8" s="96" t="inlineStr">
        <is>
          <t>OK</t>
        </is>
      </c>
      <c r="AF8" s="96" t="n"/>
      <c r="AG8" s="97" t="n"/>
      <c r="AH8" s="96" t="inlineStr">
        <is>
          <t>CON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TBKK19</t>
        </is>
      </c>
      <c r="AN8" s="96" t="inlineStr">
        <is>
          <t>Kanokporn</t>
        </is>
      </c>
      <c r="AO8" s="96" t="inlineStr">
        <is>
          <t>"NO BRAND" MATERIAL "MRD LW CAST" KAOLIN RANONG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 xml:space="preserve">STUFFING CARGO @UNITHAI DD.15/10/26 CLS TIME CFS DD.16/10/26 - 17:00HRS.
</t>
        </is>
      </c>
      <c r="BA8" s="97" t="inlineStr">
        <is>
          <t>SI DD.19/10/26
FM SWMM 2609N BY K'DIA DD.30/09/2026</t>
        </is>
      </c>
      <c r="BB8" s="96" t="inlineStr">
        <is>
          <t>P</t>
        </is>
      </c>
      <c r="BC8" s="161" t="inlineStr">
        <is>
          <t>2026-09-18</t>
        </is>
      </c>
      <c r="BD8" s="161" t="inlineStr">
        <is>
          <t>2026-10-19</t>
        </is>
      </c>
      <c r="BE8" s="96" t="inlineStr">
        <is>
          <t>Y</t>
        </is>
      </c>
      <c r="BF8" s="96" t="inlineStr">
        <is>
          <t>KAOLIN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BKK02</t>
        </is>
      </c>
      <c r="BL8" s="161" t="inlineStr">
        <is>
          <t>2026-10-15</t>
        </is>
      </c>
      <c r="BM8" s="127" t="n"/>
      <c r="BN8" s="127" t="n">
        <v>4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BKK02</t>
        </is>
      </c>
      <c r="CD8" s="97" t="n"/>
      <c r="CE8" s="97" t="n"/>
      <c r="CF8" s="96" t="inlineStr">
        <is>
          <t>0 Teu</t>
        </is>
      </c>
      <c r="CG8" s="96" t="inlineStr">
        <is>
          <t>CFS/CY</t>
        </is>
      </c>
      <c r="CH8" s="97" t="n"/>
      <c r="CI8" s="96" t="inlineStr">
        <is>
          <t>alina.jantieng@expeditors.com</t>
        </is>
      </c>
      <c r="CJ8" s="96" t="inlineStr">
        <is>
          <t>EXPEDITORS THAILAND LTD.</t>
        </is>
      </c>
      <c r="CK8" s="96" t="inlineStr">
        <is>
          <t>EXPEDITORS VIETNAM COMPANY LIMITED</t>
        </is>
      </c>
      <c r="CL8" s="96" t="inlineStr">
        <is>
          <t>EXPEDITORS VIETNAM COMPANY LIMITED</t>
        </is>
      </c>
      <c r="CM8" s="97" t="inlineStr">
        <is>
          <t>CLOSED</t>
        </is>
      </c>
      <c r="CN8" s="96" t="inlineStr">
        <is>
          <t>202610191700</t>
        </is>
      </c>
      <c r="CO8" s="96" t="inlineStr">
        <is>
          <t>202610201800</t>
        </is>
      </c>
      <c r="CP8" s="97" t="n"/>
      <c r="CQ8" s="96" t="inlineStr">
        <is>
          <t>S22-2408021</t>
        </is>
      </c>
      <c r="CR8" s="96" t="inlineStr">
        <is>
          <t>BB0038</t>
        </is>
      </c>
      <c r="CS8" s="96" t="inlineStr">
        <is>
          <t>EXPEDITORS (THAILAND) LTD.</t>
        </is>
      </c>
      <c r="CT8" s="96" t="inlineStr">
        <is>
          <t>N</t>
        </is>
      </c>
      <c r="CU8" s="97" t="n"/>
      <c r="CV8" s="97" t="n"/>
      <c r="CW8" s="161" t="inlineStr">
        <is>
          <t>2026-10-19</t>
        </is>
      </c>
      <c r="CX8" s="97" t="inlineStr">
        <is>
          <t>250700</t>
        </is>
      </c>
      <c r="CY8" s="183" t="n"/>
    </row>
    <row r="9" ht="12" customHeight="1">
      <c r="A9" s="116" t="inlineStr">
        <is>
          <t>HASLS22260901757</t>
        </is>
      </c>
      <c r="B9" s="96" t="inlineStr">
        <is>
          <t>20'x1</t>
        </is>
      </c>
      <c r="C9" s="97" t="n">
        <v>0</v>
      </c>
      <c r="D9" s="97" t="n">
        <v>0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KST</t>
        </is>
      </c>
      <c r="M9" s="96" t="inlineStr">
        <is>
          <t>SWAL</t>
        </is>
      </c>
      <c r="N9" s="96" t="inlineStr">
        <is>
          <t>2609N</t>
        </is>
      </c>
      <c r="O9" s="96" t="inlineStr">
        <is>
          <t>THBKK</t>
        </is>
      </c>
      <c r="P9" s="96" t="inlineStr">
        <is>
          <t>BKK02</t>
        </is>
      </c>
      <c r="Q9" s="96" t="inlineStr">
        <is>
          <t>IA</t>
        </is>
      </c>
      <c r="R9" s="161" t="inlineStr">
        <is>
          <t>2026-10-22</t>
        </is>
      </c>
      <c r="S9" s="96" t="inlineStr">
        <is>
          <t>VNSGN</t>
        </is>
      </c>
      <c r="T9" s="96" t="inlineStr">
        <is>
          <t>SGN03</t>
        </is>
      </c>
      <c r="U9" s="96" t="inlineStr">
        <is>
          <t>VNSGN</t>
        </is>
      </c>
      <c r="V9" s="161" t="inlineStr">
        <is>
          <t>2026-10-24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PROFREIGHT INTERNATIONAL CO., LTD.</t>
        </is>
      </c>
      <c r="AB9" s="96" t="inlineStr">
        <is>
          <t>SIAM BROTHERS CORP.,LTD.</t>
        </is>
      </c>
      <c r="AC9" s="163" t="n">
        <v>7018</v>
      </c>
      <c r="AD9" s="163" t="n">
        <v>9218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TBKK28</t>
        </is>
      </c>
      <c r="AN9" s="96" t="inlineStr">
        <is>
          <t>Nustsireerach</t>
        </is>
      </c>
      <c r="AO9" s="96" t="inlineStr">
        <is>
          <t>FISHING NETS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SUR</t>
        </is>
      </c>
      <c r="AZ9" s="96" t="inlineStr">
        <is>
          <t xml:space="preserve">STUFFING CARGO @UNITHAI  DD.16/10/26 CLS TIME CFS DD.16/10/26 - 17:00HRS.
</t>
        </is>
      </c>
      <c r="BA9" s="97" t="inlineStr">
        <is>
          <t>FM 1X40HQ 14/10S/SIAM BROTHERS CORP.,LTD. ; HS.CODE: 5608.11.00 &amp; 5607.49.00 ; STUFFING AT PAT ON : 16/10/2026REQ: GOOD &amp; CLEAN CONTAINER,NO LEAK,NO RUST,NO SMELL,NO BURR,NOT WET,GOOD FLOOR.</t>
        </is>
      </c>
      <c r="BB9" s="96" t="inlineStr">
        <is>
          <t>P</t>
        </is>
      </c>
      <c r="BC9" s="161" t="inlineStr">
        <is>
          <t>2026-09-19</t>
        </is>
      </c>
      <c r="BD9" s="161" t="inlineStr">
        <is>
          <t>2026-10-19</t>
        </is>
      </c>
      <c r="BE9" s="96" t="inlineStr">
        <is>
          <t>Y</t>
        </is>
      </c>
      <c r="BF9" s="96" t="inlineStr">
        <is>
          <t>FISHING NETS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BKK02</t>
        </is>
      </c>
      <c r="BL9" s="161" t="inlineStr">
        <is>
          <t>2026-10-16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BKK02</t>
        </is>
      </c>
      <c r="CD9" s="97" t="n"/>
      <c r="CE9" s="97" t="n"/>
      <c r="CF9" s="96" t="inlineStr">
        <is>
          <t>0 Teu</t>
        </is>
      </c>
      <c r="CG9" s="96" t="inlineStr">
        <is>
          <t>CFS/CY</t>
        </is>
      </c>
      <c r="CH9" s="97" t="n"/>
      <c r="CI9" s="96" t="inlineStr">
        <is>
          <t>cs_team@profrtgroup.com</t>
        </is>
      </c>
      <c r="CJ9" s="96" t="inlineStr">
        <is>
          <t>SIAM BROTHERS CORP.,LTD.</t>
        </is>
      </c>
      <c r="CK9" s="96" t="inlineStr">
        <is>
          <t>THAI VIET NET JOINT STOCK COMPANY</t>
        </is>
      </c>
      <c r="CL9" s="96" t="inlineStr">
        <is>
          <t>THAI VIET NET JOINT STOCK COMPANY</t>
        </is>
      </c>
      <c r="CM9" s="97" t="inlineStr">
        <is>
          <t>CLOSED</t>
        </is>
      </c>
      <c r="CN9" s="96" t="inlineStr">
        <is>
          <t>202610191700</t>
        </is>
      </c>
      <c r="CO9" s="96" t="inlineStr">
        <is>
          <t>202610201800</t>
        </is>
      </c>
      <c r="CP9" s="97" t="n"/>
      <c r="CQ9" s="96" t="inlineStr">
        <is>
          <t>S19-2606005</t>
        </is>
      </c>
      <c r="CR9" s="96" t="inlineStr">
        <is>
          <t>BB0617</t>
        </is>
      </c>
      <c r="CS9" s="96" t="inlineStr">
        <is>
          <t>PROFREIGHT INTERNATIONAL CO., LTD.</t>
        </is>
      </c>
      <c r="CT9" s="96" t="inlineStr">
        <is>
          <t>N</t>
        </is>
      </c>
      <c r="CU9" s="97" t="n"/>
      <c r="CV9" s="97" t="n"/>
      <c r="CW9" s="161" t="inlineStr">
        <is>
          <t>2026-10-20</t>
        </is>
      </c>
      <c r="CX9" s="97" t="inlineStr">
        <is>
          <t>560811</t>
        </is>
      </c>
      <c r="CY9" s="183" t="n"/>
    </row>
    <row r="10" ht="12" customHeight="1">
      <c r="A10" s="116" t="inlineStr">
        <is>
          <t>HASLS22260901978</t>
        </is>
      </c>
      <c r="B10" s="96" t="inlineStr">
        <is>
          <t>40Hx1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0</v>
      </c>
      <c r="H10" s="97" t="n">
        <v>0</v>
      </c>
      <c r="I10" s="97" t="n">
        <v>1</v>
      </c>
      <c r="J10" s="97" t="n">
        <v>2</v>
      </c>
      <c r="K10" s="96" t="inlineStr">
        <is>
          <t>N</t>
        </is>
      </c>
      <c r="L10" s="96" t="inlineStr">
        <is>
          <t>KST</t>
        </is>
      </c>
      <c r="M10" s="96" t="inlineStr">
        <is>
          <t>SWAL</t>
        </is>
      </c>
      <c r="N10" s="96" t="inlineStr">
        <is>
          <t>2609N</t>
        </is>
      </c>
      <c r="O10" s="96" t="inlineStr">
        <is>
          <t>THBKK</t>
        </is>
      </c>
      <c r="P10" s="96" t="inlineStr">
        <is>
          <t>BKK02</t>
        </is>
      </c>
      <c r="Q10" s="96" t="inlineStr">
        <is>
          <t>IA</t>
        </is>
      </c>
      <c r="R10" s="161" t="inlineStr">
        <is>
          <t>2026-10-22</t>
        </is>
      </c>
      <c r="S10" s="96" t="inlineStr">
        <is>
          <t>KRINC</t>
        </is>
      </c>
      <c r="T10" s="96" t="inlineStr">
        <is>
          <t>INC07</t>
        </is>
      </c>
      <c r="U10" s="96" t="inlineStr">
        <is>
          <t>KRINC</t>
        </is>
      </c>
      <c r="V10" s="161" t="inlineStr">
        <is>
          <t>2026-10-30</t>
        </is>
      </c>
      <c r="W10" s="96" t="inlineStr">
        <is>
          <t>KR</t>
        </is>
      </c>
      <c r="X10" s="97" t="n"/>
      <c r="Y10" s="97" t="n"/>
      <c r="Z10" s="97" t="n"/>
      <c r="AA10" s="96" t="inlineStr">
        <is>
          <t>WORLDNET EXPRESS CO., LTD.</t>
        </is>
      </c>
      <c r="AB10" s="96" t="inlineStr">
        <is>
          <t>MAHANAVA CO.,LTD.</t>
        </is>
      </c>
      <c r="AC10" s="163" t="n">
        <v>9072</v>
      </c>
      <c r="AD10" s="163" t="n">
        <v>13072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CON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TBKK19</t>
        </is>
      </c>
      <c r="AN10" s="96" t="inlineStr">
        <is>
          <t>Kanokporn</t>
        </is>
      </c>
      <c r="AO10" s="96" t="inlineStr">
        <is>
          <t>CHO CHANG BEAN VERMICELLI 40G DRIED VERMICELLI 80G.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SUR</t>
        </is>
      </c>
      <c r="AZ10" s="96" t="inlineStr">
        <is>
          <t>Pickup : 2026-10-14, Return : 2026-10-15</t>
        </is>
      </c>
      <c r="BA10" s="97" t="inlineStr">
        <is>
          <t>REQ. GOOD AND CLEAN CONTAINER, NO SMELL, NO RUST, NO HOLE, FOOD GRADE</t>
        </is>
      </c>
      <c r="BB10" s="96" t="inlineStr">
        <is>
          <t>P</t>
        </is>
      </c>
      <c r="BC10" s="161" t="inlineStr">
        <is>
          <t>2026-09-22</t>
        </is>
      </c>
      <c r="BD10" s="161" t="inlineStr">
        <is>
          <t>2026-10-19</t>
        </is>
      </c>
      <c r="BE10" s="96" t="inlineStr">
        <is>
          <t>Y</t>
        </is>
      </c>
      <c r="BF10" s="96" t="inlineStr">
        <is>
          <t>FOODSTUFF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2026-10-14</t>
        </is>
      </c>
      <c r="BM10" s="127" t="n"/>
      <c r="BN10" s="127" t="n"/>
      <c r="BO10" s="127" t="n"/>
      <c r="BP10" s="127" t="n">
        <v>1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BKK02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EXPORT@WORLDNETEXP.COM</t>
        </is>
      </c>
      <c r="CJ10" s="96" t="inlineStr">
        <is>
          <t>WORLDNET EXPRESS CO.,LTD.</t>
        </is>
      </c>
      <c r="CK10" s="96" t="inlineStr">
        <is>
          <t>WORLD NET LOGISTICS(KOREA) CO.,LTD.</t>
        </is>
      </c>
      <c r="CL10" s="96" t="inlineStr">
        <is>
          <t>WORLD NET LOGISTICS(KOREA) CO.,LTD.</t>
        </is>
      </c>
      <c r="CM10" s="97" t="inlineStr">
        <is>
          <t>CLOSED</t>
        </is>
      </c>
      <c r="CN10" s="96" t="inlineStr">
        <is>
          <t>202610191700</t>
        </is>
      </c>
      <c r="CO10" s="96" t="inlineStr">
        <is>
          <t>202610201800</t>
        </is>
      </c>
      <c r="CP10" s="97" t="n"/>
      <c r="CQ10" s="96" t="inlineStr">
        <is>
          <t>S19-2309013</t>
        </is>
      </c>
      <c r="CR10" s="96" t="inlineStr">
        <is>
          <t>TH04EU</t>
        </is>
      </c>
      <c r="CS10" s="96" t="inlineStr">
        <is>
          <t>WORLDNET EXPRESS CO., LTD.</t>
        </is>
      </c>
      <c r="CT10" s="96" t="inlineStr">
        <is>
          <t>N</t>
        </is>
      </c>
      <c r="CU10" s="97" t="n"/>
      <c r="CV10" s="97" t="n"/>
      <c r="CW10" s="161" t="inlineStr">
        <is>
          <t>2026-10-19</t>
        </is>
      </c>
      <c r="CX10" s="97" t="n"/>
      <c r="CY10" s="183" t="n"/>
    </row>
    <row r="11" ht="12" customHeight="1">
      <c r="A11" s="116" t="inlineStr">
        <is>
          <t>HASLS22260901991</t>
        </is>
      </c>
      <c r="B11" s="96" t="inlineStr">
        <is>
          <t>20'x1</t>
        </is>
      </c>
      <c r="C11" s="97" t="n">
        <v>0</v>
      </c>
      <c r="D11" s="97" t="n">
        <v>0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KST</t>
        </is>
      </c>
      <c r="M11" s="96" t="inlineStr">
        <is>
          <t>SWAL</t>
        </is>
      </c>
      <c r="N11" s="96" t="inlineStr">
        <is>
          <t>2609N</t>
        </is>
      </c>
      <c r="O11" s="96" t="inlineStr">
        <is>
          <t>THBKK</t>
        </is>
      </c>
      <c r="P11" s="96" t="inlineStr">
        <is>
          <t>BKK02</t>
        </is>
      </c>
      <c r="Q11" s="96" t="inlineStr">
        <is>
          <t>IA</t>
        </is>
      </c>
      <c r="R11" s="161" t="inlineStr">
        <is>
          <t>2026-10-22</t>
        </is>
      </c>
      <c r="S11" s="96" t="inlineStr">
        <is>
          <t>VNSGN</t>
        </is>
      </c>
      <c r="T11" s="96" t="inlineStr">
        <is>
          <t>SGN03</t>
        </is>
      </c>
      <c r="U11" s="96" t="inlineStr">
        <is>
          <t>VNSGN</t>
        </is>
      </c>
      <c r="V11" s="161" t="inlineStr">
        <is>
          <t>2026-10-24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RIVA LOGISTICS CO., LTD.</t>
        </is>
      </c>
      <c r="AB11" s="96" t="inlineStr">
        <is>
          <t>CHINCHANA INDUSTRIES (THAILAND) CO.,LTD.</t>
        </is>
      </c>
      <c r="AC11" s="163" t="n">
        <v>24600</v>
      </c>
      <c r="AD11" s="163" t="n">
        <v>26800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inlineStr">
        <is>
          <t>UNITHAI CONTAINER TERMINAL CFS</t>
        </is>
      </c>
      <c r="AK11" s="97" t="n"/>
      <c r="AL11" s="97" t="n"/>
      <c r="AM11" s="96" t="inlineStr">
        <is>
          <t>TH0011</t>
        </is>
      </c>
      <c r="AN11" s="96" t="inlineStr">
        <is>
          <t>Nannaapust Sukporntaweewat</t>
        </is>
      </c>
      <c r="AO11" s="96" t="inlineStr">
        <is>
          <t>BARIUM SULPHATE WHITE ROCK 20A NON DG HS-CODE.251110.00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SUR</t>
        </is>
      </c>
      <c r="AZ11" s="96" t="inlineStr">
        <is>
          <t xml:space="preserve">STUFFING CARGO @UINTHAI DD.16/10/26 CLS TIME CFS DD.16/10/26 - 17:00HRS.
</t>
        </is>
      </c>
      <c r="BA11" s="97" t="inlineStr">
        <is>
          <t>SH: CHINCHANA INDUSTRIES(THAILAND) UINTHAI BKK TO PORT CATLAI,HOCHIMINH V.1X20'DCCFS ON.16-10-26,AT UINTHAI BKK*ETD.21-10-26RQE:CLEAN AND DRY UPGRADE CONT*</t>
        </is>
      </c>
      <c r="BB11" s="96" t="inlineStr">
        <is>
          <t>P</t>
        </is>
      </c>
      <c r="BC11" s="161" t="inlineStr">
        <is>
          <t>2026-09-22</t>
        </is>
      </c>
      <c r="BD11" s="161" t="inlineStr">
        <is>
          <t>2026-10-14</t>
        </is>
      </c>
      <c r="BE11" s="96" t="inlineStr">
        <is>
          <t>Y</t>
        </is>
      </c>
      <c r="BF11" s="96" t="inlineStr">
        <is>
          <t>BARIUM SULPHATE WHITE ROCK 20A NON DG HS-CODE.251110.00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BKK02</t>
        </is>
      </c>
      <c r="BL11" s="161" t="inlineStr">
        <is>
          <t>2026-10-16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BKK02</t>
        </is>
      </c>
      <c r="CD11" s="97" t="n"/>
      <c r="CE11" s="97" t="n"/>
      <c r="CF11" s="96" t="inlineStr">
        <is>
          <t>0 Teu</t>
        </is>
      </c>
      <c r="CG11" s="96" t="inlineStr">
        <is>
          <t>CFS/CY</t>
        </is>
      </c>
      <c r="CH11" s="97" t="n"/>
      <c r="CI11" s="96" t="inlineStr">
        <is>
          <t>sales@rivalogistics.com</t>
        </is>
      </c>
      <c r="CJ11" s="96" t="inlineStr">
        <is>
          <t>CHINCHANA INDUSTRIES (THAILAND)</t>
        </is>
      </c>
      <c r="CK11" s="96" t="inlineStr">
        <is>
          <t>JOTUN PAINTS VIETNAM CO.,LTD.</t>
        </is>
      </c>
      <c r="CL11" s="96" t="inlineStr">
        <is>
          <t>JOTUN PAINTS  (VIETNAM) CO.,LTD.</t>
        </is>
      </c>
      <c r="CM11" s="97" t="inlineStr">
        <is>
          <t>CLOSED</t>
        </is>
      </c>
      <c r="CN11" s="96" t="inlineStr">
        <is>
          <t>202610191700</t>
        </is>
      </c>
      <c r="CO11" s="96" t="inlineStr">
        <is>
          <t>202610201800</t>
        </is>
      </c>
      <c r="CP11" s="97" t="n"/>
      <c r="CQ11" s="96" t="inlineStr">
        <is>
          <t>S22-2309016</t>
        </is>
      </c>
      <c r="CR11" s="96" t="inlineStr">
        <is>
          <t>TH00ZB</t>
        </is>
      </c>
      <c r="CS11" s="96" t="inlineStr">
        <is>
          <t>RIVA LOGISTICS CO., LTD.</t>
        </is>
      </c>
      <c r="CT11" s="96" t="inlineStr">
        <is>
          <t>N</t>
        </is>
      </c>
      <c r="CU11" s="97" t="n"/>
      <c r="CV11" s="97" t="n"/>
      <c r="CW11" s="161" t="inlineStr">
        <is>
          <t>2026-10-19</t>
        </is>
      </c>
      <c r="CX11" s="97" t="inlineStr">
        <is>
          <t>251110</t>
        </is>
      </c>
      <c r="CY11" s="183" t="n"/>
    </row>
    <row r="12" ht="12" customHeight="1">
      <c r="A12" s="116" t="inlineStr">
        <is>
          <t>HASLS22260902006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KST</t>
        </is>
      </c>
      <c r="M12" s="96" t="inlineStr">
        <is>
          <t>SWAL</t>
        </is>
      </c>
      <c r="N12" s="96" t="inlineStr">
        <is>
          <t>2609N</t>
        </is>
      </c>
      <c r="O12" s="96" t="inlineStr">
        <is>
          <t>THBKK</t>
        </is>
      </c>
      <c r="P12" s="96" t="inlineStr">
        <is>
          <t>BKK02</t>
        </is>
      </c>
      <c r="Q12" s="96" t="inlineStr">
        <is>
          <t>IA</t>
        </is>
      </c>
      <c r="R12" s="161" t="inlineStr">
        <is>
          <t>2026-10-22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2026-10-24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PRIME LOGISTICS INTERNATIONAL CO., LTD.</t>
        </is>
      </c>
      <c r="AB12" s="96" t="inlineStr">
        <is>
          <t>ROYAL CAN INDUSTRIES CO., LTD.</t>
        </is>
      </c>
      <c r="AC12" s="163" t="n">
        <v>5184</v>
      </c>
      <c r="AD12" s="163" t="n">
        <v>7384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TH0011</t>
        </is>
      </c>
      <c r="AN12" s="96" t="inlineStr">
        <is>
          <t>Nannaapust Sukporntaweewat</t>
        </is>
      </c>
      <c r="AO12" s="96" t="inlineStr">
        <is>
          <t>CAN, SIZE 104X60X30 ALUMINIUM  CONICAL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SUR</t>
        </is>
      </c>
      <c r="AZ12" s="96" t="inlineStr">
        <is>
          <t>Pickup : 2026-10-14, Return : 2026-10-15</t>
        </is>
      </c>
      <c r="BA12" s="97" t="inlineStr">
        <is>
          <t>PLS SHOW AGENT AT DESTINATION ON B/L</t>
        </is>
      </c>
      <c r="BB12" s="96" t="inlineStr">
        <is>
          <t>P</t>
        </is>
      </c>
      <c r="BC12" s="161" t="inlineStr">
        <is>
          <t>2026-09-22</t>
        </is>
      </c>
      <c r="BD12" s="161" t="inlineStr">
        <is>
          <t>2026-10-14</t>
        </is>
      </c>
      <c r="BE12" s="96" t="inlineStr">
        <is>
          <t>Y</t>
        </is>
      </c>
      <c r="BF12" s="96" t="inlineStr">
        <is>
          <t>EMPTY CAN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2026-10-14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BKK02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noppasorn.a@primeloginter.com</t>
        </is>
      </c>
      <c r="CJ12" s="96" t="inlineStr">
        <is>
          <t>ROYAL CAN INDUSTRIES CO., LTD</t>
        </is>
      </c>
      <c r="CK12" s="96" t="inlineStr">
        <is>
          <t>PATAYA  FOOD INDUSTRIES (VIETNAM)</t>
        </is>
      </c>
      <c r="CL12" s="96" t="inlineStr">
        <is>
          <t>PATAYA  FOOD INDUSTRIES (VIETNAM)</t>
        </is>
      </c>
      <c r="CM12" s="97" t="inlineStr">
        <is>
          <t>CLOSED</t>
        </is>
      </c>
      <c r="CN12" s="96" t="inlineStr">
        <is>
          <t>202610191700</t>
        </is>
      </c>
      <c r="CO12" s="96" t="inlineStr">
        <is>
          <t>202610201800</t>
        </is>
      </c>
      <c r="CP12" s="97" t="n"/>
      <c r="CQ12" s="96" t="inlineStr">
        <is>
          <t>S22-2411029</t>
        </is>
      </c>
      <c r="CR12" s="96" t="inlineStr">
        <is>
          <t>THTRZB</t>
        </is>
      </c>
      <c r="CS12" s="96" t="inlineStr">
        <is>
          <t>PRIME LOGISTICS INTERNATIONAL CO., LTD.</t>
        </is>
      </c>
      <c r="CT12" s="96" t="inlineStr">
        <is>
          <t>N</t>
        </is>
      </c>
      <c r="CU12" s="97" t="n"/>
      <c r="CV12" s="97" t="n"/>
      <c r="CW12" s="161" t="inlineStr">
        <is>
          <t>2026-10-19</t>
        </is>
      </c>
      <c r="CX12" s="97" t="inlineStr">
        <is>
          <t>761290</t>
        </is>
      </c>
      <c r="CY12" s="183" t="n"/>
    </row>
    <row r="13" ht="12" customHeight="1">
      <c r="A13" s="116" t="inlineStr">
        <is>
          <t>HASLS22260902280</t>
        </is>
      </c>
      <c r="B13" s="96" t="inlineStr">
        <is>
          <t>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KST</t>
        </is>
      </c>
      <c r="M13" s="96" t="inlineStr">
        <is>
          <t>SWAL</t>
        </is>
      </c>
      <c r="N13" s="96" t="inlineStr">
        <is>
          <t>2609N</t>
        </is>
      </c>
      <c r="O13" s="96" t="inlineStr">
        <is>
          <t>THBKK</t>
        </is>
      </c>
      <c r="P13" s="96" t="inlineStr">
        <is>
          <t>BKK02</t>
        </is>
      </c>
      <c r="Q13" s="96" t="inlineStr">
        <is>
          <t>IA</t>
        </is>
      </c>
      <c r="R13" s="161" t="inlineStr">
        <is>
          <t>2026-10-22</t>
        </is>
      </c>
      <c r="S13" s="96" t="inlineStr">
        <is>
          <t>VNSGN</t>
        </is>
      </c>
      <c r="T13" s="96" t="inlineStr">
        <is>
          <t>SGN03</t>
        </is>
      </c>
      <c r="U13" s="96" t="inlineStr">
        <is>
          <t>VNSGN</t>
        </is>
      </c>
      <c r="V13" s="161" t="inlineStr">
        <is>
          <t>2026-10-24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DIGITAL TRANSPORT SYSTEM CO., LTD.</t>
        </is>
      </c>
      <c r="AB13" s="96" t="inlineStr">
        <is>
          <t>BIG C SUPERCENTER PUBLIC CO., LTD.</t>
        </is>
      </c>
      <c r="AC13" s="163" t="n">
        <v>3836</v>
      </c>
      <c r="AD13" s="163" t="n">
        <v>7836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CON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VSGN33</t>
        </is>
      </c>
      <c r="AN13" s="96" t="inlineStr">
        <is>
          <t>Nguyen Van Nam</t>
        </is>
      </c>
      <c r="AO13" s="96" t="inlineStr">
        <is>
          <t>PLASTIC HOUSEHOLD WARES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SUR</t>
        </is>
      </c>
      <c r="AZ13" s="96" t="inlineStr">
        <is>
          <t>Pickup : 2026-10-14, Return : 2026-10-15</t>
        </is>
      </c>
      <c r="BA13" s="97" t="inlineStr">
        <is>
          <t>FM SWMM 2610N 05/10S/C : S21-2301115 // Freeday (Dem/Det/Sto): 18 / 7 / 5REQUEST CLEAN AND GOOD CONTAINER</t>
        </is>
      </c>
      <c r="BB13" s="96" t="inlineStr">
        <is>
          <t>C</t>
        </is>
      </c>
      <c r="BC13" s="161" t="inlineStr">
        <is>
          <t>2026-09-24</t>
        </is>
      </c>
      <c r="BD13" s="161" t="inlineStr">
        <is>
          <t>2026-10-19</t>
        </is>
      </c>
      <c r="BE13" s="96" t="inlineStr">
        <is>
          <t>Y</t>
        </is>
      </c>
      <c r="BF13" s="96" t="inlineStr">
        <is>
          <t>HOUSEHOLD WARE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2026-10-14</t>
        </is>
      </c>
      <c r="BM13" s="127" t="n"/>
      <c r="BN13" s="127" t="n"/>
      <c r="BO13" s="127" t="n"/>
      <c r="BP13" s="127" t="n">
        <v>1</v>
      </c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BKK02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center@dtsbkk.com</t>
        </is>
      </c>
      <c r="CJ13" s="96" t="inlineStr">
        <is>
          <t>DIGITAL TRANSPORT SYSTEM CO.,LTD</t>
        </is>
      </c>
      <c r="CK13" s="96" t="inlineStr">
        <is>
          <t>ORIENT DRAGON FREIGHT CO., LTD</t>
        </is>
      </c>
      <c r="CL13" s="96" t="inlineStr">
        <is>
          <t>ORIENT DRAGON FREIGHT CO., LTD</t>
        </is>
      </c>
      <c r="CM13" s="97" t="inlineStr">
        <is>
          <t>CLOSED</t>
        </is>
      </c>
      <c r="CN13" s="96" t="inlineStr">
        <is>
          <t>202610191700</t>
        </is>
      </c>
      <c r="CO13" s="96" t="inlineStr">
        <is>
          <t>202610201800</t>
        </is>
      </c>
      <c r="CP13" s="97" t="n"/>
      <c r="CQ13" s="96" t="inlineStr">
        <is>
          <t>S21-2301115</t>
        </is>
      </c>
      <c r="CR13" s="96" t="inlineStr">
        <is>
          <t>BB0150</t>
        </is>
      </c>
      <c r="CS13" s="96" t="inlineStr">
        <is>
          <t>DIGITAL TRANSPORT SYSTEM CO., LTD.</t>
        </is>
      </c>
      <c r="CT13" s="96" t="inlineStr">
        <is>
          <t>N</t>
        </is>
      </c>
      <c r="CU13" s="97" t="n"/>
      <c r="CV13" s="97" t="n"/>
      <c r="CW13" s="161" t="inlineStr">
        <is>
          <t>2026-10-19</t>
        </is>
      </c>
      <c r="CX13" s="97" t="inlineStr">
        <is>
          <t>392410</t>
        </is>
      </c>
      <c r="CY13" s="183" t="n"/>
    </row>
    <row r="14" ht="12" customHeight="1">
      <c r="A14" s="116" t="inlineStr">
        <is>
          <t>HASLS22260902347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KST</t>
        </is>
      </c>
      <c r="M14" s="96" t="inlineStr">
        <is>
          <t>SWAL</t>
        </is>
      </c>
      <c r="N14" s="96" t="inlineStr">
        <is>
          <t>2609N</t>
        </is>
      </c>
      <c r="O14" s="96" t="inlineStr">
        <is>
          <t>THBKK</t>
        </is>
      </c>
      <c r="P14" s="96" t="inlineStr">
        <is>
          <t>BKK02</t>
        </is>
      </c>
      <c r="Q14" s="96" t="inlineStr">
        <is>
          <t>IA</t>
        </is>
      </c>
      <c r="R14" s="161" t="inlineStr">
        <is>
          <t>2026-10-22</t>
        </is>
      </c>
      <c r="S14" s="96" t="inlineStr">
        <is>
          <t>VNSGN</t>
        </is>
      </c>
      <c r="T14" s="96" t="inlineStr">
        <is>
          <t>SGN03</t>
        </is>
      </c>
      <c r="U14" s="96" t="inlineStr">
        <is>
          <t>VNSGN</t>
        </is>
      </c>
      <c r="V14" s="161" t="inlineStr">
        <is>
          <t>2026-10-24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DIMERCO EXPRESS (THAILAND) CO., LTD.</t>
        </is>
      </c>
      <c r="AB14" s="96" t="inlineStr">
        <is>
          <t>EVEREST TEXTILE (THAILAND) CO., LTD.</t>
        </is>
      </c>
      <c r="AC14" s="163" t="n">
        <v>4217.45</v>
      </c>
      <c r="AD14" s="163" t="n">
        <v>6417.45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CON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TBKK28</t>
        </is>
      </c>
      <c r="AN14" s="96" t="inlineStr">
        <is>
          <t>Nustsireerach</t>
        </is>
      </c>
      <c r="AO14" s="96" t="inlineStr">
        <is>
          <t>FABRIC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SUR</t>
        </is>
      </c>
      <c r="AZ14" s="96" t="inlineStr">
        <is>
          <t xml:space="preserve">Pickup : 2026-10-15, Return : 2026-10-16 </t>
        </is>
      </c>
      <c r="BA14" s="97" t="inlineStr">
        <is>
          <t>FM SWMM 2610N 05/10
FM 2X40'HQ DD 12/10 Request clean container and CY at Bangna zone</t>
        </is>
      </c>
      <c r="BB14" s="96" t="inlineStr">
        <is>
          <t>P</t>
        </is>
      </c>
      <c r="BC14" s="161" t="inlineStr">
        <is>
          <t>2026-09-24</t>
        </is>
      </c>
      <c r="BD14" s="161" t="inlineStr">
        <is>
          <t>2026-10-19</t>
        </is>
      </c>
      <c r="BE14" s="96" t="inlineStr">
        <is>
          <t>Y</t>
        </is>
      </c>
      <c r="BF14" s="96" t="inlineStr">
        <is>
          <t>FABRIC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2026-10-15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BKK02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oe_dimbkk@dimerco.com</t>
        </is>
      </c>
      <c r="CJ14" s="96" t="inlineStr">
        <is>
          <t>DIMERCO EXPRESS (THAILAND) CO.,LTD.</t>
        </is>
      </c>
      <c r="CK14" s="96" t="inlineStr">
        <is>
          <t>DIMERCO EXPRESS (VIETNAM) CO., LTD</t>
        </is>
      </c>
      <c r="CL14" s="96" t="inlineStr">
        <is>
          <t>DIMERCO EXPRESS (VIETNAM) CO., LTD</t>
        </is>
      </c>
      <c r="CM14" s="97" t="inlineStr">
        <is>
          <t>CLOSED</t>
        </is>
      </c>
      <c r="CN14" s="96" t="inlineStr">
        <is>
          <t>202610191700</t>
        </is>
      </c>
      <c r="CO14" s="96" t="inlineStr">
        <is>
          <t>202610201800</t>
        </is>
      </c>
      <c r="CP14" s="97" t="n"/>
      <c r="CQ14" s="96" t="inlineStr">
        <is>
          <t>S19-2301001</t>
        </is>
      </c>
      <c r="CR14" s="96" t="inlineStr">
        <is>
          <t>BB0164</t>
        </is>
      </c>
      <c r="CS14" s="96" t="inlineStr">
        <is>
          <t>DIMERCO EXPRESS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2026-10-20</t>
        </is>
      </c>
      <c r="CX14" s="97" t="inlineStr">
        <is>
          <t>540710</t>
        </is>
      </c>
      <c r="CY14" s="183" t="n"/>
    </row>
    <row r="15" ht="12" customHeight="1">
      <c r="A15" s="116" t="inlineStr">
        <is>
          <t>HASLS22260902436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KST</t>
        </is>
      </c>
      <c r="M15" s="96" t="inlineStr">
        <is>
          <t>SWAL</t>
        </is>
      </c>
      <c r="N15" s="96" t="inlineStr">
        <is>
          <t>2609N</t>
        </is>
      </c>
      <c r="O15" s="96" t="inlineStr">
        <is>
          <t>THBKK</t>
        </is>
      </c>
      <c r="P15" s="96" t="inlineStr">
        <is>
          <t>BKK02</t>
        </is>
      </c>
      <c r="Q15" s="96" t="inlineStr">
        <is>
          <t>IA</t>
        </is>
      </c>
      <c r="R15" s="161" t="inlineStr">
        <is>
          <t>2026-10-22</t>
        </is>
      </c>
      <c r="S15" s="96" t="inlineStr">
        <is>
          <t>VNSGN</t>
        </is>
      </c>
      <c r="T15" s="96" t="inlineStr">
        <is>
          <t>SGN03</t>
        </is>
      </c>
      <c r="U15" s="96" t="inlineStr">
        <is>
          <t>VNSGN</t>
        </is>
      </c>
      <c r="V15" s="161" t="inlineStr">
        <is>
          <t>2026-10-24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ACCORD PILOT LOGISTICS (THAILAND) CO., LTD.</t>
        </is>
      </c>
      <c r="AB15" s="96" t="inlineStr">
        <is>
          <t>Q PLUS CONCEPT CO.,LTD.</t>
        </is>
      </c>
      <c r="AC15" s="163" t="n">
        <v>21168</v>
      </c>
      <c r="AD15" s="163" t="n">
        <v>23368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TBKK19</t>
        </is>
      </c>
      <c r="AN15" s="96" t="inlineStr">
        <is>
          <t>Kanokporn</t>
        </is>
      </c>
      <c r="AO15" s="96" t="inlineStr">
        <is>
          <t>FOOD ADDITIVE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SUR</t>
        </is>
      </c>
      <c r="AZ15" s="96" t="inlineStr">
        <is>
          <t>Pickup : 2026-10-10, Return : 2026-10-12</t>
        </is>
      </c>
      <c r="BA15" s="97" t="inlineStr">
        <is>
          <t>ROLL OVER FORM PREVIOUS VSL SWBT 2616N BY ALLOCATION TEAM MS.TARN APRPOVED COST IS UNDER HA DD.15/10</t>
        </is>
      </c>
      <c r="BB15" s="96" t="inlineStr">
        <is>
          <t>P</t>
        </is>
      </c>
      <c r="BC15" s="161" t="inlineStr">
        <is>
          <t>2026-09-25</t>
        </is>
      </c>
      <c r="BD15" s="161" t="inlineStr">
        <is>
          <t>2026-10-15</t>
        </is>
      </c>
      <c r="BE15" s="96" t="inlineStr">
        <is>
          <t>Y</t>
        </is>
      </c>
      <c r="BF15" s="96" t="inlineStr">
        <is>
          <t>FOOD ADDITIVE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2026-10-10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BKK02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nutthakan@pilot.co.th</t>
        </is>
      </c>
      <c r="CJ15" s="96" t="inlineStr">
        <is>
          <t>ACCORD PILOT LOGISTICS (THAILAND)</t>
        </is>
      </c>
      <c r="CK15" s="96" t="inlineStr">
        <is>
          <t>0313201593#YOUNG-KO CO.,LTD#</t>
        </is>
      </c>
      <c r="CL15" s="96" t="inlineStr">
        <is>
          <t>0313201593#YOUNG-KO CO.,LTD#</t>
        </is>
      </c>
      <c r="CM15" s="97" t="inlineStr">
        <is>
          <t>CLOSED</t>
        </is>
      </c>
      <c r="CN15" s="96" t="inlineStr">
        <is>
          <t>202610191700</t>
        </is>
      </c>
      <c r="CO15" s="96" t="inlineStr">
        <is>
          <t>202610201800</t>
        </is>
      </c>
      <c r="CP15" s="97" t="n"/>
      <c r="CQ15" s="96" t="inlineStr">
        <is>
          <t>S19-2308037</t>
        </is>
      </c>
      <c r="CR15" s="96" t="inlineStr">
        <is>
          <t>THTIPI</t>
        </is>
      </c>
      <c r="CS15" s="96" t="inlineStr">
        <is>
          <t>ACCORD PILOT LOGISTICS (THAILAND) CO., LTD.</t>
        </is>
      </c>
      <c r="CT15" s="96" t="inlineStr">
        <is>
          <t>N</t>
        </is>
      </c>
      <c r="CU15" s="97" t="n"/>
      <c r="CV15" s="97" t="n"/>
      <c r="CW15" s="161" t="inlineStr">
        <is>
          <t>2026-10-21</t>
        </is>
      </c>
      <c r="CX15" s="97" t="inlineStr">
        <is>
          <t>382499</t>
        </is>
      </c>
      <c r="CY15" s="183" t="inlineStr">
        <is>
          <t>ROLL OVER FORM PREVIOUS VSL SWAL 2609N BY ALLOCATION TEAM MS.TARN APRPOVED COST IS UNDER HA DD.15/10</t>
        </is>
      </c>
    </row>
    <row r="16" ht="12" customHeight="1">
      <c r="A16" s="116" t="inlineStr">
        <is>
          <t>HASLS22260902439</t>
        </is>
      </c>
      <c r="B16" s="96" t="inlineStr">
        <is>
          <t>40Hx5</t>
        </is>
      </c>
      <c r="C16" s="97" t="n">
        <v>5</v>
      </c>
      <c r="D16" s="97" t="n">
        <v>5</v>
      </c>
      <c r="E16" s="97" t="n"/>
      <c r="F16" s="97" t="n">
        <v>0</v>
      </c>
      <c r="G16" s="97" t="n">
        <v>0</v>
      </c>
      <c r="H16" s="97" t="n">
        <v>0</v>
      </c>
      <c r="I16" s="97" t="n">
        <v>5</v>
      </c>
      <c r="J16" s="97" t="n">
        <v>10</v>
      </c>
      <c r="K16" s="96" t="inlineStr">
        <is>
          <t>N</t>
        </is>
      </c>
      <c r="L16" s="96" t="inlineStr">
        <is>
          <t>KST</t>
        </is>
      </c>
      <c r="M16" s="96" t="inlineStr">
        <is>
          <t>SWAL</t>
        </is>
      </c>
      <c r="N16" s="96" t="inlineStr">
        <is>
          <t>2609N</t>
        </is>
      </c>
      <c r="O16" s="96" t="inlineStr">
        <is>
          <t>THBKK</t>
        </is>
      </c>
      <c r="P16" s="96" t="inlineStr">
        <is>
          <t>BKK02</t>
        </is>
      </c>
      <c r="Q16" s="96" t="inlineStr">
        <is>
          <t>IA</t>
        </is>
      </c>
      <c r="R16" s="161" t="inlineStr">
        <is>
          <t>2026-10-22</t>
        </is>
      </c>
      <c r="S16" s="96" t="inlineStr">
        <is>
          <t>VNSGN</t>
        </is>
      </c>
      <c r="T16" s="96" t="inlineStr">
        <is>
          <t>SGN03</t>
        </is>
      </c>
      <c r="U16" s="96" t="inlineStr">
        <is>
          <t>VNSGN</t>
        </is>
      </c>
      <c r="V16" s="161" t="inlineStr">
        <is>
          <t>2026-10-24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CAPRICORN LOGISTICS CO., LTD.</t>
        </is>
      </c>
      <c r="AB16" s="96" t="inlineStr">
        <is>
          <t>SWAN INDUSTRIES (THAILAND) LTD.</t>
        </is>
      </c>
      <c r="AC16" s="163" t="n">
        <v>27317.8</v>
      </c>
      <c r="AD16" s="163" t="n">
        <v>47317.8</v>
      </c>
      <c r="AE16" s="96" t="inlineStr">
        <is>
          <t>OK</t>
        </is>
      </c>
      <c r="AF16" s="96" t="n"/>
      <c r="AG16" s="97" t="n"/>
      <c r="AH16" s="96" t="inlineStr">
        <is>
          <t>CON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VSGN21</t>
        </is>
      </c>
      <c r="AN16" s="96" t="inlineStr">
        <is>
          <t>Nguyen Xuan Toan</t>
        </is>
      </c>
      <c r="AO16" s="96" t="inlineStr">
        <is>
          <t>EMPTY CAN (FOOD CAN)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SUR</t>
        </is>
      </c>
      <c r="AZ16" s="96" t="inlineStr">
        <is>
          <t>Pickup : 2026-10-14, Return : 2026-10-15</t>
        </is>
      </c>
      <c r="BA16" s="97" t="n"/>
      <c r="BB16" s="96" t="inlineStr">
        <is>
          <t>C</t>
        </is>
      </c>
      <c r="BC16" s="161" t="inlineStr">
        <is>
          <t>2026-09-25</t>
        </is>
      </c>
      <c r="BD16" s="161" t="inlineStr">
        <is>
          <t>2026-10-19</t>
        </is>
      </c>
      <c r="BE16" s="96" t="inlineStr">
        <is>
          <t>Y</t>
        </is>
      </c>
      <c r="BF16" s="96" t="inlineStr">
        <is>
          <t>EMPTY CAN (FOOD CAN)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2026-10-14</t>
        </is>
      </c>
      <c r="BM16" s="127" t="n"/>
      <c r="BN16" s="127" t="n"/>
      <c r="BO16" s="127" t="n"/>
      <c r="BP16" s="127" t="n">
        <v>5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BKK02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bkk@capricornlogistics.co.th</t>
        </is>
      </c>
      <c r="CJ16" s="96" t="inlineStr">
        <is>
          <t>CAPRICORN LOGISTICS CO.,LTD.</t>
        </is>
      </c>
      <c r="CK16" s="96" t="inlineStr">
        <is>
          <t>GIA NGUYEN INT'L LOGISTICS CO., LTD</t>
        </is>
      </c>
      <c r="CL16" s="96" t="inlineStr">
        <is>
          <t>GIA NGUYEN INT'L LOGISTICS CO., LTD</t>
        </is>
      </c>
      <c r="CM16" s="97" t="inlineStr">
        <is>
          <t>CLOSED</t>
        </is>
      </c>
      <c r="CN16" s="96" t="inlineStr">
        <is>
          <t>202610191700</t>
        </is>
      </c>
      <c r="CO16" s="96" t="inlineStr">
        <is>
          <t>202610201800</t>
        </is>
      </c>
      <c r="CP16" s="97" t="n"/>
      <c r="CQ16" s="96" t="inlineStr">
        <is>
          <t>S21-2209099</t>
        </is>
      </c>
      <c r="CR16" s="96" t="inlineStr">
        <is>
          <t>TH045C</t>
        </is>
      </c>
      <c r="CS16" s="96" t="inlineStr">
        <is>
          <t>CAPRICORN LOGISTICS CO., LTD.</t>
        </is>
      </c>
      <c r="CT16" s="96" t="inlineStr">
        <is>
          <t>N</t>
        </is>
      </c>
      <c r="CU16" s="97" t="n"/>
      <c r="CV16" s="97" t="n"/>
      <c r="CW16" s="161" t="inlineStr">
        <is>
          <t>2026-10-19</t>
        </is>
      </c>
      <c r="CX16" s="97" t="inlineStr">
        <is>
          <t>731021</t>
        </is>
      </c>
      <c r="CY16" s="183" t="n"/>
    </row>
    <row r="17" ht="12" customHeight="1">
      <c r="A17" s="116" t="inlineStr">
        <is>
          <t>HASLS22260902444</t>
        </is>
      </c>
      <c r="B17" s="96" t="inlineStr">
        <is>
          <t>40Hx5</t>
        </is>
      </c>
      <c r="C17" s="97" t="n">
        <v>5</v>
      </c>
      <c r="D17" s="97" t="n">
        <v>5</v>
      </c>
      <c r="E17" s="97" t="n"/>
      <c r="F17" s="97" t="n">
        <v>0</v>
      </c>
      <c r="G17" s="97" t="n">
        <v>0</v>
      </c>
      <c r="H17" s="97" t="n">
        <v>0</v>
      </c>
      <c r="I17" s="97" t="n">
        <v>5</v>
      </c>
      <c r="J17" s="97" t="n">
        <v>10</v>
      </c>
      <c r="K17" s="96" t="inlineStr">
        <is>
          <t>N</t>
        </is>
      </c>
      <c r="L17" s="96" t="inlineStr">
        <is>
          <t>KST</t>
        </is>
      </c>
      <c r="M17" s="96" t="inlineStr">
        <is>
          <t>SWAL</t>
        </is>
      </c>
      <c r="N17" s="96" t="inlineStr">
        <is>
          <t>2609N</t>
        </is>
      </c>
      <c r="O17" s="96" t="inlineStr">
        <is>
          <t>THBKK</t>
        </is>
      </c>
      <c r="P17" s="96" t="inlineStr">
        <is>
          <t>BKK02</t>
        </is>
      </c>
      <c r="Q17" s="96" t="inlineStr">
        <is>
          <t>IA</t>
        </is>
      </c>
      <c r="R17" s="161" t="inlineStr">
        <is>
          <t>2026-10-22</t>
        </is>
      </c>
      <c r="S17" s="96" t="inlineStr">
        <is>
          <t>VNSGN</t>
        </is>
      </c>
      <c r="T17" s="96" t="inlineStr">
        <is>
          <t>SGN03</t>
        </is>
      </c>
      <c r="U17" s="96" t="inlineStr">
        <is>
          <t>VNSGN</t>
        </is>
      </c>
      <c r="V17" s="161" t="inlineStr">
        <is>
          <t>2026-10-24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CAPRICORN LOGISTICS CO., LTD.</t>
        </is>
      </c>
      <c r="AB17" s="96" t="inlineStr">
        <is>
          <t>SWAN INDUSTRIES (THAILAND) LTD.</t>
        </is>
      </c>
      <c r="AC17" s="163" t="n">
        <v>27317.8</v>
      </c>
      <c r="AD17" s="163" t="n">
        <v>47317.8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CON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VSGN21</t>
        </is>
      </c>
      <c r="AN17" s="96" t="inlineStr">
        <is>
          <t>Nguyen Xuan Toan</t>
        </is>
      </c>
      <c r="AO17" s="96" t="inlineStr">
        <is>
          <t>EMPTY CAN (FOOD CAN)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SUR</t>
        </is>
      </c>
      <c r="AZ17" s="96" t="inlineStr">
        <is>
          <t xml:space="preserve">Pickup : 2026-10-14, Return : 2026-10-15 </t>
        </is>
      </c>
      <c r="BA17" s="97" t="inlineStr">
        <is>
          <t>HALU5681952 / OLD 278445 / NEW 281519
NEW SEAL FEE 1QTY 350THBSERVICE NO. S21-2209099// CONTRACT NO. 326/VN 26/LQ SWAN LOT.2need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17" s="96" t="inlineStr">
        <is>
          <t>C</t>
        </is>
      </c>
      <c r="BC17" s="161" t="inlineStr">
        <is>
          <t>2026-09-25</t>
        </is>
      </c>
      <c r="BD17" s="161" t="inlineStr">
        <is>
          <t>2026-10-19</t>
        </is>
      </c>
      <c r="BE17" s="96" t="inlineStr">
        <is>
          <t>Y</t>
        </is>
      </c>
      <c r="BF17" s="96" t="inlineStr">
        <is>
          <t>EMPTY CAN (FOOD CAN)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2026-10-14</t>
        </is>
      </c>
      <c r="BM17" s="127" t="n"/>
      <c r="BN17" s="127" t="n"/>
      <c r="BO17" s="127" t="n"/>
      <c r="BP17" s="127" t="n">
        <v>5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BKK02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bkk@capricornlogistics.co.th</t>
        </is>
      </c>
      <c r="CJ17" s="96" t="inlineStr">
        <is>
          <t>CAPRICORN LOGISTICS CO.,LTD.</t>
        </is>
      </c>
      <c r="CK17" s="96" t="inlineStr">
        <is>
          <t>GIA NGUYEN INT'L LOGISTICS CO., LTD</t>
        </is>
      </c>
      <c r="CL17" s="96" t="inlineStr">
        <is>
          <t>GIA NGUYEN INT'L LOGISTICS CO., LTD</t>
        </is>
      </c>
      <c r="CM17" s="97" t="inlineStr">
        <is>
          <t>CLOSED</t>
        </is>
      </c>
      <c r="CN17" s="96" t="inlineStr">
        <is>
          <t>202610191700</t>
        </is>
      </c>
      <c r="CO17" s="96" t="inlineStr">
        <is>
          <t>202610201800</t>
        </is>
      </c>
      <c r="CP17" s="97" t="n"/>
      <c r="CQ17" s="96" t="inlineStr">
        <is>
          <t>S21-2209099</t>
        </is>
      </c>
      <c r="CR17" s="96" t="inlineStr">
        <is>
          <t>TH045C</t>
        </is>
      </c>
      <c r="CS17" s="96" t="inlineStr">
        <is>
          <t>CAPRICORN LOGISTICS CO., LTD.</t>
        </is>
      </c>
      <c r="CT17" s="96" t="inlineStr">
        <is>
          <t>N</t>
        </is>
      </c>
      <c r="CU17" s="97" t="n"/>
      <c r="CV17" s="97" t="n"/>
      <c r="CW17" s="161" t="inlineStr">
        <is>
          <t>2026-10-19</t>
        </is>
      </c>
      <c r="CX17" s="97" t="inlineStr">
        <is>
          <t>731021</t>
        </is>
      </c>
      <c r="CY17" s="183" t="n"/>
    </row>
    <row r="18" ht="12" customHeight="1">
      <c r="A18" s="116" t="inlineStr">
        <is>
          <t>HASLS22260902491</t>
        </is>
      </c>
      <c r="B18" s="96" t="inlineStr">
        <is>
          <t>40Hx1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0</v>
      </c>
      <c r="H18" s="97" t="n">
        <v>0</v>
      </c>
      <c r="I18" s="97" t="n">
        <v>1</v>
      </c>
      <c r="J18" s="97" t="n">
        <v>2</v>
      </c>
      <c r="K18" s="96" t="inlineStr">
        <is>
          <t>N</t>
        </is>
      </c>
      <c r="L18" s="96" t="inlineStr">
        <is>
          <t>KST</t>
        </is>
      </c>
      <c r="M18" s="96" t="inlineStr">
        <is>
          <t>SWAL</t>
        </is>
      </c>
      <c r="N18" s="96" t="inlineStr">
        <is>
          <t>2609N</t>
        </is>
      </c>
      <c r="O18" s="96" t="inlineStr">
        <is>
          <t>THBKK</t>
        </is>
      </c>
      <c r="P18" s="96" t="inlineStr">
        <is>
          <t>BKK02</t>
        </is>
      </c>
      <c r="Q18" s="96" t="inlineStr">
        <is>
          <t>IA</t>
        </is>
      </c>
      <c r="R18" s="161" t="inlineStr">
        <is>
          <t>2026-10-22</t>
        </is>
      </c>
      <c r="S18" s="96" t="inlineStr">
        <is>
          <t>VNSGN</t>
        </is>
      </c>
      <c r="T18" s="96" t="inlineStr">
        <is>
          <t>SGN03</t>
        </is>
      </c>
      <c r="U18" s="96" t="inlineStr">
        <is>
          <t>VNSGN</t>
        </is>
      </c>
      <c r="V18" s="161" t="inlineStr">
        <is>
          <t>2026-10-24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BEE LOGISTICS (THAILAND) CO., LTD.</t>
        </is>
      </c>
      <c r="AB18" s="96" t="inlineStr">
        <is>
          <t>DEESTONE CORPORATION PUBLIC COMPANY LIMITED</t>
        </is>
      </c>
      <c r="AC18" s="163" t="n">
        <v>10765.98</v>
      </c>
      <c r="AD18" s="163" t="n">
        <v>14765.98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CON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TBKK28</t>
        </is>
      </c>
      <c r="AN18" s="96" t="inlineStr">
        <is>
          <t>Nustsireerach</t>
        </is>
      </c>
      <c r="AO18" s="96" t="inlineStr">
        <is>
          <t>DEESTONE BRAND NEW TIRES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SWB</t>
        </is>
      </c>
      <c r="AZ18" s="96" t="inlineStr">
        <is>
          <t>Pickup : 2026-10-14, Return : 2026-10-15</t>
        </is>
      </c>
      <c r="BA18" s="97" t="inlineStr">
        <is>
          <t>SO26-071870</t>
        </is>
      </c>
      <c r="BB18" s="96" t="inlineStr">
        <is>
          <t>P</t>
        </is>
      </c>
      <c r="BC18" s="161" t="inlineStr">
        <is>
          <t>2026-09-28</t>
        </is>
      </c>
      <c r="BD18" s="161" t="inlineStr">
        <is>
          <t>2026-10-14</t>
        </is>
      </c>
      <c r="BE18" s="96" t="inlineStr">
        <is>
          <t>Y</t>
        </is>
      </c>
      <c r="BF18" s="96" t="inlineStr">
        <is>
          <t>TIRES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BKK27</t>
        </is>
      </c>
      <c r="BL18" s="161" t="inlineStr">
        <is>
          <t>2026-10-14</t>
        </is>
      </c>
      <c r="BM18" s="127" t="n"/>
      <c r="BN18" s="127" t="n"/>
      <c r="BO18" s="127" t="n"/>
      <c r="BP18" s="127" t="n">
        <v>1</v>
      </c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BKK02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exp4.th@beelogistics.com</t>
        </is>
      </c>
      <c r="CJ18" s="96" t="inlineStr">
        <is>
          <t>BEE LOGISTICS (THAILAND) CO., LTD.</t>
        </is>
      </c>
      <c r="CK18" s="96" t="inlineStr">
        <is>
          <t>BEE LOGISTICS CORPORATION -</t>
        </is>
      </c>
      <c r="CL18" s="96" t="inlineStr">
        <is>
          <t>BEE LOGISTICS CORPORATION -</t>
        </is>
      </c>
      <c r="CM18" s="97" t="inlineStr">
        <is>
          <t>CLOSED</t>
        </is>
      </c>
      <c r="CN18" s="96" t="inlineStr">
        <is>
          <t>202610191700</t>
        </is>
      </c>
      <c r="CO18" s="96" t="inlineStr">
        <is>
          <t>202610201800</t>
        </is>
      </c>
      <c r="CP18" s="97" t="n"/>
      <c r="CQ18" s="96" t="inlineStr">
        <is>
          <t>S22-2402015</t>
        </is>
      </c>
      <c r="CR18" s="96" t="inlineStr">
        <is>
          <t>THTIK1</t>
        </is>
      </c>
      <c r="CS18" s="96" t="inlineStr">
        <is>
          <t>BEE LOGISTICS (THAILAND) CO., LTD.</t>
        </is>
      </c>
      <c r="CT18" s="96" t="inlineStr">
        <is>
          <t>N</t>
        </is>
      </c>
      <c r="CU18" s="97" t="n"/>
      <c r="CV18" s="97" t="n"/>
      <c r="CW18" s="161" t="inlineStr">
        <is>
          <t>2026-10-19</t>
        </is>
      </c>
      <c r="CX18" s="97" t="inlineStr">
        <is>
          <t>401120</t>
        </is>
      </c>
      <c r="CY18" s="183" t="n"/>
    </row>
    <row r="19" ht="12" customHeight="1">
      <c r="A19" s="116" t="inlineStr">
        <is>
          <t>HASLS22260902497</t>
        </is>
      </c>
      <c r="B19" s="96" t="inlineStr">
        <is>
          <t>20'x1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KST</t>
        </is>
      </c>
      <c r="M19" s="96" t="inlineStr">
        <is>
          <t>SWAL</t>
        </is>
      </c>
      <c r="N19" s="96" t="inlineStr">
        <is>
          <t>2609N</t>
        </is>
      </c>
      <c r="O19" s="96" t="inlineStr">
        <is>
          <t>THBKK</t>
        </is>
      </c>
      <c r="P19" s="96" t="inlineStr">
        <is>
          <t>BKK02</t>
        </is>
      </c>
      <c r="Q19" s="96" t="inlineStr">
        <is>
          <t>IA</t>
        </is>
      </c>
      <c r="R19" s="161" t="inlineStr">
        <is>
          <t>2026-10-22</t>
        </is>
      </c>
      <c r="S19" s="96" t="inlineStr">
        <is>
          <t>VNSGN</t>
        </is>
      </c>
      <c r="T19" s="96" t="inlineStr">
        <is>
          <t>SGN03</t>
        </is>
      </c>
      <c r="U19" s="96" t="inlineStr">
        <is>
          <t>VNSGN</t>
        </is>
      </c>
      <c r="V19" s="161" t="inlineStr">
        <is>
          <t>2026-10-24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PACIFIC STAR ALLIANCE CO., LTD.</t>
        </is>
      </c>
      <c r="AB19" s="96" t="inlineStr">
        <is>
          <t>WIN CHANCE INDUSTRIES CO.,LTD.</t>
        </is>
      </c>
      <c r="AC19" s="163" t="n">
        <v>6336.1</v>
      </c>
      <c r="AD19" s="163" t="n">
        <v>8536.1</v>
      </c>
      <c r="AE19" s="96" t="inlineStr">
        <is>
          <t>OK</t>
        </is>
      </c>
      <c r="AF19" s="96" t="n"/>
      <c r="AG19" s="97" t="n"/>
      <c r="AH19" s="96" t="inlineStr">
        <is>
          <t>CON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TBKK19</t>
        </is>
      </c>
      <c r="AN19" s="96" t="inlineStr">
        <is>
          <t>Kanokporn</t>
        </is>
      </c>
      <c r="AO19" s="96" t="inlineStr">
        <is>
          <t>COCKTAIL SAUCE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SUR</t>
        </is>
      </c>
      <c r="AZ19" s="96" t="inlineStr">
        <is>
          <t>Pickup : 2026-10-16, Return : 2026-10-16</t>
        </is>
      </c>
      <c r="BA19" s="97" t="inlineStr">
        <is>
          <t>FM 1X40HQ 02/10</t>
        </is>
      </c>
      <c r="BB19" s="96" t="inlineStr">
        <is>
          <t>P</t>
        </is>
      </c>
      <c r="BC19" s="161" t="inlineStr">
        <is>
          <t>2026-09-28</t>
        </is>
      </c>
      <c r="BD19" s="161" t="inlineStr">
        <is>
          <t>2026-10-19</t>
        </is>
      </c>
      <c r="BE19" s="96" t="inlineStr">
        <is>
          <t>Y</t>
        </is>
      </c>
      <c r="BF19" s="96" t="inlineStr">
        <is>
          <t>SAUCE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2026-10-16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BKK02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CS@PACIFICSTAR.CO.TH</t>
        </is>
      </c>
      <c r="CJ19" s="96" t="inlineStr">
        <is>
          <t>PACIFIC STAR ALLIANCE CO.,LTD.</t>
        </is>
      </c>
      <c r="CK19" s="96" t="inlineStr">
        <is>
          <t>SCT LOGISTICS JOINT STOCK COMPANY</t>
        </is>
      </c>
      <c r="CL19" s="96" t="inlineStr">
        <is>
          <t>SCT LOGISTICS JOINT STOCK COMPANY</t>
        </is>
      </c>
      <c r="CM19" s="97" t="inlineStr">
        <is>
          <t>CLOSED</t>
        </is>
      </c>
      <c r="CN19" s="96" t="inlineStr">
        <is>
          <t>202610191700</t>
        </is>
      </c>
      <c r="CO19" s="96" t="inlineStr">
        <is>
          <t>202610201800</t>
        </is>
      </c>
      <c r="CP19" s="97" t="n"/>
      <c r="CQ19" s="96" t="inlineStr">
        <is>
          <t>S19-2106019</t>
        </is>
      </c>
      <c r="CR19" s="96" t="inlineStr">
        <is>
          <t>TH00ZZ</t>
        </is>
      </c>
      <c r="CS19" s="96" t="inlineStr">
        <is>
          <t>PACIFIC STAR ALLIANCE CO., LTD.</t>
        </is>
      </c>
      <c r="CT19" s="96" t="inlineStr">
        <is>
          <t>N</t>
        </is>
      </c>
      <c r="CU19" s="97" t="n"/>
      <c r="CV19" s="97" t="n"/>
      <c r="CW19" s="161" t="inlineStr">
        <is>
          <t>2026-10-19</t>
        </is>
      </c>
      <c r="CX19" s="97" t="inlineStr">
        <is>
          <t>210390</t>
        </is>
      </c>
      <c r="CY19" s="183" t="n"/>
    </row>
    <row r="20" ht="12" customHeight="1">
      <c r="A20" s="116" t="inlineStr">
        <is>
          <t>HASLS22260902611</t>
        </is>
      </c>
      <c r="B20" s="96" t="inlineStr">
        <is>
          <t>20'x1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1</v>
      </c>
      <c r="H20" s="97" t="n">
        <v>0</v>
      </c>
      <c r="I20" s="97" t="n">
        <v>0</v>
      </c>
      <c r="J20" s="97" t="n">
        <v>1</v>
      </c>
      <c r="K20" s="96" t="inlineStr">
        <is>
          <t>N</t>
        </is>
      </c>
      <c r="L20" s="96" t="inlineStr">
        <is>
          <t>KST</t>
        </is>
      </c>
      <c r="M20" s="96" t="inlineStr">
        <is>
          <t>SWAL</t>
        </is>
      </c>
      <c r="N20" s="96" t="inlineStr">
        <is>
          <t>2609N</t>
        </is>
      </c>
      <c r="O20" s="96" t="inlineStr">
        <is>
          <t>THBKK</t>
        </is>
      </c>
      <c r="P20" s="96" t="inlineStr">
        <is>
          <t>BKK02</t>
        </is>
      </c>
      <c r="Q20" s="96" t="inlineStr">
        <is>
          <t>IA</t>
        </is>
      </c>
      <c r="R20" s="161" t="inlineStr">
        <is>
          <t>2026-10-22</t>
        </is>
      </c>
      <c r="S20" s="96" t="inlineStr">
        <is>
          <t>KRINC</t>
        </is>
      </c>
      <c r="T20" s="96" t="inlineStr">
        <is>
          <t>INC07</t>
        </is>
      </c>
      <c r="U20" s="96" t="inlineStr">
        <is>
          <t>KRINC</t>
        </is>
      </c>
      <c r="V20" s="161" t="inlineStr">
        <is>
          <t>2026-10-30</t>
        </is>
      </c>
      <c r="W20" s="96" t="inlineStr">
        <is>
          <t>KR</t>
        </is>
      </c>
      <c r="X20" s="97" t="n"/>
      <c r="Y20" s="97" t="n"/>
      <c r="Z20" s="97" t="n"/>
      <c r="AA20" s="96" t="inlineStr">
        <is>
          <t>CELESTIAL XPRESS LOGISTICS (THAILAND) CO., LTD.</t>
        </is>
      </c>
      <c r="AB20" s="96" t="inlineStr">
        <is>
          <t>UNICORD PUBLIC COMPANY LIMITED</t>
        </is>
      </c>
      <c r="AC20" s="163" t="n">
        <v>16236</v>
      </c>
      <c r="AD20" s="163" t="n">
        <v>18436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CON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TBKK28</t>
        </is>
      </c>
      <c r="AN20" s="96" t="inlineStr">
        <is>
          <t>Nustsireerach</t>
        </is>
      </c>
      <c r="AO20" s="96" t="inlineStr">
        <is>
          <t>PET FOOD (CANNED CATFOOD)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SUR</t>
        </is>
      </c>
      <c r="AZ20" s="96" t="inlineStr">
        <is>
          <t xml:space="preserve">Pickup : 2026-10-15, Return : 2026-10-17
extend closing time to 18/10/26 @18.00 </t>
        </is>
      </c>
      <c r="BA20" s="97" t="n"/>
      <c r="BB20" s="96" t="inlineStr">
        <is>
          <t>C</t>
        </is>
      </c>
      <c r="BC20" s="161" t="inlineStr">
        <is>
          <t>2026-09-28</t>
        </is>
      </c>
      <c r="BD20" s="161" t="inlineStr">
        <is>
          <t>2026-10-20</t>
        </is>
      </c>
      <c r="BE20" s="96" t="inlineStr">
        <is>
          <t>Y</t>
        </is>
      </c>
      <c r="BF20" s="96" t="inlineStr">
        <is>
          <t>PET FOOD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2026-10-15</t>
        </is>
      </c>
      <c r="BM20" s="127" t="n"/>
      <c r="BN20" s="127" t="n">
        <v>1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BKK02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export@c-xpress.com</t>
        </is>
      </c>
      <c r="CJ20" s="96" t="inlineStr">
        <is>
          <t>CELESTIAL XPRESS LOGISTICS</t>
        </is>
      </c>
      <c r="CK20" s="96" t="inlineStr">
        <is>
          <t>BEL SHIPPING CO., LTD.</t>
        </is>
      </c>
      <c r="CL20" s="96" t="inlineStr">
        <is>
          <t>BEL SHIPPING CO., LTD.</t>
        </is>
      </c>
      <c r="CM20" s="97" t="inlineStr">
        <is>
          <t>CLOSED</t>
        </is>
      </c>
      <c r="CN20" s="96" t="inlineStr">
        <is>
          <t>202610191700</t>
        </is>
      </c>
      <c r="CO20" s="96" t="inlineStr">
        <is>
          <t>202610201800</t>
        </is>
      </c>
      <c r="CP20" s="97" t="n"/>
      <c r="CQ20" s="96" t="inlineStr">
        <is>
          <t>S22-2505012</t>
        </is>
      </c>
      <c r="CR20" s="96" t="inlineStr">
        <is>
          <t>THTIN4</t>
        </is>
      </c>
      <c r="CS20" s="96" t="inlineStr">
        <is>
          <t>CELESTIAL XPRESS LOGISTICS (THAILAND) CO., LTD.</t>
        </is>
      </c>
      <c r="CT20" s="96" t="inlineStr">
        <is>
          <t>N</t>
        </is>
      </c>
      <c r="CU20" s="97" t="n"/>
      <c r="CV20" s="97" t="n"/>
      <c r="CW20" s="161" t="inlineStr">
        <is>
          <t>2026-10-20</t>
        </is>
      </c>
      <c r="CX20" s="97" t="n"/>
      <c r="CY20" s="183" t="n"/>
    </row>
    <row r="21" ht="12" customHeight="1">
      <c r="A21" s="116" t="inlineStr">
        <is>
          <t>HASLS22260902622</t>
        </is>
      </c>
      <c r="B21" s="96" t="inlineStr">
        <is>
          <t>40Hx2</t>
        </is>
      </c>
      <c r="C21" s="97" t="n">
        <v>2</v>
      </c>
      <c r="D21" s="97" t="n">
        <v>2</v>
      </c>
      <c r="E21" s="97" t="n"/>
      <c r="F21" s="97" t="n">
        <v>0</v>
      </c>
      <c r="G21" s="97" t="n">
        <v>0</v>
      </c>
      <c r="H21" s="97" t="n">
        <v>0</v>
      </c>
      <c r="I21" s="97" t="n">
        <v>2</v>
      </c>
      <c r="J21" s="97" t="n">
        <v>4</v>
      </c>
      <c r="K21" s="96" t="inlineStr">
        <is>
          <t>N</t>
        </is>
      </c>
      <c r="L21" s="96" t="inlineStr">
        <is>
          <t>KST</t>
        </is>
      </c>
      <c r="M21" s="96" t="inlineStr">
        <is>
          <t>SWAL</t>
        </is>
      </c>
      <c r="N21" s="96" t="inlineStr">
        <is>
          <t>2609N</t>
        </is>
      </c>
      <c r="O21" s="96" t="inlineStr">
        <is>
          <t>THBKK</t>
        </is>
      </c>
      <c r="P21" s="96" t="inlineStr">
        <is>
          <t>BKK02</t>
        </is>
      </c>
      <c r="Q21" s="96" t="inlineStr">
        <is>
          <t>IA</t>
        </is>
      </c>
      <c r="R21" s="161" t="inlineStr">
        <is>
          <t>2026-10-22</t>
        </is>
      </c>
      <c r="S21" s="96" t="inlineStr">
        <is>
          <t>VNSGN</t>
        </is>
      </c>
      <c r="T21" s="96" t="inlineStr">
        <is>
          <t>SGN03</t>
        </is>
      </c>
      <c r="U21" s="96" t="inlineStr">
        <is>
          <t>VNSGN</t>
        </is>
      </c>
      <c r="V21" s="161" t="inlineStr">
        <is>
          <t>2026-10-24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OCEAN AIR INTERNATIONAL CO., LTD.</t>
        </is>
      </c>
      <c r="AB21" s="96" t="inlineStr">
        <is>
          <t>ASIAN GLOBAL HOLDING CO.,LTD</t>
        </is>
      </c>
      <c r="AC21" s="163" t="n">
        <v>11847</v>
      </c>
      <c r="AD21" s="163" t="n">
        <v>19847</v>
      </c>
      <c r="AE21" s="96" t="inlineStr">
        <is>
          <t>OK</t>
        </is>
      </c>
      <c r="AF21" s="96" t="inlineStr">
        <is>
          <t>SR</t>
        </is>
      </c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VSGN21</t>
        </is>
      </c>
      <c r="AN21" s="96" t="inlineStr">
        <is>
          <t>Nguyen Xuan Toan</t>
        </is>
      </c>
      <c r="AO21" s="96" t="inlineStr">
        <is>
          <t>300 X407  EMPTY CANS WITH AND  300  EOE LID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SUR</t>
        </is>
      </c>
      <c r="AZ21" s="96" t="inlineStr">
        <is>
          <t xml:space="preserve">Pickup : 2026-10-12, Return : 2026-10-13 </t>
        </is>
      </c>
      <c r="BA21" s="97" t="inlineStr">
        <is>
          <t>ROLL OVER FORM PREVIOUS VSL SWBT 2616N BY ALLOCATION TEAM MS.TARN APRPOVED COST IS UNDER HA DD.15/10
RM KUS 2616N BY HA DD.5/10ETD 15/10CY 12/10RTN 13/10HS CODE  7310.21.11</t>
        </is>
      </c>
      <c r="BB21" s="96" t="inlineStr">
        <is>
          <t>C</t>
        </is>
      </c>
      <c r="BC21" s="161" t="inlineStr">
        <is>
          <t>2026-09-29</t>
        </is>
      </c>
      <c r="BD21" s="161" t="inlineStr">
        <is>
          <t>2026-10-15</t>
        </is>
      </c>
      <c r="BE21" s="96" t="inlineStr">
        <is>
          <t>Y</t>
        </is>
      </c>
      <c r="BF21" s="96" t="inlineStr">
        <is>
          <t>EMPTY CANS WITH AND  300  EOE LID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BKK27</t>
        </is>
      </c>
      <c r="BL21" s="161" t="inlineStr">
        <is>
          <t>2026-10-12</t>
        </is>
      </c>
      <c r="BM21" s="127" t="n"/>
      <c r="BN21" s="127" t="n"/>
      <c r="BO21" s="127" t="n"/>
      <c r="BP21" s="127" t="n">
        <v>2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BKK02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consol_1@oceanairinter.com</t>
        </is>
      </c>
      <c r="CJ21" s="96" t="inlineStr">
        <is>
          <t>OCEAN AIR INTERNATIONAL CO.,LTD.</t>
        </is>
      </c>
      <c r="CK21" s="96" t="inlineStr">
        <is>
          <t>AO SHIPPING TRANSPORT CORPORATION</t>
        </is>
      </c>
      <c r="CL21" s="96" t="inlineStr">
        <is>
          <t>AO SHIPPING TRANSPORT CORPORATION</t>
        </is>
      </c>
      <c r="CM21" s="97" t="inlineStr">
        <is>
          <t>CLOSED</t>
        </is>
      </c>
      <c r="CN21" s="96" t="inlineStr">
        <is>
          <t>202610191700</t>
        </is>
      </c>
      <c r="CO21" s="96" t="inlineStr">
        <is>
          <t>202610201800</t>
        </is>
      </c>
      <c r="CP21" s="97" t="n"/>
      <c r="CQ21" s="96" t="inlineStr">
        <is>
          <t>S21-2607114</t>
        </is>
      </c>
      <c r="CR21" s="96" t="inlineStr">
        <is>
          <t>BB0315</t>
        </is>
      </c>
      <c r="CS21" s="96" t="inlineStr">
        <is>
          <t>OCEAN AIR INTERNATIONAL CO., LTD.</t>
        </is>
      </c>
      <c r="CT21" s="96" t="inlineStr">
        <is>
          <t>N</t>
        </is>
      </c>
      <c r="CU21" s="97" t="n"/>
      <c r="CV21" s="97" t="n"/>
      <c r="CW21" s="161" t="inlineStr">
        <is>
          <t>2026-10-21</t>
        </is>
      </c>
      <c r="CX21" s="97" t="inlineStr">
        <is>
          <t>731021</t>
        </is>
      </c>
      <c r="CY21" s="183" t="inlineStr">
        <is>
          <t>ROLL OVER FORM PREVIOUS VSL SWAL 2609N BY ALLOCATION TEAM MS.TARN APRPOVED COST IS UNDER HA DD.15/10</t>
        </is>
      </c>
    </row>
    <row r="22" ht="12" customHeight="1">
      <c r="A22" s="116" t="inlineStr">
        <is>
          <t>HASLS22260902836</t>
        </is>
      </c>
      <c r="B22" s="96" t="inlineStr">
        <is>
          <t>20'x2</t>
        </is>
      </c>
      <c r="C22" s="97" t="n">
        <v>2</v>
      </c>
      <c r="D22" s="97" t="n">
        <v>2</v>
      </c>
      <c r="E22" s="97" t="n"/>
      <c r="F22" s="97" t="n">
        <v>0</v>
      </c>
      <c r="G22" s="97" t="n">
        <v>2</v>
      </c>
      <c r="H22" s="97" t="n">
        <v>0</v>
      </c>
      <c r="I22" s="97" t="n">
        <v>0</v>
      </c>
      <c r="J22" s="97" t="n">
        <v>2</v>
      </c>
      <c r="K22" s="96" t="inlineStr">
        <is>
          <t>N</t>
        </is>
      </c>
      <c r="L22" s="96" t="inlineStr">
        <is>
          <t>KST</t>
        </is>
      </c>
      <c r="M22" s="96" t="inlineStr">
        <is>
          <t>SWAL</t>
        </is>
      </c>
      <c r="N22" s="96" t="inlineStr">
        <is>
          <t>2609N</t>
        </is>
      </c>
      <c r="O22" s="96" t="inlineStr">
        <is>
          <t>THBKK</t>
        </is>
      </c>
      <c r="P22" s="96" t="inlineStr">
        <is>
          <t>BKK02</t>
        </is>
      </c>
      <c r="Q22" s="96" t="inlineStr">
        <is>
          <t>IA</t>
        </is>
      </c>
      <c r="R22" s="161" t="inlineStr">
        <is>
          <t>2026-10-22</t>
        </is>
      </c>
      <c r="S22" s="96" t="inlineStr">
        <is>
          <t>VNSGN</t>
        </is>
      </c>
      <c r="T22" s="96" t="inlineStr">
        <is>
          <t>SGN03</t>
        </is>
      </c>
      <c r="U22" s="96" t="inlineStr">
        <is>
          <t>VNSGN</t>
        </is>
      </c>
      <c r="V22" s="161" t="inlineStr">
        <is>
          <t>2026-10-24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TRUE MARINE CO., LTD.</t>
        </is>
      </c>
      <c r="AB22" s="96" t="inlineStr">
        <is>
          <t>O.S.WAX TRADING CO., LTD.</t>
        </is>
      </c>
      <c r="AC22" s="163" t="n">
        <v>42060</v>
      </c>
      <c r="AD22" s="163" t="n">
        <v>46460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TH0011</t>
        </is>
      </c>
      <c r="AN22" s="96" t="inlineStr">
        <is>
          <t>Nannaapust Sukporntaweewat</t>
        </is>
      </c>
      <c r="AO22" s="96" t="inlineStr">
        <is>
          <t>PETROLEUM PARAFFIN EMULSION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Y</t>
        </is>
      </c>
      <c r="AY22" s="97" t="inlineStr">
        <is>
          <t>SUR</t>
        </is>
      </c>
      <c r="AZ22" s="96" t="inlineStr">
        <is>
          <t>APPROVAL BY MR.SANGJUN KIM DD.19/10/2026 ** FLEXIBAG ON DECK**
Pickup : 2026-10-10, Return : 2026-10-12</t>
        </is>
      </c>
      <c r="BA22" s="97" t="inlineStr">
        <is>
          <t>ROLL OVER FORM PREVIOUS VSL SWBT 2616N BY ALLOCATION TEAM MS.TARN APRPOVED COST IS UNDER HA DD.15/10
RQST CHANGE VSL NAME FROM KUS 2616N BY HA DD.5/10</t>
        </is>
      </c>
      <c r="BB22" s="96" t="inlineStr">
        <is>
          <t>P</t>
        </is>
      </c>
      <c r="BC22" s="161" t="inlineStr">
        <is>
          <t>2026-09-30</t>
        </is>
      </c>
      <c r="BD22" s="161" t="inlineStr">
        <is>
          <t>2026-10-19</t>
        </is>
      </c>
      <c r="BE22" s="96" t="inlineStr">
        <is>
          <t>Y</t>
        </is>
      </c>
      <c r="BF22" s="96" t="inlineStr">
        <is>
          <t>WAX EMULSION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2026-10-10</t>
        </is>
      </c>
      <c r="BM22" s="127" t="n"/>
      <c r="BN22" s="127" t="n">
        <v>2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BKK02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op.support@truemarine.co.th</t>
        </is>
      </c>
      <c r="CJ22" s="96" t="inlineStr">
        <is>
          <t>O.S. WAX TRADING CO., LTD.</t>
        </is>
      </c>
      <c r="CK22" s="96" t="inlineStr">
        <is>
          <t>VRG DONGWHA MDF JOINT STOCK COMPANY</t>
        </is>
      </c>
      <c r="CL22" s="96" t="inlineStr">
        <is>
          <t>EXCELUBE MARKETING SDN BHD</t>
        </is>
      </c>
      <c r="CM22" s="97" t="inlineStr">
        <is>
          <t>CLOSED</t>
        </is>
      </c>
      <c r="CN22" s="96" t="inlineStr">
        <is>
          <t>202610191700</t>
        </is>
      </c>
      <c r="CO22" s="96" t="inlineStr">
        <is>
          <t>202610201800</t>
        </is>
      </c>
      <c r="CP22" s="97" t="n"/>
      <c r="CQ22" s="96" t="inlineStr">
        <is>
          <t>S22-2503051</t>
        </is>
      </c>
      <c r="CR22" s="96" t="inlineStr">
        <is>
          <t>THTKB2</t>
        </is>
      </c>
      <c r="CS22" s="96" t="inlineStr">
        <is>
          <t>TRUE MARINE CO., LTD.</t>
        </is>
      </c>
      <c r="CT22" s="96" t="inlineStr">
        <is>
          <t>N</t>
        </is>
      </c>
      <c r="CU22" s="97" t="n"/>
      <c r="CV22" s="97" t="n"/>
      <c r="CW22" s="161" t="inlineStr">
        <is>
          <t>2026-10-21</t>
        </is>
      </c>
      <c r="CX22" s="97" t="inlineStr">
        <is>
          <t>382499</t>
        </is>
      </c>
      <c r="CY22" s="183" t="inlineStr">
        <is>
          <t>ROLL OVER FORM PREVIOUS VSL SWAL 2609N BY ALLOCATION TEAM MS.TARN APRPOVED COST IS UNDER HA DD.15/10</t>
        </is>
      </c>
    </row>
    <row r="23" ht="12" customHeight="1">
      <c r="A23" s="116" t="inlineStr">
        <is>
          <t>HASLS22261000020</t>
        </is>
      </c>
      <c r="B23" s="96" t="inlineStr">
        <is>
          <t>40Hx1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0</v>
      </c>
      <c r="H23" s="97" t="n">
        <v>0</v>
      </c>
      <c r="I23" s="97" t="n">
        <v>1</v>
      </c>
      <c r="J23" s="97" t="n">
        <v>2</v>
      </c>
      <c r="K23" s="96" t="inlineStr">
        <is>
          <t>N</t>
        </is>
      </c>
      <c r="L23" s="96" t="inlineStr">
        <is>
          <t>KST</t>
        </is>
      </c>
      <c r="M23" s="96" t="inlineStr">
        <is>
          <t>SWAL</t>
        </is>
      </c>
      <c r="N23" s="96" t="inlineStr">
        <is>
          <t>2609N</t>
        </is>
      </c>
      <c r="O23" s="96" t="inlineStr">
        <is>
          <t>THBKK</t>
        </is>
      </c>
      <c r="P23" s="96" t="inlineStr">
        <is>
          <t>BKK02</t>
        </is>
      </c>
      <c r="Q23" s="96" t="inlineStr">
        <is>
          <t>IA</t>
        </is>
      </c>
      <c r="R23" s="161" t="inlineStr">
        <is>
          <t>2026-10-22</t>
        </is>
      </c>
      <c r="S23" s="96" t="inlineStr">
        <is>
          <t>VNSGN</t>
        </is>
      </c>
      <c r="T23" s="96" t="inlineStr">
        <is>
          <t>SGN03</t>
        </is>
      </c>
      <c r="U23" s="96" t="inlineStr">
        <is>
          <t>VNSGN</t>
        </is>
      </c>
      <c r="V23" s="161" t="inlineStr">
        <is>
          <t>2026-10-24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BEE LOGISTICS (THAILAND) CO., LTD.</t>
        </is>
      </c>
      <c r="AB23" s="96" t="inlineStr">
        <is>
          <t>BIZMAKER CO.,LTD.</t>
        </is>
      </c>
      <c r="AC23" s="163" t="n">
        <v>6527.8</v>
      </c>
      <c r="AD23" s="163" t="n">
        <v>10527.8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CON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TBKK28</t>
        </is>
      </c>
      <c r="AN23" s="96" t="inlineStr">
        <is>
          <t>Nustsireerach</t>
        </is>
      </c>
      <c r="AO23" s="96" t="inlineStr">
        <is>
          <t>FULLFISH FISHSNACK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SWB</t>
        </is>
      </c>
      <c r="AZ23" s="96" t="inlineStr">
        <is>
          <t>Pickup : 2026-10-14, Return : 2026-10-15</t>
        </is>
      </c>
      <c r="BA23" s="97" t="n"/>
      <c r="BB23" s="96" t="inlineStr">
        <is>
          <t>P</t>
        </is>
      </c>
      <c r="BC23" s="161" t="inlineStr">
        <is>
          <t>2026-10-01</t>
        </is>
      </c>
      <c r="BD23" s="161" t="inlineStr">
        <is>
          <t>2026-10-19</t>
        </is>
      </c>
      <c r="BE23" s="96" t="inlineStr">
        <is>
          <t>Y</t>
        </is>
      </c>
      <c r="BF23" s="96" t="inlineStr">
        <is>
          <t>FULLFISH FISHSNACK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2026-10-14</t>
        </is>
      </c>
      <c r="BM23" s="127" t="n"/>
      <c r="BN23" s="127" t="n"/>
      <c r="BO23" s="127" t="n"/>
      <c r="BP23" s="127" t="n">
        <v>1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BKK02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exp3.th@beelogistics.com;csexp.th@beelogistics.com</t>
        </is>
      </c>
      <c r="CJ23" s="96" t="inlineStr">
        <is>
          <t>BEE LOGISTICS (THAILAND) CO., LTD.</t>
        </is>
      </c>
      <c r="CK23" s="96" t="inlineStr">
        <is>
          <t>BEE LOGISTICS CORPORATION</t>
        </is>
      </c>
      <c r="CL23" s="96" t="inlineStr">
        <is>
          <t>BEE LOGISTICS CORPORATION</t>
        </is>
      </c>
      <c r="CM23" s="97" t="n"/>
      <c r="CN23" s="96" t="inlineStr">
        <is>
          <t>202610191700</t>
        </is>
      </c>
      <c r="CO23" s="96" t="inlineStr">
        <is>
          <t>202610201800</t>
        </is>
      </c>
      <c r="CP23" s="97" t="n"/>
      <c r="CQ23" s="96" t="inlineStr">
        <is>
          <t>S22-2402015</t>
        </is>
      </c>
      <c r="CR23" s="96" t="inlineStr">
        <is>
          <t>THTIK1</t>
        </is>
      </c>
      <c r="CS23" s="96" t="inlineStr">
        <is>
          <t>BEE LOGISTICS (THAILAND) CO., LTD.</t>
        </is>
      </c>
      <c r="CT23" s="96" t="inlineStr">
        <is>
          <t>N</t>
        </is>
      </c>
      <c r="CU23" s="97" t="n"/>
      <c r="CV23" s="97" t="n"/>
      <c r="CW23" s="161" t="inlineStr">
        <is>
          <t>2026-10-19</t>
        </is>
      </c>
      <c r="CX23" s="97" t="inlineStr">
        <is>
          <t>160420</t>
        </is>
      </c>
      <c r="CY23" s="183" t="n"/>
    </row>
    <row r="24" ht="12" customHeight="1">
      <c r="A24" s="116" t="inlineStr">
        <is>
          <t>HASLS22261000064</t>
        </is>
      </c>
      <c r="B24" s="96" t="inlineStr">
        <is>
          <t>20'x1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1</v>
      </c>
      <c r="H24" s="97" t="n">
        <v>0</v>
      </c>
      <c r="I24" s="97" t="n">
        <v>0</v>
      </c>
      <c r="J24" s="97" t="n">
        <v>1</v>
      </c>
      <c r="K24" s="96" t="inlineStr">
        <is>
          <t>N</t>
        </is>
      </c>
      <c r="L24" s="96" t="inlineStr">
        <is>
          <t>KST</t>
        </is>
      </c>
      <c r="M24" s="96" t="inlineStr">
        <is>
          <t>SWAL</t>
        </is>
      </c>
      <c r="N24" s="96" t="inlineStr">
        <is>
          <t>2609N</t>
        </is>
      </c>
      <c r="O24" s="96" t="inlineStr">
        <is>
          <t>THBKK</t>
        </is>
      </c>
      <c r="P24" s="96" t="inlineStr">
        <is>
          <t>BKK02</t>
        </is>
      </c>
      <c r="Q24" s="96" t="inlineStr">
        <is>
          <t>IA</t>
        </is>
      </c>
      <c r="R24" s="161" t="inlineStr">
        <is>
          <t>2026-10-22</t>
        </is>
      </c>
      <c r="S24" s="96" t="inlineStr">
        <is>
          <t>VNSGN</t>
        </is>
      </c>
      <c r="T24" s="96" t="inlineStr">
        <is>
          <t>SGN03</t>
        </is>
      </c>
      <c r="U24" s="96" t="inlineStr">
        <is>
          <t>VNSGN</t>
        </is>
      </c>
      <c r="V24" s="161" t="inlineStr">
        <is>
          <t>2026-10-24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SEATRANS LOGISTICS CO., LTD.</t>
        </is>
      </c>
      <c r="AB24" s="96" t="inlineStr">
        <is>
          <t>GENERAL STARCH LIMITED</t>
        </is>
      </c>
      <c r="AC24" s="163" t="n">
        <v>15020</v>
      </c>
      <c r="AD24" s="163" t="n">
        <v>17220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TBKK13</t>
        </is>
      </c>
      <c r="AN24" s="96" t="inlineStr">
        <is>
          <t>Dharaporn</t>
        </is>
      </c>
      <c r="AO24" s="96" t="inlineStr">
        <is>
          <t>MODIFIED TAPIOCA STARCH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SUR</t>
        </is>
      </c>
      <c r="AZ24" s="96" t="inlineStr">
        <is>
          <t>Pickup : 2026-10-09, Return : 2026-10-12</t>
        </is>
      </c>
      <c r="BA24" s="97" t="inlineStr">
        <is>
          <t>ROLL OVER FROM PREVIOUS VSL SWBT 2616N BY ALLOCATION TEAM MS.TANR APRPOVED COST IS UNDER HA DD.14/10
FM SWMM 2610N BY K'NIM DD.05/10/2026CLEAN / FOOD GRADE CONTAINER, NO HOLE, NO SMELL , WITHOUT ANY OIL STAIN</t>
        </is>
      </c>
      <c r="BB24" s="96" t="inlineStr">
        <is>
          <t>P</t>
        </is>
      </c>
      <c r="BC24" s="161" t="inlineStr">
        <is>
          <t>2026-10-01</t>
        </is>
      </c>
      <c r="BD24" s="161" t="inlineStr">
        <is>
          <t>2026-10-14</t>
        </is>
      </c>
      <c r="BE24" s="96" t="inlineStr">
        <is>
          <t>Y</t>
        </is>
      </c>
      <c r="BF24" s="96" t="inlineStr">
        <is>
          <t>MODIFIED TAPIOCA STARCH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2026-10-09</t>
        </is>
      </c>
      <c r="BM24" s="127" t="n"/>
      <c r="BN24" s="127" t="n">
        <v>1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BKK02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booking@seatrans-logistics.com</t>
        </is>
      </c>
      <c r="CJ24" s="96" t="inlineStr">
        <is>
          <t>GENERAL STARCH LIMITED</t>
        </is>
      </c>
      <c r="CK24" s="96" t="inlineStr">
        <is>
          <t>CALDIC SPECIALTIES VIETNAM CO.,LTD.</t>
        </is>
      </c>
      <c r="CL24" s="96" t="inlineStr">
        <is>
          <t>CALDIC SPECIALTIES VIETNAM CO.,LTD.</t>
        </is>
      </c>
      <c r="CM24" s="97" t="inlineStr">
        <is>
          <t>CLOSED</t>
        </is>
      </c>
      <c r="CN24" s="96" t="inlineStr">
        <is>
          <t>202610191700</t>
        </is>
      </c>
      <c r="CO24" s="96" t="inlineStr">
        <is>
          <t>202610201800</t>
        </is>
      </c>
      <c r="CP24" s="97" t="n"/>
      <c r="CQ24" s="96" t="inlineStr">
        <is>
          <t>S22-2412048</t>
        </is>
      </c>
      <c r="CR24" s="96" t="inlineStr">
        <is>
          <t>TH03YN</t>
        </is>
      </c>
      <c r="CS24" s="96" t="inlineStr">
        <is>
          <t>SEATRANS LOGISTICS CO., LTD.</t>
        </is>
      </c>
      <c r="CT24" s="96" t="inlineStr">
        <is>
          <t>N</t>
        </is>
      </c>
      <c r="CU24" s="97" t="n"/>
      <c r="CV24" s="97" t="n"/>
      <c r="CW24" s="161" t="inlineStr">
        <is>
          <t>2026-10-20</t>
        </is>
      </c>
      <c r="CX24" s="97" t="inlineStr">
        <is>
          <t>350510</t>
        </is>
      </c>
      <c r="CY24" s="183" t="inlineStr">
        <is>
          <t>ROLL OVER FROM PREVIOUS VSL SWBT 2616N BY ALLOCATION TEAM MS.TANR APRPOVED COST IS UNDER HA DD.14/10</t>
        </is>
      </c>
    </row>
    <row r="25" ht="12" customHeight="1">
      <c r="A25" s="116" t="inlineStr">
        <is>
          <t>HASLS22261000202</t>
        </is>
      </c>
      <c r="B25" s="96" t="inlineStr">
        <is>
          <t>20'x1</t>
        </is>
      </c>
      <c r="C25" s="97" t="n">
        <v>1</v>
      </c>
      <c r="D25" s="97" t="n">
        <v>1</v>
      </c>
      <c r="E25" s="97" t="n"/>
      <c r="F25" s="97" t="n">
        <v>0</v>
      </c>
      <c r="G25" s="97" t="n">
        <v>1</v>
      </c>
      <c r="H25" s="97" t="n">
        <v>0</v>
      </c>
      <c r="I25" s="97" t="n">
        <v>0</v>
      </c>
      <c r="J25" s="97" t="n">
        <v>1</v>
      </c>
      <c r="K25" s="96" t="inlineStr">
        <is>
          <t>N</t>
        </is>
      </c>
      <c r="L25" s="96" t="inlineStr">
        <is>
          <t>KST</t>
        </is>
      </c>
      <c r="M25" s="96" t="inlineStr">
        <is>
          <t>SWAL</t>
        </is>
      </c>
      <c r="N25" s="96" t="inlineStr">
        <is>
          <t>2609N</t>
        </is>
      </c>
      <c r="O25" s="96" t="inlineStr">
        <is>
          <t>THBKK</t>
        </is>
      </c>
      <c r="P25" s="96" t="inlineStr">
        <is>
          <t>BKK02</t>
        </is>
      </c>
      <c r="Q25" s="96" t="inlineStr">
        <is>
          <t>IA</t>
        </is>
      </c>
      <c r="R25" s="161" t="inlineStr">
        <is>
          <t>2026-10-22</t>
        </is>
      </c>
      <c r="S25" s="96" t="inlineStr">
        <is>
          <t>VNSGN</t>
        </is>
      </c>
      <c r="T25" s="96" t="inlineStr">
        <is>
          <t>SGN03</t>
        </is>
      </c>
      <c r="U25" s="96" t="inlineStr">
        <is>
          <t>VNSGN</t>
        </is>
      </c>
      <c r="V25" s="161" t="inlineStr">
        <is>
          <t>2026-10-24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PACIFIC STAR ALLIANCE CO., LTD.</t>
        </is>
      </c>
      <c r="AB25" s="96" t="inlineStr">
        <is>
          <t>WIN CHANCE INDUSTRIES CO.,LTD.</t>
        </is>
      </c>
      <c r="AC25" s="163" t="n">
        <v>3875.84</v>
      </c>
      <c r="AD25" s="163" t="n">
        <v>6075.84</v>
      </c>
      <c r="AE25" s="96" t="inlineStr">
        <is>
          <t>OK</t>
        </is>
      </c>
      <c r="AF25" s="96" t="n"/>
      <c r="AG25" s="97" t="n"/>
      <c r="AH25" s="96" t="inlineStr">
        <is>
          <t>CON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TBKK19</t>
        </is>
      </c>
      <c r="AN25" s="96" t="inlineStr">
        <is>
          <t>Kanokporn</t>
        </is>
      </c>
      <c r="AO25" s="96" t="inlineStr">
        <is>
          <t>COCKTAIL SAUCE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SUR</t>
        </is>
      </c>
      <c r="AZ25" s="96" t="inlineStr">
        <is>
          <t>Pickup : 2026-10-15, Return : 2026-10-15</t>
        </is>
      </c>
      <c r="BA25" s="97" t="n"/>
      <c r="BB25" s="96" t="inlineStr">
        <is>
          <t>P</t>
        </is>
      </c>
      <c r="BC25" s="161" t="inlineStr">
        <is>
          <t>2026-10-02</t>
        </is>
      </c>
      <c r="BD25" s="161" t="inlineStr">
        <is>
          <t>2026-10-15</t>
        </is>
      </c>
      <c r="BE25" s="96" t="inlineStr">
        <is>
          <t>Y</t>
        </is>
      </c>
      <c r="BF25" s="96" t="inlineStr">
        <is>
          <t>SAUCE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2026-10-15</t>
        </is>
      </c>
      <c r="BM25" s="127" t="n"/>
      <c r="BN25" s="127" t="n">
        <v>1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BKK02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CS@PACIFICSTAR.CO.TH</t>
        </is>
      </c>
      <c r="CJ25" s="96" t="inlineStr">
        <is>
          <t>PACIFIC STAR ALLIANCE CO.,LTD.</t>
        </is>
      </c>
      <c r="CK25" s="96" t="inlineStr">
        <is>
          <t>SCT LOGISTICS JOINT STOCK COMPANY</t>
        </is>
      </c>
      <c r="CL25" s="96" t="inlineStr">
        <is>
          <t>SCT LOGISTICS JOINT STOCK COMPANY</t>
        </is>
      </c>
      <c r="CM25" s="97" t="inlineStr">
        <is>
          <t>CLOSED</t>
        </is>
      </c>
      <c r="CN25" s="96" t="inlineStr">
        <is>
          <t>202610191700</t>
        </is>
      </c>
      <c r="CO25" s="96" t="inlineStr">
        <is>
          <t>202610201800</t>
        </is>
      </c>
      <c r="CP25" s="97" t="n"/>
      <c r="CQ25" s="96" t="inlineStr">
        <is>
          <t>S19-2106019</t>
        </is>
      </c>
      <c r="CR25" s="96" t="inlineStr">
        <is>
          <t>TH00ZZ</t>
        </is>
      </c>
      <c r="CS25" s="96" t="inlineStr">
        <is>
          <t>PACIFIC STAR ALLIANCE CO., LTD.</t>
        </is>
      </c>
      <c r="CT25" s="96" t="inlineStr">
        <is>
          <t>N</t>
        </is>
      </c>
      <c r="CU25" s="97" t="n"/>
      <c r="CV25" s="97" t="n"/>
      <c r="CW25" s="161" t="inlineStr">
        <is>
          <t>2026-10-19</t>
        </is>
      </c>
      <c r="CX25" s="97" t="inlineStr">
        <is>
          <t>210390</t>
        </is>
      </c>
      <c r="CY25" s="183" t="n"/>
    </row>
    <row r="26" ht="12" customHeight="1">
      <c r="A26" s="116" t="inlineStr">
        <is>
          <t>HASLS22261000265</t>
        </is>
      </c>
      <c r="B26" s="96" t="inlineStr">
        <is>
          <t>40Hx2</t>
        </is>
      </c>
      <c r="C26" s="97" t="n">
        <v>2</v>
      </c>
      <c r="D26" s="97" t="n">
        <v>2</v>
      </c>
      <c r="E26" s="97" t="n"/>
      <c r="F26" s="97" t="n">
        <v>0</v>
      </c>
      <c r="G26" s="97" t="n">
        <v>0</v>
      </c>
      <c r="H26" s="97" t="n">
        <v>0</v>
      </c>
      <c r="I26" s="97" t="n">
        <v>2</v>
      </c>
      <c r="J26" s="97" t="n">
        <v>4</v>
      </c>
      <c r="K26" s="96" t="inlineStr">
        <is>
          <t>N</t>
        </is>
      </c>
      <c r="L26" s="96" t="inlineStr">
        <is>
          <t>KST</t>
        </is>
      </c>
      <c r="M26" s="96" t="inlineStr">
        <is>
          <t>SWAL</t>
        </is>
      </c>
      <c r="N26" s="96" t="inlineStr">
        <is>
          <t>2609N</t>
        </is>
      </c>
      <c r="O26" s="96" t="inlineStr">
        <is>
          <t>THBKK</t>
        </is>
      </c>
      <c r="P26" s="96" t="inlineStr">
        <is>
          <t>BKK02</t>
        </is>
      </c>
      <c r="Q26" s="96" t="inlineStr">
        <is>
          <t>IA</t>
        </is>
      </c>
      <c r="R26" s="161" t="inlineStr">
        <is>
          <t>2026-10-22</t>
        </is>
      </c>
      <c r="S26" s="96" t="inlineStr">
        <is>
          <t>VNSGN</t>
        </is>
      </c>
      <c r="T26" s="96" t="inlineStr">
        <is>
          <t>SGN03</t>
        </is>
      </c>
      <c r="U26" s="96" t="inlineStr">
        <is>
          <t>VNSGN</t>
        </is>
      </c>
      <c r="V26" s="161" t="inlineStr">
        <is>
          <t>2026-10-24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ALLIANZ GLOBAL LOGISTICS CO.,LTD.</t>
        </is>
      </c>
      <c r="AB26" s="96" t="inlineStr">
        <is>
          <t>KOI SOUTHEAST TRADING CO., LTD.</t>
        </is>
      </c>
      <c r="AC26" s="163" t="n">
        <v>34406.4</v>
      </c>
      <c r="AD26" s="163" t="n">
        <v>42406.4</v>
      </c>
      <c r="AE26" s="96" t="inlineStr">
        <is>
          <t>OK</t>
        </is>
      </c>
      <c r="AF26" s="96" t="n"/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TH0011</t>
        </is>
      </c>
      <c r="AN26" s="96" t="inlineStr">
        <is>
          <t>Nannaapust Sukporntaweewat</t>
        </is>
      </c>
      <c r="AO26" s="96" t="inlineStr">
        <is>
          <t>CREAMER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 xml:space="preserve">Pickup : 2026-10-10, Return : 2026-10-13 </t>
        </is>
      </c>
      <c r="BA26" s="97" t="inlineStr">
        <is>
          <t>ROLL OVER FORM PREVIOUS VSL SWBT 2616N BY ALLOCATION TEAM MS.TARN APRPOVED COST IS UNDER HA DD.15/10</t>
        </is>
      </c>
      <c r="BB26" s="96" t="inlineStr">
        <is>
          <t>P</t>
        </is>
      </c>
      <c r="BC26" s="161" t="inlineStr">
        <is>
          <t>2026-10-05</t>
        </is>
      </c>
      <c r="BD26" s="161" t="inlineStr">
        <is>
          <t>2026-10-15</t>
        </is>
      </c>
      <c r="BE26" s="96" t="inlineStr">
        <is>
          <t>Y</t>
        </is>
      </c>
      <c r="BF26" s="96" t="inlineStr">
        <is>
          <t>CREAMER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2026-10-10</t>
        </is>
      </c>
      <c r="BM26" s="127" t="n"/>
      <c r="BN26" s="127" t="n"/>
      <c r="BO26" s="127" t="n"/>
      <c r="BP26" s="127" t="n">
        <v>2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BKK02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salesagl6@allianzlog.com</t>
        </is>
      </c>
      <c r="CJ26" s="96" t="inlineStr">
        <is>
          <t>ALLIANZ GLOBAL LOGISTICS CO.,LTD.</t>
        </is>
      </c>
      <c r="CK26" s="96" t="inlineStr">
        <is>
          <t>DOLPHIN SEA AIR SERVICES</t>
        </is>
      </c>
      <c r="CL26" s="96" t="inlineStr">
        <is>
          <t>DOLPHIN SEA AIR SERVICES</t>
        </is>
      </c>
      <c r="CM26" s="97" t="inlineStr">
        <is>
          <t>CLOSED</t>
        </is>
      </c>
      <c r="CN26" s="96" t="inlineStr">
        <is>
          <t>202610191700</t>
        </is>
      </c>
      <c r="CO26" s="96" t="inlineStr">
        <is>
          <t>202610201800</t>
        </is>
      </c>
      <c r="CP26" s="97" t="n"/>
      <c r="CQ26" s="96" t="inlineStr">
        <is>
          <t>S22-2402034</t>
        </is>
      </c>
      <c r="CR26" s="96" t="inlineStr">
        <is>
          <t>THTJHU</t>
        </is>
      </c>
      <c r="CS26" s="96" t="inlineStr">
        <is>
          <t>ALLIANZ GLOBAL LOGISTICS CO.,LTD.</t>
        </is>
      </c>
      <c r="CT26" s="96" t="inlineStr">
        <is>
          <t>N</t>
        </is>
      </c>
      <c r="CU26" s="97" t="n"/>
      <c r="CV26" s="97" t="n"/>
      <c r="CW26" s="161" t="inlineStr">
        <is>
          <t>2026-10-21</t>
        </is>
      </c>
      <c r="CX26" s="97" t="inlineStr">
        <is>
          <t>210690</t>
        </is>
      </c>
      <c r="CY26" s="183" t="inlineStr">
        <is>
          <t>ROLL OVER FORM PREVIOUS VSL SWAL 2609N BY ALLOCATION TEAM MS.TARN APRPOVED COST IS UNDER HA DD.15/10</t>
        </is>
      </c>
    </row>
    <row r="27" ht="12" customHeight="1">
      <c r="A27" s="116" t="inlineStr">
        <is>
          <t>HASLS22261000499</t>
        </is>
      </c>
      <c r="B27" s="96" t="inlineStr">
        <is>
          <t>R40Hx1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0</v>
      </c>
      <c r="H27" s="97" t="n">
        <v>0</v>
      </c>
      <c r="I27" s="97" t="n">
        <v>1</v>
      </c>
      <c r="J27" s="97" t="n">
        <v>2</v>
      </c>
      <c r="K27" s="96" t="inlineStr">
        <is>
          <t>N</t>
        </is>
      </c>
      <c r="L27" s="96" t="inlineStr">
        <is>
          <t>KST</t>
        </is>
      </c>
      <c r="M27" s="96" t="inlineStr">
        <is>
          <t>SWAL</t>
        </is>
      </c>
      <c r="N27" s="96" t="inlineStr">
        <is>
          <t>2609N</t>
        </is>
      </c>
      <c r="O27" s="96" t="inlineStr">
        <is>
          <t>THBKK</t>
        </is>
      </c>
      <c r="P27" s="96" t="inlineStr">
        <is>
          <t>BKK02</t>
        </is>
      </c>
      <c r="Q27" s="96" t="inlineStr">
        <is>
          <t>IA</t>
        </is>
      </c>
      <c r="R27" s="161" t="inlineStr">
        <is>
          <t>2026-10-22</t>
        </is>
      </c>
      <c r="S27" s="96" t="inlineStr">
        <is>
          <t>KRINC</t>
        </is>
      </c>
      <c r="T27" s="96" t="inlineStr">
        <is>
          <t>INC07</t>
        </is>
      </c>
      <c r="U27" s="96" t="inlineStr">
        <is>
          <t>KRINC</t>
        </is>
      </c>
      <c r="V27" s="161" t="inlineStr">
        <is>
          <t>2026-10-30</t>
        </is>
      </c>
      <c r="W27" s="96" t="inlineStr">
        <is>
          <t>KR</t>
        </is>
      </c>
      <c r="X27" s="97" t="n"/>
      <c r="Y27" s="97" t="n"/>
      <c r="Z27" s="97" t="n"/>
      <c r="AA27" s="96" t="inlineStr">
        <is>
          <t>LAND SEA SKY CO., LTD.</t>
        </is>
      </c>
      <c r="AB27" s="96" t="inlineStr">
        <is>
          <t>SAHA FARMS  INTERNATIONAL CO LTD</t>
        </is>
      </c>
      <c r="AC27" s="163" t="n">
        <v>19666.5</v>
      </c>
      <c r="AD27" s="163" t="n">
        <v>23666.5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TH0042</t>
        </is>
      </c>
      <c r="AN27" s="96" t="inlineStr">
        <is>
          <t>Sukunpoj Damrongying</t>
        </is>
      </c>
      <c r="AO27" s="96" t="inlineStr">
        <is>
          <t>FROZEN FULLY COOKED CHICKEN MEAT</t>
        </is>
      </c>
      <c r="AP27" s="96" t="inlineStr">
        <is>
          <t>Normal</t>
        </is>
      </c>
      <c r="AQ27" s="97" t="n"/>
      <c r="AR27" s="97" t="n"/>
      <c r="AS27" s="97" t="inlineStr">
        <is>
          <t>RF// MIN:-18.0 MAX:-18.0 [COVER:CLOSE]</t>
        </is>
      </c>
      <c r="AT27" s="97" t="inlineStr">
        <is>
          <t xml:space="preserve">45REx1 </t>
        </is>
      </c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SUR</t>
        </is>
      </c>
      <c r="AZ27" s="96" t="inlineStr">
        <is>
          <t xml:space="preserve">Pickup : 2026-10-16, Return : 2026-10-18 (Temp -18.0 / Vent Close)
 CLS TIME 18/10 @23.59 </t>
        </is>
      </c>
      <c r="BA27" s="97" t="inlineStr">
        <is>
          <t>FM SWMM 2610N &amp; KRPTK DD 14/10 
CFM BY P'TARN DD.15/09/2026 
FM POL LCH DD 12/10 TEMP -18 C</t>
        </is>
      </c>
      <c r="BB27" s="96" t="inlineStr">
        <is>
          <t>P</t>
        </is>
      </c>
      <c r="BC27" s="161" t="inlineStr">
        <is>
          <t>2026-10-06</t>
        </is>
      </c>
      <c r="BD27" s="161" t="inlineStr">
        <is>
          <t>2026-10-20</t>
        </is>
      </c>
      <c r="BE27" s="96" t="inlineStr">
        <is>
          <t>Y</t>
        </is>
      </c>
      <c r="BF27" s="96" t="inlineStr">
        <is>
          <t>FROZEN CHICKEN COOK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BKK27</t>
        </is>
      </c>
      <c r="BL27" s="161" t="inlineStr">
        <is>
          <t>2026-10-16</t>
        </is>
      </c>
      <c r="BM27" s="127" t="n"/>
      <c r="BN27" s="127" t="n"/>
      <c r="BO27" s="127" t="n"/>
      <c r="BP27" s="127" t="n"/>
      <c r="BQ27" s="127" t="n"/>
      <c r="BR27" s="127" t="n">
        <v>1</v>
      </c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BKK02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Booking@lss.co.th</t>
        </is>
      </c>
      <c r="CJ27" s="96" t="inlineStr">
        <is>
          <t>SAHA FARMS INTERNATIONAL CO.,LTD.</t>
        </is>
      </c>
      <c r="CK27" s="96" t="inlineStr">
        <is>
          <t>SASE CO.,LTD.</t>
        </is>
      </c>
      <c r="CL27" s="96" t="inlineStr">
        <is>
          <t>SASE CO.,LTD.</t>
        </is>
      </c>
      <c r="CM27" s="97" t="inlineStr">
        <is>
          <t>CLOSED</t>
        </is>
      </c>
      <c r="CN27" s="96" t="inlineStr">
        <is>
          <t>202610191700</t>
        </is>
      </c>
      <c r="CO27" s="96" t="inlineStr">
        <is>
          <t>202610201800</t>
        </is>
      </c>
      <c r="CP27" s="97" t="inlineStr">
        <is>
          <t>45RE x1: RF(Temp:-18.0' / Cover:CLOSE)</t>
        </is>
      </c>
      <c r="CQ27" s="96" t="inlineStr">
        <is>
          <t>S22-2206003</t>
        </is>
      </c>
      <c r="CR27" s="96" t="inlineStr">
        <is>
          <t>THTQLH</t>
        </is>
      </c>
      <c r="CS27" s="96" t="inlineStr">
        <is>
          <t>LAND SEA SKY CO., LTD.</t>
        </is>
      </c>
      <c r="CT27" s="96" t="inlineStr">
        <is>
          <t>N</t>
        </is>
      </c>
      <c r="CU27" s="97" t="n"/>
      <c r="CV27" s="97" t="n"/>
      <c r="CW27" s="161" t="inlineStr">
        <is>
          <t>2026-10-20</t>
        </is>
      </c>
      <c r="CX27" s="97" t="n"/>
      <c r="CY27" s="183" t="n"/>
    </row>
    <row r="28" ht="12" customHeight="1">
      <c r="A28" s="116" t="inlineStr">
        <is>
          <t>HASLS22261000583</t>
        </is>
      </c>
      <c r="B28" s="96" t="inlineStr">
        <is>
          <t>20'x1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1</v>
      </c>
      <c r="H28" s="97" t="n">
        <v>0</v>
      </c>
      <c r="I28" s="97" t="n">
        <v>0</v>
      </c>
      <c r="J28" s="97" t="n">
        <v>1</v>
      </c>
      <c r="K28" s="96" t="inlineStr">
        <is>
          <t>N</t>
        </is>
      </c>
      <c r="L28" s="96" t="inlineStr">
        <is>
          <t>KST</t>
        </is>
      </c>
      <c r="M28" s="96" t="inlineStr">
        <is>
          <t>SWAL</t>
        </is>
      </c>
      <c r="N28" s="96" t="inlineStr">
        <is>
          <t>2609N</t>
        </is>
      </c>
      <c r="O28" s="96" t="inlineStr">
        <is>
          <t>THBKK</t>
        </is>
      </c>
      <c r="P28" s="96" t="inlineStr">
        <is>
          <t>BKK02</t>
        </is>
      </c>
      <c r="Q28" s="96" t="inlineStr">
        <is>
          <t>IA</t>
        </is>
      </c>
      <c r="R28" s="161" t="inlineStr">
        <is>
          <t>2026-10-22</t>
        </is>
      </c>
      <c r="S28" s="96" t="inlineStr">
        <is>
          <t>VNSGN</t>
        </is>
      </c>
      <c r="T28" s="96" t="inlineStr">
        <is>
          <t>SGN03</t>
        </is>
      </c>
      <c r="U28" s="96" t="inlineStr">
        <is>
          <t>VNSGN</t>
        </is>
      </c>
      <c r="V28" s="161" t="inlineStr">
        <is>
          <t>2026-10-24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BIZCON LOGISTICS CO., LTD.</t>
        </is>
      </c>
      <c r="AB28" s="96" t="inlineStr">
        <is>
          <t>CHAIYABOON BROTHERS GROUP CO., LTD.</t>
        </is>
      </c>
      <c r="AC28" s="163" t="n">
        <v>14500</v>
      </c>
      <c r="AD28" s="163" t="n">
        <v>16700</v>
      </c>
      <c r="AE28" s="96" t="inlineStr">
        <is>
          <t>OK</t>
        </is>
      </c>
      <c r="AF28" s="96" t="n"/>
      <c r="AG28" s="97" t="n"/>
      <c r="AH28" s="96" t="inlineStr">
        <is>
          <t>CON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TBKK97</t>
        </is>
      </c>
      <c r="AN28" s="96" t="inlineStr">
        <is>
          <t>Arunphat W. (Aiw)</t>
        </is>
      </c>
      <c r="AO28" s="96" t="inlineStr">
        <is>
          <t>SCREEN PRINTING STENCIL FOR WINSHIELD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SUR</t>
        </is>
      </c>
      <c r="AZ28" s="96" t="inlineStr">
        <is>
          <t>Pickup : 2026-10-15, Return : 2026-10-15</t>
        </is>
      </c>
      <c r="BA28" s="97" t="inlineStr">
        <is>
          <t xml:space="preserve">CFM BY P'KUNG DD 07/10 </t>
        </is>
      </c>
      <c r="BB28" s="96" t="inlineStr">
        <is>
          <t>P</t>
        </is>
      </c>
      <c r="BC28" s="161" t="inlineStr">
        <is>
          <t>2026-10-07</t>
        </is>
      </c>
      <c r="BD28" s="161" t="inlineStr">
        <is>
          <t>2026-10-15</t>
        </is>
      </c>
      <c r="BE28" s="96" t="inlineStr">
        <is>
          <t>Y</t>
        </is>
      </c>
      <c r="BF28" s="96" t="inlineStr">
        <is>
          <t>SILK SCREEN PRINTING MOLD FOR WINDSHIELD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BKK27</t>
        </is>
      </c>
      <c r="BL28" s="161" t="inlineStr">
        <is>
          <t>2026-10-15</t>
        </is>
      </c>
      <c r="BM28" s="127" t="n"/>
      <c r="BN28" s="127" t="n">
        <v>1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BKK02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OS@BIZCONTH.COM;CS@BIZCONTH.COM</t>
        </is>
      </c>
      <c r="CJ28" s="96" t="inlineStr">
        <is>
          <t>BIZCON LOGISTICS CO.,LTD.</t>
        </is>
      </c>
      <c r="CK28" s="96" t="inlineStr">
        <is>
          <t>TRUONG HAI INTERNATIONAL LOGISTICS</t>
        </is>
      </c>
      <c r="CL28" s="96" t="inlineStr">
        <is>
          <t>TRUONG HAI INTERNATIONAL LOGISTICS</t>
        </is>
      </c>
      <c r="CM28" s="97" t="inlineStr">
        <is>
          <t>CLOSED</t>
        </is>
      </c>
      <c r="CN28" s="96" t="inlineStr">
        <is>
          <t>202610191700</t>
        </is>
      </c>
      <c r="CO28" s="96" t="inlineStr">
        <is>
          <t>202610201800</t>
        </is>
      </c>
      <c r="CP28" s="97" t="n"/>
      <c r="CQ28" s="96" t="inlineStr">
        <is>
          <t>S22-2603010</t>
        </is>
      </c>
      <c r="CR28" s="96" t="inlineStr">
        <is>
          <t>THTHMS</t>
        </is>
      </c>
      <c r="CS28" s="96" t="inlineStr">
        <is>
          <t>BIZCON LOGISTICS CO., LTD.</t>
        </is>
      </c>
      <c r="CT28" s="96" t="inlineStr">
        <is>
          <t>N</t>
        </is>
      </c>
      <c r="CU28" s="97" t="n"/>
      <c r="CV28" s="97" t="n"/>
      <c r="CW28" s="161" t="inlineStr">
        <is>
          <t>2026-10-19</t>
        </is>
      </c>
      <c r="CX28" s="97" t="inlineStr">
        <is>
          <t>844250</t>
        </is>
      </c>
      <c r="CY28" s="183" t="n"/>
    </row>
    <row r="29" ht="12" customHeight="1">
      <c r="A29" s="116" t="inlineStr">
        <is>
          <t>HASLS22261000771</t>
        </is>
      </c>
      <c r="B29" s="96" t="inlineStr">
        <is>
          <t>20'x1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1</v>
      </c>
      <c r="H29" s="97" t="n">
        <v>0</v>
      </c>
      <c r="I29" s="97" t="n">
        <v>0</v>
      </c>
      <c r="J29" s="97" t="n">
        <v>1</v>
      </c>
      <c r="K29" s="96" t="inlineStr">
        <is>
          <t>N</t>
        </is>
      </c>
      <c r="L29" s="96" t="inlineStr">
        <is>
          <t>KST</t>
        </is>
      </c>
      <c r="M29" s="96" t="inlineStr">
        <is>
          <t>SWAL</t>
        </is>
      </c>
      <c r="N29" s="96" t="inlineStr">
        <is>
          <t>2609N</t>
        </is>
      </c>
      <c r="O29" s="96" t="inlineStr">
        <is>
          <t>THBKK</t>
        </is>
      </c>
      <c r="P29" s="96" t="inlineStr">
        <is>
          <t>BKK02</t>
        </is>
      </c>
      <c r="Q29" s="96" t="inlineStr">
        <is>
          <t>IA</t>
        </is>
      </c>
      <c r="R29" s="161" t="inlineStr">
        <is>
          <t>2026-10-22</t>
        </is>
      </c>
      <c r="S29" s="96" t="inlineStr">
        <is>
          <t>VNSGN</t>
        </is>
      </c>
      <c r="T29" s="96" t="inlineStr">
        <is>
          <t>SGN03</t>
        </is>
      </c>
      <c r="U29" s="96" t="inlineStr">
        <is>
          <t>VNSGN</t>
        </is>
      </c>
      <c r="V29" s="161" t="inlineStr">
        <is>
          <t>2026-10-24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ALLIANZ GLOBAL LOGISTICS CO.,LTD.</t>
        </is>
      </c>
      <c r="AB29" s="96" t="inlineStr">
        <is>
          <t>BANGKOK INTER FOOD CO., LTD.</t>
        </is>
      </c>
      <c r="AC29" s="163" t="n">
        <v>16891</v>
      </c>
      <c r="AD29" s="163" t="n">
        <v>19091</v>
      </c>
      <c r="AE29" s="96" t="inlineStr">
        <is>
          <t>OK</t>
        </is>
      </c>
      <c r="AF29" s="96" t="n"/>
      <c r="AG29" s="97" t="n"/>
      <c r="AH29" s="96" t="inlineStr">
        <is>
          <t>CON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TH0011</t>
        </is>
      </c>
      <c r="AN29" s="96" t="inlineStr">
        <is>
          <t>Nannaapust Sukporntaweewat</t>
        </is>
      </c>
      <c r="AO29" s="96" t="inlineStr">
        <is>
          <t>FINEST RICE FLOUR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>Pickup : 2026-10-10, Return : 2026-10-14</t>
        </is>
      </c>
      <c r="BA29" s="97" t="inlineStr">
        <is>
          <t>ROLL OVER FROM PREVIOUS VSL SWBT 2616N BY ALLOCATON TEAM MS.TARN APRPOVED COST IS UNDER HA DD.14/10</t>
        </is>
      </c>
      <c r="BB29" s="96" t="inlineStr">
        <is>
          <t>P</t>
        </is>
      </c>
      <c r="BC29" s="161" t="inlineStr">
        <is>
          <t>2026-10-09</t>
        </is>
      </c>
      <c r="BD29" s="161" t="inlineStr">
        <is>
          <t>2026-10-14</t>
        </is>
      </c>
      <c r="BE29" s="96" t="inlineStr">
        <is>
          <t>Y</t>
        </is>
      </c>
      <c r="BF29" s="96" t="inlineStr">
        <is>
          <t xml:space="preserve">FOOD FLOUR 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2026-10-10</t>
        </is>
      </c>
      <c r="BM29" s="127" t="n"/>
      <c r="BN29" s="127" t="n">
        <v>1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BKK02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salesagl6@allianzlog.com</t>
        </is>
      </c>
      <c r="CJ29" s="96" t="inlineStr">
        <is>
          <t>ALLIANZ GLOBAL LOGISTICS CO.,LTD.</t>
        </is>
      </c>
      <c r="CK29" s="96" t="inlineStr">
        <is>
          <t>WIN WIN LOGISTICS JOINT</t>
        </is>
      </c>
      <c r="CL29" s="96" t="inlineStr">
        <is>
          <t>WIN WIN LOGISTICS JOINT</t>
        </is>
      </c>
      <c r="CM29" s="97" t="inlineStr">
        <is>
          <t>CLOSED</t>
        </is>
      </c>
      <c r="CN29" s="96" t="inlineStr">
        <is>
          <t>202610191700</t>
        </is>
      </c>
      <c r="CO29" s="96" t="inlineStr">
        <is>
          <t>202610201800</t>
        </is>
      </c>
      <c r="CP29" s="97" t="n"/>
      <c r="CQ29" s="96" t="inlineStr">
        <is>
          <t>S22-2402034</t>
        </is>
      </c>
      <c r="CR29" s="96" t="inlineStr">
        <is>
          <t>THTJHU</t>
        </is>
      </c>
      <c r="CS29" s="96" t="inlineStr">
        <is>
          <t>ALLIANZ GLOBAL LOGISTICS CO.,LTD.</t>
        </is>
      </c>
      <c r="CT29" s="96" t="inlineStr">
        <is>
          <t>N</t>
        </is>
      </c>
      <c r="CU29" s="97" t="n"/>
      <c r="CV29" s="97" t="n"/>
      <c r="CW29" s="161" t="inlineStr">
        <is>
          <t>2026-10-20</t>
        </is>
      </c>
      <c r="CX29" s="97" t="inlineStr">
        <is>
          <t>110290</t>
        </is>
      </c>
      <c r="CY29" s="183" t="inlineStr">
        <is>
          <t>ROLL OVER FROM PREVIOUS VSL SWBTG 2616N BY ALLOCATON TEAM MS.TARN APRPOVED COST IS UNDER HA DD.14/10</t>
        </is>
      </c>
    </row>
    <row r="30" ht="12" customHeight="1">
      <c r="A30" s="116" t="inlineStr">
        <is>
          <t>HASLS22261000779</t>
        </is>
      </c>
      <c r="B30" s="96" t="inlineStr">
        <is>
          <t>20'x1 40Hx3</t>
        </is>
      </c>
      <c r="C30" s="97" t="n">
        <v>4</v>
      </c>
      <c r="D30" s="97" t="n">
        <v>4</v>
      </c>
      <c r="E30" s="97" t="n"/>
      <c r="F30" s="97" t="n">
        <v>0</v>
      </c>
      <c r="G30" s="97" t="n">
        <v>1</v>
      </c>
      <c r="H30" s="97" t="n">
        <v>0</v>
      </c>
      <c r="I30" s="97" t="n">
        <v>3</v>
      </c>
      <c r="J30" s="97" t="n">
        <v>7</v>
      </c>
      <c r="K30" s="96" t="inlineStr">
        <is>
          <t>N</t>
        </is>
      </c>
      <c r="L30" s="96" t="inlineStr">
        <is>
          <t>KST</t>
        </is>
      </c>
      <c r="M30" s="96" t="inlineStr">
        <is>
          <t>SWAL</t>
        </is>
      </c>
      <c r="N30" s="96" t="inlineStr">
        <is>
          <t>2609N</t>
        </is>
      </c>
      <c r="O30" s="96" t="inlineStr">
        <is>
          <t>THBKK</t>
        </is>
      </c>
      <c r="P30" s="96" t="inlineStr">
        <is>
          <t>BKK02</t>
        </is>
      </c>
      <c r="Q30" s="96" t="inlineStr">
        <is>
          <t>IA</t>
        </is>
      </c>
      <c r="R30" s="161" t="inlineStr">
        <is>
          <t>2026-10-22</t>
        </is>
      </c>
      <c r="S30" s="96" t="inlineStr">
        <is>
          <t>VNSGN</t>
        </is>
      </c>
      <c r="T30" s="96" t="inlineStr">
        <is>
          <t>SGN03</t>
        </is>
      </c>
      <c r="U30" s="96" t="inlineStr">
        <is>
          <t>VNSGN</t>
        </is>
      </c>
      <c r="V30" s="161" t="inlineStr">
        <is>
          <t>2026-10-24</t>
        </is>
      </c>
      <c r="W30" s="96" t="inlineStr">
        <is>
          <t>IA</t>
        </is>
      </c>
      <c r="X30" s="97" t="n"/>
      <c r="Y30" s="97" t="n"/>
      <c r="Z30" s="97" t="n"/>
      <c r="AA30" s="96" t="inlineStr">
        <is>
          <t>TOSHIBA LOGISTICS (THAILAND) CO., LTD.</t>
        </is>
      </c>
      <c r="AB30" s="96" t="inlineStr">
        <is>
          <t xml:space="preserve"> CARRIER AIR CONDITIONING (THAILAND) CO.,LTD</t>
        </is>
      </c>
      <c r="AC30" s="163" t="n">
        <v>26752</v>
      </c>
      <c r="AD30" s="163" t="n">
        <v>40952</v>
      </c>
      <c r="AE30" s="96" t="inlineStr">
        <is>
          <t>OK</t>
        </is>
      </c>
      <c r="AF30" s="96" t="n"/>
      <c r="AG30" s="97" t="n"/>
      <c r="AH30" s="96" t="inlineStr">
        <is>
          <t>CON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TH0031</t>
        </is>
      </c>
      <c r="AN30" s="96" t="inlineStr">
        <is>
          <t>Pattarapong Saengthong</t>
        </is>
      </c>
      <c r="AO30" s="96" t="inlineStr">
        <is>
          <t>SPLIT TYPE AIR CONDITIONERS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SUR</t>
        </is>
      </c>
      <c r="AZ30" s="96" t="inlineStr">
        <is>
          <t>Pickup : 2026-10-14, Return : 2026-10-15</t>
        </is>
      </c>
      <c r="BA30" s="97" t="inlineStr">
        <is>
          <t>FM THLCH 09/10</t>
        </is>
      </c>
      <c r="BB30" s="96" t="inlineStr">
        <is>
          <t>C</t>
        </is>
      </c>
      <c r="BC30" s="161" t="inlineStr">
        <is>
          <t>2026-10-09</t>
        </is>
      </c>
      <c r="BD30" s="161" t="inlineStr">
        <is>
          <t>2026-10-19</t>
        </is>
      </c>
      <c r="BE30" s="96" t="inlineStr">
        <is>
          <t>Y</t>
        </is>
      </c>
      <c r="BF30" s="96" t="inlineStr">
        <is>
          <t>AIR CONDITION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BKK27</t>
        </is>
      </c>
      <c r="BL30" s="161" t="inlineStr">
        <is>
          <t>2026-10-14</t>
        </is>
      </c>
      <c r="BM30" s="127" t="n"/>
      <c r="BN30" s="127" t="n">
        <v>1</v>
      </c>
      <c r="BO30" s="127" t="n"/>
      <c r="BP30" s="127" t="n">
        <v>3</v>
      </c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BKK02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TLGT-NVOCC@tlog.sbs-group.com</t>
        </is>
      </c>
      <c r="CJ30" s="96" t="inlineStr">
        <is>
          <t>TOSHIBA LOGISTICS (THAILAND)</t>
        </is>
      </c>
      <c r="CK30" s="96" t="inlineStr">
        <is>
          <t>TOSHIBA LOGISTICS VIETNAM CO.,LTD.</t>
        </is>
      </c>
      <c r="CL30" s="96" t="inlineStr">
        <is>
          <t>TOSHIBA LOGISTICS VIETNAM CO.,LTD.</t>
        </is>
      </c>
      <c r="CM30" s="97" t="inlineStr">
        <is>
          <t>CLOSED</t>
        </is>
      </c>
      <c r="CN30" s="96" t="inlineStr">
        <is>
          <t>202610191700</t>
        </is>
      </c>
      <c r="CO30" s="96" t="inlineStr">
        <is>
          <t>202610201800</t>
        </is>
      </c>
      <c r="CP30" s="97" t="n"/>
      <c r="CQ30" s="96" t="inlineStr">
        <is>
          <t>S22-2602022</t>
        </is>
      </c>
      <c r="CR30" s="96" t="inlineStr">
        <is>
          <t>TH00XX</t>
        </is>
      </c>
      <c r="CS30" s="96" t="inlineStr">
        <is>
          <t>TOSHIBA LOGISTICS (THAILAND) CO., LTD.</t>
        </is>
      </c>
      <c r="CT30" s="96" t="inlineStr">
        <is>
          <t>N</t>
        </is>
      </c>
      <c r="CU30" s="97" t="n"/>
      <c r="CV30" s="97" t="n"/>
      <c r="CW30" s="161" t="inlineStr">
        <is>
          <t>2026-10-19</t>
        </is>
      </c>
      <c r="CX30" s="97" t="inlineStr">
        <is>
          <t>841510</t>
        </is>
      </c>
      <c r="CY30" s="183" t="n"/>
    </row>
    <row r="31" ht="12" customHeight="1">
      <c r="A31" s="116" t="inlineStr">
        <is>
          <t>HASLS22261000844</t>
        </is>
      </c>
      <c r="B31" s="96" t="inlineStr">
        <is>
          <t>20'x1</t>
        </is>
      </c>
      <c r="C31" s="97" t="n">
        <v>1</v>
      </c>
      <c r="D31" s="97" t="n">
        <v>1</v>
      </c>
      <c r="E31" s="97" t="n"/>
      <c r="F31" s="97" t="n">
        <v>0</v>
      </c>
      <c r="G31" s="97" t="n">
        <v>1</v>
      </c>
      <c r="H31" s="97" t="n">
        <v>0</v>
      </c>
      <c r="I31" s="97" t="n">
        <v>0</v>
      </c>
      <c r="J31" s="97" t="n">
        <v>1</v>
      </c>
      <c r="K31" s="96" t="inlineStr">
        <is>
          <t>N</t>
        </is>
      </c>
      <c r="L31" s="96" t="inlineStr">
        <is>
          <t>KST</t>
        </is>
      </c>
      <c r="M31" s="96" t="inlineStr">
        <is>
          <t>SWAL</t>
        </is>
      </c>
      <c r="N31" s="96" t="inlineStr">
        <is>
          <t>2609N</t>
        </is>
      </c>
      <c r="O31" s="96" t="inlineStr">
        <is>
          <t>THBKK</t>
        </is>
      </c>
      <c r="P31" s="96" t="inlineStr">
        <is>
          <t>BKK02</t>
        </is>
      </c>
      <c r="Q31" s="96" t="inlineStr">
        <is>
          <t>IA</t>
        </is>
      </c>
      <c r="R31" s="161" t="inlineStr">
        <is>
          <t>2026-10-22</t>
        </is>
      </c>
      <c r="S31" s="96" t="inlineStr">
        <is>
          <t>KRINC</t>
        </is>
      </c>
      <c r="T31" s="96" t="inlineStr">
        <is>
          <t>INC07</t>
        </is>
      </c>
      <c r="U31" s="96" t="inlineStr">
        <is>
          <t>KRINC</t>
        </is>
      </c>
      <c r="V31" s="161" t="inlineStr">
        <is>
          <t>2026-10-30</t>
        </is>
      </c>
      <c r="W31" s="96" t="inlineStr">
        <is>
          <t>KR</t>
        </is>
      </c>
      <c r="X31" s="97" t="n"/>
      <c r="Y31" s="97" t="n"/>
      <c r="Z31" s="97" t="n"/>
      <c r="AA31" s="96" t="inlineStr">
        <is>
          <t>HAST LOGISTICS CO., LTD.</t>
        </is>
      </c>
      <c r="AB31" s="96" t="inlineStr">
        <is>
          <t>BANGKOK THAI-RUS INTERCORP CO., LTD.</t>
        </is>
      </c>
      <c r="AC31" s="163" t="n">
        <v>16400</v>
      </c>
      <c r="AD31" s="163" t="n">
        <v>18600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S1951</t>
        </is>
      </c>
      <c r="AN31" s="96" t="inlineStr">
        <is>
          <t>Lee suk hyun</t>
        </is>
      </c>
      <c r="AO31" s="96" t="inlineStr">
        <is>
          <t>FOODS AND BEVERAGES (AMPAWA COCONUT MILK)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SUR</t>
        </is>
      </c>
      <c r="AZ31" s="96" t="inlineStr">
        <is>
          <t xml:space="preserve">Pickup : 2026-10-15, Return : 2026-10-17 </t>
        </is>
      </c>
      <c r="BA31" s="97" t="inlineStr">
        <is>
          <t>Food grade shipping container/ clean without smell required.</t>
        </is>
      </c>
      <c r="BB31" s="96" t="inlineStr">
        <is>
          <t>C</t>
        </is>
      </c>
      <c r="BC31" s="161" t="inlineStr">
        <is>
          <t>2026-10-12</t>
        </is>
      </c>
      <c r="BD31" s="161" t="inlineStr">
        <is>
          <t>2026-10-20</t>
        </is>
      </c>
      <c r="BE31" s="96" t="inlineStr">
        <is>
          <t>Y</t>
        </is>
      </c>
      <c r="BF31" s="96" t="inlineStr">
        <is>
          <t>FOODS AND BEVERAGES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BKK27</t>
        </is>
      </c>
      <c r="BL31" s="161" t="inlineStr">
        <is>
          <t>2026-10-15</t>
        </is>
      </c>
      <c r="BM31" s="127" t="n"/>
      <c r="BN31" s="127" t="n">
        <v>1</v>
      </c>
      <c r="BO31" s="127" t="n"/>
      <c r="BP31" s="127" t="n"/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BKK02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cs@hast.co.th</t>
        </is>
      </c>
      <c r="CJ31" s="96" t="inlineStr">
        <is>
          <t>BANGKOK THAI-RUS INTERCORP CO.,LTD.</t>
        </is>
      </c>
      <c r="CK31" s="96" t="inlineStr">
        <is>
          <t>WORLD CORPORATION</t>
        </is>
      </c>
      <c r="CL31" s="96" t="inlineStr">
        <is>
          <t>WORLD CORPORATION</t>
        </is>
      </c>
      <c r="CM31" s="97" t="inlineStr">
        <is>
          <t>CLOSED</t>
        </is>
      </c>
      <c r="CN31" s="96" t="inlineStr">
        <is>
          <t>202610191700</t>
        </is>
      </c>
      <c r="CO31" s="96" t="inlineStr">
        <is>
          <t>202610201800</t>
        </is>
      </c>
      <c r="CP31" s="97" t="n"/>
      <c r="CQ31" s="96" t="inlineStr">
        <is>
          <t>K01-2001365</t>
        </is>
      </c>
      <c r="CR31" s="96" t="inlineStr">
        <is>
          <t>THTHBP</t>
        </is>
      </c>
      <c r="CS31" s="96" t="inlineStr">
        <is>
          <t>HAST LOGISTICS CO., LTD.</t>
        </is>
      </c>
      <c r="CT31" s="96" t="inlineStr">
        <is>
          <t>N</t>
        </is>
      </c>
      <c r="CU31" s="97" t="n"/>
      <c r="CV31" s="97" t="n"/>
      <c r="CW31" s="161" t="inlineStr">
        <is>
          <t>2026-10-20</t>
        </is>
      </c>
      <c r="CX31" s="97" t="n"/>
      <c r="CY31" s="183" t="n"/>
    </row>
    <row r="32" ht="12" customHeight="1">
      <c r="A32" s="116" t="inlineStr">
        <is>
          <t>HASLS22261001072</t>
        </is>
      </c>
      <c r="B32" s="96" t="inlineStr">
        <is>
          <t>20'x1</t>
        </is>
      </c>
      <c r="C32" s="97" t="n">
        <v>0</v>
      </c>
      <c r="D32" s="97" t="n">
        <v>0</v>
      </c>
      <c r="E32" s="97" t="n"/>
      <c r="F32" s="97" t="n">
        <v>0</v>
      </c>
      <c r="G32" s="97" t="n">
        <v>1</v>
      </c>
      <c r="H32" s="97" t="n">
        <v>0</v>
      </c>
      <c r="I32" s="97" t="n">
        <v>0</v>
      </c>
      <c r="J32" s="97" t="n">
        <v>1</v>
      </c>
      <c r="K32" s="96" t="inlineStr">
        <is>
          <t>N</t>
        </is>
      </c>
      <c r="L32" s="96" t="inlineStr">
        <is>
          <t>KST</t>
        </is>
      </c>
      <c r="M32" s="96" t="inlineStr">
        <is>
          <t>SWAL</t>
        </is>
      </c>
      <c r="N32" s="96" t="inlineStr">
        <is>
          <t>2609N</t>
        </is>
      </c>
      <c r="O32" s="96" t="inlineStr">
        <is>
          <t>THBKK</t>
        </is>
      </c>
      <c r="P32" s="96" t="inlineStr">
        <is>
          <t>BKK02</t>
        </is>
      </c>
      <c r="Q32" s="96" t="inlineStr">
        <is>
          <t>IA</t>
        </is>
      </c>
      <c r="R32" s="161" t="inlineStr">
        <is>
          <t>2026-10-22</t>
        </is>
      </c>
      <c r="S32" s="96" t="inlineStr">
        <is>
          <t>KRINC</t>
        </is>
      </c>
      <c r="T32" s="96" t="inlineStr">
        <is>
          <t>INC07</t>
        </is>
      </c>
      <c r="U32" s="96" t="inlineStr">
        <is>
          <t>KRINC</t>
        </is>
      </c>
      <c r="V32" s="161" t="inlineStr">
        <is>
          <t>2026-10-30</t>
        </is>
      </c>
      <c r="W32" s="96" t="inlineStr">
        <is>
          <t>KR</t>
        </is>
      </c>
      <c r="X32" s="97" t="n"/>
      <c r="Y32" s="97" t="n"/>
      <c r="Z32" s="97" t="n"/>
      <c r="AA32" s="96" t="inlineStr">
        <is>
          <t>MAC-NELS SHIPPING (THAILAND) LTD.</t>
        </is>
      </c>
      <c r="AB32" s="96" t="inlineStr">
        <is>
          <t>HASHIRU</t>
        </is>
      </c>
      <c r="AC32" s="163" t="n">
        <v>2436</v>
      </c>
      <c r="AD32" s="163" t="n">
        <v>4636</v>
      </c>
      <c r="AE32" s="96" t="inlineStr">
        <is>
          <t>OK</t>
        </is>
      </c>
      <c r="AF32" s="96" t="n"/>
      <c r="AG32" s="97" t="n"/>
      <c r="AH32" s="96" t="inlineStr">
        <is>
          <t>CON</t>
        </is>
      </c>
      <c r="AI32" s="97" t="inlineStr">
        <is>
          <t>OK</t>
        </is>
      </c>
      <c r="AJ32" s="97" t="inlineStr">
        <is>
          <t>UNITHAI CONTAINER TERMINAL CFS</t>
        </is>
      </c>
      <c r="AK32" s="97" t="n"/>
      <c r="AL32" s="97" t="n"/>
      <c r="AM32" s="96" t="inlineStr">
        <is>
          <t>TBKK55</t>
        </is>
      </c>
      <c r="AN32" s="96" t="inlineStr">
        <is>
          <t>Vilaiporn</t>
        </is>
      </c>
      <c r="AO32" s="96" t="inlineStr">
        <is>
          <t>PAIKHOO BRAND INHALER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inlineStr">
        <is>
          <t>SUR</t>
        </is>
      </c>
      <c r="AZ32" s="96" t="inlineStr">
        <is>
          <t>STUFFING AT UNITHAI DD.16/10/2026
CLS TIME DD.19/10/2026 @ 17.00 
NEED CLEAN AND GOOD CONTAINER , NO SMELL AND NO RUSTY</t>
        </is>
      </c>
      <c r="BA32" s="97" t="inlineStr">
        <is>
          <t>NEED CLEAN AND GOOD CONTAINER , NO SMELL AND NO RUSTY</t>
        </is>
      </c>
      <c r="BB32" s="96" t="inlineStr">
        <is>
          <t>P</t>
        </is>
      </c>
      <c r="BC32" s="161" t="inlineStr">
        <is>
          <t>2026-10-14</t>
        </is>
      </c>
      <c r="BD32" s="161" t="inlineStr">
        <is>
          <t>2026-10-20</t>
        </is>
      </c>
      <c r="BE32" s="96" t="inlineStr">
        <is>
          <t>Y</t>
        </is>
      </c>
      <c r="BF32" s="96" t="inlineStr">
        <is>
          <t>INHALER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BKK02</t>
        </is>
      </c>
      <c r="BL32" s="161" t="inlineStr">
        <is>
          <t>2026-10-16</t>
        </is>
      </c>
      <c r="BM32" s="127" t="n"/>
      <c r="BN32" s="127" t="n">
        <v>1</v>
      </c>
      <c r="BO32" s="127" t="n"/>
      <c r="BP32" s="127" t="n"/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BKK02</t>
        </is>
      </c>
      <c r="CD32" s="97" t="n"/>
      <c r="CE32" s="97" t="n"/>
      <c r="CF32" s="96" t="inlineStr">
        <is>
          <t>0 Teu</t>
        </is>
      </c>
      <c r="CG32" s="96" t="inlineStr">
        <is>
          <t>CFS/CY</t>
        </is>
      </c>
      <c r="CH32" s="97" t="n"/>
      <c r="CI32" s="96" t="inlineStr">
        <is>
          <t>anongpron@macnels.co.th;doc.mn@macnels.co.th</t>
        </is>
      </c>
      <c r="CJ32" s="96" t="inlineStr">
        <is>
          <t>MAC-NELS SHIPPING (THAILAND) LTD.</t>
        </is>
      </c>
      <c r="CK32" s="96" t="inlineStr">
        <is>
          <t>MNCL LINE CO.,LTD (BUSAN OFFICE)</t>
        </is>
      </c>
      <c r="CL32" s="96" t="inlineStr">
        <is>
          <t>MNCL LINE CO.,LTD (BUSAN OFFICE)</t>
        </is>
      </c>
      <c r="CM32" s="97" t="inlineStr">
        <is>
          <t>CLOSED</t>
        </is>
      </c>
      <c r="CN32" s="96" t="inlineStr">
        <is>
          <t>202610191700</t>
        </is>
      </c>
      <c r="CO32" s="96" t="inlineStr">
        <is>
          <t>202610201800</t>
        </is>
      </c>
      <c r="CP32" s="97" t="n"/>
      <c r="CQ32" s="96" t="inlineStr">
        <is>
          <t>S19-2112033</t>
        </is>
      </c>
      <c r="CR32" s="96" t="inlineStr">
        <is>
          <t>THTH0L</t>
        </is>
      </c>
      <c r="CS32" s="96" t="inlineStr">
        <is>
          <t>MAC-NELS SHIPPING (THAILAND) LTD.</t>
        </is>
      </c>
      <c r="CT32" s="96" t="inlineStr">
        <is>
          <t>N</t>
        </is>
      </c>
      <c r="CU32" s="97" t="n"/>
      <c r="CV32" s="97" t="n"/>
      <c r="CW32" s="161" t="inlineStr">
        <is>
          <t>2026-10-20</t>
        </is>
      </c>
      <c r="CX32" s="97" t="n"/>
      <c r="CY32" s="183" t="n"/>
    </row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FCIU5641542</t>
        </is>
      </c>
      <c r="B2" s="108" t="inlineStr">
        <is>
          <t>BKK02</t>
        </is>
      </c>
      <c r="C2" s="108" t="inlineStr">
        <is>
          <t>IFE</t>
        </is>
      </c>
      <c r="D2" s="172" t="inlineStr">
        <is>
          <t>2026-10-15</t>
        </is>
      </c>
      <c r="E2" s="173" t="inlineStr">
        <is>
          <t>0301</t>
        </is>
      </c>
      <c r="F2" s="96" t="inlineStr">
        <is>
          <t>HASLS22260801961</t>
        </is>
      </c>
      <c r="G2" s="96" t="inlineStr">
        <is>
          <t>SCGJWD LOGISTICS PUBLIC COMPANY LIMITED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HASLS22260801961</t>
        </is>
      </c>
      <c r="N2" s="96" t="inlineStr">
        <is>
          <t xml:space="preserve">20'x10 </t>
        </is>
      </c>
      <c r="O2" s="111" t="inlineStr">
        <is>
          <t>2014</t>
        </is>
      </c>
      <c r="P2" s="111" t="n"/>
      <c r="Q2" s="111" t="n"/>
      <c r="R2" s="96" t="inlineStr">
        <is>
          <t>SWAL</t>
        </is>
      </c>
      <c r="S2" s="96" t="inlineStr">
        <is>
          <t>2609N</t>
        </is>
      </c>
      <c r="T2" s="96" t="inlineStr">
        <is>
          <t>BKK02</t>
        </is>
      </c>
      <c r="U2" s="96" t="inlineStr">
        <is>
          <t>THBKK</t>
        </is>
      </c>
      <c r="V2" s="161" t="inlineStr">
        <is>
          <t>2026-10-22</t>
        </is>
      </c>
      <c r="W2" s="96" t="inlineStr">
        <is>
          <t>VNSGN</t>
        </is>
      </c>
      <c r="X2" s="161" t="inlineStr">
        <is>
          <t>2026-10-24</t>
        </is>
      </c>
      <c r="Y2" s="97" t="n"/>
      <c r="Z2" s="97" t="n"/>
      <c r="AA2" s="97" t="n"/>
      <c r="AB2" s="97" t="n"/>
      <c r="AC2" s="97" t="n"/>
      <c r="AD2" s="161" t="inlineStr">
        <is>
          <t>2026-10-15</t>
        </is>
      </c>
      <c r="AE2" s="174" t="inlineStr">
        <is>
          <t>0603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BUU LONG INDUSTRY AND INVESTMENT</t>
        </is>
      </c>
      <c r="AK2" s="130" t="n"/>
    </row>
    <row r="3" ht="12" customHeight="1">
      <c r="A3" s="108" t="inlineStr">
        <is>
          <t>FDCU0245256</t>
        </is>
      </c>
      <c r="B3" s="108" t="inlineStr">
        <is>
          <t>BKK02</t>
        </is>
      </c>
      <c r="C3" s="108" t="inlineStr">
        <is>
          <t>IFE</t>
        </is>
      </c>
      <c r="D3" s="172" t="inlineStr">
        <is>
          <t>2026-10-16</t>
        </is>
      </c>
      <c r="E3" s="173" t="inlineStr">
        <is>
          <t>1559</t>
        </is>
      </c>
      <c r="F3" s="96" t="inlineStr">
        <is>
          <t>HASLS22261000779</t>
        </is>
      </c>
      <c r="G3" s="96" t="inlineStr">
        <is>
          <t>TOSHIBA LOGISTICS (THAILAND) CO., LTD.</t>
        </is>
      </c>
      <c r="H3" s="111" t="inlineStr">
        <is>
          <t>45GP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HASLS22261000779</t>
        </is>
      </c>
      <c r="N3" s="96" t="inlineStr">
        <is>
          <t xml:space="preserve">40Hx3 20'x1 </t>
        </is>
      </c>
      <c r="O3" s="111" t="inlineStr">
        <is>
          <t>2018</t>
        </is>
      </c>
      <c r="P3" s="111" t="n"/>
      <c r="Q3" s="111" t="n"/>
      <c r="R3" s="96" t="inlineStr">
        <is>
          <t>SWAL</t>
        </is>
      </c>
      <c r="S3" s="96" t="inlineStr">
        <is>
          <t>2609N</t>
        </is>
      </c>
      <c r="T3" s="96" t="inlineStr">
        <is>
          <t>BKK02</t>
        </is>
      </c>
      <c r="U3" s="96" t="inlineStr">
        <is>
          <t>THBKK</t>
        </is>
      </c>
      <c r="V3" s="161" t="inlineStr">
        <is>
          <t>2026-10-22</t>
        </is>
      </c>
      <c r="W3" s="96" t="inlineStr">
        <is>
          <t>VNSGN</t>
        </is>
      </c>
      <c r="X3" s="161" t="inlineStr">
        <is>
          <t>2026-10-24</t>
        </is>
      </c>
      <c r="Y3" s="97" t="n"/>
      <c r="Z3" s="97" t="n"/>
      <c r="AA3" s="97" t="n"/>
      <c r="AB3" s="97" t="n"/>
      <c r="AC3" s="97" t="n"/>
      <c r="AD3" s="161" t="inlineStr">
        <is>
          <t>2026-10-16</t>
        </is>
      </c>
      <c r="AE3" s="174" t="inlineStr">
        <is>
          <t>1802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TOSHIBA LOGISTICS VIETNAM CO.,LTD.</t>
        </is>
      </c>
      <c r="AK3" s="130" t="n"/>
    </row>
    <row r="4" ht="12" customHeight="1">
      <c r="A4" s="108" t="inlineStr">
        <is>
          <t>GCXU5997475</t>
        </is>
      </c>
      <c r="B4" s="108" t="inlineStr">
        <is>
          <t>BKK02</t>
        </is>
      </c>
      <c r="C4" s="108" t="inlineStr">
        <is>
          <t>IFE</t>
        </is>
      </c>
      <c r="D4" s="172" t="inlineStr">
        <is>
          <t>2026-10-15</t>
        </is>
      </c>
      <c r="E4" s="173" t="inlineStr">
        <is>
          <t>1533</t>
        </is>
      </c>
      <c r="F4" s="96" t="inlineStr">
        <is>
          <t>HASLS22260901978</t>
        </is>
      </c>
      <c r="G4" s="96" t="inlineStr">
        <is>
          <t>WORLDNET EXPRESS CO., LTD.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HASLS22260901978</t>
        </is>
      </c>
      <c r="N4" s="96" t="inlineStr">
        <is>
          <t xml:space="preserve">40Hx1 </t>
        </is>
      </c>
      <c r="O4" s="111" t="inlineStr">
        <is>
          <t>2024</t>
        </is>
      </c>
      <c r="P4" s="111" t="n"/>
      <c r="Q4" s="111" t="n"/>
      <c r="R4" s="96" t="inlineStr">
        <is>
          <t>SWAL</t>
        </is>
      </c>
      <c r="S4" s="96" t="inlineStr">
        <is>
          <t>2609N</t>
        </is>
      </c>
      <c r="T4" s="96" t="inlineStr">
        <is>
          <t>BKK02</t>
        </is>
      </c>
      <c r="U4" s="96" t="inlineStr">
        <is>
          <t>THBKK</t>
        </is>
      </c>
      <c r="V4" s="161" t="inlineStr">
        <is>
          <t>2026-10-22</t>
        </is>
      </c>
      <c r="W4" s="96" t="inlineStr">
        <is>
          <t>KRINC</t>
        </is>
      </c>
      <c r="X4" s="161" t="inlineStr">
        <is>
          <t>2026-10-30</t>
        </is>
      </c>
      <c r="Y4" s="97" t="n"/>
      <c r="Z4" s="97" t="n"/>
      <c r="AA4" s="97" t="n"/>
      <c r="AB4" s="97" t="n"/>
      <c r="AC4" s="97" t="n"/>
      <c r="AD4" s="161" t="inlineStr">
        <is>
          <t>2026-10-15</t>
        </is>
      </c>
      <c r="AE4" s="174" t="inlineStr">
        <is>
          <t>1802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WORLD NET LOGISTICS(KOREA) CO.,LTD.</t>
        </is>
      </c>
      <c r="AK4" s="130" t="n"/>
    </row>
    <row r="5" ht="12" customHeight="1">
      <c r="A5" s="108" t="inlineStr">
        <is>
          <t>HALU2024574</t>
        </is>
      </c>
      <c r="B5" s="108" t="inlineStr">
        <is>
          <t>BKK02</t>
        </is>
      </c>
      <c r="C5" s="108" t="inlineStr">
        <is>
          <t>IFE</t>
        </is>
      </c>
      <c r="D5" s="172" t="inlineStr">
        <is>
          <t>2026-10-10</t>
        </is>
      </c>
      <c r="E5" s="173" t="inlineStr">
        <is>
          <t>0421</t>
        </is>
      </c>
      <c r="F5" s="96" t="inlineStr">
        <is>
          <t>HASLS22260801065</t>
        </is>
      </c>
      <c r="G5" s="96" t="inlineStr">
        <is>
          <t>KORCHINA FREIGHT (THAILAND)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HASLS22260801065</t>
        </is>
      </c>
      <c r="N5" s="96" t="inlineStr">
        <is>
          <t xml:space="preserve">20'x5 </t>
        </is>
      </c>
      <c r="O5" s="111" t="inlineStr">
        <is>
          <t>2013</t>
        </is>
      </c>
      <c r="P5" s="111" t="n"/>
      <c r="Q5" s="111" t="n"/>
      <c r="R5" s="96" t="inlineStr">
        <is>
          <t>SWBT</t>
        </is>
      </c>
      <c r="S5" s="96" t="inlineStr">
        <is>
          <t>2616N</t>
        </is>
      </c>
      <c r="T5" s="96" t="inlineStr">
        <is>
          <t>BKK02</t>
        </is>
      </c>
      <c r="U5" s="96" t="inlineStr">
        <is>
          <t>THBKK</t>
        </is>
      </c>
      <c r="V5" s="161" t="inlineStr">
        <is>
          <t>2026-10-22</t>
        </is>
      </c>
      <c r="W5" s="96" t="inlineStr">
        <is>
          <t>KRINC</t>
        </is>
      </c>
      <c r="X5" s="161" t="inlineStr">
        <is>
          <t>2026-10-30</t>
        </is>
      </c>
      <c r="Y5" s="97" t="n"/>
      <c r="Z5" s="97" t="n"/>
      <c r="AA5" s="97" t="n"/>
      <c r="AB5" s="97" t="n"/>
      <c r="AC5" s="97" t="n"/>
      <c r="AD5" s="161" t="inlineStr">
        <is>
          <t>2026-10-10</t>
        </is>
      </c>
      <c r="AE5" s="174" t="inlineStr">
        <is>
          <t>0703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PARKS WAY CO.,LTD.</t>
        </is>
      </c>
      <c r="AK5" s="130" t="n"/>
    </row>
    <row r="6" ht="12" customHeight="1">
      <c r="A6" s="108" t="inlineStr">
        <is>
          <t>HALU2075360</t>
        </is>
      </c>
      <c r="B6" s="108" t="inlineStr">
        <is>
          <t>BKK02</t>
        </is>
      </c>
      <c r="C6" s="108" t="inlineStr">
        <is>
          <t>IFE</t>
        </is>
      </c>
      <c r="D6" s="172" t="inlineStr">
        <is>
          <t>2026-10-15</t>
        </is>
      </c>
      <c r="E6" s="173" t="inlineStr">
        <is>
          <t>0036</t>
        </is>
      </c>
      <c r="F6" s="96" t="inlineStr">
        <is>
          <t>HASLS22260801961</t>
        </is>
      </c>
      <c r="G6" s="96" t="inlineStr">
        <is>
          <t>SCGJWD LOGISTICS PUBLIC COMPANY LIMITED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HASLS22260801961</t>
        </is>
      </c>
      <c r="N6" s="96" t="inlineStr">
        <is>
          <t xml:space="preserve">20'x10 </t>
        </is>
      </c>
      <c r="O6" s="111" t="inlineStr">
        <is>
          <t>2015</t>
        </is>
      </c>
      <c r="P6" s="111" t="n"/>
      <c r="Q6" s="111" t="n"/>
      <c r="R6" s="96" t="inlineStr">
        <is>
          <t>SWAL</t>
        </is>
      </c>
      <c r="S6" s="96" t="inlineStr">
        <is>
          <t>2609N</t>
        </is>
      </c>
      <c r="T6" s="96" t="inlineStr">
        <is>
          <t>BKK02</t>
        </is>
      </c>
      <c r="U6" s="96" t="inlineStr">
        <is>
          <t>THBKK</t>
        </is>
      </c>
      <c r="V6" s="161" t="inlineStr">
        <is>
          <t>2026-10-22</t>
        </is>
      </c>
      <c r="W6" s="96" t="inlineStr">
        <is>
          <t>VNSGN</t>
        </is>
      </c>
      <c r="X6" s="161" t="inlineStr">
        <is>
          <t>2026-10-24</t>
        </is>
      </c>
      <c r="Y6" s="97" t="n"/>
      <c r="Z6" s="97" t="n"/>
      <c r="AA6" s="97" t="n"/>
      <c r="AB6" s="97" t="n"/>
      <c r="AC6" s="97" t="n"/>
      <c r="AD6" s="161" t="inlineStr">
        <is>
          <t>2026-10-15</t>
        </is>
      </c>
      <c r="AE6" s="174" t="inlineStr">
        <is>
          <t>0301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BUU LONG INDUSTRY AND INVESTMENT</t>
        </is>
      </c>
      <c r="AK6" s="130" t="n"/>
    </row>
    <row r="7" ht="12" customHeight="1">
      <c r="A7" s="108" t="inlineStr">
        <is>
          <t>HALU2075503</t>
        </is>
      </c>
      <c r="B7" s="108" t="inlineStr">
        <is>
          <t>BKK02</t>
        </is>
      </c>
      <c r="C7" s="108" t="inlineStr">
        <is>
          <t>IFE</t>
        </is>
      </c>
      <c r="D7" s="172" t="inlineStr">
        <is>
          <t>2026-10-12</t>
        </is>
      </c>
      <c r="E7" s="173" t="inlineStr">
        <is>
          <t>1421</t>
        </is>
      </c>
      <c r="F7" s="96" t="inlineStr">
        <is>
          <t>HASLS22260902836</t>
        </is>
      </c>
      <c r="G7" s="96" t="inlineStr">
        <is>
          <t>TRUE MARINE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HASLS22260902836</t>
        </is>
      </c>
      <c r="N7" s="96" t="inlineStr">
        <is>
          <t xml:space="preserve">20'x2 </t>
        </is>
      </c>
      <c r="O7" s="111" t="inlineStr">
        <is>
          <t>2015</t>
        </is>
      </c>
      <c r="P7" s="111" t="n"/>
      <c r="Q7" s="111" t="n"/>
      <c r="R7" s="96" t="inlineStr">
        <is>
          <t>SWBT</t>
        </is>
      </c>
      <c r="S7" s="96" t="inlineStr">
        <is>
          <t>2616N</t>
        </is>
      </c>
      <c r="T7" s="96" t="inlineStr">
        <is>
          <t>BKK02</t>
        </is>
      </c>
      <c r="U7" s="96" t="inlineStr">
        <is>
          <t>THBKK</t>
        </is>
      </c>
      <c r="V7" s="161" t="inlineStr">
        <is>
          <t>2026-10-22</t>
        </is>
      </c>
      <c r="W7" s="96" t="inlineStr">
        <is>
          <t>VNSGN</t>
        </is>
      </c>
      <c r="X7" s="161" t="inlineStr">
        <is>
          <t>2026-10-24</t>
        </is>
      </c>
      <c r="Y7" s="97" t="n"/>
      <c r="Z7" s="97" t="n"/>
      <c r="AA7" s="97" t="n"/>
      <c r="AB7" s="97" t="n"/>
      <c r="AC7" s="97" t="n"/>
      <c r="AD7" s="161" t="inlineStr">
        <is>
          <t>2026-10-12</t>
        </is>
      </c>
      <c r="AE7" s="174" t="inlineStr">
        <is>
          <t>1755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VRG DONGWHA MDF JOINT STOCK COMPANY</t>
        </is>
      </c>
      <c r="AK7" s="130" t="n"/>
    </row>
    <row r="8" ht="12" customHeight="1">
      <c r="A8" s="108" t="inlineStr">
        <is>
          <t>HALU2090663</t>
        </is>
      </c>
      <c r="B8" s="108" t="inlineStr">
        <is>
          <t>BKK02</t>
        </is>
      </c>
      <c r="C8" s="108" t="inlineStr">
        <is>
          <t>IFE</t>
        </is>
      </c>
      <c r="D8" s="172" t="inlineStr">
        <is>
          <t>2026-10-15</t>
        </is>
      </c>
      <c r="E8" s="173" t="inlineStr">
        <is>
          <t>0303</t>
        </is>
      </c>
      <c r="F8" s="96" t="inlineStr">
        <is>
          <t>HASLS22260801961</t>
        </is>
      </c>
      <c r="G8" s="96" t="inlineStr">
        <is>
          <t>SCGJWD LOGISTICS PUBLIC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HASLS22260801961</t>
        </is>
      </c>
      <c r="N8" s="96" t="inlineStr">
        <is>
          <t xml:space="preserve">20'x10 </t>
        </is>
      </c>
      <c r="O8" s="111" t="inlineStr">
        <is>
          <t>2015</t>
        </is>
      </c>
      <c r="P8" s="111" t="n"/>
      <c r="Q8" s="111" t="n"/>
      <c r="R8" s="96" t="inlineStr">
        <is>
          <t>SWAL</t>
        </is>
      </c>
      <c r="S8" s="96" t="inlineStr">
        <is>
          <t>2609N</t>
        </is>
      </c>
      <c r="T8" s="96" t="inlineStr">
        <is>
          <t>BKK02</t>
        </is>
      </c>
      <c r="U8" s="96" t="inlineStr">
        <is>
          <t>THBKK</t>
        </is>
      </c>
      <c r="V8" s="161" t="inlineStr">
        <is>
          <t>2026-10-22</t>
        </is>
      </c>
      <c r="W8" s="96" t="inlineStr">
        <is>
          <t>VNSGN</t>
        </is>
      </c>
      <c r="X8" s="161" t="inlineStr">
        <is>
          <t>2026-10-24</t>
        </is>
      </c>
      <c r="Y8" s="97" t="n"/>
      <c r="Z8" s="97" t="n"/>
      <c r="AA8" s="97" t="n"/>
      <c r="AB8" s="97" t="n"/>
      <c r="AC8" s="97" t="n"/>
      <c r="AD8" s="161" t="inlineStr">
        <is>
          <t>2026-10-15</t>
        </is>
      </c>
      <c r="AE8" s="174" t="inlineStr">
        <is>
          <t>0603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BUU LONG INDUSTRY AND INVESTMENT</t>
        </is>
      </c>
      <c r="AK8" s="130" t="n"/>
    </row>
    <row r="9" ht="12" customHeight="1">
      <c r="A9" s="108" t="inlineStr">
        <is>
          <t>HALU2092645</t>
        </is>
      </c>
      <c r="B9" s="108" t="inlineStr">
        <is>
          <t>BKK02</t>
        </is>
      </c>
      <c r="C9" s="108" t="inlineStr">
        <is>
          <t>IFE</t>
        </is>
      </c>
      <c r="D9" s="172" t="inlineStr">
        <is>
          <t>2026-10-10</t>
        </is>
      </c>
      <c r="E9" s="173" t="inlineStr">
        <is>
          <t>0934</t>
        </is>
      </c>
      <c r="F9" s="96" t="inlineStr">
        <is>
          <t>HASLS22260801065</t>
        </is>
      </c>
      <c r="G9" s="96" t="inlineStr">
        <is>
          <t>KORCHINA FREIGHT (THAILAND) CO., LTD.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HASLS22260801065</t>
        </is>
      </c>
      <c r="N9" s="96" t="inlineStr">
        <is>
          <t xml:space="preserve">20'x5 </t>
        </is>
      </c>
      <c r="O9" s="111" t="inlineStr">
        <is>
          <t>2015</t>
        </is>
      </c>
      <c r="P9" s="111" t="n"/>
      <c r="Q9" s="111" t="n"/>
      <c r="R9" s="96" t="inlineStr">
        <is>
          <t>SWBT</t>
        </is>
      </c>
      <c r="S9" s="96" t="inlineStr">
        <is>
          <t>2616N</t>
        </is>
      </c>
      <c r="T9" s="96" t="inlineStr">
        <is>
          <t>BKK02</t>
        </is>
      </c>
      <c r="U9" s="96" t="inlineStr">
        <is>
          <t>THBKK</t>
        </is>
      </c>
      <c r="V9" s="161" t="inlineStr">
        <is>
          <t>2026-10-22</t>
        </is>
      </c>
      <c r="W9" s="96" t="inlineStr">
        <is>
          <t>KRINC</t>
        </is>
      </c>
      <c r="X9" s="161" t="inlineStr">
        <is>
          <t>2026-10-30</t>
        </is>
      </c>
      <c r="Y9" s="97" t="n"/>
      <c r="Z9" s="97" t="n"/>
      <c r="AA9" s="97" t="n"/>
      <c r="AB9" s="97" t="n"/>
      <c r="AC9" s="97" t="n"/>
      <c r="AD9" s="161" t="inlineStr">
        <is>
          <t>2026-10-10</t>
        </is>
      </c>
      <c r="AE9" s="174" t="inlineStr">
        <is>
          <t>1201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PARKS WAY CO.,LTD.</t>
        </is>
      </c>
      <c r="AK9" s="130" t="n"/>
    </row>
    <row r="10" ht="12" customHeight="1">
      <c r="A10" s="108" t="inlineStr">
        <is>
          <t>HALU2338277</t>
        </is>
      </c>
      <c r="B10" s="108" t="inlineStr">
        <is>
          <t>BKK02</t>
        </is>
      </c>
      <c r="C10" s="108" t="inlineStr">
        <is>
          <t>IFE</t>
        </is>
      </c>
      <c r="D10" s="172" t="inlineStr">
        <is>
          <t>2026-10-15</t>
        </is>
      </c>
      <c r="E10" s="173" t="inlineStr">
        <is>
          <t>1512</t>
        </is>
      </c>
      <c r="F10" s="96" t="inlineStr">
        <is>
          <t>HASLS22261000202</t>
        </is>
      </c>
      <c r="G10" s="96" t="inlineStr">
        <is>
          <t>PACIFIC STAR ALLIANCE CO., LTD.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HASLS22261000202</t>
        </is>
      </c>
      <c r="N10" s="96" t="inlineStr">
        <is>
          <t xml:space="preserve">20'x1 </t>
        </is>
      </c>
      <c r="O10" s="111" t="inlineStr">
        <is>
          <t>2023</t>
        </is>
      </c>
      <c r="P10" s="111" t="n"/>
      <c r="Q10" s="111" t="n"/>
      <c r="R10" s="96" t="inlineStr">
        <is>
          <t>SWAL</t>
        </is>
      </c>
      <c r="S10" s="96" t="inlineStr">
        <is>
          <t>2609N</t>
        </is>
      </c>
      <c r="T10" s="96" t="inlineStr">
        <is>
          <t>BKK02</t>
        </is>
      </c>
      <c r="U10" s="96" t="inlineStr">
        <is>
          <t>THBKK</t>
        </is>
      </c>
      <c r="V10" s="161" t="inlineStr">
        <is>
          <t>2026-10-22</t>
        </is>
      </c>
      <c r="W10" s="96" t="inlineStr">
        <is>
          <t>VNSGN</t>
        </is>
      </c>
      <c r="X10" s="161" t="inlineStr">
        <is>
          <t>2026-10-24</t>
        </is>
      </c>
      <c r="Y10" s="97" t="n"/>
      <c r="Z10" s="97" t="n"/>
      <c r="AA10" s="97" t="n"/>
      <c r="AB10" s="97" t="n"/>
      <c r="AC10" s="97" t="n"/>
      <c r="AD10" s="161" t="inlineStr">
        <is>
          <t>2026-10-15</t>
        </is>
      </c>
      <c r="AE10" s="174" t="inlineStr">
        <is>
          <t>1802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SCT LOGISTICS JOINT STOCK COMPANY</t>
        </is>
      </c>
      <c r="AK10" s="130" t="n"/>
    </row>
    <row r="11" ht="12" customHeight="1">
      <c r="A11" s="108" t="inlineStr">
        <is>
          <t>HALU2345379</t>
        </is>
      </c>
      <c r="B11" s="108" t="inlineStr">
        <is>
          <t>BKK02</t>
        </is>
      </c>
      <c r="C11" s="108" t="inlineStr">
        <is>
          <t>IFE</t>
        </is>
      </c>
      <c r="D11" s="172" t="inlineStr">
        <is>
          <t>2026-10-12</t>
        </is>
      </c>
      <c r="E11" s="173" t="inlineStr">
        <is>
          <t>2208</t>
        </is>
      </c>
      <c r="F11" s="96" t="inlineStr">
        <is>
          <t>HASLS22261000771</t>
        </is>
      </c>
      <c r="G11" s="96" t="inlineStr">
        <is>
          <t>ALLIANZ GLOBAL LOGISTICS CO.,LTD.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HASLS22261000771</t>
        </is>
      </c>
      <c r="N11" s="96" t="inlineStr">
        <is>
          <t xml:space="preserve">20'x1 </t>
        </is>
      </c>
      <c r="O11" s="111" t="inlineStr">
        <is>
          <t>2023</t>
        </is>
      </c>
      <c r="P11" s="111" t="n"/>
      <c r="Q11" s="111" t="n"/>
      <c r="R11" s="96" t="inlineStr">
        <is>
          <t>SWBT</t>
        </is>
      </c>
      <c r="S11" s="96" t="inlineStr">
        <is>
          <t>2616N</t>
        </is>
      </c>
      <c r="T11" s="96" t="inlineStr">
        <is>
          <t>BKK02</t>
        </is>
      </c>
      <c r="U11" s="96" t="inlineStr">
        <is>
          <t>THBKK</t>
        </is>
      </c>
      <c r="V11" s="161" t="inlineStr">
        <is>
          <t>2026-10-22</t>
        </is>
      </c>
      <c r="W11" s="96" t="inlineStr">
        <is>
          <t>VNSGN</t>
        </is>
      </c>
      <c r="X11" s="161" t="inlineStr">
        <is>
          <t>2026-10-24</t>
        </is>
      </c>
      <c r="Y11" s="97" t="n"/>
      <c r="Z11" s="97" t="n"/>
      <c r="AA11" s="97" t="n"/>
      <c r="AB11" s="97" t="n"/>
      <c r="AC11" s="97" t="n"/>
      <c r="AD11" s="161" t="inlineStr">
        <is>
          <t>2026-10-13</t>
        </is>
      </c>
      <c r="AE11" s="174" t="inlineStr">
        <is>
          <t>0102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WIN WIN LOGISTICS JOINT</t>
        </is>
      </c>
      <c r="AK11" s="130" t="n"/>
    </row>
    <row r="12" ht="12" customHeight="1">
      <c r="A12" s="108" t="inlineStr">
        <is>
          <t>HALU2411763</t>
        </is>
      </c>
      <c r="B12" s="108" t="inlineStr">
        <is>
          <t>BKK02</t>
        </is>
      </c>
      <c r="C12" s="108" t="inlineStr">
        <is>
          <t>IFW</t>
        </is>
      </c>
      <c r="D12" s="172" t="inlineStr">
        <is>
          <t>2026-10-15</t>
        </is>
      </c>
      <c r="E12" s="173" t="inlineStr">
        <is>
          <t>1422</t>
        </is>
      </c>
      <c r="F12" s="96" t="inlineStr">
        <is>
          <t>HASLS22260901654</t>
        </is>
      </c>
      <c r="G12" s="96" t="inlineStr">
        <is>
          <t>EXPEDITORS (THAILAND) LTD.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HASLS22260901654</t>
        </is>
      </c>
      <c r="N12" s="96" t="inlineStr">
        <is>
          <t xml:space="preserve">20'x4 </t>
        </is>
      </c>
      <c r="O12" s="111" t="inlineStr">
        <is>
          <t>2024</t>
        </is>
      </c>
      <c r="P12" s="111" t="n"/>
      <c r="Q12" s="111" t="n"/>
      <c r="R12" s="96" t="n"/>
      <c r="S12" s="96" t="n"/>
      <c r="T12" s="96" t="inlineStr">
        <is>
          <t>BKK02</t>
        </is>
      </c>
      <c r="U12" s="96" t="inlineStr">
        <is>
          <t>THBKK</t>
        </is>
      </c>
      <c r="V12" s="161" t="inlineStr">
        <is>
          <t>2026-10-22</t>
        </is>
      </c>
      <c r="W12" s="96" t="inlineStr">
        <is>
          <t>VNSGN</t>
        </is>
      </c>
      <c r="X12" s="161" t="inlineStr">
        <is>
          <t>2026-10-24</t>
        </is>
      </c>
      <c r="Y12" s="97" t="n"/>
      <c r="Z12" s="97" t="n"/>
      <c r="AA12" s="97" t="n"/>
      <c r="AB12" s="97" t="n"/>
      <c r="AC12" s="97" t="n"/>
      <c r="AD12" s="161" t="inlineStr">
        <is>
          <t>2026-10-15</t>
        </is>
      </c>
      <c r="AE12" s="174" t="inlineStr">
        <is>
          <t>1701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EXPEDITORS VIETNAM COMPANY LIMITED</t>
        </is>
      </c>
      <c r="AK12" s="130" t="n"/>
    </row>
    <row r="13" ht="12" customHeight="1">
      <c r="A13" s="108" t="inlineStr">
        <is>
          <t>HALU2415774</t>
        </is>
      </c>
      <c r="B13" s="108" t="inlineStr">
        <is>
          <t>BKK02</t>
        </is>
      </c>
      <c r="C13" s="108" t="inlineStr">
        <is>
          <t>IFE</t>
        </is>
      </c>
      <c r="D13" s="172" t="inlineStr">
        <is>
          <t>2026-10-12</t>
        </is>
      </c>
      <c r="E13" s="173" t="inlineStr">
        <is>
          <t>2206</t>
        </is>
      </c>
      <c r="F13" s="96" t="inlineStr">
        <is>
          <t>HASLS22260900541</t>
        </is>
      </c>
      <c r="G13" s="96" t="inlineStr">
        <is>
          <t>MERCURIAL LOGISTICS  CO.,LTD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HASLS22260900541</t>
        </is>
      </c>
      <c r="N13" s="96" t="inlineStr">
        <is>
          <t xml:space="preserve">20'x2 </t>
        </is>
      </c>
      <c r="O13" s="111" t="inlineStr">
        <is>
          <t>2024</t>
        </is>
      </c>
      <c r="P13" s="111" t="n"/>
      <c r="Q13" s="111" t="n"/>
      <c r="R13" s="96" t="inlineStr">
        <is>
          <t>PGPO</t>
        </is>
      </c>
      <c r="S13" s="96" t="inlineStr">
        <is>
          <t>2612N</t>
        </is>
      </c>
      <c r="T13" s="96" t="inlineStr">
        <is>
          <t>BKK02</t>
        </is>
      </c>
      <c r="U13" s="96" t="inlineStr">
        <is>
          <t>THBKK</t>
        </is>
      </c>
      <c r="V13" s="161" t="inlineStr">
        <is>
          <t>2026-10-22</t>
        </is>
      </c>
      <c r="W13" s="96" t="inlineStr">
        <is>
          <t>VNSGN</t>
        </is>
      </c>
      <c r="X13" s="161" t="inlineStr">
        <is>
          <t>2026-10-24</t>
        </is>
      </c>
      <c r="Y13" s="97" t="n"/>
      <c r="Z13" s="97" t="n"/>
      <c r="AA13" s="97" t="n"/>
      <c r="AB13" s="97" t="n"/>
      <c r="AC13" s="97" t="n"/>
      <c r="AD13" s="161" t="inlineStr">
        <is>
          <t>2026-10-13</t>
        </is>
      </c>
      <c r="AE13" s="174" t="inlineStr">
        <is>
          <t>0102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YAKULT VIETNAM CO.,LTD.</t>
        </is>
      </c>
      <c r="AK13" s="130" t="n"/>
    </row>
    <row r="14" ht="12" customHeight="1">
      <c r="A14" s="108" t="inlineStr">
        <is>
          <t>HALU2416050</t>
        </is>
      </c>
      <c r="B14" s="108" t="inlineStr">
        <is>
          <t>BKK02</t>
        </is>
      </c>
      <c r="C14" s="108" t="inlineStr">
        <is>
          <t>IFW</t>
        </is>
      </c>
      <c r="D14" s="172" t="inlineStr">
        <is>
          <t>2026-10-15</t>
        </is>
      </c>
      <c r="E14" s="173" t="inlineStr">
        <is>
          <t>1430</t>
        </is>
      </c>
      <c r="F14" s="96" t="inlineStr">
        <is>
          <t>HASLS22260901654</t>
        </is>
      </c>
      <c r="G14" s="96" t="inlineStr">
        <is>
          <t>EXPEDITORS (THAILAND) LTD.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HASLS22260901654</t>
        </is>
      </c>
      <c r="N14" s="96" t="inlineStr">
        <is>
          <t xml:space="preserve">20'x4 </t>
        </is>
      </c>
      <c r="O14" s="111" t="inlineStr">
        <is>
          <t>2024</t>
        </is>
      </c>
      <c r="P14" s="111" t="n"/>
      <c r="Q14" s="111" t="n"/>
      <c r="R14" s="96" t="n"/>
      <c r="S14" s="96" t="n"/>
      <c r="T14" s="96" t="inlineStr">
        <is>
          <t>BKK02</t>
        </is>
      </c>
      <c r="U14" s="96" t="inlineStr">
        <is>
          <t>THBKK</t>
        </is>
      </c>
      <c r="V14" s="161" t="inlineStr">
        <is>
          <t>2026-10-22</t>
        </is>
      </c>
      <c r="W14" s="96" t="inlineStr">
        <is>
          <t>VNSGN</t>
        </is>
      </c>
      <c r="X14" s="161" t="inlineStr">
        <is>
          <t>2026-10-24</t>
        </is>
      </c>
      <c r="Y14" s="97" t="n"/>
      <c r="Z14" s="97" t="n"/>
      <c r="AA14" s="97" t="n"/>
      <c r="AB14" s="97" t="n"/>
      <c r="AC14" s="97" t="n"/>
      <c r="AD14" s="161" t="inlineStr">
        <is>
          <t>2026-10-15</t>
        </is>
      </c>
      <c r="AE14" s="174" t="inlineStr">
        <is>
          <t>1701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EXPEDITORS VIETNAM COMPANY LIMITED</t>
        </is>
      </c>
      <c r="AK14" s="130" t="n"/>
    </row>
    <row r="15" ht="12" customHeight="1">
      <c r="A15" s="108" t="inlineStr">
        <is>
          <t>HALU2418120</t>
        </is>
      </c>
      <c r="B15" s="108" t="inlineStr">
        <is>
          <t>BKK02</t>
        </is>
      </c>
      <c r="C15" s="108" t="inlineStr">
        <is>
          <t>IFE</t>
        </is>
      </c>
      <c r="D15" s="172" t="inlineStr">
        <is>
          <t>2026-10-13</t>
        </is>
      </c>
      <c r="E15" s="173" t="inlineStr">
        <is>
          <t>1129</t>
        </is>
      </c>
      <c r="F15" s="96" t="inlineStr">
        <is>
          <t>HASLS22261000064</t>
        </is>
      </c>
      <c r="G15" s="96" t="inlineStr">
        <is>
          <t>SEATRANS LOGISTICS CO., 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HASLS22261000064</t>
        </is>
      </c>
      <c r="N15" s="96" t="inlineStr">
        <is>
          <t xml:space="preserve">20'x1 </t>
        </is>
      </c>
      <c r="O15" s="111" t="inlineStr">
        <is>
          <t>2024</t>
        </is>
      </c>
      <c r="P15" s="111" t="n"/>
      <c r="Q15" s="111" t="n"/>
      <c r="R15" s="96" t="inlineStr">
        <is>
          <t>SWBT</t>
        </is>
      </c>
      <c r="S15" s="96" t="inlineStr">
        <is>
          <t>2616N</t>
        </is>
      </c>
      <c r="T15" s="96" t="inlineStr">
        <is>
          <t>BKK02</t>
        </is>
      </c>
      <c r="U15" s="96" t="inlineStr">
        <is>
          <t>THBKK</t>
        </is>
      </c>
      <c r="V15" s="161" t="inlineStr">
        <is>
          <t>2026-10-22</t>
        </is>
      </c>
      <c r="W15" s="96" t="inlineStr">
        <is>
          <t>VNSGN</t>
        </is>
      </c>
      <c r="X15" s="161" t="inlineStr">
        <is>
          <t>2026-10-24</t>
        </is>
      </c>
      <c r="Y15" s="97" t="n"/>
      <c r="Z15" s="97" t="n"/>
      <c r="AA15" s="97" t="n"/>
      <c r="AB15" s="97" t="n"/>
      <c r="AC15" s="97" t="n"/>
      <c r="AD15" s="161" t="inlineStr">
        <is>
          <t>2026-10-13</t>
        </is>
      </c>
      <c r="AE15" s="174" t="inlineStr">
        <is>
          <t>1401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CALDIC SPECIALTIES VIETNAM CO.,LTD.</t>
        </is>
      </c>
      <c r="AK15" s="130" t="n"/>
    </row>
    <row r="16" ht="12" customHeight="1">
      <c r="A16" s="108" t="inlineStr">
        <is>
          <t>HALU2429510</t>
        </is>
      </c>
      <c r="B16" s="108" t="inlineStr">
        <is>
          <t>BKK02</t>
        </is>
      </c>
      <c r="C16" s="108" t="inlineStr">
        <is>
          <t>IFE</t>
        </is>
      </c>
      <c r="D16" s="172" t="inlineStr">
        <is>
          <t>2026-10-15</t>
        </is>
      </c>
      <c r="E16" s="173" t="inlineStr">
        <is>
          <t>1400</t>
        </is>
      </c>
      <c r="F16" s="96" t="inlineStr">
        <is>
          <t>HASLS22261000583</t>
        </is>
      </c>
      <c r="G16" s="96" t="inlineStr">
        <is>
          <t>BIZCON LOGISTICS CO., LTD.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HASLS22261000583</t>
        </is>
      </c>
      <c r="N16" s="96" t="inlineStr">
        <is>
          <t xml:space="preserve">20'x1 </t>
        </is>
      </c>
      <c r="O16" s="111" t="inlineStr">
        <is>
          <t>2024</t>
        </is>
      </c>
      <c r="P16" s="111" t="n"/>
      <c r="Q16" s="111" t="n"/>
      <c r="R16" s="96" t="inlineStr">
        <is>
          <t>SWAL</t>
        </is>
      </c>
      <c r="S16" s="96" t="inlineStr">
        <is>
          <t>2609N</t>
        </is>
      </c>
      <c r="T16" s="96" t="inlineStr">
        <is>
          <t>BKK02</t>
        </is>
      </c>
      <c r="U16" s="96" t="inlineStr">
        <is>
          <t>THBKK</t>
        </is>
      </c>
      <c r="V16" s="161" t="inlineStr">
        <is>
          <t>2026-10-22</t>
        </is>
      </c>
      <c r="W16" s="96" t="inlineStr">
        <is>
          <t>VNSGN</t>
        </is>
      </c>
      <c r="X16" s="161" t="inlineStr">
        <is>
          <t>2026-10-24</t>
        </is>
      </c>
      <c r="Y16" s="97" t="n"/>
      <c r="Z16" s="97" t="n"/>
      <c r="AA16" s="97" t="n"/>
      <c r="AB16" s="97" t="n"/>
      <c r="AC16" s="97" t="n"/>
      <c r="AD16" s="161" t="inlineStr">
        <is>
          <t>2026-10-15</t>
        </is>
      </c>
      <c r="AE16" s="174" t="inlineStr">
        <is>
          <t>1701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TRUONG HAI INTERNATIONAL LOGISTICS</t>
        </is>
      </c>
      <c r="AK16" s="130" t="n"/>
    </row>
    <row r="17" ht="12" customHeight="1">
      <c r="A17" s="108" t="inlineStr">
        <is>
          <t>HALU2468809</t>
        </is>
      </c>
      <c r="B17" s="108" t="inlineStr">
        <is>
          <t>BKK02</t>
        </is>
      </c>
      <c r="C17" s="108" t="inlineStr">
        <is>
          <t>IFW</t>
        </is>
      </c>
      <c r="D17" s="172" t="inlineStr">
        <is>
          <t>2026-10-15</t>
        </is>
      </c>
      <c r="E17" s="173" t="inlineStr">
        <is>
          <t>1428</t>
        </is>
      </c>
      <c r="F17" s="96" t="inlineStr">
        <is>
          <t>HASLS22260901654</t>
        </is>
      </c>
      <c r="G17" s="96" t="inlineStr">
        <is>
          <t>EXPEDITORS (THAILAND) LTD.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HASLS22260901654</t>
        </is>
      </c>
      <c r="N17" s="96" t="inlineStr">
        <is>
          <t xml:space="preserve">20'x4 </t>
        </is>
      </c>
      <c r="O17" s="111" t="inlineStr">
        <is>
          <t>2024</t>
        </is>
      </c>
      <c r="P17" s="111" t="n"/>
      <c r="Q17" s="111" t="n"/>
      <c r="R17" s="96" t="n"/>
      <c r="S17" s="96" t="n"/>
      <c r="T17" s="96" t="inlineStr">
        <is>
          <t>BKK02</t>
        </is>
      </c>
      <c r="U17" s="96" t="inlineStr">
        <is>
          <t>THBKK</t>
        </is>
      </c>
      <c r="V17" s="161" t="inlineStr">
        <is>
          <t>2026-10-22</t>
        </is>
      </c>
      <c r="W17" s="96" t="inlineStr">
        <is>
          <t>VNSGN</t>
        </is>
      </c>
      <c r="X17" s="161" t="inlineStr">
        <is>
          <t>2026-10-24</t>
        </is>
      </c>
      <c r="Y17" s="97" t="n"/>
      <c r="Z17" s="97" t="n"/>
      <c r="AA17" s="97" t="n"/>
      <c r="AB17" s="97" t="n"/>
      <c r="AC17" s="97" t="n"/>
      <c r="AD17" s="161" t="inlineStr">
        <is>
          <t>2026-10-15</t>
        </is>
      </c>
      <c r="AE17" s="174" t="inlineStr">
        <is>
          <t>1701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EXPEDITORS VIETNAM COMPANY LIMITED</t>
        </is>
      </c>
      <c r="AK17" s="130" t="n"/>
    </row>
    <row r="18" ht="12" customHeight="1">
      <c r="A18" s="108" t="inlineStr">
        <is>
          <t>HALU2503094</t>
        </is>
      </c>
      <c r="B18" s="108" t="inlineStr">
        <is>
          <t>BKK02</t>
        </is>
      </c>
      <c r="C18" s="108" t="inlineStr">
        <is>
          <t>IFW</t>
        </is>
      </c>
      <c r="D18" s="172" t="inlineStr">
        <is>
          <t>2026-10-16</t>
        </is>
      </c>
      <c r="E18" s="173" t="inlineStr">
        <is>
          <t>1513</t>
        </is>
      </c>
      <c r="F18" s="96" t="inlineStr">
        <is>
          <t>HASLS22260901991</t>
        </is>
      </c>
      <c r="G18" s="96" t="inlineStr">
        <is>
          <t>RIVA LOGISTICS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HASLS22260901991</t>
        </is>
      </c>
      <c r="N18" s="96" t="inlineStr">
        <is>
          <t xml:space="preserve">20'x1 </t>
        </is>
      </c>
      <c r="O18" s="111" t="inlineStr">
        <is>
          <t>2025</t>
        </is>
      </c>
      <c r="P18" s="111" t="n"/>
      <c r="Q18" s="111" t="n"/>
      <c r="R18" s="96" t="n"/>
      <c r="S18" s="96" t="n"/>
      <c r="T18" s="96" t="inlineStr">
        <is>
          <t>BKK02</t>
        </is>
      </c>
      <c r="U18" s="96" t="inlineStr">
        <is>
          <t>THBKK</t>
        </is>
      </c>
      <c r="V18" s="161" t="inlineStr">
        <is>
          <t>2026-10-22</t>
        </is>
      </c>
      <c r="W18" s="96" t="inlineStr">
        <is>
          <t>VNSGN</t>
        </is>
      </c>
      <c r="X18" s="161" t="inlineStr">
        <is>
          <t>2026-10-24</t>
        </is>
      </c>
      <c r="Y18" s="97" t="n"/>
      <c r="Z18" s="97" t="n"/>
      <c r="AA18" s="97" t="n"/>
      <c r="AB18" s="97" t="n"/>
      <c r="AC18" s="97" t="n"/>
      <c r="AD18" s="161" t="inlineStr">
        <is>
          <t>2026-10-16</t>
        </is>
      </c>
      <c r="AE18" s="174" t="inlineStr">
        <is>
          <t>1802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JOTUN PAINTS VIETNAM CO.,LTD.</t>
        </is>
      </c>
      <c r="AK18" s="130" t="n"/>
    </row>
    <row r="19" ht="12" customHeight="1">
      <c r="A19" s="108" t="inlineStr">
        <is>
          <t>HALU2563215</t>
        </is>
      </c>
      <c r="B19" s="108" t="inlineStr">
        <is>
          <t>BKK02</t>
        </is>
      </c>
      <c r="C19" s="108" t="inlineStr">
        <is>
          <t>IFE</t>
        </is>
      </c>
      <c r="D19" s="172" t="inlineStr">
        <is>
          <t>2026-10-17</t>
        </is>
      </c>
      <c r="E19" s="173" t="inlineStr">
        <is>
          <t>1325</t>
        </is>
      </c>
      <c r="F19" s="96" t="inlineStr">
        <is>
          <t>HASLS22261000844</t>
        </is>
      </c>
      <c r="G19" s="96" t="inlineStr">
        <is>
          <t>HAST LOGISTICS CO., LTD.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HASLS22261000844</t>
        </is>
      </c>
      <c r="N19" s="96" t="inlineStr">
        <is>
          <t xml:space="preserve">20'x1 </t>
        </is>
      </c>
      <c r="O19" s="111" t="inlineStr">
        <is>
          <t>2025</t>
        </is>
      </c>
      <c r="P19" s="111" t="n"/>
      <c r="Q19" s="111" t="n"/>
      <c r="R19" s="96" t="inlineStr">
        <is>
          <t>SWAL</t>
        </is>
      </c>
      <c r="S19" s="96" t="inlineStr">
        <is>
          <t>2609N</t>
        </is>
      </c>
      <c r="T19" s="96" t="inlineStr">
        <is>
          <t>BKK02</t>
        </is>
      </c>
      <c r="U19" s="96" t="inlineStr">
        <is>
          <t>THBKK</t>
        </is>
      </c>
      <c r="V19" s="161" t="inlineStr">
        <is>
          <t>2026-10-22</t>
        </is>
      </c>
      <c r="W19" s="96" t="inlineStr">
        <is>
          <t>KRINC</t>
        </is>
      </c>
      <c r="X19" s="161" t="inlineStr">
        <is>
          <t>2026-10-30</t>
        </is>
      </c>
      <c r="Y19" s="97" t="n"/>
      <c r="Z19" s="97" t="n"/>
      <c r="AA19" s="97" t="n"/>
      <c r="AB19" s="97" t="n"/>
      <c r="AC19" s="97" t="n"/>
      <c r="AD19" s="161" t="inlineStr">
        <is>
          <t>2026-10-17</t>
        </is>
      </c>
      <c r="AE19" s="174" t="inlineStr">
        <is>
          <t>1601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WORLD CORPORATION</t>
        </is>
      </c>
      <c r="AK19" s="130" t="n"/>
    </row>
    <row r="20" ht="12" customHeight="1">
      <c r="A20" s="108" t="inlineStr">
        <is>
          <t>HALU2572860</t>
        </is>
      </c>
      <c r="B20" s="108" t="inlineStr">
        <is>
          <t>BKK02</t>
        </is>
      </c>
      <c r="C20" s="108" t="inlineStr">
        <is>
          <t>IFW</t>
        </is>
      </c>
      <c r="D20" s="172" t="inlineStr">
        <is>
          <t>2026-10-16</t>
        </is>
      </c>
      <c r="E20" s="173" t="inlineStr">
        <is>
          <t>1359</t>
        </is>
      </c>
      <c r="F20" s="96" t="inlineStr">
        <is>
          <t>HASLS22260901757</t>
        </is>
      </c>
      <c r="G20" s="96" t="inlineStr">
        <is>
          <t>PROFREIGHT INTERNATIONAL CO., LTD.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HASLS22260901757</t>
        </is>
      </c>
      <c r="N20" s="96" t="inlineStr">
        <is>
          <t xml:space="preserve">20'x1 </t>
        </is>
      </c>
      <c r="O20" s="111" t="inlineStr">
        <is>
          <t>2025</t>
        </is>
      </c>
      <c r="P20" s="111" t="n"/>
      <c r="Q20" s="111" t="n"/>
      <c r="R20" s="96" t="n"/>
      <c r="S20" s="96" t="n"/>
      <c r="T20" s="96" t="inlineStr">
        <is>
          <t>BKK02</t>
        </is>
      </c>
      <c r="U20" s="96" t="inlineStr">
        <is>
          <t>THBKK</t>
        </is>
      </c>
      <c r="V20" s="161" t="inlineStr">
        <is>
          <t>2026-10-22</t>
        </is>
      </c>
      <c r="W20" s="96" t="inlineStr">
        <is>
          <t>VNSGN</t>
        </is>
      </c>
      <c r="X20" s="161" t="inlineStr">
        <is>
          <t>2026-10-24</t>
        </is>
      </c>
      <c r="Y20" s="97" t="n"/>
      <c r="Z20" s="97" t="n"/>
      <c r="AA20" s="97" t="n"/>
      <c r="AB20" s="97" t="n"/>
      <c r="AC20" s="97" t="n"/>
      <c r="AD20" s="161" t="inlineStr">
        <is>
          <t>2026-10-16</t>
        </is>
      </c>
      <c r="AE20" s="174" t="inlineStr">
        <is>
          <t>1607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THAI VIET NET JOINT STOCK COMPANY</t>
        </is>
      </c>
      <c r="AK20" s="130" t="n"/>
    </row>
    <row r="21" ht="12" customHeight="1">
      <c r="A21" s="108" t="inlineStr">
        <is>
          <t>HALU2585810</t>
        </is>
      </c>
      <c r="B21" s="108" t="inlineStr">
        <is>
          <t>BKK02</t>
        </is>
      </c>
      <c r="C21" s="108" t="inlineStr">
        <is>
          <t>IFE</t>
        </is>
      </c>
      <c r="D21" s="172" t="inlineStr">
        <is>
          <t>2026-10-12</t>
        </is>
      </c>
      <c r="E21" s="173" t="inlineStr">
        <is>
          <t>1455</t>
        </is>
      </c>
      <c r="F21" s="96" t="inlineStr">
        <is>
          <t>HASLS22260902436</t>
        </is>
      </c>
      <c r="G21" s="96" t="inlineStr">
        <is>
          <t>ACCORD PILOT LOGISTICS (THAILAND) CO., LTD.</t>
        </is>
      </c>
      <c r="H21" s="111" t="inlineStr">
        <is>
          <t>22GP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HASLS22260902436</t>
        </is>
      </c>
      <c r="N21" s="96" t="inlineStr">
        <is>
          <t xml:space="preserve">20'x1 </t>
        </is>
      </c>
      <c r="O21" s="111" t="inlineStr">
        <is>
          <t>2025</t>
        </is>
      </c>
      <c r="P21" s="111" t="n"/>
      <c r="Q21" s="111" t="n"/>
      <c r="R21" s="96" t="inlineStr">
        <is>
          <t>SWBT</t>
        </is>
      </c>
      <c r="S21" s="96" t="inlineStr">
        <is>
          <t>2616N</t>
        </is>
      </c>
      <c r="T21" s="96" t="inlineStr">
        <is>
          <t>BKK02</t>
        </is>
      </c>
      <c r="U21" s="96" t="inlineStr">
        <is>
          <t>THBKK</t>
        </is>
      </c>
      <c r="V21" s="161" t="inlineStr">
        <is>
          <t>2026-10-22</t>
        </is>
      </c>
      <c r="W21" s="96" t="inlineStr">
        <is>
          <t>VNSGN</t>
        </is>
      </c>
      <c r="X21" s="161" t="inlineStr">
        <is>
          <t>2026-10-24</t>
        </is>
      </c>
      <c r="Y21" s="97" t="n"/>
      <c r="Z21" s="97" t="n"/>
      <c r="AA21" s="97" t="n"/>
      <c r="AB21" s="97" t="n"/>
      <c r="AC21" s="97" t="n"/>
      <c r="AD21" s="161" t="inlineStr">
        <is>
          <t>2026-10-12</t>
        </is>
      </c>
      <c r="AE21" s="174" t="inlineStr">
        <is>
          <t>1755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0313201593#YOUNG-KO CO.,LTD#</t>
        </is>
      </c>
      <c r="AK21" s="130" t="n"/>
    </row>
    <row r="22" ht="12" customHeight="1">
      <c r="A22" s="108" t="inlineStr">
        <is>
          <t>HALU5681952</t>
        </is>
      </c>
      <c r="B22" s="108" t="inlineStr">
        <is>
          <t>BKK02</t>
        </is>
      </c>
      <c r="C22" s="108" t="inlineStr">
        <is>
          <t>IFE</t>
        </is>
      </c>
      <c r="D22" s="172" t="inlineStr">
        <is>
          <t>2026-10-15</t>
        </is>
      </c>
      <c r="E22" s="173" t="inlineStr">
        <is>
          <t>2254</t>
        </is>
      </c>
      <c r="F22" s="96" t="inlineStr">
        <is>
          <t>HASLS22260902444</t>
        </is>
      </c>
      <c r="G22" s="96" t="inlineStr">
        <is>
          <t>CAPRICORN LOGISTICS CO., LTD.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HASLS22260902444</t>
        </is>
      </c>
      <c r="N22" s="96" t="inlineStr">
        <is>
          <t xml:space="preserve">40Hx5 </t>
        </is>
      </c>
      <c r="O22" s="111" t="inlineStr">
        <is>
          <t>2015</t>
        </is>
      </c>
      <c r="P22" s="111" t="n"/>
      <c r="Q22" s="111" t="n"/>
      <c r="R22" s="96" t="inlineStr">
        <is>
          <t>SWAL</t>
        </is>
      </c>
      <c r="S22" s="96" t="inlineStr">
        <is>
          <t>2609N</t>
        </is>
      </c>
      <c r="T22" s="96" t="inlineStr">
        <is>
          <t>BKK02</t>
        </is>
      </c>
      <c r="U22" s="96" t="inlineStr">
        <is>
          <t>THBKK</t>
        </is>
      </c>
      <c r="V22" s="161" t="inlineStr">
        <is>
          <t>2026-10-22</t>
        </is>
      </c>
      <c r="W22" s="96" t="inlineStr">
        <is>
          <t>VNSGN</t>
        </is>
      </c>
      <c r="X22" s="161" t="inlineStr">
        <is>
          <t>2026-10-24</t>
        </is>
      </c>
      <c r="Y22" s="97" t="n"/>
      <c r="Z22" s="97" t="n"/>
      <c r="AA22" s="97" t="n"/>
      <c r="AB22" s="97" t="n"/>
      <c r="AC22" s="97" t="n"/>
      <c r="AD22" s="161" t="inlineStr">
        <is>
          <t>2026-10-16</t>
        </is>
      </c>
      <c r="AE22" s="174" t="inlineStr">
        <is>
          <t>0102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GIA NGUYEN INT'L LOGISTICS CO., LTD</t>
        </is>
      </c>
      <c r="AK22" s="130" t="n"/>
    </row>
    <row r="23" ht="12" customHeight="1">
      <c r="A23" s="108" t="inlineStr">
        <is>
          <t>HLHU6404310</t>
        </is>
      </c>
      <c r="B23" s="108" t="inlineStr">
        <is>
          <t>BKK02</t>
        </is>
      </c>
      <c r="C23" s="108" t="inlineStr">
        <is>
          <t>IFE</t>
        </is>
      </c>
      <c r="D23" s="172" t="inlineStr">
        <is>
          <t>2026-10-16</t>
        </is>
      </c>
      <c r="E23" s="173" t="inlineStr">
        <is>
          <t>0325</t>
        </is>
      </c>
      <c r="F23" s="96" t="inlineStr">
        <is>
          <t>HASLS22260900821</t>
        </is>
      </c>
      <c r="G23" s="96" t="inlineStr">
        <is>
          <t>YOUNGSUWAT TRADING CO.,LTD.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HASLS22260900821</t>
        </is>
      </c>
      <c r="N23" s="96" t="inlineStr">
        <is>
          <t xml:space="preserve">40Hx3 </t>
        </is>
      </c>
      <c r="O23" s="111" t="inlineStr">
        <is>
          <t>2024</t>
        </is>
      </c>
      <c r="P23" s="111" t="n"/>
      <c r="Q23" s="111" t="n"/>
      <c r="R23" s="96" t="inlineStr">
        <is>
          <t>SWAL</t>
        </is>
      </c>
      <c r="S23" s="96" t="inlineStr">
        <is>
          <t>2609N</t>
        </is>
      </c>
      <c r="T23" s="96" t="inlineStr">
        <is>
          <t>BKK02</t>
        </is>
      </c>
      <c r="U23" s="96" t="inlineStr">
        <is>
          <t>THBKK</t>
        </is>
      </c>
      <c r="V23" s="161" t="inlineStr">
        <is>
          <t>2026-10-22</t>
        </is>
      </c>
      <c r="W23" s="96" t="inlineStr">
        <is>
          <t>JPTKS</t>
        </is>
      </c>
      <c r="X23" s="161" t="inlineStr">
        <is>
          <t>2026-11-01</t>
        </is>
      </c>
      <c r="Y23" s="97" t="n"/>
      <c r="Z23" s="97" t="n"/>
      <c r="AA23" s="97" t="n"/>
      <c r="AB23" s="97" t="n"/>
      <c r="AC23" s="97" t="n"/>
      <c r="AD23" s="161" t="inlineStr">
        <is>
          <t>2026-10-16</t>
        </is>
      </c>
      <c r="AE23" s="174" t="inlineStr">
        <is>
          <t>0601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VOX TRADING CO., LTD.</t>
        </is>
      </c>
      <c r="AK23" s="130" t="n"/>
    </row>
    <row r="24" ht="12" customHeight="1">
      <c r="A24" s="108" t="inlineStr">
        <is>
          <t>HLHU8322165</t>
        </is>
      </c>
      <c r="B24" s="108" t="inlineStr">
        <is>
          <t>BKK02</t>
        </is>
      </c>
      <c r="C24" s="108" t="inlineStr">
        <is>
          <t>IFE</t>
        </is>
      </c>
      <c r="D24" s="172" t="inlineStr">
        <is>
          <t>2026-10-16</t>
        </is>
      </c>
      <c r="E24" s="173" t="inlineStr">
        <is>
          <t>0052</t>
        </is>
      </c>
      <c r="F24" s="96" t="inlineStr">
        <is>
          <t>HASLS22260902491</t>
        </is>
      </c>
      <c r="G24" s="96" t="inlineStr">
        <is>
          <t>BEE LOGISTICS (THAILAND) CO., 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HASLS22260902491</t>
        </is>
      </c>
      <c r="N24" s="96" t="inlineStr">
        <is>
          <t xml:space="preserve">40Hx1 </t>
        </is>
      </c>
      <c r="O24" s="111" t="inlineStr">
        <is>
          <t>2023</t>
        </is>
      </c>
      <c r="P24" s="111" t="n"/>
      <c r="Q24" s="111" t="n"/>
      <c r="R24" s="96" t="inlineStr">
        <is>
          <t>SWAL</t>
        </is>
      </c>
      <c r="S24" s="96" t="inlineStr">
        <is>
          <t>2609N</t>
        </is>
      </c>
      <c r="T24" s="96" t="inlineStr">
        <is>
          <t>BKK02</t>
        </is>
      </c>
      <c r="U24" s="96" t="inlineStr">
        <is>
          <t>THBKK</t>
        </is>
      </c>
      <c r="V24" s="161" t="inlineStr">
        <is>
          <t>2026-10-22</t>
        </is>
      </c>
      <c r="W24" s="96" t="inlineStr">
        <is>
          <t>VNSGN</t>
        </is>
      </c>
      <c r="X24" s="161" t="inlineStr">
        <is>
          <t>2026-10-24</t>
        </is>
      </c>
      <c r="Y24" s="97" t="n"/>
      <c r="Z24" s="97" t="n"/>
      <c r="AA24" s="97" t="n"/>
      <c r="AB24" s="97" t="n"/>
      <c r="AC24" s="97" t="n"/>
      <c r="AD24" s="161" t="inlineStr">
        <is>
          <t>2026-10-16</t>
        </is>
      </c>
      <c r="AE24" s="174" t="inlineStr">
        <is>
          <t>0301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BEE LOGISTICS CORPORATION -</t>
        </is>
      </c>
      <c r="AK24" s="130" t="n"/>
    </row>
    <row r="25" ht="12" customHeight="1">
      <c r="A25" s="108" t="inlineStr">
        <is>
          <t>HLHU8365188</t>
        </is>
      </c>
      <c r="B25" s="108" t="inlineStr">
        <is>
          <t>BKK02</t>
        </is>
      </c>
      <c r="C25" s="108" t="inlineStr">
        <is>
          <t>IFE</t>
        </is>
      </c>
      <c r="D25" s="172" t="inlineStr">
        <is>
          <t>2026-10-16</t>
        </is>
      </c>
      <c r="E25" s="173" t="inlineStr">
        <is>
          <t>0334</t>
        </is>
      </c>
      <c r="F25" s="96" t="inlineStr">
        <is>
          <t>HASLS22260902439</t>
        </is>
      </c>
      <c r="G25" s="96" t="inlineStr">
        <is>
          <t>CAPRICORN LOGISTICS CO., 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HASLS22260902439</t>
        </is>
      </c>
      <c r="N25" s="96" t="inlineStr">
        <is>
          <t xml:space="preserve">40Hx5 </t>
        </is>
      </c>
      <c r="O25" s="111" t="inlineStr">
        <is>
          <t>2023</t>
        </is>
      </c>
      <c r="P25" s="111" t="n"/>
      <c r="Q25" s="111" t="n"/>
      <c r="R25" s="96" t="inlineStr">
        <is>
          <t>SWAL</t>
        </is>
      </c>
      <c r="S25" s="96" t="inlineStr">
        <is>
          <t>2609N</t>
        </is>
      </c>
      <c r="T25" s="96" t="inlineStr">
        <is>
          <t>BKK02</t>
        </is>
      </c>
      <c r="U25" s="96" t="inlineStr">
        <is>
          <t>THBKK</t>
        </is>
      </c>
      <c r="V25" s="161" t="inlineStr">
        <is>
          <t>2026-10-22</t>
        </is>
      </c>
      <c r="W25" s="96" t="inlineStr">
        <is>
          <t>VNSGN</t>
        </is>
      </c>
      <c r="X25" s="161" t="inlineStr">
        <is>
          <t>2026-10-24</t>
        </is>
      </c>
      <c r="Y25" s="97" t="n"/>
      <c r="Z25" s="97" t="n"/>
      <c r="AA25" s="97" t="n"/>
      <c r="AB25" s="97" t="n"/>
      <c r="AC25" s="97" t="n"/>
      <c r="AD25" s="161" t="inlineStr">
        <is>
          <t>2026-10-16</t>
        </is>
      </c>
      <c r="AE25" s="174" t="inlineStr">
        <is>
          <t>0601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GIA NGUYEN INT'L LOGISTICS CO., LTD</t>
        </is>
      </c>
      <c r="AK25" s="130" t="n"/>
    </row>
    <row r="26" ht="12" customHeight="1">
      <c r="A26" s="108" t="inlineStr">
        <is>
          <t>HLHU8403098</t>
        </is>
      </c>
      <c r="B26" s="108" t="inlineStr">
        <is>
          <t>BKK02</t>
        </is>
      </c>
      <c r="C26" s="108" t="inlineStr">
        <is>
          <t>IFE</t>
        </is>
      </c>
      <c r="D26" s="172" t="inlineStr">
        <is>
          <t>2026-10-16</t>
        </is>
      </c>
      <c r="E26" s="173" t="inlineStr">
        <is>
          <t>0108</t>
        </is>
      </c>
      <c r="F26" s="96" t="inlineStr">
        <is>
          <t>HASLS22260902444</t>
        </is>
      </c>
      <c r="G26" s="96" t="inlineStr">
        <is>
          <t>CAPRICORN LOGISTICS CO., LTD.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HASLS22260902444</t>
        </is>
      </c>
      <c r="N26" s="96" t="inlineStr">
        <is>
          <t xml:space="preserve">40Hx5 </t>
        </is>
      </c>
      <c r="O26" s="111" t="inlineStr">
        <is>
          <t>2024</t>
        </is>
      </c>
      <c r="P26" s="111" t="n"/>
      <c r="Q26" s="111" t="n"/>
      <c r="R26" s="96" t="inlineStr">
        <is>
          <t>SWAL</t>
        </is>
      </c>
      <c r="S26" s="96" t="inlineStr">
        <is>
          <t>2609N</t>
        </is>
      </c>
      <c r="T26" s="96" t="inlineStr">
        <is>
          <t>BKK02</t>
        </is>
      </c>
      <c r="U26" s="96" t="inlineStr">
        <is>
          <t>THBKK</t>
        </is>
      </c>
      <c r="V26" s="161" t="inlineStr">
        <is>
          <t>2026-10-22</t>
        </is>
      </c>
      <c r="W26" s="96" t="inlineStr">
        <is>
          <t>VNSGN</t>
        </is>
      </c>
      <c r="X26" s="161" t="inlineStr">
        <is>
          <t>2026-10-24</t>
        </is>
      </c>
      <c r="Y26" s="97" t="n"/>
      <c r="Z26" s="97" t="n"/>
      <c r="AA26" s="97" t="n"/>
      <c r="AB26" s="97" t="n"/>
      <c r="AC26" s="97" t="n"/>
      <c r="AD26" s="161" t="inlineStr">
        <is>
          <t>2026-10-16</t>
        </is>
      </c>
      <c r="AE26" s="174" t="inlineStr">
        <is>
          <t>0401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GIA NGUYEN INT'L LOGISTICS CO., LTD</t>
        </is>
      </c>
      <c r="AK26" s="130" t="n"/>
    </row>
    <row r="27" ht="12" customHeight="1">
      <c r="A27" s="108" t="inlineStr">
        <is>
          <t>HLHU8436039</t>
        </is>
      </c>
      <c r="B27" s="108" t="inlineStr">
        <is>
          <t>BKK02</t>
        </is>
      </c>
      <c r="C27" s="108" t="inlineStr">
        <is>
          <t>IFE</t>
        </is>
      </c>
      <c r="D27" s="172" t="inlineStr">
        <is>
          <t>2026-10-16</t>
        </is>
      </c>
      <c r="E27" s="173" t="inlineStr">
        <is>
          <t>1542</t>
        </is>
      </c>
      <c r="F27" s="96" t="inlineStr">
        <is>
          <t>HASLS22261000779</t>
        </is>
      </c>
      <c r="G27" s="96" t="inlineStr">
        <is>
          <t>TOSHIBA LOGISTICS (THAILAND) CO., 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HASLS22261000779</t>
        </is>
      </c>
      <c r="N27" s="96" t="inlineStr">
        <is>
          <t xml:space="preserve">40Hx3 20'x1 </t>
        </is>
      </c>
      <c r="O27" s="111" t="inlineStr">
        <is>
          <t>2024</t>
        </is>
      </c>
      <c r="P27" s="111" t="n"/>
      <c r="Q27" s="111" t="n"/>
      <c r="R27" s="96" t="inlineStr">
        <is>
          <t>SWAL</t>
        </is>
      </c>
      <c r="S27" s="96" t="inlineStr">
        <is>
          <t>2609N</t>
        </is>
      </c>
      <c r="T27" s="96" t="inlineStr">
        <is>
          <t>BKK02</t>
        </is>
      </c>
      <c r="U27" s="96" t="inlineStr">
        <is>
          <t>THBKK</t>
        </is>
      </c>
      <c r="V27" s="161" t="inlineStr">
        <is>
          <t>2026-10-22</t>
        </is>
      </c>
      <c r="W27" s="96" t="inlineStr">
        <is>
          <t>VNSGN</t>
        </is>
      </c>
      <c r="X27" s="161" t="inlineStr">
        <is>
          <t>2026-10-24</t>
        </is>
      </c>
      <c r="Y27" s="97" t="n"/>
      <c r="Z27" s="97" t="n"/>
      <c r="AA27" s="97" t="n"/>
      <c r="AB27" s="97" t="n"/>
      <c r="AC27" s="97" t="n"/>
      <c r="AD27" s="161" t="inlineStr">
        <is>
          <t>2026-10-16</t>
        </is>
      </c>
      <c r="AE27" s="174" t="inlineStr">
        <is>
          <t>1802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TOSHIBA LOGISTICS VIETNAM CO.,LTD.</t>
        </is>
      </c>
      <c r="AK27" s="130" t="n"/>
    </row>
    <row r="28" ht="12" customHeight="1">
      <c r="A28" s="108" t="inlineStr">
        <is>
          <t>HLHU8440152</t>
        </is>
      </c>
      <c r="B28" s="108" t="inlineStr">
        <is>
          <t>BKK02</t>
        </is>
      </c>
      <c r="C28" s="108" t="inlineStr">
        <is>
          <t>IFE</t>
        </is>
      </c>
      <c r="D28" s="172" t="inlineStr">
        <is>
          <t>2026-10-16</t>
        </is>
      </c>
      <c r="E28" s="173" t="inlineStr">
        <is>
          <t>1233</t>
        </is>
      </c>
      <c r="F28" s="96" t="inlineStr">
        <is>
          <t>HASLS22261000779</t>
        </is>
      </c>
      <c r="G28" s="96" t="inlineStr">
        <is>
          <t>TOSHIBA LOGISTICS (THAILAND) CO., LTD.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HASLS22261000779</t>
        </is>
      </c>
      <c r="N28" s="96" t="inlineStr">
        <is>
          <t xml:space="preserve">40Hx3 20'x1 </t>
        </is>
      </c>
      <c r="O28" s="111" t="inlineStr">
        <is>
          <t>2024</t>
        </is>
      </c>
      <c r="P28" s="111" t="n"/>
      <c r="Q28" s="111" t="n"/>
      <c r="R28" s="96" t="inlineStr">
        <is>
          <t>SWAL</t>
        </is>
      </c>
      <c r="S28" s="96" t="inlineStr">
        <is>
          <t>2609N</t>
        </is>
      </c>
      <c r="T28" s="96" t="inlineStr">
        <is>
          <t>BKK02</t>
        </is>
      </c>
      <c r="U28" s="96" t="inlineStr">
        <is>
          <t>THBKK</t>
        </is>
      </c>
      <c r="V28" s="161" t="inlineStr">
        <is>
          <t>2026-10-22</t>
        </is>
      </c>
      <c r="W28" s="96" t="inlineStr">
        <is>
          <t>VNSGN</t>
        </is>
      </c>
      <c r="X28" s="161" t="inlineStr">
        <is>
          <t>2026-10-24</t>
        </is>
      </c>
      <c r="Y28" s="97" t="n"/>
      <c r="Z28" s="97" t="n"/>
      <c r="AA28" s="97" t="n"/>
      <c r="AB28" s="97" t="n"/>
      <c r="AC28" s="97" t="n"/>
      <c r="AD28" s="161" t="inlineStr">
        <is>
          <t>2026-10-16</t>
        </is>
      </c>
      <c r="AE28" s="174" t="inlineStr">
        <is>
          <t>1502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TOSHIBA LOGISTICS VIETNAM CO.,LTD.</t>
        </is>
      </c>
      <c r="AK28" s="130" t="n"/>
    </row>
    <row r="29" ht="12" customHeight="1">
      <c r="A29" s="108" t="inlineStr">
        <is>
          <t>HLHU8462038</t>
        </is>
      </c>
      <c r="B29" s="108" t="inlineStr">
        <is>
          <t>BKK02</t>
        </is>
      </c>
      <c r="C29" s="108" t="inlineStr">
        <is>
          <t>IFE</t>
        </is>
      </c>
      <c r="D29" s="172" t="inlineStr">
        <is>
          <t>2026-10-17</t>
        </is>
      </c>
      <c r="E29" s="173" t="inlineStr">
        <is>
          <t>0518</t>
        </is>
      </c>
      <c r="F29" s="96" t="inlineStr">
        <is>
          <t>HASLS22261000020</t>
        </is>
      </c>
      <c r="G29" s="96" t="inlineStr">
        <is>
          <t>BEE LOGISTICS (THAILAND) CO., 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HASLS22261000020</t>
        </is>
      </c>
      <c r="N29" s="96" t="inlineStr">
        <is>
          <t xml:space="preserve">40Hx1 </t>
        </is>
      </c>
      <c r="O29" s="111" t="inlineStr">
        <is>
          <t>2024</t>
        </is>
      </c>
      <c r="P29" s="111" t="n"/>
      <c r="Q29" s="111" t="n"/>
      <c r="R29" s="96" t="inlineStr">
        <is>
          <t>SWAL</t>
        </is>
      </c>
      <c r="S29" s="96" t="inlineStr">
        <is>
          <t>2609N</t>
        </is>
      </c>
      <c r="T29" s="96" t="inlineStr">
        <is>
          <t>BKK02</t>
        </is>
      </c>
      <c r="U29" s="96" t="inlineStr">
        <is>
          <t>THBKK</t>
        </is>
      </c>
      <c r="V29" s="161" t="inlineStr">
        <is>
          <t>2026-10-22</t>
        </is>
      </c>
      <c r="W29" s="96" t="inlineStr">
        <is>
          <t>VNSGN</t>
        </is>
      </c>
      <c r="X29" s="161" t="inlineStr">
        <is>
          <t>2026-10-24</t>
        </is>
      </c>
      <c r="Y29" s="97" t="n"/>
      <c r="Z29" s="97" t="n"/>
      <c r="AA29" s="97" t="n"/>
      <c r="AB29" s="97" t="n"/>
      <c r="AC29" s="97" t="n"/>
      <c r="AD29" s="161" t="inlineStr">
        <is>
          <t>2026-10-17</t>
        </is>
      </c>
      <c r="AE29" s="174" t="inlineStr">
        <is>
          <t>0801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BEE LOGISTICS CORPORATION</t>
        </is>
      </c>
      <c r="AK29" s="130" t="n"/>
    </row>
    <row r="30" ht="12" customHeight="1">
      <c r="A30" s="108" t="inlineStr">
        <is>
          <t>HLHU8518899</t>
        </is>
      </c>
      <c r="B30" s="108" t="inlineStr">
        <is>
          <t>BKK02</t>
        </is>
      </c>
      <c r="C30" s="108" t="inlineStr">
        <is>
          <t>IFE</t>
        </is>
      </c>
      <c r="D30" s="172" t="inlineStr">
        <is>
          <t>2026-10-12</t>
        </is>
      </c>
      <c r="E30" s="173" t="inlineStr">
        <is>
          <t>2047</t>
        </is>
      </c>
      <c r="F30" s="96" t="inlineStr">
        <is>
          <t>HASLS22260902622</t>
        </is>
      </c>
      <c r="G30" s="96" t="inlineStr">
        <is>
          <t>OCEAN AIR INTERNATIONAL CO., 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HASLS22260902622</t>
        </is>
      </c>
      <c r="N30" s="96" t="inlineStr">
        <is>
          <t xml:space="preserve">40Hx2 </t>
        </is>
      </c>
      <c r="O30" s="111" t="inlineStr">
        <is>
          <t>2025</t>
        </is>
      </c>
      <c r="P30" s="111" t="n"/>
      <c r="Q30" s="111" t="n"/>
      <c r="R30" s="96" t="inlineStr">
        <is>
          <t>SWBT</t>
        </is>
      </c>
      <c r="S30" s="96" t="inlineStr">
        <is>
          <t>2616N</t>
        </is>
      </c>
      <c r="T30" s="96" t="inlineStr">
        <is>
          <t>BKK02</t>
        </is>
      </c>
      <c r="U30" s="96" t="inlineStr">
        <is>
          <t>THBKK</t>
        </is>
      </c>
      <c r="V30" s="161" t="inlineStr">
        <is>
          <t>2026-10-22</t>
        </is>
      </c>
      <c r="W30" s="96" t="inlineStr">
        <is>
          <t>VNSGN</t>
        </is>
      </c>
      <c r="X30" s="161" t="inlineStr">
        <is>
          <t>2026-10-24</t>
        </is>
      </c>
      <c r="Y30" s="97" t="n"/>
      <c r="Z30" s="97" t="n"/>
      <c r="AA30" s="97" t="n"/>
      <c r="AB30" s="97" t="n"/>
      <c r="AC30" s="97" t="n"/>
      <c r="AD30" s="161" t="inlineStr">
        <is>
          <t>2026-10-12</t>
        </is>
      </c>
      <c r="AE30" s="174" t="inlineStr">
        <is>
          <t>2301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AO SHIPPING TRANSPORT CORPORATION</t>
        </is>
      </c>
      <c r="AK30" s="130" t="n"/>
    </row>
    <row r="31" ht="12" customHeight="1">
      <c r="A31" s="108" t="inlineStr">
        <is>
          <t>HLHU8533933</t>
        </is>
      </c>
      <c r="B31" s="108" t="inlineStr">
        <is>
          <t>BKK02</t>
        </is>
      </c>
      <c r="C31" s="108" t="inlineStr">
        <is>
          <t>IFE</t>
        </is>
      </c>
      <c r="D31" s="172" t="inlineStr">
        <is>
          <t>2026-10-16</t>
        </is>
      </c>
      <c r="E31" s="173" t="inlineStr">
        <is>
          <t>0343</t>
        </is>
      </c>
      <c r="F31" s="96" t="inlineStr">
        <is>
          <t>HASLS22260902439</t>
        </is>
      </c>
      <c r="G31" s="96" t="inlineStr">
        <is>
          <t>CAPRICORN LOGISTICS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HASLS22260902439</t>
        </is>
      </c>
      <c r="N31" s="96" t="inlineStr">
        <is>
          <t xml:space="preserve">40Hx5 </t>
        </is>
      </c>
      <c r="O31" s="111" t="inlineStr">
        <is>
          <t>2025</t>
        </is>
      </c>
      <c r="P31" s="111" t="n"/>
      <c r="Q31" s="111" t="n"/>
      <c r="R31" s="96" t="inlineStr">
        <is>
          <t>SWAL</t>
        </is>
      </c>
      <c r="S31" s="96" t="inlineStr">
        <is>
          <t>2609N</t>
        </is>
      </c>
      <c r="T31" s="96" t="inlineStr">
        <is>
          <t>BKK02</t>
        </is>
      </c>
      <c r="U31" s="96" t="inlineStr">
        <is>
          <t>THBKK</t>
        </is>
      </c>
      <c r="V31" s="161" t="inlineStr">
        <is>
          <t>2026-10-22</t>
        </is>
      </c>
      <c r="W31" s="96" t="inlineStr">
        <is>
          <t>VNSGN</t>
        </is>
      </c>
      <c r="X31" s="161" t="inlineStr">
        <is>
          <t>2026-10-24</t>
        </is>
      </c>
      <c r="Y31" s="97" t="n"/>
      <c r="Z31" s="97" t="n"/>
      <c r="AA31" s="97" t="n"/>
      <c r="AB31" s="97" t="n"/>
      <c r="AC31" s="97" t="n"/>
      <c r="AD31" s="161" t="inlineStr">
        <is>
          <t>2026-10-16</t>
        </is>
      </c>
      <c r="AE31" s="174" t="inlineStr">
        <is>
          <t>0601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GIA NGUYEN INT'L LOGISTICS CO., LTD</t>
        </is>
      </c>
      <c r="AK31" s="130" t="n"/>
    </row>
    <row r="32" ht="12" customHeight="1">
      <c r="A32" s="108" t="inlineStr">
        <is>
          <t>HLHU8576658</t>
        </is>
      </c>
      <c r="B32" s="108" t="inlineStr">
        <is>
          <t>BKK02</t>
        </is>
      </c>
      <c r="C32" s="108" t="inlineStr">
        <is>
          <t>IFE</t>
        </is>
      </c>
      <c r="D32" s="172" t="inlineStr">
        <is>
          <t>2026-10-16</t>
        </is>
      </c>
      <c r="E32" s="173" t="inlineStr">
        <is>
          <t>0337</t>
        </is>
      </c>
      <c r="F32" s="96" t="inlineStr">
        <is>
          <t>HASLS22260900823</t>
        </is>
      </c>
      <c r="G32" s="96" t="inlineStr">
        <is>
          <t>YOUNGSUWAT TRADING CO.,LTD.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HASLS22260900823</t>
        </is>
      </c>
      <c r="N32" s="96" t="inlineStr">
        <is>
          <t xml:space="preserve">40Hx3 </t>
        </is>
      </c>
      <c r="O32" s="111" t="inlineStr">
        <is>
          <t>2025</t>
        </is>
      </c>
      <c r="P32" s="111" t="n"/>
      <c r="Q32" s="111" t="n"/>
      <c r="R32" s="96" t="inlineStr">
        <is>
          <t>SWAL</t>
        </is>
      </c>
      <c r="S32" s="96" t="inlineStr">
        <is>
          <t>2609N</t>
        </is>
      </c>
      <c r="T32" s="96" t="inlineStr">
        <is>
          <t>BKK02</t>
        </is>
      </c>
      <c r="U32" s="96" t="inlineStr">
        <is>
          <t>THBKK</t>
        </is>
      </c>
      <c r="V32" s="161" t="inlineStr">
        <is>
          <t>2026-10-22</t>
        </is>
      </c>
      <c r="W32" s="96" t="inlineStr">
        <is>
          <t>JPTOS</t>
        </is>
      </c>
      <c r="X32" s="161" t="inlineStr">
        <is>
          <t>2026-11-01</t>
        </is>
      </c>
      <c r="Y32" s="97" t="n"/>
      <c r="Z32" s="97" t="n"/>
      <c r="AA32" s="97" t="n"/>
      <c r="AB32" s="97" t="n"/>
      <c r="AC32" s="97" t="n"/>
      <c r="AD32" s="161" t="inlineStr">
        <is>
          <t>2026-10-16</t>
        </is>
      </c>
      <c r="AE32" s="174" t="inlineStr">
        <is>
          <t>0601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VOX TRADING CO., LTD.</t>
        </is>
      </c>
      <c r="AK32" s="130" t="n"/>
    </row>
    <row r="33" ht="12" customHeight="1">
      <c r="A33" s="108" t="inlineStr">
        <is>
          <t>HLHU8600630</t>
        </is>
      </c>
      <c r="B33" s="108" t="inlineStr">
        <is>
          <t>BKK02</t>
        </is>
      </c>
      <c r="C33" s="108" t="inlineStr">
        <is>
          <t>IFE</t>
        </is>
      </c>
      <c r="D33" s="172" t="inlineStr">
        <is>
          <t>2026-10-16</t>
        </is>
      </c>
      <c r="E33" s="173" t="inlineStr">
        <is>
          <t>0205</t>
        </is>
      </c>
      <c r="F33" s="96" t="inlineStr">
        <is>
          <t>HASLS22260900821</t>
        </is>
      </c>
      <c r="G33" s="96" t="inlineStr">
        <is>
          <t>YOUNGSUWAT TRADING CO.,LTD.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HASLS22260900821</t>
        </is>
      </c>
      <c r="N33" s="96" t="inlineStr">
        <is>
          <t xml:space="preserve">40Hx3 </t>
        </is>
      </c>
      <c r="O33" s="111" t="inlineStr">
        <is>
          <t>2025</t>
        </is>
      </c>
      <c r="P33" s="111" t="n"/>
      <c r="Q33" s="111" t="n"/>
      <c r="R33" s="96" t="inlineStr">
        <is>
          <t>SWAL</t>
        </is>
      </c>
      <c r="S33" s="96" t="inlineStr">
        <is>
          <t>2609N</t>
        </is>
      </c>
      <c r="T33" s="96" t="inlineStr">
        <is>
          <t>BKK02</t>
        </is>
      </c>
      <c r="U33" s="96" t="inlineStr">
        <is>
          <t>THBKK</t>
        </is>
      </c>
      <c r="V33" s="161" t="inlineStr">
        <is>
          <t>2026-10-22</t>
        </is>
      </c>
      <c r="W33" s="96" t="inlineStr">
        <is>
          <t>JPTKS</t>
        </is>
      </c>
      <c r="X33" s="161" t="inlineStr">
        <is>
          <t>2026-11-01</t>
        </is>
      </c>
      <c r="Y33" s="97" t="n"/>
      <c r="Z33" s="97" t="n"/>
      <c r="AA33" s="97" t="n"/>
      <c r="AB33" s="97" t="n"/>
      <c r="AC33" s="97" t="n"/>
      <c r="AD33" s="161" t="inlineStr">
        <is>
          <t>2026-10-16</t>
        </is>
      </c>
      <c r="AE33" s="174" t="inlineStr">
        <is>
          <t>0501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VOX TRADING CO., LTD.</t>
        </is>
      </c>
      <c r="AK33" s="130" t="n"/>
    </row>
    <row r="34" ht="12" customHeight="1">
      <c r="A34" s="108" t="inlineStr">
        <is>
          <t>SEGU9785737</t>
        </is>
      </c>
      <c r="B34" s="108" t="inlineStr">
        <is>
          <t>BKK02</t>
        </is>
      </c>
      <c r="C34" s="108" t="inlineStr">
        <is>
          <t>IFE</t>
        </is>
      </c>
      <c r="D34" s="172" t="inlineStr">
        <is>
          <t>2026-10-18</t>
        </is>
      </c>
      <c r="E34" s="173" t="inlineStr">
        <is>
          <t>1958</t>
        </is>
      </c>
      <c r="F34" s="96" t="inlineStr">
        <is>
          <t>HASLS22261000499</t>
        </is>
      </c>
      <c r="G34" s="96" t="inlineStr">
        <is>
          <t>LAND SEA SKY CO., LTD.</t>
        </is>
      </c>
      <c r="H34" s="111" t="inlineStr">
        <is>
          <t>45RE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HASLS22261000499</t>
        </is>
      </c>
      <c r="N34" s="96" t="inlineStr">
        <is>
          <t xml:space="preserve">R40Hx1 </t>
        </is>
      </c>
      <c r="O34" s="111" t="inlineStr">
        <is>
          <t>2019</t>
        </is>
      </c>
      <c r="P34" s="111" t="inlineStr">
        <is>
          <t>CARRIER</t>
        </is>
      </c>
      <c r="Q34" s="111" t="inlineStr">
        <is>
          <t>69NT40-561 Primeline (MGSS)</t>
        </is>
      </c>
      <c r="R34" s="96" t="inlineStr">
        <is>
          <t>SWAL</t>
        </is>
      </c>
      <c r="S34" s="96" t="inlineStr">
        <is>
          <t>2609N</t>
        </is>
      </c>
      <c r="T34" s="96" t="inlineStr">
        <is>
          <t>BKK02</t>
        </is>
      </c>
      <c r="U34" s="96" t="inlineStr">
        <is>
          <t>THBKK</t>
        </is>
      </c>
      <c r="V34" s="161" t="inlineStr">
        <is>
          <t>2026-10-22</t>
        </is>
      </c>
      <c r="W34" s="96" t="inlineStr">
        <is>
          <t>KRINC</t>
        </is>
      </c>
      <c r="X34" s="161" t="inlineStr">
        <is>
          <t>2026-10-30</t>
        </is>
      </c>
      <c r="Y34" s="97" t="n"/>
      <c r="Z34" s="97" t="n"/>
      <c r="AA34" s="97" t="n"/>
      <c r="AB34" s="97" t="n"/>
      <c r="AC34" s="97" t="n"/>
      <c r="AD34" s="161" t="inlineStr">
        <is>
          <t>2026-10-18</t>
        </is>
      </c>
      <c r="AE34" s="174" t="inlineStr">
        <is>
          <t>2201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SASE CO.,LTD.</t>
        </is>
      </c>
      <c r="AK34" s="130" t="n"/>
    </row>
    <row r="35" ht="12" customHeight="1">
      <c r="A35" s="108" t="inlineStr">
        <is>
          <t>SKHU6401283</t>
        </is>
      </c>
      <c r="B35" s="108" t="inlineStr">
        <is>
          <t>BKK02</t>
        </is>
      </c>
      <c r="C35" s="108" t="inlineStr">
        <is>
          <t>IFE</t>
        </is>
      </c>
      <c r="D35" s="172" t="inlineStr">
        <is>
          <t>2026-10-16</t>
        </is>
      </c>
      <c r="E35" s="173" t="inlineStr">
        <is>
          <t>0205</t>
        </is>
      </c>
      <c r="F35" s="96" t="inlineStr">
        <is>
          <t>HASLS22260902439</t>
        </is>
      </c>
      <c r="G35" s="96" t="inlineStr">
        <is>
          <t>CAPRICORN LOGISTICS CO., LTD.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HASLS22260902439</t>
        </is>
      </c>
      <c r="N35" s="96" t="inlineStr">
        <is>
          <t xml:space="preserve">40Hx5 </t>
        </is>
      </c>
      <c r="O35" s="111" t="inlineStr">
        <is>
          <t>2024</t>
        </is>
      </c>
      <c r="P35" s="111" t="n"/>
      <c r="Q35" s="111" t="n"/>
      <c r="R35" s="96" t="inlineStr">
        <is>
          <t>SWAL</t>
        </is>
      </c>
      <c r="S35" s="96" t="inlineStr">
        <is>
          <t>2609N</t>
        </is>
      </c>
      <c r="T35" s="96" t="inlineStr">
        <is>
          <t>BKK02</t>
        </is>
      </c>
      <c r="U35" s="96" t="inlineStr">
        <is>
          <t>THBKK</t>
        </is>
      </c>
      <c r="V35" s="161" t="inlineStr">
        <is>
          <t>2026-10-22</t>
        </is>
      </c>
      <c r="W35" s="96" t="inlineStr">
        <is>
          <t>VNSGN</t>
        </is>
      </c>
      <c r="X35" s="161" t="inlineStr">
        <is>
          <t>2026-10-24</t>
        </is>
      </c>
      <c r="Y35" s="97" t="n"/>
      <c r="Z35" s="97" t="n"/>
      <c r="AA35" s="97" t="n"/>
      <c r="AB35" s="97" t="n"/>
      <c r="AC35" s="97" t="n"/>
      <c r="AD35" s="161" t="inlineStr">
        <is>
          <t>2026-10-16</t>
        </is>
      </c>
      <c r="AE35" s="174" t="inlineStr">
        <is>
          <t>0501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GIA NGUYEN INT'L LOGISTICS CO., LTD</t>
        </is>
      </c>
      <c r="AK35" s="130" t="n"/>
    </row>
    <row r="36" ht="12" customHeight="1">
      <c r="A36" s="108" t="inlineStr">
        <is>
          <t>SKHU6455248</t>
        </is>
      </c>
      <c r="B36" s="108" t="inlineStr">
        <is>
          <t>BKK02</t>
        </is>
      </c>
      <c r="C36" s="108" t="inlineStr">
        <is>
          <t>IFE</t>
        </is>
      </c>
      <c r="D36" s="172" t="inlineStr">
        <is>
          <t>2026-10-12</t>
        </is>
      </c>
      <c r="E36" s="173" t="inlineStr">
        <is>
          <t>1639</t>
        </is>
      </c>
      <c r="F36" s="96" t="inlineStr">
        <is>
          <t>HASLS22260902622</t>
        </is>
      </c>
      <c r="G36" s="96" t="inlineStr">
        <is>
          <t>OCEAN AIR INTERNATIONAL CO., LTD.</t>
        </is>
      </c>
      <c r="H36" s="111" t="inlineStr">
        <is>
          <t>45GP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HASLS22260902622</t>
        </is>
      </c>
      <c r="N36" s="96" t="inlineStr">
        <is>
          <t xml:space="preserve">40Hx2 </t>
        </is>
      </c>
      <c r="O36" s="111" t="inlineStr">
        <is>
          <t>2024</t>
        </is>
      </c>
      <c r="P36" s="111" t="n"/>
      <c r="Q36" s="111" t="n"/>
      <c r="R36" s="96" t="inlineStr">
        <is>
          <t>SWBT</t>
        </is>
      </c>
      <c r="S36" s="96" t="inlineStr">
        <is>
          <t>2616N</t>
        </is>
      </c>
      <c r="T36" s="96" t="inlineStr">
        <is>
          <t>BKK02</t>
        </is>
      </c>
      <c r="U36" s="96" t="inlineStr">
        <is>
          <t>THBKK</t>
        </is>
      </c>
      <c r="V36" s="161" t="inlineStr">
        <is>
          <t>2026-10-22</t>
        </is>
      </c>
      <c r="W36" s="96" t="inlineStr">
        <is>
          <t>VNSGN</t>
        </is>
      </c>
      <c r="X36" s="161" t="inlineStr">
        <is>
          <t>2026-10-24</t>
        </is>
      </c>
      <c r="Y36" s="97" t="n"/>
      <c r="Z36" s="97" t="n"/>
      <c r="AA36" s="97" t="n"/>
      <c r="AB36" s="97" t="n"/>
      <c r="AC36" s="97" t="n"/>
      <c r="AD36" s="161" t="inlineStr">
        <is>
          <t>2026-10-12</t>
        </is>
      </c>
      <c r="AE36" s="174" t="inlineStr">
        <is>
          <t>1901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AO SHIPPING TRANSPORT CORPORATION</t>
        </is>
      </c>
      <c r="AK36" s="130" t="n"/>
    </row>
    <row r="37" ht="12" customHeight="1">
      <c r="A37" s="108" t="inlineStr">
        <is>
          <t>SKHU6506535</t>
        </is>
      </c>
      <c r="B37" s="108" t="inlineStr">
        <is>
          <t>BKK02</t>
        </is>
      </c>
      <c r="C37" s="108" t="inlineStr">
        <is>
          <t>IFE</t>
        </is>
      </c>
      <c r="D37" s="172" t="inlineStr">
        <is>
          <t>2026-10-16</t>
        </is>
      </c>
      <c r="E37" s="173" t="inlineStr">
        <is>
          <t>0328</t>
        </is>
      </c>
      <c r="F37" s="96" t="inlineStr">
        <is>
          <t>HASLS22260900821</t>
        </is>
      </c>
      <c r="G37" s="96" t="inlineStr">
        <is>
          <t>YOUNGSUWAT TRADING CO.,LTD.</t>
        </is>
      </c>
      <c r="H37" s="111" t="inlineStr">
        <is>
          <t>45GP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HASLS22260900821</t>
        </is>
      </c>
      <c r="N37" s="96" t="inlineStr">
        <is>
          <t xml:space="preserve">40Hx3 </t>
        </is>
      </c>
      <c r="O37" s="111" t="inlineStr">
        <is>
          <t>2025</t>
        </is>
      </c>
      <c r="P37" s="111" t="n"/>
      <c r="Q37" s="111" t="n"/>
      <c r="R37" s="96" t="inlineStr">
        <is>
          <t>SWAL</t>
        </is>
      </c>
      <c r="S37" s="96" t="inlineStr">
        <is>
          <t>2609N</t>
        </is>
      </c>
      <c r="T37" s="96" t="inlineStr">
        <is>
          <t>BKK02</t>
        </is>
      </c>
      <c r="U37" s="96" t="inlineStr">
        <is>
          <t>THBKK</t>
        </is>
      </c>
      <c r="V37" s="161" t="inlineStr">
        <is>
          <t>2026-10-22</t>
        </is>
      </c>
      <c r="W37" s="96" t="inlineStr">
        <is>
          <t>JPTKS</t>
        </is>
      </c>
      <c r="X37" s="161" t="inlineStr">
        <is>
          <t>2026-11-01</t>
        </is>
      </c>
      <c r="Y37" s="97" t="n"/>
      <c r="Z37" s="97" t="n"/>
      <c r="AA37" s="97" t="n"/>
      <c r="AB37" s="97" t="n"/>
      <c r="AC37" s="97" t="n"/>
      <c r="AD37" s="161" t="inlineStr">
        <is>
          <t>2026-10-16</t>
        </is>
      </c>
      <c r="AE37" s="174" t="inlineStr">
        <is>
          <t>0601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VOX TRADING CO., LTD.</t>
        </is>
      </c>
      <c r="AK37" s="130" t="n"/>
    </row>
    <row r="38" ht="12" customHeight="1">
      <c r="A38" s="108" t="inlineStr">
        <is>
          <t>SKHU6528560</t>
        </is>
      </c>
      <c r="B38" s="108" t="inlineStr">
        <is>
          <t>BKK02</t>
        </is>
      </c>
      <c r="C38" s="108" t="inlineStr">
        <is>
          <t>IFE</t>
        </is>
      </c>
      <c r="D38" s="172" t="inlineStr">
        <is>
          <t>2026-10-15</t>
        </is>
      </c>
      <c r="E38" s="173" t="inlineStr">
        <is>
          <t>0421</t>
        </is>
      </c>
      <c r="F38" s="96" t="inlineStr">
        <is>
          <t>HASLS22260902439</t>
        </is>
      </c>
      <c r="G38" s="96" t="inlineStr">
        <is>
          <t>CAPRICORN LOGISTICS CO., LTD.</t>
        </is>
      </c>
      <c r="H38" s="111" t="inlineStr">
        <is>
          <t>45GP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HASLS22260902439</t>
        </is>
      </c>
      <c r="N38" s="96" t="inlineStr">
        <is>
          <t xml:space="preserve">40Hx5 </t>
        </is>
      </c>
      <c r="O38" s="111" t="inlineStr">
        <is>
          <t>2025</t>
        </is>
      </c>
      <c r="P38" s="111" t="n"/>
      <c r="Q38" s="111" t="n"/>
      <c r="R38" s="96" t="inlineStr">
        <is>
          <t>SWAL</t>
        </is>
      </c>
      <c r="S38" s="96" t="inlineStr">
        <is>
          <t>2609N</t>
        </is>
      </c>
      <c r="T38" s="96" t="inlineStr">
        <is>
          <t>BKK02</t>
        </is>
      </c>
      <c r="U38" s="96" t="inlineStr">
        <is>
          <t>THBKK</t>
        </is>
      </c>
      <c r="V38" s="161" t="inlineStr">
        <is>
          <t>2026-10-22</t>
        </is>
      </c>
      <c r="W38" s="96" t="inlineStr">
        <is>
          <t>VNSGN</t>
        </is>
      </c>
      <c r="X38" s="161" t="inlineStr">
        <is>
          <t>2026-10-24</t>
        </is>
      </c>
      <c r="Y38" s="97" t="n"/>
      <c r="Z38" s="97" t="n"/>
      <c r="AA38" s="97" t="n"/>
      <c r="AB38" s="97" t="n"/>
      <c r="AC38" s="97" t="n"/>
      <c r="AD38" s="161" t="inlineStr">
        <is>
          <t>2026-10-15</t>
        </is>
      </c>
      <c r="AE38" s="174" t="inlineStr">
        <is>
          <t>0701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GIA NGUYEN INT'L LOGISTICS CO., LTD</t>
        </is>
      </c>
      <c r="AK38" s="130" t="n"/>
    </row>
    <row r="39" ht="12" customHeight="1">
      <c r="A39" s="108" t="inlineStr">
        <is>
          <t>SKHU6538548</t>
        </is>
      </c>
      <c r="B39" s="108" t="inlineStr">
        <is>
          <t>BKK02</t>
        </is>
      </c>
      <c r="C39" s="108" t="inlineStr">
        <is>
          <t>IFE</t>
        </is>
      </c>
      <c r="D39" s="172" t="inlineStr">
        <is>
          <t>2026-10-16</t>
        </is>
      </c>
      <c r="E39" s="173" t="inlineStr">
        <is>
          <t>0218</t>
        </is>
      </c>
      <c r="F39" s="96" t="inlineStr">
        <is>
          <t>HASLS22260900823</t>
        </is>
      </c>
      <c r="G39" s="96" t="inlineStr">
        <is>
          <t>YOUNGSUWAT TRADING CO.,LTD.</t>
        </is>
      </c>
      <c r="H39" s="111" t="inlineStr">
        <is>
          <t>45GP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HASLS22260900823</t>
        </is>
      </c>
      <c r="N39" s="96" t="inlineStr">
        <is>
          <t xml:space="preserve">40Hx3 </t>
        </is>
      </c>
      <c r="O39" s="111" t="inlineStr">
        <is>
          <t>2025</t>
        </is>
      </c>
      <c r="P39" s="111" t="n"/>
      <c r="Q39" s="111" t="n"/>
      <c r="R39" s="96" t="inlineStr">
        <is>
          <t>SWAL</t>
        </is>
      </c>
      <c r="S39" s="96" t="inlineStr">
        <is>
          <t>2609N</t>
        </is>
      </c>
      <c r="T39" s="96" t="inlineStr">
        <is>
          <t>BKK02</t>
        </is>
      </c>
      <c r="U39" s="96" t="inlineStr">
        <is>
          <t>THBKK</t>
        </is>
      </c>
      <c r="V39" s="161" t="inlineStr">
        <is>
          <t>2026-10-22</t>
        </is>
      </c>
      <c r="W39" s="96" t="inlineStr">
        <is>
          <t>JPTOS</t>
        </is>
      </c>
      <c r="X39" s="161" t="inlineStr">
        <is>
          <t>2026-11-01</t>
        </is>
      </c>
      <c r="Y39" s="97" t="n"/>
      <c r="Z39" s="97" t="n"/>
      <c r="AA39" s="97" t="n"/>
      <c r="AB39" s="97" t="n"/>
      <c r="AC39" s="97" t="n"/>
      <c r="AD39" s="161" t="inlineStr">
        <is>
          <t>2026-10-16</t>
        </is>
      </c>
      <c r="AE39" s="174" t="inlineStr">
        <is>
          <t>0501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VOX TRADING CO., LTD.</t>
        </is>
      </c>
      <c r="AK39" s="130" t="n"/>
    </row>
    <row r="40" ht="12" customHeight="1">
      <c r="A40" s="108" t="inlineStr">
        <is>
          <t>SKHU6540099</t>
        </is>
      </c>
      <c r="B40" s="108" t="inlineStr">
        <is>
          <t>BKK02</t>
        </is>
      </c>
      <c r="C40" s="108" t="inlineStr">
        <is>
          <t>IFE</t>
        </is>
      </c>
      <c r="D40" s="172" t="inlineStr">
        <is>
          <t>2026-10-12</t>
        </is>
      </c>
      <c r="E40" s="173" t="inlineStr">
        <is>
          <t>1353</t>
        </is>
      </c>
      <c r="F40" s="96" t="inlineStr">
        <is>
          <t>HASLS22261000265</t>
        </is>
      </c>
      <c r="G40" s="96" t="inlineStr">
        <is>
          <t>ALLIANZ GLOBAL LOGISTICS CO.,LTD.</t>
        </is>
      </c>
      <c r="H40" s="111" t="inlineStr">
        <is>
          <t>45GP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HASLS22261000265</t>
        </is>
      </c>
      <c r="N40" s="96" t="inlineStr">
        <is>
          <t xml:space="preserve">40Hx2 </t>
        </is>
      </c>
      <c r="O40" s="111" t="inlineStr">
        <is>
          <t>2025</t>
        </is>
      </c>
      <c r="P40" s="111" t="n"/>
      <c r="Q40" s="111" t="n"/>
      <c r="R40" s="96" t="inlineStr">
        <is>
          <t>SWBT</t>
        </is>
      </c>
      <c r="S40" s="96" t="inlineStr">
        <is>
          <t>2616N</t>
        </is>
      </c>
      <c r="T40" s="96" t="inlineStr">
        <is>
          <t>BKK02</t>
        </is>
      </c>
      <c r="U40" s="96" t="inlineStr">
        <is>
          <t>THBKK</t>
        </is>
      </c>
      <c r="V40" s="161" t="inlineStr">
        <is>
          <t>2026-10-22</t>
        </is>
      </c>
      <c r="W40" s="96" t="inlineStr">
        <is>
          <t>VNSGN</t>
        </is>
      </c>
      <c r="X40" s="161" t="inlineStr">
        <is>
          <t>2026-10-24</t>
        </is>
      </c>
      <c r="Y40" s="97" t="n"/>
      <c r="Z40" s="97" t="n"/>
      <c r="AA40" s="97" t="n"/>
      <c r="AB40" s="97" t="n"/>
      <c r="AC40" s="97" t="n"/>
      <c r="AD40" s="161" t="inlineStr">
        <is>
          <t>2026-10-12</t>
        </is>
      </c>
      <c r="AE40" s="174" t="inlineStr">
        <is>
          <t>1644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DOLPHIN SEA AIR SERVICES</t>
        </is>
      </c>
      <c r="AK40" s="130" t="n"/>
    </row>
    <row r="41" ht="12" customHeight="1">
      <c r="A41" s="108" t="inlineStr">
        <is>
          <t>SKHU6612671</t>
        </is>
      </c>
      <c r="B41" s="108" t="inlineStr">
        <is>
          <t>BKK02</t>
        </is>
      </c>
      <c r="C41" s="108" t="inlineStr">
        <is>
          <t>IFE</t>
        </is>
      </c>
      <c r="D41" s="172" t="inlineStr">
        <is>
          <t>2026-10-12</t>
        </is>
      </c>
      <c r="E41" s="173" t="inlineStr">
        <is>
          <t>1519</t>
        </is>
      </c>
      <c r="F41" s="96" t="inlineStr">
        <is>
          <t>HASLS22261000265</t>
        </is>
      </c>
      <c r="G41" s="96" t="inlineStr">
        <is>
          <t>ALLIANZ GLOBAL LOGISTICS CO.,LTD.</t>
        </is>
      </c>
      <c r="H41" s="111" t="inlineStr">
        <is>
          <t>45GP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HASLS22261000265</t>
        </is>
      </c>
      <c r="N41" s="96" t="inlineStr">
        <is>
          <t xml:space="preserve">40Hx2 </t>
        </is>
      </c>
      <c r="O41" s="111" t="inlineStr">
        <is>
          <t>2026</t>
        </is>
      </c>
      <c r="P41" s="111" t="n"/>
      <c r="Q41" s="111" t="n"/>
      <c r="R41" s="96" t="inlineStr">
        <is>
          <t>SWBT</t>
        </is>
      </c>
      <c r="S41" s="96" t="inlineStr">
        <is>
          <t>2616N</t>
        </is>
      </c>
      <c r="T41" s="96" t="inlineStr">
        <is>
          <t>BKK02</t>
        </is>
      </c>
      <c r="U41" s="96" t="inlineStr">
        <is>
          <t>THBKK</t>
        </is>
      </c>
      <c r="V41" s="161" t="inlineStr">
        <is>
          <t>2026-10-22</t>
        </is>
      </c>
      <c r="W41" s="96" t="inlineStr">
        <is>
          <t>VNSGN</t>
        </is>
      </c>
      <c r="X41" s="161" t="inlineStr">
        <is>
          <t>2026-10-24</t>
        </is>
      </c>
      <c r="Y41" s="97" t="n"/>
      <c r="Z41" s="97" t="n"/>
      <c r="AA41" s="97" t="n"/>
      <c r="AB41" s="97" t="n"/>
      <c r="AC41" s="97" t="n"/>
      <c r="AD41" s="161" t="inlineStr">
        <is>
          <t>2026-10-12</t>
        </is>
      </c>
      <c r="AE41" s="174" t="inlineStr">
        <is>
          <t>1821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DOLPHIN SEA AIR SERVICES</t>
        </is>
      </c>
      <c r="AK41" s="130" t="n"/>
    </row>
    <row r="42" ht="12" customHeight="1">
      <c r="A42" s="108" t="inlineStr">
        <is>
          <t>SKHU6613364</t>
        </is>
      </c>
      <c r="B42" s="108" t="inlineStr">
        <is>
          <t>BKK02</t>
        </is>
      </c>
      <c r="C42" s="108" t="inlineStr">
        <is>
          <t>IFE</t>
        </is>
      </c>
      <c r="D42" s="172" t="inlineStr">
        <is>
          <t>2026-10-16</t>
        </is>
      </c>
      <c r="E42" s="173" t="inlineStr">
        <is>
          <t>0244</t>
        </is>
      </c>
      <c r="F42" s="96" t="inlineStr">
        <is>
          <t>HASLS22260900823</t>
        </is>
      </c>
      <c r="G42" s="96" t="inlineStr">
        <is>
          <t>YOUNGSUWAT TRADING CO.,LTD.</t>
        </is>
      </c>
      <c r="H42" s="111" t="inlineStr">
        <is>
          <t>45GP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HASLS22260900823</t>
        </is>
      </c>
      <c r="N42" s="96" t="inlineStr">
        <is>
          <t xml:space="preserve">40Hx3 </t>
        </is>
      </c>
      <c r="O42" s="111" t="inlineStr">
        <is>
          <t>2026</t>
        </is>
      </c>
      <c r="P42" s="111" t="n"/>
      <c r="Q42" s="111" t="n"/>
      <c r="R42" s="96" t="inlineStr">
        <is>
          <t>SWAL</t>
        </is>
      </c>
      <c r="S42" s="96" t="inlineStr">
        <is>
          <t>2609N</t>
        </is>
      </c>
      <c r="T42" s="96" t="inlineStr">
        <is>
          <t>BKK02</t>
        </is>
      </c>
      <c r="U42" s="96" t="inlineStr">
        <is>
          <t>THBKK</t>
        </is>
      </c>
      <c r="V42" s="161" t="inlineStr">
        <is>
          <t>2026-10-22</t>
        </is>
      </c>
      <c r="W42" s="96" t="inlineStr">
        <is>
          <t>JPTOS</t>
        </is>
      </c>
      <c r="X42" s="161" t="inlineStr">
        <is>
          <t>2026-11-01</t>
        </is>
      </c>
      <c r="Y42" s="97" t="n"/>
      <c r="Z42" s="97" t="n"/>
      <c r="AA42" s="97" t="n"/>
      <c r="AB42" s="97" t="n"/>
      <c r="AC42" s="97" t="n"/>
      <c r="AD42" s="161" t="inlineStr">
        <is>
          <t>2026-10-16</t>
        </is>
      </c>
      <c r="AE42" s="174" t="inlineStr">
        <is>
          <t>0501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VOX TRADING CO., LTD.</t>
        </is>
      </c>
      <c r="AK42" s="130" t="n"/>
    </row>
    <row r="43" ht="12" customHeight="1">
      <c r="A43" s="108" t="inlineStr">
        <is>
          <t>SKHU8101198</t>
        </is>
      </c>
      <c r="B43" s="108" t="inlineStr">
        <is>
          <t>BKK02</t>
        </is>
      </c>
      <c r="C43" s="108" t="inlineStr">
        <is>
          <t>IFE</t>
        </is>
      </c>
      <c r="D43" s="172" t="inlineStr">
        <is>
          <t>2026-10-15</t>
        </is>
      </c>
      <c r="E43" s="173" t="inlineStr">
        <is>
          <t>0502</t>
        </is>
      </c>
      <c r="F43" s="96" t="inlineStr">
        <is>
          <t>HASLS22260902439</t>
        </is>
      </c>
      <c r="G43" s="96" t="inlineStr">
        <is>
          <t>CAPRICORN LOGISTICS CO., LTD.</t>
        </is>
      </c>
      <c r="H43" s="111" t="inlineStr">
        <is>
          <t>45GP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HASLS22260902439</t>
        </is>
      </c>
      <c r="N43" s="96" t="inlineStr">
        <is>
          <t xml:space="preserve">40Hx5 </t>
        </is>
      </c>
      <c r="O43" s="111" t="inlineStr">
        <is>
          <t>2011</t>
        </is>
      </c>
      <c r="P43" s="111" t="n"/>
      <c r="Q43" s="111" t="n"/>
      <c r="R43" s="96" t="inlineStr">
        <is>
          <t>SWAL</t>
        </is>
      </c>
      <c r="S43" s="96" t="inlineStr">
        <is>
          <t>2609N</t>
        </is>
      </c>
      <c r="T43" s="96" t="inlineStr">
        <is>
          <t>BKK02</t>
        </is>
      </c>
      <c r="U43" s="96" t="inlineStr">
        <is>
          <t>THBKK</t>
        </is>
      </c>
      <c r="V43" s="161" t="inlineStr">
        <is>
          <t>2026-10-22</t>
        </is>
      </c>
      <c r="W43" s="96" t="inlineStr">
        <is>
          <t>VNSGN</t>
        </is>
      </c>
      <c r="X43" s="161" t="inlineStr">
        <is>
          <t>2026-10-24</t>
        </is>
      </c>
      <c r="Y43" s="97" t="n"/>
      <c r="Z43" s="97" t="n"/>
      <c r="AA43" s="97" t="n"/>
      <c r="AB43" s="97" t="n"/>
      <c r="AC43" s="97" t="n"/>
      <c r="AD43" s="161" t="inlineStr">
        <is>
          <t>2026-10-15</t>
        </is>
      </c>
      <c r="AE43" s="174" t="inlineStr">
        <is>
          <t>0802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GIA NGUYEN INT'L LOGISTICS CO., LTD</t>
        </is>
      </c>
      <c r="AK43" s="130" t="n"/>
    </row>
    <row r="44" ht="12" customHeight="1">
      <c r="A44" s="108" t="inlineStr">
        <is>
          <t>SKHU8433612</t>
        </is>
      </c>
      <c r="B44" s="108" t="inlineStr">
        <is>
          <t>BKK02</t>
        </is>
      </c>
      <c r="C44" s="108" t="inlineStr">
        <is>
          <t>IFE</t>
        </is>
      </c>
      <c r="D44" s="172" t="inlineStr">
        <is>
          <t>2026-10-17</t>
        </is>
      </c>
      <c r="E44" s="173" t="inlineStr">
        <is>
          <t>1226</t>
        </is>
      </c>
      <c r="F44" s="96" t="inlineStr">
        <is>
          <t>HASLS22260902444</t>
        </is>
      </c>
      <c r="G44" s="96" t="inlineStr">
        <is>
          <t>CAPRICORN LOGISTICS CO., LTD.</t>
        </is>
      </c>
      <c r="H44" s="111" t="inlineStr">
        <is>
          <t>45GP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HASLS22260902444</t>
        </is>
      </c>
      <c r="N44" s="96" t="inlineStr">
        <is>
          <t xml:space="preserve">40Hx5 </t>
        </is>
      </c>
      <c r="O44" s="111" t="inlineStr">
        <is>
          <t>2024</t>
        </is>
      </c>
      <c r="P44" s="111" t="n"/>
      <c r="Q44" s="111" t="n"/>
      <c r="R44" s="96" t="inlineStr">
        <is>
          <t>SWAL</t>
        </is>
      </c>
      <c r="S44" s="96" t="inlineStr">
        <is>
          <t>2609N</t>
        </is>
      </c>
      <c r="T44" s="96" t="inlineStr">
        <is>
          <t>BKK02</t>
        </is>
      </c>
      <c r="U44" s="96" t="inlineStr">
        <is>
          <t>THBKK</t>
        </is>
      </c>
      <c r="V44" s="161" t="inlineStr">
        <is>
          <t>2026-10-22</t>
        </is>
      </c>
      <c r="W44" s="96" t="inlineStr">
        <is>
          <t>VNSGN</t>
        </is>
      </c>
      <c r="X44" s="161" t="inlineStr">
        <is>
          <t>2026-10-24</t>
        </is>
      </c>
      <c r="Y44" s="97" t="n"/>
      <c r="Z44" s="97" t="n"/>
      <c r="AA44" s="97" t="n"/>
      <c r="AB44" s="97" t="n"/>
      <c r="AC44" s="97" t="n"/>
      <c r="AD44" s="161" t="inlineStr">
        <is>
          <t>2026-10-17</t>
        </is>
      </c>
      <c r="AE44" s="174" t="inlineStr">
        <is>
          <t>1501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GIA NGUYEN INT'L LOGISTICS CO., LTD</t>
        </is>
      </c>
      <c r="AK44" s="130" t="n"/>
    </row>
    <row r="45" ht="12" customHeight="1">
      <c r="A45" s="108" t="inlineStr">
        <is>
          <t>SKHU9107863</t>
        </is>
      </c>
      <c r="B45" s="108" t="inlineStr">
        <is>
          <t>BKK02</t>
        </is>
      </c>
      <c r="C45" s="108" t="inlineStr">
        <is>
          <t>IFE</t>
        </is>
      </c>
      <c r="D45" s="172" t="inlineStr">
        <is>
          <t>2026-10-15</t>
        </is>
      </c>
      <c r="E45" s="173" t="inlineStr">
        <is>
          <t>2259</t>
        </is>
      </c>
      <c r="F45" s="96" t="inlineStr">
        <is>
          <t>HASLS22260902280</t>
        </is>
      </c>
      <c r="G45" s="96" t="inlineStr">
        <is>
          <t>DIGITAL TRANSPORT SYSTEM CO., LTD.</t>
        </is>
      </c>
      <c r="H45" s="111" t="inlineStr">
        <is>
          <t>45GP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HASLS22260902280</t>
        </is>
      </c>
      <c r="N45" s="96" t="inlineStr">
        <is>
          <t xml:space="preserve">40Hx1 </t>
        </is>
      </c>
      <c r="O45" s="111" t="inlineStr">
        <is>
          <t>2011</t>
        </is>
      </c>
      <c r="P45" s="111" t="n"/>
      <c r="Q45" s="111" t="n"/>
      <c r="R45" s="96" t="inlineStr">
        <is>
          <t>SWAL</t>
        </is>
      </c>
      <c r="S45" s="96" t="inlineStr">
        <is>
          <t>2609N</t>
        </is>
      </c>
      <c r="T45" s="96" t="inlineStr">
        <is>
          <t>BKK02</t>
        </is>
      </c>
      <c r="U45" s="96" t="inlineStr">
        <is>
          <t>THBKK</t>
        </is>
      </c>
      <c r="V45" s="161" t="inlineStr">
        <is>
          <t>2026-10-22</t>
        </is>
      </c>
      <c r="W45" s="96" t="inlineStr">
        <is>
          <t>VNSGN</t>
        </is>
      </c>
      <c r="X45" s="161" t="inlineStr">
        <is>
          <t>2026-10-24</t>
        </is>
      </c>
      <c r="Y45" s="97" t="n"/>
      <c r="Z45" s="97" t="n"/>
      <c r="AA45" s="97" t="n"/>
      <c r="AB45" s="97" t="n"/>
      <c r="AC45" s="97" t="n"/>
      <c r="AD45" s="161" t="inlineStr">
        <is>
          <t>2026-10-16</t>
        </is>
      </c>
      <c r="AE45" s="174" t="inlineStr">
        <is>
          <t>0102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ORIENT DRAGON FREIGHT CO., LTD</t>
        </is>
      </c>
      <c r="AK45" s="130" t="n"/>
    </row>
    <row r="46" ht="12" customHeight="1">
      <c r="A46" s="108" t="inlineStr">
        <is>
          <t>SKHU9110975</t>
        </is>
      </c>
      <c r="B46" s="108" t="inlineStr">
        <is>
          <t>BKK02</t>
        </is>
      </c>
      <c r="C46" s="108" t="inlineStr">
        <is>
          <t>IFE</t>
        </is>
      </c>
      <c r="D46" s="172" t="inlineStr">
        <is>
          <t>2026-10-17</t>
        </is>
      </c>
      <c r="E46" s="173" t="inlineStr">
        <is>
          <t>2112</t>
        </is>
      </c>
      <c r="F46" s="96" t="inlineStr">
        <is>
          <t>HASLS22260901080</t>
        </is>
      </c>
      <c r="G46" s="96" t="inlineStr">
        <is>
          <t>EAST-LINK CORPORATION CO., LTD.</t>
        </is>
      </c>
      <c r="H46" s="111" t="inlineStr">
        <is>
          <t>45GP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HASLS22260901080</t>
        </is>
      </c>
      <c r="N46" s="96" t="inlineStr">
        <is>
          <t xml:space="preserve">40Hx1 </t>
        </is>
      </c>
      <c r="O46" s="111" t="inlineStr">
        <is>
          <t>2011</t>
        </is>
      </c>
      <c r="P46" s="111" t="n"/>
      <c r="Q46" s="111" t="n"/>
      <c r="R46" s="96" t="inlineStr">
        <is>
          <t>SWAL</t>
        </is>
      </c>
      <c r="S46" s="96" t="inlineStr">
        <is>
          <t>2609N</t>
        </is>
      </c>
      <c r="T46" s="96" t="inlineStr">
        <is>
          <t>BKK02</t>
        </is>
      </c>
      <c r="U46" s="96" t="inlineStr">
        <is>
          <t>THBKK</t>
        </is>
      </c>
      <c r="V46" s="161" t="inlineStr">
        <is>
          <t>2026-10-22</t>
        </is>
      </c>
      <c r="W46" s="96" t="inlineStr">
        <is>
          <t>VNSGN</t>
        </is>
      </c>
      <c r="X46" s="161" t="inlineStr">
        <is>
          <t>2026-10-24</t>
        </is>
      </c>
      <c r="Y46" s="97" t="n"/>
      <c r="Z46" s="97" t="n"/>
      <c r="AA46" s="97" t="n"/>
      <c r="AB46" s="97" t="n"/>
      <c r="AC46" s="97" t="n"/>
      <c r="AD46" s="161" t="inlineStr">
        <is>
          <t>2026-10-18</t>
        </is>
      </c>
      <c r="AE46" s="174" t="inlineStr">
        <is>
          <t>0001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BEE LOGISTICS CORP - HANOI BRANCH</t>
        </is>
      </c>
      <c r="AK46" s="130" t="n"/>
    </row>
    <row r="47" ht="12" customHeight="1">
      <c r="A47" s="108" t="inlineStr">
        <is>
          <t>SKHU9540791</t>
        </is>
      </c>
      <c r="B47" s="108" t="inlineStr">
        <is>
          <t>BKK02</t>
        </is>
      </c>
      <c r="C47" s="108" t="inlineStr">
        <is>
          <t>IFE</t>
        </is>
      </c>
      <c r="D47" s="172" t="inlineStr">
        <is>
          <t>2026-10-15</t>
        </is>
      </c>
      <c r="E47" s="173" t="inlineStr">
        <is>
          <t>2254</t>
        </is>
      </c>
      <c r="F47" s="96" t="inlineStr">
        <is>
          <t>HASLS22260902444</t>
        </is>
      </c>
      <c r="G47" s="96" t="inlineStr">
        <is>
          <t>CAPRICORN LOGISTICS CO., LTD.</t>
        </is>
      </c>
      <c r="H47" s="111" t="inlineStr">
        <is>
          <t>45GP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HASLS22260902444</t>
        </is>
      </c>
      <c r="N47" s="96" t="inlineStr">
        <is>
          <t xml:space="preserve">40Hx5 </t>
        </is>
      </c>
      <c r="O47" s="111" t="inlineStr">
        <is>
          <t>2015</t>
        </is>
      </c>
      <c r="P47" s="111" t="n"/>
      <c r="Q47" s="111" t="n"/>
      <c r="R47" s="96" t="inlineStr">
        <is>
          <t>SWAL</t>
        </is>
      </c>
      <c r="S47" s="96" t="inlineStr">
        <is>
          <t>2609N</t>
        </is>
      </c>
      <c r="T47" s="96" t="inlineStr">
        <is>
          <t>BKK02</t>
        </is>
      </c>
      <c r="U47" s="96" t="inlineStr">
        <is>
          <t>THBKK</t>
        </is>
      </c>
      <c r="V47" s="161" t="inlineStr">
        <is>
          <t>2026-10-22</t>
        </is>
      </c>
      <c r="W47" s="96" t="inlineStr">
        <is>
          <t>VNSGN</t>
        </is>
      </c>
      <c r="X47" s="161" t="inlineStr">
        <is>
          <t>2026-10-24</t>
        </is>
      </c>
      <c r="Y47" s="97" t="n"/>
      <c r="Z47" s="97" t="n"/>
      <c r="AA47" s="97" t="n"/>
      <c r="AB47" s="97" t="n"/>
      <c r="AC47" s="97" t="n"/>
      <c r="AD47" s="161" t="inlineStr">
        <is>
          <t>2026-10-16</t>
        </is>
      </c>
      <c r="AE47" s="174" t="inlineStr">
        <is>
          <t>0102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GIA NGUYEN INT'L LOGISTICS CO., LTD</t>
        </is>
      </c>
      <c r="AK47" s="130" t="n"/>
    </row>
    <row r="48" ht="12" customHeight="1">
      <c r="A48" s="108" t="inlineStr">
        <is>
          <t>SKHU9622035</t>
        </is>
      </c>
      <c r="B48" s="108" t="inlineStr">
        <is>
          <t>BKK02</t>
        </is>
      </c>
      <c r="C48" s="108" t="inlineStr">
        <is>
          <t>IFE</t>
        </is>
      </c>
      <c r="D48" s="172" t="inlineStr">
        <is>
          <t>2026-10-17</t>
        </is>
      </c>
      <c r="E48" s="173" t="inlineStr">
        <is>
          <t>0237</t>
        </is>
      </c>
      <c r="F48" s="96" t="inlineStr">
        <is>
          <t>HASLS22260902444</t>
        </is>
      </c>
      <c r="G48" s="96" t="inlineStr">
        <is>
          <t>CAPRICORN LOGISTICS CO., LTD.</t>
        </is>
      </c>
      <c r="H48" s="111" t="inlineStr">
        <is>
          <t>45GP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HASLS22260902444</t>
        </is>
      </c>
      <c r="N48" s="96" t="inlineStr">
        <is>
          <t xml:space="preserve">40Hx5 </t>
        </is>
      </c>
      <c r="O48" s="111" t="inlineStr">
        <is>
          <t>2016</t>
        </is>
      </c>
      <c r="P48" s="111" t="n"/>
      <c r="Q48" s="111" t="n"/>
      <c r="R48" s="96" t="inlineStr">
        <is>
          <t>SWAL</t>
        </is>
      </c>
      <c r="S48" s="96" t="inlineStr">
        <is>
          <t>2609N</t>
        </is>
      </c>
      <c r="T48" s="96" t="inlineStr">
        <is>
          <t>BKK02</t>
        </is>
      </c>
      <c r="U48" s="96" t="inlineStr">
        <is>
          <t>THBKK</t>
        </is>
      </c>
      <c r="V48" s="161" t="inlineStr">
        <is>
          <t>2026-10-22</t>
        </is>
      </c>
      <c r="W48" s="96" t="inlineStr">
        <is>
          <t>VNSGN</t>
        </is>
      </c>
      <c r="X48" s="161" t="inlineStr">
        <is>
          <t>2026-10-24</t>
        </is>
      </c>
      <c r="Y48" s="97" t="n"/>
      <c r="Z48" s="97" t="n"/>
      <c r="AA48" s="97" t="n"/>
      <c r="AB48" s="97" t="n"/>
      <c r="AC48" s="97" t="n"/>
      <c r="AD48" s="161" t="inlineStr">
        <is>
          <t>2026-10-17</t>
        </is>
      </c>
      <c r="AE48" s="174" t="inlineStr">
        <is>
          <t>0502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GIA NGUYEN INT'L LOGISTICS CO., LTD</t>
        </is>
      </c>
      <c r="AK48" s="130" t="n"/>
    </row>
    <row r="49" ht="12" customHeight="1">
      <c r="A49" s="108" t="inlineStr">
        <is>
          <t>SKLU0409454</t>
        </is>
      </c>
      <c r="B49" s="108" t="inlineStr">
        <is>
          <t>BKK02</t>
        </is>
      </c>
      <c r="C49" s="108" t="inlineStr">
        <is>
          <t>IFE</t>
        </is>
      </c>
      <c r="D49" s="172" t="inlineStr">
        <is>
          <t>2026-10-15</t>
        </is>
      </c>
      <c r="E49" s="173" t="inlineStr">
        <is>
          <t>0244</t>
        </is>
      </c>
      <c r="F49" s="96" t="inlineStr">
        <is>
          <t>HASLS22260801961</t>
        </is>
      </c>
      <c r="G49" s="96" t="inlineStr">
        <is>
          <t>SCGJWD LOGISTICS PUBLIC COMPANY LIMITED</t>
        </is>
      </c>
      <c r="H49" s="111" t="inlineStr">
        <is>
          <t>22GP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HASLS22260801961</t>
        </is>
      </c>
      <c r="N49" s="96" t="inlineStr">
        <is>
          <t xml:space="preserve">20'x10 </t>
        </is>
      </c>
      <c r="O49" s="111" t="inlineStr">
        <is>
          <t>2004</t>
        </is>
      </c>
      <c r="P49" s="111" t="n"/>
      <c r="Q49" s="111" t="n"/>
      <c r="R49" s="96" t="inlineStr">
        <is>
          <t>SWAL</t>
        </is>
      </c>
      <c r="S49" s="96" t="inlineStr">
        <is>
          <t>2609N</t>
        </is>
      </c>
      <c r="T49" s="96" t="inlineStr">
        <is>
          <t>BKK02</t>
        </is>
      </c>
      <c r="U49" s="96" t="inlineStr">
        <is>
          <t>THBKK</t>
        </is>
      </c>
      <c r="V49" s="161" t="inlineStr">
        <is>
          <t>2026-10-22</t>
        </is>
      </c>
      <c r="W49" s="96" t="inlineStr">
        <is>
          <t>VNSGN</t>
        </is>
      </c>
      <c r="X49" s="161" t="inlineStr">
        <is>
          <t>2026-10-24</t>
        </is>
      </c>
      <c r="Y49" s="97" t="n"/>
      <c r="Z49" s="97" t="n"/>
      <c r="AA49" s="97" t="n"/>
      <c r="AB49" s="97" t="n"/>
      <c r="AC49" s="97" t="n"/>
      <c r="AD49" s="161" t="inlineStr">
        <is>
          <t>2026-10-15</t>
        </is>
      </c>
      <c r="AE49" s="174" t="inlineStr">
        <is>
          <t>0501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BUU LONG INDUSTRY AND INVESTMENT</t>
        </is>
      </c>
      <c r="AK49" s="130" t="n"/>
    </row>
    <row r="50" ht="12" customHeight="1">
      <c r="A50" s="108" t="inlineStr">
        <is>
          <t>SKLU0563412</t>
        </is>
      </c>
      <c r="B50" s="108" t="inlineStr">
        <is>
          <t>BKK02</t>
        </is>
      </c>
      <c r="C50" s="108" t="inlineStr">
        <is>
          <t>IFE</t>
        </is>
      </c>
      <c r="D50" s="172" t="inlineStr">
        <is>
          <t>2026-10-16</t>
        </is>
      </c>
      <c r="E50" s="173" t="inlineStr">
        <is>
          <t>1445</t>
        </is>
      </c>
      <c r="F50" s="96" t="inlineStr">
        <is>
          <t>HASLS22260902497</t>
        </is>
      </c>
      <c r="G50" s="96" t="inlineStr">
        <is>
          <t>PACIFIC STAR ALLIANCE CO., LTD.</t>
        </is>
      </c>
      <c r="H50" s="111" t="inlineStr">
        <is>
          <t>22GP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HASLS22260902497</t>
        </is>
      </c>
      <c r="N50" s="96" t="inlineStr">
        <is>
          <t xml:space="preserve">20'x1 </t>
        </is>
      </c>
      <c r="O50" s="111" t="inlineStr">
        <is>
          <t>2025</t>
        </is>
      </c>
      <c r="P50" s="111" t="n"/>
      <c r="Q50" s="111" t="n"/>
      <c r="R50" s="96" t="inlineStr">
        <is>
          <t>SWAL</t>
        </is>
      </c>
      <c r="S50" s="96" t="inlineStr">
        <is>
          <t>2609N</t>
        </is>
      </c>
      <c r="T50" s="96" t="inlineStr">
        <is>
          <t>BKK02</t>
        </is>
      </c>
      <c r="U50" s="96" t="inlineStr">
        <is>
          <t>THBKK</t>
        </is>
      </c>
      <c r="V50" s="161" t="inlineStr">
        <is>
          <t>2026-10-22</t>
        </is>
      </c>
      <c r="W50" s="96" t="inlineStr">
        <is>
          <t>VNSGN</t>
        </is>
      </c>
      <c r="X50" s="161" t="inlineStr">
        <is>
          <t>2026-10-24</t>
        </is>
      </c>
      <c r="Y50" s="97" t="n"/>
      <c r="Z50" s="97" t="n"/>
      <c r="AA50" s="97" t="n"/>
      <c r="AB50" s="97" t="n"/>
      <c r="AC50" s="97" t="n"/>
      <c r="AD50" s="161" t="inlineStr">
        <is>
          <t>2026-10-16</t>
        </is>
      </c>
      <c r="AE50" s="174" t="inlineStr">
        <is>
          <t>1701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SCT LOGISTICS JOINT STOCK COMPANY</t>
        </is>
      </c>
      <c r="AK50" s="130" t="n"/>
    </row>
    <row r="51" ht="12" customHeight="1">
      <c r="A51" s="108" t="inlineStr">
        <is>
          <t>SKLU1439598</t>
        </is>
      </c>
      <c r="B51" s="108" t="inlineStr">
        <is>
          <t>BKK02</t>
        </is>
      </c>
      <c r="C51" s="108" t="inlineStr">
        <is>
          <t>IFE</t>
        </is>
      </c>
      <c r="D51" s="172" t="inlineStr">
        <is>
          <t>2026-10-15</t>
        </is>
      </c>
      <c r="E51" s="173" t="inlineStr">
        <is>
          <t>0016</t>
        </is>
      </c>
      <c r="F51" s="96" t="inlineStr">
        <is>
          <t>HASLS22260801961</t>
        </is>
      </c>
      <c r="G51" s="96" t="inlineStr">
        <is>
          <t>SCGJWD LOGISTICS PUBLIC COMPANY LIMITED</t>
        </is>
      </c>
      <c r="H51" s="111" t="inlineStr">
        <is>
          <t>22GP</t>
        </is>
      </c>
      <c r="I51" s="96" t="inlineStr">
        <is>
          <t>EMAIL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HASLS22260801961</t>
        </is>
      </c>
      <c r="N51" s="96" t="inlineStr">
        <is>
          <t xml:space="preserve">20'x10 </t>
        </is>
      </c>
      <c r="O51" s="111" t="inlineStr">
        <is>
          <t>2014</t>
        </is>
      </c>
      <c r="P51" s="111" t="n"/>
      <c r="Q51" s="111" t="n"/>
      <c r="R51" s="96" t="inlineStr">
        <is>
          <t>SWAL</t>
        </is>
      </c>
      <c r="S51" s="96" t="inlineStr">
        <is>
          <t>2609N</t>
        </is>
      </c>
      <c r="T51" s="96" t="inlineStr">
        <is>
          <t>BKK02</t>
        </is>
      </c>
      <c r="U51" s="96" t="inlineStr">
        <is>
          <t>THBKK</t>
        </is>
      </c>
      <c r="V51" s="161" t="inlineStr">
        <is>
          <t>2026-10-22</t>
        </is>
      </c>
      <c r="W51" s="96" t="inlineStr">
        <is>
          <t>VNSGN</t>
        </is>
      </c>
      <c r="X51" s="161" t="inlineStr">
        <is>
          <t>2026-10-24</t>
        </is>
      </c>
      <c r="Y51" s="97" t="n"/>
      <c r="Z51" s="97" t="n"/>
      <c r="AA51" s="97" t="n"/>
      <c r="AB51" s="97" t="n"/>
      <c r="AC51" s="97" t="n"/>
      <c r="AD51" s="161" t="inlineStr">
        <is>
          <t>2026-10-15</t>
        </is>
      </c>
      <c r="AE51" s="174" t="inlineStr">
        <is>
          <t>0301</t>
        </is>
      </c>
      <c r="AF51" s="96" t="inlineStr">
        <is>
          <t>EDI2</t>
        </is>
      </c>
      <c r="AG51" s="97" t="n"/>
      <c r="AH51" s="97" t="n"/>
      <c r="AI51" s="97" t="n"/>
      <c r="AJ51" s="96" t="inlineStr">
        <is>
          <t>BUU LONG INDUSTRY AND INVESTMENT</t>
        </is>
      </c>
      <c r="AK51" s="130" t="n"/>
    </row>
    <row r="52" ht="12" customHeight="1">
      <c r="A52" s="108" t="inlineStr">
        <is>
          <t>SKLU1443387</t>
        </is>
      </c>
      <c r="B52" s="108" t="inlineStr">
        <is>
          <t>BKK02</t>
        </is>
      </c>
      <c r="C52" s="108" t="inlineStr">
        <is>
          <t>IFE</t>
        </is>
      </c>
      <c r="D52" s="172" t="inlineStr">
        <is>
          <t>2026-10-15</t>
        </is>
      </c>
      <c r="E52" s="173" t="inlineStr">
        <is>
          <t>0419</t>
        </is>
      </c>
      <c r="F52" s="96" t="inlineStr">
        <is>
          <t>HASLS22260801961</t>
        </is>
      </c>
      <c r="G52" s="96" t="inlineStr">
        <is>
          <t>SCGJWD LOGISTICS PUBLIC COMPANY LIMITED</t>
        </is>
      </c>
      <c r="H52" s="111" t="inlineStr">
        <is>
          <t>22GP</t>
        </is>
      </c>
      <c r="I52" s="96" t="inlineStr">
        <is>
          <t>EMAIL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HASLS22260801961</t>
        </is>
      </c>
      <c r="N52" s="96" t="inlineStr">
        <is>
          <t xml:space="preserve">20'x10 </t>
        </is>
      </c>
      <c r="O52" s="111" t="inlineStr">
        <is>
          <t>2014</t>
        </is>
      </c>
      <c r="P52" s="111" t="n"/>
      <c r="Q52" s="111" t="n"/>
      <c r="R52" s="96" t="inlineStr">
        <is>
          <t>SWAL</t>
        </is>
      </c>
      <c r="S52" s="96" t="inlineStr">
        <is>
          <t>2609N</t>
        </is>
      </c>
      <c r="T52" s="96" t="inlineStr">
        <is>
          <t>BKK02</t>
        </is>
      </c>
      <c r="U52" s="96" t="inlineStr">
        <is>
          <t>THBKK</t>
        </is>
      </c>
      <c r="V52" s="161" t="inlineStr">
        <is>
          <t>2026-10-22</t>
        </is>
      </c>
      <c r="W52" s="96" t="inlineStr">
        <is>
          <t>VNSGN</t>
        </is>
      </c>
      <c r="X52" s="161" t="inlineStr">
        <is>
          <t>2026-10-24</t>
        </is>
      </c>
      <c r="Y52" s="97" t="n"/>
      <c r="Z52" s="97" t="n"/>
      <c r="AA52" s="97" t="n"/>
      <c r="AB52" s="97" t="n"/>
      <c r="AC52" s="97" t="n"/>
      <c r="AD52" s="161" t="inlineStr">
        <is>
          <t>2026-10-15</t>
        </is>
      </c>
      <c r="AE52" s="174" t="inlineStr">
        <is>
          <t>0701</t>
        </is>
      </c>
      <c r="AF52" s="96" t="inlineStr">
        <is>
          <t>EDI2</t>
        </is>
      </c>
      <c r="AG52" s="97" t="n"/>
      <c r="AH52" s="97" t="n"/>
      <c r="AI52" s="97" t="n"/>
      <c r="AJ52" s="96" t="inlineStr">
        <is>
          <t>BUU LONG INDUSTRY AND INVESTMENT</t>
        </is>
      </c>
      <c r="AK52" s="130" t="n"/>
    </row>
    <row r="53" ht="12" customHeight="1">
      <c r="A53" s="108" t="inlineStr">
        <is>
          <t>SKLU1565359</t>
        </is>
      </c>
      <c r="B53" s="108" t="inlineStr">
        <is>
          <t>BKK02</t>
        </is>
      </c>
      <c r="C53" s="108" t="inlineStr">
        <is>
          <t>IFE</t>
        </is>
      </c>
      <c r="D53" s="172" t="inlineStr">
        <is>
          <t>2026-10-16</t>
        </is>
      </c>
      <c r="E53" s="173" t="inlineStr">
        <is>
          <t>1556</t>
        </is>
      </c>
      <c r="F53" s="96" t="inlineStr">
        <is>
          <t>HASLS22261000779</t>
        </is>
      </c>
      <c r="G53" s="96" t="inlineStr">
        <is>
          <t>TOSHIBA LOGISTICS (THAILAND) CO., LTD.</t>
        </is>
      </c>
      <c r="H53" s="111" t="inlineStr">
        <is>
          <t>22GP</t>
        </is>
      </c>
      <c r="I53" s="96" t="inlineStr">
        <is>
          <t>EMAIL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HASLS22261000779</t>
        </is>
      </c>
      <c r="N53" s="96" t="inlineStr">
        <is>
          <t xml:space="preserve">40Hx3 20'x1 </t>
        </is>
      </c>
      <c r="O53" s="111" t="inlineStr">
        <is>
          <t>2015</t>
        </is>
      </c>
      <c r="P53" s="111" t="n"/>
      <c r="Q53" s="111" t="n"/>
      <c r="R53" s="96" t="inlineStr">
        <is>
          <t>SWAL</t>
        </is>
      </c>
      <c r="S53" s="96" t="inlineStr">
        <is>
          <t>2609N</t>
        </is>
      </c>
      <c r="T53" s="96" t="inlineStr">
        <is>
          <t>BKK02</t>
        </is>
      </c>
      <c r="U53" s="96" t="inlineStr">
        <is>
          <t>THBKK</t>
        </is>
      </c>
      <c r="V53" s="161" t="inlineStr">
        <is>
          <t>2026-10-22</t>
        </is>
      </c>
      <c r="W53" s="96" t="inlineStr">
        <is>
          <t>VNSGN</t>
        </is>
      </c>
      <c r="X53" s="161" t="inlineStr">
        <is>
          <t>2026-10-24</t>
        </is>
      </c>
      <c r="Y53" s="97" t="n"/>
      <c r="Z53" s="97" t="n"/>
      <c r="AA53" s="97" t="n"/>
      <c r="AB53" s="97" t="n"/>
      <c r="AC53" s="97" t="n"/>
      <c r="AD53" s="161" t="inlineStr">
        <is>
          <t>2026-10-16</t>
        </is>
      </c>
      <c r="AE53" s="174" t="inlineStr">
        <is>
          <t>1802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TOSHIBA LOGISTICS VIETNAM CO.,LTD.</t>
        </is>
      </c>
      <c r="AK53" s="130" t="n"/>
    </row>
    <row r="54" ht="12" customHeight="1">
      <c r="A54" s="108" t="inlineStr">
        <is>
          <t>SKLU1570735</t>
        </is>
      </c>
      <c r="B54" s="108" t="inlineStr">
        <is>
          <t>BKK02</t>
        </is>
      </c>
      <c r="C54" s="108" t="inlineStr">
        <is>
          <t>IFE</t>
        </is>
      </c>
      <c r="D54" s="172" t="inlineStr">
        <is>
          <t>2026-10-15</t>
        </is>
      </c>
      <c r="E54" s="173" t="inlineStr">
        <is>
          <t>0036</t>
        </is>
      </c>
      <c r="F54" s="96" t="inlineStr">
        <is>
          <t>HASLS22260801961</t>
        </is>
      </c>
      <c r="G54" s="96" t="inlineStr">
        <is>
          <t>SCGJWD LOGISTICS PUBLIC COMPANY LIMITED</t>
        </is>
      </c>
      <c r="H54" s="111" t="inlineStr">
        <is>
          <t>22GP</t>
        </is>
      </c>
      <c r="I54" s="96" t="inlineStr">
        <is>
          <t>EMAIL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HASLS22260801961</t>
        </is>
      </c>
      <c r="N54" s="96" t="inlineStr">
        <is>
          <t xml:space="preserve">20'x10 </t>
        </is>
      </c>
      <c r="O54" s="111" t="inlineStr">
        <is>
          <t>2015</t>
        </is>
      </c>
      <c r="P54" s="111" t="n"/>
      <c r="Q54" s="111" t="n"/>
      <c r="R54" s="96" t="inlineStr">
        <is>
          <t>SWAL</t>
        </is>
      </c>
      <c r="S54" s="96" t="inlineStr">
        <is>
          <t>2609N</t>
        </is>
      </c>
      <c r="T54" s="96" t="inlineStr">
        <is>
          <t>BKK02</t>
        </is>
      </c>
      <c r="U54" s="96" t="inlineStr">
        <is>
          <t>THBKK</t>
        </is>
      </c>
      <c r="V54" s="161" t="inlineStr">
        <is>
          <t>2026-10-22</t>
        </is>
      </c>
      <c r="W54" s="96" t="inlineStr">
        <is>
          <t>VNSGN</t>
        </is>
      </c>
      <c r="X54" s="161" t="inlineStr">
        <is>
          <t>2026-10-24</t>
        </is>
      </c>
      <c r="Y54" s="97" t="n"/>
      <c r="Z54" s="97" t="n"/>
      <c r="AA54" s="97" t="n"/>
      <c r="AB54" s="97" t="n"/>
      <c r="AC54" s="97" t="n"/>
      <c r="AD54" s="161" t="inlineStr">
        <is>
          <t>2026-10-15</t>
        </is>
      </c>
      <c r="AE54" s="174" t="inlineStr">
        <is>
          <t>0301</t>
        </is>
      </c>
      <c r="AF54" s="96" t="inlineStr">
        <is>
          <t>EDI2</t>
        </is>
      </c>
      <c r="AG54" s="97" t="n"/>
      <c r="AH54" s="97" t="n"/>
      <c r="AI54" s="97" t="n"/>
      <c r="AJ54" s="96" t="inlineStr">
        <is>
          <t>BUU LONG INDUSTRY AND INVESTMENT</t>
        </is>
      </c>
      <c r="AK54" s="130" t="n"/>
    </row>
    <row r="55" ht="12" customHeight="1">
      <c r="A55" s="108" t="inlineStr">
        <is>
          <t>SKLU1650050</t>
        </is>
      </c>
      <c r="B55" s="108" t="inlineStr">
        <is>
          <t>BKK02</t>
        </is>
      </c>
      <c r="C55" s="108" t="inlineStr">
        <is>
          <t>IFE</t>
        </is>
      </c>
      <c r="D55" s="172" t="inlineStr">
        <is>
          <t>2026-10-15</t>
        </is>
      </c>
      <c r="E55" s="173" t="inlineStr">
        <is>
          <t>0953</t>
        </is>
      </c>
      <c r="F55" s="96" t="inlineStr">
        <is>
          <t>HASLS22260801961</t>
        </is>
      </c>
      <c r="G55" s="96" t="inlineStr">
        <is>
          <t>SCGJWD LOGISTICS PUBLIC COMPANY LIMITED</t>
        </is>
      </c>
      <c r="H55" s="111" t="inlineStr">
        <is>
          <t>22GP</t>
        </is>
      </c>
      <c r="I55" s="96" t="inlineStr">
        <is>
          <t>EMAIL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HASLS22260801961</t>
        </is>
      </c>
      <c r="N55" s="96" t="inlineStr">
        <is>
          <t xml:space="preserve">20'x10 </t>
        </is>
      </c>
      <c r="O55" s="111" t="inlineStr">
        <is>
          <t>2016</t>
        </is>
      </c>
      <c r="P55" s="111" t="n"/>
      <c r="Q55" s="111" t="n"/>
      <c r="R55" s="96" t="inlineStr">
        <is>
          <t>SWAL</t>
        </is>
      </c>
      <c r="S55" s="96" t="inlineStr">
        <is>
          <t>2609N</t>
        </is>
      </c>
      <c r="T55" s="96" t="inlineStr">
        <is>
          <t>BKK02</t>
        </is>
      </c>
      <c r="U55" s="96" t="inlineStr">
        <is>
          <t>THBKK</t>
        </is>
      </c>
      <c r="V55" s="161" t="inlineStr">
        <is>
          <t>2026-10-22</t>
        </is>
      </c>
      <c r="W55" s="96" t="inlineStr">
        <is>
          <t>VNSGN</t>
        </is>
      </c>
      <c r="X55" s="161" t="inlineStr">
        <is>
          <t>2026-10-24</t>
        </is>
      </c>
      <c r="Y55" s="97" t="n"/>
      <c r="Z55" s="97" t="n"/>
      <c r="AA55" s="97" t="n"/>
      <c r="AB55" s="97" t="n"/>
      <c r="AC55" s="97" t="n"/>
      <c r="AD55" s="161" t="inlineStr">
        <is>
          <t>2026-10-15</t>
        </is>
      </c>
      <c r="AE55" s="174" t="inlineStr">
        <is>
          <t>1203</t>
        </is>
      </c>
      <c r="AF55" s="96" t="inlineStr">
        <is>
          <t>EDI2</t>
        </is>
      </c>
      <c r="AG55" s="97" t="n"/>
      <c r="AH55" s="97" t="n"/>
      <c r="AI55" s="97" t="n"/>
      <c r="AJ55" s="96" t="inlineStr">
        <is>
          <t>BUU LONG INDUSTRY AND INVESTMENT</t>
        </is>
      </c>
      <c r="AK55" s="130" t="n"/>
    </row>
    <row r="56" ht="12" customHeight="1">
      <c r="A56" s="108" t="inlineStr">
        <is>
          <t>SKLU1667704</t>
        </is>
      </c>
      <c r="B56" s="108" t="inlineStr">
        <is>
          <t>BKK02</t>
        </is>
      </c>
      <c r="C56" s="108" t="inlineStr">
        <is>
          <t>IFE</t>
        </is>
      </c>
      <c r="D56" s="172" t="inlineStr">
        <is>
          <t>2026-10-10</t>
        </is>
      </c>
      <c r="E56" s="173" t="inlineStr">
        <is>
          <t>0421</t>
        </is>
      </c>
      <c r="F56" s="96" t="inlineStr">
        <is>
          <t>HASLS22260801065</t>
        </is>
      </c>
      <c r="G56" s="96" t="inlineStr">
        <is>
          <t>KORCHINA FREIGHT (THAILAND) CO., LTD.</t>
        </is>
      </c>
      <c r="H56" s="111" t="inlineStr">
        <is>
          <t>22GP</t>
        </is>
      </c>
      <c r="I56" s="96" t="inlineStr">
        <is>
          <t>EMAIL</t>
        </is>
      </c>
      <c r="J56" s="96" t="inlineStr">
        <is>
          <t>EDI2</t>
        </is>
      </c>
      <c r="K56" s="96" t="n"/>
      <c r="L56" s="111" t="inlineStr">
        <is>
          <t>Full</t>
        </is>
      </c>
      <c r="M56" s="96" t="inlineStr">
        <is>
          <t>HASLS22260801065</t>
        </is>
      </c>
      <c r="N56" s="96" t="inlineStr">
        <is>
          <t xml:space="preserve">20'x5 </t>
        </is>
      </c>
      <c r="O56" s="111" t="inlineStr">
        <is>
          <t>2016</t>
        </is>
      </c>
      <c r="P56" s="111" t="n"/>
      <c r="Q56" s="111" t="n"/>
      <c r="R56" s="96" t="inlineStr">
        <is>
          <t>SWBT</t>
        </is>
      </c>
      <c r="S56" s="96" t="inlineStr">
        <is>
          <t>2616N</t>
        </is>
      </c>
      <c r="T56" s="96" t="inlineStr">
        <is>
          <t>BKK02</t>
        </is>
      </c>
      <c r="U56" s="96" t="inlineStr">
        <is>
          <t>THBKK</t>
        </is>
      </c>
      <c r="V56" s="161" t="inlineStr">
        <is>
          <t>2026-10-22</t>
        </is>
      </c>
      <c r="W56" s="96" t="inlineStr">
        <is>
          <t>KRINC</t>
        </is>
      </c>
      <c r="X56" s="161" t="inlineStr">
        <is>
          <t>2026-10-30</t>
        </is>
      </c>
      <c r="Y56" s="97" t="n"/>
      <c r="Z56" s="97" t="n"/>
      <c r="AA56" s="97" t="n"/>
      <c r="AB56" s="97" t="n"/>
      <c r="AC56" s="97" t="n"/>
      <c r="AD56" s="161" t="inlineStr">
        <is>
          <t>2026-10-10</t>
        </is>
      </c>
      <c r="AE56" s="174" t="inlineStr">
        <is>
          <t>0703</t>
        </is>
      </c>
      <c r="AF56" s="96" t="inlineStr">
        <is>
          <t>EDI2</t>
        </is>
      </c>
      <c r="AG56" s="97" t="n"/>
      <c r="AH56" s="97" t="n"/>
      <c r="AI56" s="97" t="n"/>
      <c r="AJ56" s="96" t="inlineStr">
        <is>
          <t>PARKS WAY CO.,LTD.</t>
        </is>
      </c>
      <c r="AK56" s="130" t="n"/>
    </row>
    <row r="57" ht="12" customHeight="1">
      <c r="A57" s="108" t="inlineStr">
        <is>
          <t>SKLU1904956</t>
        </is>
      </c>
      <c r="B57" s="108" t="inlineStr">
        <is>
          <t>BKK02</t>
        </is>
      </c>
      <c r="C57" s="108" t="inlineStr">
        <is>
          <t>IFE</t>
        </is>
      </c>
      <c r="D57" s="172" t="inlineStr">
        <is>
          <t>2026-10-16</t>
        </is>
      </c>
      <c r="E57" s="173" t="inlineStr">
        <is>
          <t>2155</t>
        </is>
      </c>
      <c r="F57" s="96" t="inlineStr">
        <is>
          <t>HASLS22260902347</t>
        </is>
      </c>
      <c r="G57" s="96" t="inlineStr">
        <is>
          <t>DIMERCO EXPRESS (THAILAND) CO., LTD.</t>
        </is>
      </c>
      <c r="H57" s="111" t="inlineStr">
        <is>
          <t>22GP</t>
        </is>
      </c>
      <c r="I57" s="96" t="inlineStr">
        <is>
          <t>EMAIL</t>
        </is>
      </c>
      <c r="J57" s="96" t="inlineStr">
        <is>
          <t>EDI2</t>
        </is>
      </c>
      <c r="K57" s="96" t="n"/>
      <c r="L57" s="111" t="inlineStr">
        <is>
          <t>Full</t>
        </is>
      </c>
      <c r="M57" s="96" t="inlineStr">
        <is>
          <t>HASLS22260902347</t>
        </is>
      </c>
      <c r="N57" s="96" t="inlineStr">
        <is>
          <t xml:space="preserve">20'x1 </t>
        </is>
      </c>
      <c r="O57" s="111" t="inlineStr">
        <is>
          <t>2019</t>
        </is>
      </c>
      <c r="P57" s="111" t="n"/>
      <c r="Q57" s="111" t="n"/>
      <c r="R57" s="96" t="inlineStr">
        <is>
          <t>SWAL</t>
        </is>
      </c>
      <c r="S57" s="96" t="inlineStr">
        <is>
          <t>2609N</t>
        </is>
      </c>
      <c r="T57" s="96" t="inlineStr">
        <is>
          <t>BKK02</t>
        </is>
      </c>
      <c r="U57" s="96" t="inlineStr">
        <is>
          <t>THBKK</t>
        </is>
      </c>
      <c r="V57" s="161" t="inlineStr">
        <is>
          <t>2026-10-22</t>
        </is>
      </c>
      <c r="W57" s="96" t="inlineStr">
        <is>
          <t>VNSGN</t>
        </is>
      </c>
      <c r="X57" s="161" t="inlineStr">
        <is>
          <t>2026-10-24</t>
        </is>
      </c>
      <c r="Y57" s="97" t="n"/>
      <c r="Z57" s="97" t="n"/>
      <c r="AA57" s="97" t="n"/>
      <c r="AB57" s="97" t="n"/>
      <c r="AC57" s="97" t="n"/>
      <c r="AD57" s="161" t="inlineStr">
        <is>
          <t>2026-10-17</t>
        </is>
      </c>
      <c r="AE57" s="174" t="inlineStr">
        <is>
          <t>0001</t>
        </is>
      </c>
      <c r="AF57" s="96" t="inlineStr">
        <is>
          <t>EDI2</t>
        </is>
      </c>
      <c r="AG57" s="97" t="n"/>
      <c r="AH57" s="97" t="n"/>
      <c r="AI57" s="97" t="n"/>
      <c r="AJ57" s="96" t="inlineStr">
        <is>
          <t>DIMERCO EXPRESS (VIETNAM) CO., LTD</t>
        </is>
      </c>
      <c r="AK57" s="130" t="n"/>
    </row>
    <row r="58" ht="12" customHeight="1">
      <c r="A58" s="108" t="inlineStr">
        <is>
          <t>SKLU2018839</t>
        </is>
      </c>
      <c r="B58" s="108" t="inlineStr">
        <is>
          <t>BKK02</t>
        </is>
      </c>
      <c r="C58" s="108" t="inlineStr">
        <is>
          <t>IFE</t>
        </is>
      </c>
      <c r="D58" s="172" t="inlineStr">
        <is>
          <t>2026-10-18</t>
        </is>
      </c>
      <c r="E58" s="173" t="inlineStr">
        <is>
          <t>1429</t>
        </is>
      </c>
      <c r="F58" s="96" t="inlineStr">
        <is>
          <t>HASLS22260902611</t>
        </is>
      </c>
      <c r="G58" s="96" t="inlineStr">
        <is>
          <t>CELESTIAL XPRESS LOGISTICS (THAILAND) CO., LTD.</t>
        </is>
      </c>
      <c r="H58" s="111" t="inlineStr">
        <is>
          <t>22GP</t>
        </is>
      </c>
      <c r="I58" s="96" t="inlineStr">
        <is>
          <t>EMAIL</t>
        </is>
      </c>
      <c r="J58" s="96" t="inlineStr">
        <is>
          <t>EDI2</t>
        </is>
      </c>
      <c r="K58" s="96" t="n"/>
      <c r="L58" s="111" t="inlineStr">
        <is>
          <t>Full</t>
        </is>
      </c>
      <c r="M58" s="96" t="inlineStr">
        <is>
          <t>HASLS22260902611</t>
        </is>
      </c>
      <c r="N58" s="96" t="inlineStr">
        <is>
          <t xml:space="preserve">20'x1 </t>
        </is>
      </c>
      <c r="O58" s="111" t="inlineStr">
        <is>
          <t>2019</t>
        </is>
      </c>
      <c r="P58" s="111" t="n"/>
      <c r="Q58" s="111" t="n"/>
      <c r="R58" s="96" t="inlineStr">
        <is>
          <t>SWAL</t>
        </is>
      </c>
      <c r="S58" s="96" t="inlineStr">
        <is>
          <t>2609N</t>
        </is>
      </c>
      <c r="T58" s="96" t="inlineStr">
        <is>
          <t>BKK02</t>
        </is>
      </c>
      <c r="U58" s="96" t="inlineStr">
        <is>
          <t>THBKK</t>
        </is>
      </c>
      <c r="V58" s="161" t="inlineStr">
        <is>
          <t>2026-10-22</t>
        </is>
      </c>
      <c r="W58" s="96" t="inlineStr">
        <is>
          <t>KRINC</t>
        </is>
      </c>
      <c r="X58" s="161" t="inlineStr">
        <is>
          <t>2026-10-30</t>
        </is>
      </c>
      <c r="Y58" s="97" t="n"/>
      <c r="Z58" s="97" t="n"/>
      <c r="AA58" s="97" t="n"/>
      <c r="AB58" s="97" t="n"/>
      <c r="AC58" s="97" t="n"/>
      <c r="AD58" s="161" t="inlineStr">
        <is>
          <t>2026-10-18</t>
        </is>
      </c>
      <c r="AE58" s="174" t="inlineStr">
        <is>
          <t>1701</t>
        </is>
      </c>
      <c r="AF58" s="96" t="inlineStr">
        <is>
          <t>EDI2</t>
        </is>
      </c>
      <c r="AG58" s="97" t="n"/>
      <c r="AH58" s="97" t="n"/>
      <c r="AI58" s="97" t="n"/>
      <c r="AJ58" s="96" t="inlineStr">
        <is>
          <t>BEL SHIPPING CO., LTD.</t>
        </is>
      </c>
      <c r="AK58" s="130" t="n"/>
    </row>
    <row r="59" ht="12" customHeight="1">
      <c r="A59" s="108" t="inlineStr">
        <is>
          <t>SKLU2028396</t>
        </is>
      </c>
      <c r="B59" s="108" t="inlineStr">
        <is>
          <t>BKK02</t>
        </is>
      </c>
      <c r="C59" s="108" t="inlineStr">
        <is>
          <t>IFE</t>
        </is>
      </c>
      <c r="D59" s="172" t="inlineStr">
        <is>
          <t>2026-10-16</t>
        </is>
      </c>
      <c r="E59" s="173" t="inlineStr">
        <is>
          <t>1255</t>
        </is>
      </c>
      <c r="F59" s="96" t="inlineStr">
        <is>
          <t>HASLS22260902006</t>
        </is>
      </c>
      <c r="G59" s="96" t="inlineStr">
        <is>
          <t>PRIME LOGISTICS INTERNATIONAL CO., LTD.</t>
        </is>
      </c>
      <c r="H59" s="111" t="inlineStr">
        <is>
          <t>22GP</t>
        </is>
      </c>
      <c r="I59" s="96" t="inlineStr">
        <is>
          <t>EMAIL</t>
        </is>
      </c>
      <c r="J59" s="96" t="inlineStr">
        <is>
          <t>EDI2</t>
        </is>
      </c>
      <c r="K59" s="96" t="n"/>
      <c r="L59" s="111" t="inlineStr">
        <is>
          <t>Full</t>
        </is>
      </c>
      <c r="M59" s="96" t="inlineStr">
        <is>
          <t>HASLS22260902006</t>
        </is>
      </c>
      <c r="N59" s="96" t="inlineStr">
        <is>
          <t xml:space="preserve">20'x1 </t>
        </is>
      </c>
      <c r="O59" s="111" t="inlineStr">
        <is>
          <t>2019</t>
        </is>
      </c>
      <c r="P59" s="111" t="n"/>
      <c r="Q59" s="111" t="n"/>
      <c r="R59" s="96" t="inlineStr">
        <is>
          <t>SWAL</t>
        </is>
      </c>
      <c r="S59" s="96" t="inlineStr">
        <is>
          <t>2609N</t>
        </is>
      </c>
      <c r="T59" s="96" t="inlineStr">
        <is>
          <t>BKK02</t>
        </is>
      </c>
      <c r="U59" s="96" t="inlineStr">
        <is>
          <t>THBKK</t>
        </is>
      </c>
      <c r="V59" s="161" t="inlineStr">
        <is>
          <t>2026-10-22</t>
        </is>
      </c>
      <c r="W59" s="96" t="inlineStr">
        <is>
          <t>VNSGN</t>
        </is>
      </c>
      <c r="X59" s="161" t="inlineStr">
        <is>
          <t>2026-10-24</t>
        </is>
      </c>
      <c r="Y59" s="97" t="n"/>
      <c r="Z59" s="97" t="n"/>
      <c r="AA59" s="97" t="n"/>
      <c r="AB59" s="97" t="n"/>
      <c r="AC59" s="97" t="n"/>
      <c r="AD59" s="161" t="inlineStr">
        <is>
          <t>2026-10-16</t>
        </is>
      </c>
      <c r="AE59" s="174" t="inlineStr">
        <is>
          <t>1502</t>
        </is>
      </c>
      <c r="AF59" s="96" t="inlineStr">
        <is>
          <t>EDI2</t>
        </is>
      </c>
      <c r="AG59" s="97" t="n"/>
      <c r="AH59" s="97" t="n"/>
      <c r="AI59" s="97" t="n"/>
      <c r="AJ59" s="96" t="inlineStr">
        <is>
          <t>PATAYA  FOOD INDUSTRIES (VIETNAM)</t>
        </is>
      </c>
      <c r="AK59" s="130" t="n"/>
    </row>
    <row r="60" ht="12" customHeight="1">
      <c r="A60" s="108" t="inlineStr">
        <is>
          <t>SKLU2308592</t>
        </is>
      </c>
      <c r="B60" s="108" t="inlineStr">
        <is>
          <t>BKK02</t>
        </is>
      </c>
      <c r="C60" s="108" t="inlineStr">
        <is>
          <t>IFE</t>
        </is>
      </c>
      <c r="D60" s="172" t="inlineStr">
        <is>
          <t>2026-10-12</t>
        </is>
      </c>
      <c r="E60" s="173" t="inlineStr">
        <is>
          <t>1318</t>
        </is>
      </c>
      <c r="F60" s="96" t="inlineStr">
        <is>
          <t>HASLS22260902836</t>
        </is>
      </c>
      <c r="G60" s="96" t="inlineStr">
        <is>
          <t>TRUE MARINE CO., LTD.</t>
        </is>
      </c>
      <c r="H60" s="111" t="inlineStr">
        <is>
          <t>22GP</t>
        </is>
      </c>
      <c r="I60" s="96" t="inlineStr">
        <is>
          <t>EMAIL</t>
        </is>
      </c>
      <c r="J60" s="96" t="inlineStr">
        <is>
          <t>EDI2</t>
        </is>
      </c>
      <c r="K60" s="96" t="n"/>
      <c r="L60" s="111" t="inlineStr">
        <is>
          <t>Full</t>
        </is>
      </c>
      <c r="M60" s="96" t="inlineStr">
        <is>
          <t>HASLS22260902836</t>
        </is>
      </c>
      <c r="N60" s="96" t="inlineStr">
        <is>
          <t xml:space="preserve">20'x2 </t>
        </is>
      </c>
      <c r="O60" s="111" t="inlineStr">
        <is>
          <t>2023</t>
        </is>
      </c>
      <c r="P60" s="111" t="n"/>
      <c r="Q60" s="111" t="n"/>
      <c r="R60" s="96" t="inlineStr">
        <is>
          <t>SWBT</t>
        </is>
      </c>
      <c r="S60" s="96" t="inlineStr">
        <is>
          <t>2616N</t>
        </is>
      </c>
      <c r="T60" s="96" t="inlineStr">
        <is>
          <t>BKK02</t>
        </is>
      </c>
      <c r="U60" s="96" t="inlineStr">
        <is>
          <t>THBKK</t>
        </is>
      </c>
      <c r="V60" s="161" t="inlineStr">
        <is>
          <t>2026-10-22</t>
        </is>
      </c>
      <c r="W60" s="96" t="inlineStr">
        <is>
          <t>VNSGN</t>
        </is>
      </c>
      <c r="X60" s="161" t="inlineStr">
        <is>
          <t>2026-10-24</t>
        </is>
      </c>
      <c r="Y60" s="97" t="n"/>
      <c r="Z60" s="97" t="n"/>
      <c r="AA60" s="97" t="n"/>
      <c r="AB60" s="97" t="n"/>
      <c r="AC60" s="97" t="n"/>
      <c r="AD60" s="161" t="inlineStr">
        <is>
          <t>2026-10-12</t>
        </is>
      </c>
      <c r="AE60" s="174" t="inlineStr">
        <is>
          <t>1644</t>
        </is>
      </c>
      <c r="AF60" s="96" t="inlineStr">
        <is>
          <t>EDI2</t>
        </is>
      </c>
      <c r="AG60" s="97" t="n"/>
      <c r="AH60" s="97" t="n"/>
      <c r="AI60" s="97" t="n"/>
      <c r="AJ60" s="96" t="inlineStr">
        <is>
          <t>VRG DONGWHA MDF JOINT STOCK COMPANY</t>
        </is>
      </c>
      <c r="AK60" s="130" t="n"/>
    </row>
    <row r="61" ht="12" customHeight="1">
      <c r="A61" s="108" t="inlineStr">
        <is>
          <t>SKLU2349755</t>
        </is>
      </c>
      <c r="B61" s="108" t="inlineStr">
        <is>
          <t>BKK02</t>
        </is>
      </c>
      <c r="C61" s="108" t="inlineStr">
        <is>
          <t>IFE</t>
        </is>
      </c>
      <c r="D61" s="172" t="inlineStr">
        <is>
          <t>2026-10-10</t>
        </is>
      </c>
      <c r="E61" s="173" t="inlineStr">
        <is>
          <t>0955</t>
        </is>
      </c>
      <c r="F61" s="96" t="inlineStr">
        <is>
          <t>HASLS22260801065</t>
        </is>
      </c>
      <c r="G61" s="96" t="inlineStr">
        <is>
          <t>KORCHINA FREIGHT (THAILAND) CO., LTD.</t>
        </is>
      </c>
      <c r="H61" s="111" t="inlineStr">
        <is>
          <t>22GP</t>
        </is>
      </c>
      <c r="I61" s="96" t="inlineStr">
        <is>
          <t>EMAIL</t>
        </is>
      </c>
      <c r="J61" s="96" t="inlineStr">
        <is>
          <t>EDI2</t>
        </is>
      </c>
      <c r="K61" s="96" t="n"/>
      <c r="L61" s="111" t="inlineStr">
        <is>
          <t>Full</t>
        </is>
      </c>
      <c r="M61" s="96" t="inlineStr">
        <is>
          <t>HASLS22260801065</t>
        </is>
      </c>
      <c r="N61" s="96" t="inlineStr">
        <is>
          <t xml:space="preserve">20'x5 </t>
        </is>
      </c>
      <c r="O61" s="111" t="inlineStr">
        <is>
          <t>2023</t>
        </is>
      </c>
      <c r="P61" s="111" t="n"/>
      <c r="Q61" s="111" t="n"/>
      <c r="R61" s="96" t="inlineStr">
        <is>
          <t>SWBT</t>
        </is>
      </c>
      <c r="S61" s="96" t="inlineStr">
        <is>
          <t>2616N</t>
        </is>
      </c>
      <c r="T61" s="96" t="inlineStr">
        <is>
          <t>BKK02</t>
        </is>
      </c>
      <c r="U61" s="96" t="inlineStr">
        <is>
          <t>THBKK</t>
        </is>
      </c>
      <c r="V61" s="161" t="inlineStr">
        <is>
          <t>2026-10-22</t>
        </is>
      </c>
      <c r="W61" s="96" t="inlineStr">
        <is>
          <t>KRINC</t>
        </is>
      </c>
      <c r="X61" s="161" t="inlineStr">
        <is>
          <t>2026-10-30</t>
        </is>
      </c>
      <c r="Y61" s="97" t="n"/>
      <c r="Z61" s="97" t="n"/>
      <c r="AA61" s="97" t="n"/>
      <c r="AB61" s="97" t="n"/>
      <c r="AC61" s="97" t="n"/>
      <c r="AD61" s="161" t="inlineStr">
        <is>
          <t>2026-10-10</t>
        </is>
      </c>
      <c r="AE61" s="174" t="inlineStr">
        <is>
          <t>1201</t>
        </is>
      </c>
      <c r="AF61" s="96" t="inlineStr">
        <is>
          <t>EDI2</t>
        </is>
      </c>
      <c r="AG61" s="97" t="n"/>
      <c r="AH61" s="97" t="n"/>
      <c r="AI61" s="97" t="n"/>
      <c r="AJ61" s="96" t="inlineStr">
        <is>
          <t>PARKS WAY CO.,LTD.</t>
        </is>
      </c>
      <c r="AK61" s="130" t="n"/>
    </row>
    <row r="62" ht="12" customHeight="1">
      <c r="A62" s="108" t="inlineStr">
        <is>
          <t>SKLU2408164</t>
        </is>
      </c>
      <c r="B62" s="108" t="inlineStr">
        <is>
          <t>BKK02</t>
        </is>
      </c>
      <c r="C62" s="108" t="inlineStr">
        <is>
          <t>IFE</t>
        </is>
      </c>
      <c r="D62" s="172" t="inlineStr">
        <is>
          <t>2026-10-12</t>
        </is>
      </c>
      <c r="E62" s="173" t="inlineStr">
        <is>
          <t>2206</t>
        </is>
      </c>
      <c r="F62" s="96" t="inlineStr">
        <is>
          <t>HASLS22260900541</t>
        </is>
      </c>
      <c r="G62" s="96" t="inlineStr">
        <is>
          <t>MERCURIAL LOGISTICS  CO.,LTD</t>
        </is>
      </c>
      <c r="H62" s="111" t="inlineStr">
        <is>
          <t>22GP</t>
        </is>
      </c>
      <c r="I62" s="96" t="inlineStr">
        <is>
          <t>EMAIL</t>
        </is>
      </c>
      <c r="J62" s="96" t="inlineStr">
        <is>
          <t>EDI2</t>
        </is>
      </c>
      <c r="K62" s="96" t="n"/>
      <c r="L62" s="111" t="inlineStr">
        <is>
          <t>Full</t>
        </is>
      </c>
      <c r="M62" s="96" t="inlineStr">
        <is>
          <t>HASLS22260900541</t>
        </is>
      </c>
      <c r="N62" s="96" t="inlineStr">
        <is>
          <t xml:space="preserve">20'x2 </t>
        </is>
      </c>
      <c r="O62" s="111" t="inlineStr">
        <is>
          <t>2024</t>
        </is>
      </c>
      <c r="P62" s="111" t="n"/>
      <c r="Q62" s="111" t="n"/>
      <c r="R62" s="96" t="inlineStr">
        <is>
          <t>PGPO</t>
        </is>
      </c>
      <c r="S62" s="96" t="inlineStr">
        <is>
          <t>2612N</t>
        </is>
      </c>
      <c r="T62" s="96" t="inlineStr">
        <is>
          <t>BKK02</t>
        </is>
      </c>
      <c r="U62" s="96" t="inlineStr">
        <is>
          <t>THBKK</t>
        </is>
      </c>
      <c r="V62" s="161" t="inlineStr">
        <is>
          <t>2026-10-22</t>
        </is>
      </c>
      <c r="W62" s="96" t="inlineStr">
        <is>
          <t>VNSGN</t>
        </is>
      </c>
      <c r="X62" s="161" t="inlineStr">
        <is>
          <t>2026-10-24</t>
        </is>
      </c>
      <c r="Y62" s="97" t="n"/>
      <c r="Z62" s="97" t="n"/>
      <c r="AA62" s="97" t="n"/>
      <c r="AB62" s="97" t="n"/>
      <c r="AC62" s="97" t="n"/>
      <c r="AD62" s="161" t="inlineStr">
        <is>
          <t>2026-10-13</t>
        </is>
      </c>
      <c r="AE62" s="174" t="inlineStr">
        <is>
          <t>0102</t>
        </is>
      </c>
      <c r="AF62" s="96" t="inlineStr">
        <is>
          <t>EDI2</t>
        </is>
      </c>
      <c r="AG62" s="97" t="n"/>
      <c r="AH62" s="97" t="n"/>
      <c r="AI62" s="97" t="n"/>
      <c r="AJ62" s="96" t="inlineStr">
        <is>
          <t>YAKULT VIETNAM CO.,LTD.</t>
        </is>
      </c>
      <c r="AK62" s="130" t="n"/>
    </row>
    <row r="63" ht="12" customHeight="1">
      <c r="A63" s="108" t="inlineStr">
        <is>
          <t>SKLU2409710</t>
        </is>
      </c>
      <c r="B63" s="108" t="inlineStr">
        <is>
          <t>BKK02</t>
        </is>
      </c>
      <c r="C63" s="108" t="inlineStr">
        <is>
          <t>IFW</t>
        </is>
      </c>
      <c r="D63" s="172" t="inlineStr">
        <is>
          <t>2026-10-15</t>
        </is>
      </c>
      <c r="E63" s="173" t="inlineStr">
        <is>
          <t>1425</t>
        </is>
      </c>
      <c r="F63" s="96" t="inlineStr">
        <is>
          <t>HASLS22260901654</t>
        </is>
      </c>
      <c r="G63" s="96" t="inlineStr">
        <is>
          <t>EXPEDITORS (THAILAND) LTD.</t>
        </is>
      </c>
      <c r="H63" s="111" t="inlineStr">
        <is>
          <t>22GP</t>
        </is>
      </c>
      <c r="I63" s="96" t="inlineStr">
        <is>
          <t>EMAIL</t>
        </is>
      </c>
      <c r="J63" s="96" t="inlineStr">
        <is>
          <t>EDI2</t>
        </is>
      </c>
      <c r="K63" s="96" t="n"/>
      <c r="L63" s="111" t="inlineStr">
        <is>
          <t>Full</t>
        </is>
      </c>
      <c r="M63" s="96" t="inlineStr">
        <is>
          <t>HASLS22260901654</t>
        </is>
      </c>
      <c r="N63" s="96" t="inlineStr">
        <is>
          <t xml:space="preserve">20'x4 </t>
        </is>
      </c>
      <c r="O63" s="111" t="inlineStr">
        <is>
          <t>2024</t>
        </is>
      </c>
      <c r="P63" s="111" t="n"/>
      <c r="Q63" s="111" t="n"/>
      <c r="R63" s="96" t="n"/>
      <c r="S63" s="96" t="n"/>
      <c r="T63" s="96" t="inlineStr">
        <is>
          <t>BKK02</t>
        </is>
      </c>
      <c r="U63" s="96" t="inlineStr">
        <is>
          <t>THBKK</t>
        </is>
      </c>
      <c r="V63" s="161" t="inlineStr">
        <is>
          <t>2026-10-22</t>
        </is>
      </c>
      <c r="W63" s="96" t="inlineStr">
        <is>
          <t>VNSGN</t>
        </is>
      </c>
      <c r="X63" s="161" t="inlineStr">
        <is>
          <t>2026-10-24</t>
        </is>
      </c>
      <c r="Y63" s="97" t="n"/>
      <c r="Z63" s="97" t="n"/>
      <c r="AA63" s="97" t="n"/>
      <c r="AB63" s="97" t="n"/>
      <c r="AC63" s="97" t="n"/>
      <c r="AD63" s="161" t="inlineStr">
        <is>
          <t>2026-10-15</t>
        </is>
      </c>
      <c r="AE63" s="174" t="inlineStr">
        <is>
          <t>1701</t>
        </is>
      </c>
      <c r="AF63" s="96" t="inlineStr">
        <is>
          <t>EDI2</t>
        </is>
      </c>
      <c r="AG63" s="97" t="n"/>
      <c r="AH63" s="97" t="n"/>
      <c r="AI63" s="97" t="n"/>
      <c r="AJ63" s="96" t="inlineStr">
        <is>
          <t>EXPEDITORS VIETNAM COMPANY LIMITED</t>
        </is>
      </c>
      <c r="AK63" s="130" t="n"/>
    </row>
    <row r="64" ht="12" customHeight="1">
      <c r="A64" s="108" t="inlineStr">
        <is>
          <t>SKLU2488642</t>
        </is>
      </c>
      <c r="B64" s="108" t="inlineStr">
        <is>
          <t>BKK02</t>
        </is>
      </c>
      <c r="C64" s="108" t="inlineStr">
        <is>
          <t>IFW</t>
        </is>
      </c>
      <c r="D64" s="172" t="inlineStr">
        <is>
          <t>2026-10-16</t>
        </is>
      </c>
      <c r="E64" s="173" t="inlineStr">
        <is>
          <t>1545</t>
        </is>
      </c>
      <c r="F64" s="96" t="inlineStr">
        <is>
          <t>HASLS22261001072</t>
        </is>
      </c>
      <c r="G64" s="96" t="inlineStr">
        <is>
          <t>MAC-NELS SHIPPING (THAILAND) LTD.</t>
        </is>
      </c>
      <c r="H64" s="111" t="inlineStr">
        <is>
          <t>22GP</t>
        </is>
      </c>
      <c r="I64" s="96" t="inlineStr">
        <is>
          <t>EMAIL</t>
        </is>
      </c>
      <c r="J64" s="96" t="inlineStr">
        <is>
          <t>EDI2</t>
        </is>
      </c>
      <c r="K64" s="96" t="n"/>
      <c r="L64" s="111" t="inlineStr">
        <is>
          <t>Full</t>
        </is>
      </c>
      <c r="M64" s="96" t="inlineStr">
        <is>
          <t>HASLS22261001072</t>
        </is>
      </c>
      <c r="N64" s="96" t="inlineStr">
        <is>
          <t xml:space="preserve">20'x1 </t>
        </is>
      </c>
      <c r="O64" s="111" t="inlineStr">
        <is>
          <t>2024</t>
        </is>
      </c>
      <c r="P64" s="111" t="n"/>
      <c r="Q64" s="111" t="n"/>
      <c r="R64" s="96" t="n"/>
      <c r="S64" s="96" t="n"/>
      <c r="T64" s="96" t="inlineStr">
        <is>
          <t>BKK02</t>
        </is>
      </c>
      <c r="U64" s="96" t="inlineStr">
        <is>
          <t>THBKK</t>
        </is>
      </c>
      <c r="V64" s="161" t="inlineStr">
        <is>
          <t>2026-10-22</t>
        </is>
      </c>
      <c r="W64" s="96" t="inlineStr">
        <is>
          <t>KRINC</t>
        </is>
      </c>
      <c r="X64" s="161" t="inlineStr">
        <is>
          <t>2026-10-30</t>
        </is>
      </c>
      <c r="Y64" s="97" t="n"/>
      <c r="Z64" s="97" t="n"/>
      <c r="AA64" s="97" t="n"/>
      <c r="AB64" s="97" t="n"/>
      <c r="AC64" s="97" t="n"/>
      <c r="AD64" s="161" t="inlineStr">
        <is>
          <t>2026-10-16</t>
        </is>
      </c>
      <c r="AE64" s="174" t="inlineStr">
        <is>
          <t>1802</t>
        </is>
      </c>
      <c r="AF64" s="96" t="inlineStr">
        <is>
          <t>EDI2</t>
        </is>
      </c>
      <c r="AG64" s="97" t="n"/>
      <c r="AH64" s="97" t="n"/>
      <c r="AI64" s="97" t="n"/>
      <c r="AJ64" s="96" t="inlineStr">
        <is>
          <t>MNCL LINE CO.,LTD (BUSAN OFFICE)</t>
        </is>
      </c>
      <c r="AK64" s="130" t="n"/>
    </row>
    <row r="65" ht="12" customHeight="1">
      <c r="A65" s="108" t="inlineStr">
        <is>
          <t>SKLU3504199</t>
        </is>
      </c>
      <c r="B65" s="108" t="inlineStr">
        <is>
          <t>BKK02</t>
        </is>
      </c>
      <c r="C65" s="108" t="inlineStr">
        <is>
          <t>IFE</t>
        </is>
      </c>
      <c r="D65" s="172" t="inlineStr">
        <is>
          <t>2026-10-15</t>
        </is>
      </c>
      <c r="E65" s="173" t="inlineStr">
        <is>
          <t>0519</t>
        </is>
      </c>
      <c r="F65" s="96" t="inlineStr">
        <is>
          <t>HASLS22260801961</t>
        </is>
      </c>
      <c r="G65" s="96" t="inlineStr">
        <is>
          <t>SCGJWD LOGISTICS PUBLIC COMPANY LIMITED</t>
        </is>
      </c>
      <c r="H65" s="111" t="inlineStr">
        <is>
          <t>22GP</t>
        </is>
      </c>
      <c r="I65" s="96" t="inlineStr">
        <is>
          <t>EMAIL</t>
        </is>
      </c>
      <c r="J65" s="96" t="inlineStr">
        <is>
          <t>EDI2</t>
        </is>
      </c>
      <c r="K65" s="96" t="n"/>
      <c r="L65" s="111" t="inlineStr">
        <is>
          <t>Full</t>
        </is>
      </c>
      <c r="M65" s="96" t="inlineStr">
        <is>
          <t>HASLS22260801961</t>
        </is>
      </c>
      <c r="N65" s="96" t="inlineStr">
        <is>
          <t xml:space="preserve">20'x10 </t>
        </is>
      </c>
      <c r="O65" s="111" t="inlineStr">
        <is>
          <t>2015</t>
        </is>
      </c>
      <c r="P65" s="111" t="n"/>
      <c r="Q65" s="111" t="n"/>
      <c r="R65" s="96" t="inlineStr">
        <is>
          <t>SWAL</t>
        </is>
      </c>
      <c r="S65" s="96" t="inlineStr">
        <is>
          <t>2609N</t>
        </is>
      </c>
      <c r="T65" s="96" t="inlineStr">
        <is>
          <t>BKK02</t>
        </is>
      </c>
      <c r="U65" s="96" t="inlineStr">
        <is>
          <t>THBKK</t>
        </is>
      </c>
      <c r="V65" s="161" t="inlineStr">
        <is>
          <t>2026-10-22</t>
        </is>
      </c>
      <c r="W65" s="96" t="inlineStr">
        <is>
          <t>VNSGN</t>
        </is>
      </c>
      <c r="X65" s="161" t="inlineStr">
        <is>
          <t>2026-10-24</t>
        </is>
      </c>
      <c r="Y65" s="97" t="n"/>
      <c r="Z65" s="97" t="n"/>
      <c r="AA65" s="97" t="n"/>
      <c r="AB65" s="97" t="n"/>
      <c r="AC65" s="97" t="n"/>
      <c r="AD65" s="161" t="inlineStr">
        <is>
          <t>2026-10-15</t>
        </is>
      </c>
      <c r="AE65" s="174" t="inlineStr">
        <is>
          <t>0802</t>
        </is>
      </c>
      <c r="AF65" s="96" t="inlineStr">
        <is>
          <t>EDI2</t>
        </is>
      </c>
      <c r="AG65" s="97" t="n"/>
      <c r="AH65" s="97" t="n"/>
      <c r="AI65" s="97" t="n"/>
      <c r="AJ65" s="96" t="inlineStr">
        <is>
          <t>BUU LONG INDUSTRY AND INVESTMENT</t>
        </is>
      </c>
      <c r="AK65" s="130" t="n"/>
    </row>
    <row r="66" ht="12" customHeight="1">
      <c r="A66" s="108" t="inlineStr">
        <is>
          <t>SKLU3516190</t>
        </is>
      </c>
      <c r="B66" s="108" t="inlineStr">
        <is>
          <t>BKK02</t>
        </is>
      </c>
      <c r="C66" s="108" t="inlineStr">
        <is>
          <t>IFE</t>
        </is>
      </c>
      <c r="D66" s="172" t="inlineStr">
        <is>
          <t>2026-10-10</t>
        </is>
      </c>
      <c r="E66" s="173" t="inlineStr">
        <is>
          <t>0934</t>
        </is>
      </c>
      <c r="F66" s="96" t="inlineStr">
        <is>
          <t>HASLS22260801065</t>
        </is>
      </c>
      <c r="G66" s="96" t="inlineStr">
        <is>
          <t>KORCHINA FREIGHT (THAILAND) CO., LTD.</t>
        </is>
      </c>
      <c r="H66" s="111" t="inlineStr">
        <is>
          <t>22GP</t>
        </is>
      </c>
      <c r="I66" s="96" t="inlineStr">
        <is>
          <t>EMAIL</t>
        </is>
      </c>
      <c r="J66" s="96" t="inlineStr">
        <is>
          <t>EDI2</t>
        </is>
      </c>
      <c r="K66" s="96" t="n"/>
      <c r="L66" s="111" t="inlineStr">
        <is>
          <t>Full</t>
        </is>
      </c>
      <c r="M66" s="96" t="inlineStr">
        <is>
          <t>HASLS22260801065</t>
        </is>
      </c>
      <c r="N66" s="96" t="inlineStr">
        <is>
          <t xml:space="preserve">20'x5 </t>
        </is>
      </c>
      <c r="O66" s="111" t="inlineStr">
        <is>
          <t>2015</t>
        </is>
      </c>
      <c r="P66" s="111" t="n"/>
      <c r="Q66" s="111" t="n"/>
      <c r="R66" s="96" t="inlineStr">
        <is>
          <t>SWBT</t>
        </is>
      </c>
      <c r="S66" s="96" t="inlineStr">
        <is>
          <t>2616N</t>
        </is>
      </c>
      <c r="T66" s="96" t="inlineStr">
        <is>
          <t>BKK02</t>
        </is>
      </c>
      <c r="U66" s="96" t="inlineStr">
        <is>
          <t>THBKK</t>
        </is>
      </c>
      <c r="V66" s="161" t="inlineStr">
        <is>
          <t>2026-10-22</t>
        </is>
      </c>
      <c r="W66" s="96" t="inlineStr">
        <is>
          <t>KRINC</t>
        </is>
      </c>
      <c r="X66" s="161" t="inlineStr">
        <is>
          <t>2026-10-30</t>
        </is>
      </c>
      <c r="Y66" s="97" t="n"/>
      <c r="Z66" s="97" t="n"/>
      <c r="AA66" s="97" t="n"/>
      <c r="AB66" s="97" t="n"/>
      <c r="AC66" s="97" t="n"/>
      <c r="AD66" s="161" t="inlineStr">
        <is>
          <t>2026-10-10</t>
        </is>
      </c>
      <c r="AE66" s="174" t="inlineStr">
        <is>
          <t>1201</t>
        </is>
      </c>
      <c r="AF66" s="96" t="inlineStr">
        <is>
          <t>EDI2</t>
        </is>
      </c>
      <c r="AG66" s="97" t="n"/>
      <c r="AH66" s="97" t="n"/>
      <c r="AI66" s="97" t="n"/>
      <c r="AJ66" s="96" t="inlineStr">
        <is>
          <t>PARKS WAY CO.,LTD.</t>
        </is>
      </c>
      <c r="AK66" s="130" t="n"/>
    </row>
    <row r="67" ht="12" customHeight="1">
      <c r="A67" s="108" t="inlineStr">
        <is>
          <t>TCLU3315925</t>
        </is>
      </c>
      <c r="B67" s="108" t="inlineStr">
        <is>
          <t>BKK02</t>
        </is>
      </c>
      <c r="C67" s="108" t="inlineStr">
        <is>
          <t>IFE</t>
        </is>
      </c>
      <c r="D67" s="172" t="inlineStr">
        <is>
          <t>2026-10-15</t>
        </is>
      </c>
      <c r="E67" s="173" t="inlineStr">
        <is>
          <t>0539</t>
        </is>
      </c>
      <c r="F67" s="96" t="inlineStr">
        <is>
          <t>HASLS22260801961</t>
        </is>
      </c>
      <c r="G67" s="96" t="inlineStr">
        <is>
          <t>SCGJWD LOGISTICS PUBLIC COMPANY LIMITED</t>
        </is>
      </c>
      <c r="H67" s="111" t="inlineStr">
        <is>
          <t>22GP</t>
        </is>
      </c>
      <c r="I67" s="96" t="inlineStr">
        <is>
          <t>EMAIL</t>
        </is>
      </c>
      <c r="J67" s="96" t="inlineStr">
        <is>
          <t>EDI2</t>
        </is>
      </c>
      <c r="K67" s="96" t="n"/>
      <c r="L67" s="111" t="inlineStr">
        <is>
          <t>Full</t>
        </is>
      </c>
      <c r="M67" s="96" t="inlineStr">
        <is>
          <t>HASLS22260801961</t>
        </is>
      </c>
      <c r="N67" s="96" t="inlineStr">
        <is>
          <t xml:space="preserve">20'x10 </t>
        </is>
      </c>
      <c r="O67" s="111" t="inlineStr">
        <is>
          <t>2012</t>
        </is>
      </c>
      <c r="P67" s="111" t="n"/>
      <c r="Q67" s="111" t="n"/>
      <c r="R67" s="96" t="inlineStr">
        <is>
          <t>SWAL</t>
        </is>
      </c>
      <c r="S67" s="96" t="inlineStr">
        <is>
          <t>2609N</t>
        </is>
      </c>
      <c r="T67" s="96" t="inlineStr">
        <is>
          <t>BKK02</t>
        </is>
      </c>
      <c r="U67" s="96" t="inlineStr">
        <is>
          <t>THBKK</t>
        </is>
      </c>
      <c r="V67" s="161" t="inlineStr">
        <is>
          <t>2026-10-22</t>
        </is>
      </c>
      <c r="W67" s="96" t="inlineStr">
        <is>
          <t>VNSGN</t>
        </is>
      </c>
      <c r="X67" s="161" t="inlineStr">
        <is>
          <t>2026-10-24</t>
        </is>
      </c>
      <c r="Y67" s="97" t="n"/>
      <c r="Z67" s="97" t="n"/>
      <c r="AA67" s="97" t="n"/>
      <c r="AB67" s="97" t="n"/>
      <c r="AC67" s="97" t="n"/>
      <c r="AD67" s="161" t="inlineStr">
        <is>
          <t>2026-10-15</t>
        </is>
      </c>
      <c r="AE67" s="174" t="inlineStr">
        <is>
          <t>0802</t>
        </is>
      </c>
      <c r="AF67" s="96" t="inlineStr">
        <is>
          <t>EDI2</t>
        </is>
      </c>
      <c r="AG67" s="97" t="n"/>
      <c r="AH67" s="97" t="n"/>
      <c r="AI67" s="97" t="n"/>
      <c r="AJ67" s="96" t="inlineStr">
        <is>
          <t>BUU LONG INDUSTRY AND INVESTMENT</t>
        </is>
      </c>
      <c r="AK67" s="130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68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14600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14600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FCIU5641542</t>
        </is>
      </c>
      <c r="B3" s="4" t="str">
        <f>IF(C3=Charge!$M$1,Charge!$J$1,IF(C3=Charge!$M$23,Charge!$J$23,IF(C3=Charge!$M$17,Charge!$J$17,IF(C3=Charge!$N$17,Charge!$J$17,Charge!$J$7))))</f>
        <v>G4</v>
      </c>
      <c r="C3" s="61" t="str">
        <f>VLOOKUP(A3,'1.Loading'!A:R,14,FALSE)</f>
        <v>BKK02</v>
      </c>
      <c r="D3" s="61" t="str">
        <f>VLOOKUP(A3,'1.Loading'!A:R,17,FALSE)</f>
        <v>HASLS22260801961</v>
      </c>
      <c r="E3" s="62" t="str">
        <f>VLOOKUP(D3,'2.Bookinglist'!A:CT,27,FALSE)</f>
        <v>SCGJWD LOGISTICS PUBLIC COMPANY LIMITED</v>
      </c>
      <c r="F3" s="62" t="str">
        <f>VLOOKUP(D3,'2.Bookinglist'!A:CT,28,FALSE)</f>
        <v>SCG INTERNATIONAL CORPORATION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VNSGN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SWAL</v>
      </c>
      <c r="P3" s="61" t="str">
        <f>VLOOKUP(A3,'1.Loading'!A:R,4,FALSE)</f>
        <v>2609N</v>
      </c>
      <c r="Q3" s="61" t="str">
        <f>VLOOKUP(D3,'2.Bookinglist'!A:CT,12,FALSE)</f>
        <v>KST</v>
      </c>
      <c r="R3" s="60" t="str">
        <f>IF(LEFT(K3,2)="22","20'","40'")</f>
        <v>20'</v>
      </c>
      <c r="S3" s="101" t="n"/>
      <c r="T3" s="61" t="str">
        <f>VLOOKUP(A3,'1.Loading'!A:R,2,FALSE)</f>
        <v>2026-10-22</v>
      </c>
      <c r="U3" s="63">
        <f>T3-S3</f>
        <v>46317</v>
      </c>
      <c r="V3" s="178" t="n"/>
      <c r="W3" s="61" t="str">
        <f>VLOOKUP(A3,'3.GateMove'!A:D,4,FALSE)</f>
        <v>2026-10-15</v>
      </c>
      <c r="X3" s="63">
        <f>((T3-W3)+1)</f>
        <v>8</v>
      </c>
      <c r="Y3" s="64">
        <f>IF(AND(OR(C3="BKK01",C3="BKK04"),L3="CFS/CY"),0,IF(M3="DG",1,IF(LEFT(C3,3)="LCH",7,IF(C3="BKK02",5,3))))</f>
        <v>5</v>
      </c>
      <c r="Z3" s="63">
        <f>IF(IF(AND(AC3="TML",AB3&gt;0),((T3-W3)+1)-AB3,((T3-W3)+1)-Y3)&gt;0,IF(AND(AC3="TML",AB3&gt;0),((T3-W3)+1)-AB3,((T3-W3)+1)-Y3),0)</f>
        <v>3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150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46318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150</v>
      </c>
      <c r="AJ3" s="70" t="n"/>
      <c r="AK3" s="62" t="str">
        <f>VLOOKUP(D3,'2.Bookinglist'!A:CT,40,FALSE)</f>
        <v>Kanokporn</v>
      </c>
      <c r="AL3" s="60" t="str">
        <f>VLOOKUP(D3,'2.Bookinglist'!A:CW,101,FALSE)</f>
        <v>2026-10-19</v>
      </c>
      <c r="AM3" s="60" t="str">
        <f>VLOOKUP(D3,'2.Bookinglist'!A:BK,63,FALSE)</f>
        <v>BKK25</v>
      </c>
      <c r="AN3" s="62" t="str">
        <f>VLOOKUP(D3,'2.Bookinglist'!A:AZ,52,FALSE)</f>
        <v>CY-RTN : 12-15/10/2026  (26IHWCL77)  </v>
      </c>
      <c r="AO3" s="62">
        <f>VLOOKUP(D3,'2.Bookinglist'!A:CY,103,FALSE)</f>
        <v>0</v>
      </c>
    </row>
    <row r="4" ht="12.95" customHeight="1">
      <c r="A4" s="96" t="inlineStr">
        <is>
          <t>FDCU0245256</t>
        </is>
      </c>
      <c r="B4" s="184" t="str">
        <f>IF(C4=Charge!$M$1,Charge!$J$1,IF(C4=Charge!$M$23,Charge!$J$23,IF(C4=Charge!$M$17,Charge!$J$17,IF(C4=Charge!$N$17,Charge!$J$17,Charge!$J$7))))</f>
        <v>G4</v>
      </c>
      <c r="C4" s="61" t="str">
        <f>VLOOKUP(A4,'1.Loading'!A:R,14,FALSE)</f>
        <v>BKK02</v>
      </c>
      <c r="D4" s="61" t="str">
        <f>VLOOKUP(A4,'1.Loading'!A:R,17,FALSE)</f>
        <v>HASLS22261000779</v>
      </c>
      <c r="E4" s="62" t="str">
        <f>VLOOKUP(D4,'2.Bookinglist'!A:CT,27,FALSE)</f>
        <v>TOSHIBA LOGISTICS (THAILAND) CO., LTD.</v>
      </c>
      <c r="F4" s="62" t="str">
        <f>VLOOKUP(D4,'2.Bookinglist'!A:CT,28,FALSE)</f>
        <v> CARRIER AIR CONDITIONING (THAILAND) CO.,LTD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SWAL</v>
      </c>
      <c r="P4" s="61" t="str">
        <f>VLOOKUP(A4,'1.Loading'!A:R,4,FALSE)</f>
        <v>2609N</v>
      </c>
      <c r="Q4" s="61" t="str">
        <f>VLOOKUP(D4,'2.Bookinglist'!A:CT,12,FALSE)</f>
        <v>KST</v>
      </c>
      <c r="R4" s="60" t="str">
        <f>IF(LEFT(K4,2)="22","20'","40'")</f>
        <v>40'</v>
      </c>
      <c r="S4" s="185" t="n"/>
      <c r="T4" s="61" t="str">
        <f>VLOOKUP(A4,'1.Loading'!A:R,2,FALSE)</f>
        <v>2026-10-22</v>
      </c>
      <c r="U4" s="63">
        <f>T4-S4</f>
        <v>46317</v>
      </c>
      <c r="V4" s="186" t="n"/>
      <c r="W4" s="61" t="str">
        <f>VLOOKUP(A4,'3.GateMove'!A:D,4,FALSE)</f>
        <v>2026-10-16</v>
      </c>
      <c r="X4" s="63">
        <f>((T4-W4)+1)</f>
        <v>7</v>
      </c>
      <c r="Y4" s="64">
        <f>IF(AND(OR(C4="BKK01",C4="BKK04"),L4="CFS/CY"),0,IF(M4="DG",1,IF(LEFT(C4,3)="LCH",7,IF(C4="BKK02",5,3))))</f>
        <v>5</v>
      </c>
      <c r="Z4" s="63">
        <f>IF(IF(AND(AC4="TML",AB4&gt;0),((T4-W4)+1)-AB4,((T4-W4)+1)-Y4)&gt;0,IF(AND(AC4="TML",AB4&gt;0),((T4-W4)+1)-AB4,((T4-W4)+1)-Y4),0)</f>
        <v>2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200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46318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200</v>
      </c>
      <c r="AJ4" s="188" t="n"/>
      <c r="AK4" s="62" t="str">
        <f>VLOOKUP(D4,'2.Bookinglist'!A:CT,40,FALSE)</f>
        <v>Pattarapong Saengthong</v>
      </c>
      <c r="AL4" s="60" t="str">
        <f>VLOOKUP(D4,'2.Bookinglist'!A:CW,101,FALSE)</f>
        <v>2026-10-19</v>
      </c>
      <c r="AM4" s="60" t="str">
        <f>VLOOKUP(D4,'2.Bookinglist'!A:BK,63,FALSE)</f>
        <v>BKK27</v>
      </c>
      <c r="AN4" s="62" t="str">
        <f>VLOOKUP(D4,'2.Bookinglist'!A:AZ,52,FALSE)</f>
        <v>Pickup : 2026-10-14, Return : 2026-10-15</v>
      </c>
      <c r="AO4" s="62">
        <f>VLOOKUP(D4,'2.Bookinglist'!A:CY,103,FALSE)</f>
        <v>0</v>
      </c>
    </row>
    <row r="5" ht="12.95" customHeight="1">
      <c r="A5" s="96" t="inlineStr">
        <is>
          <t>GCXU5997475</t>
        </is>
      </c>
      <c r="B5" s="184" t="str">
        <f>IF(C5=Charge!$M$1,Charge!$J$1,IF(C5=Charge!$M$23,Charge!$J$23,IF(C5=Charge!$M$17,Charge!$J$17,IF(C5=Charge!$N$17,Charge!$J$17,Charge!$J$7))))</f>
        <v>G4</v>
      </c>
      <c r="C5" s="61" t="str">
        <f>VLOOKUP(A5,'1.Loading'!A:R,14,FALSE)</f>
        <v>BKK02</v>
      </c>
      <c r="D5" s="61" t="str">
        <f>VLOOKUP(A5,'1.Loading'!A:R,17,FALSE)</f>
        <v>HASLS22260901978</v>
      </c>
      <c r="E5" s="62" t="str">
        <f>VLOOKUP(D5,'2.Bookinglist'!A:CT,27,FALSE)</f>
        <v>WORLDNET EXPRESS CO., LTD.</v>
      </c>
      <c r="F5" s="62" t="str">
        <f>VLOOKUP(D5,'2.Bookinglist'!A:CT,28,FALSE)</f>
        <v>MAHANAVA CO.,LTD.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KRINC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SWAL</v>
      </c>
      <c r="P5" s="61" t="str">
        <f>VLOOKUP(A5,'1.Loading'!A:R,4,FALSE)</f>
        <v>2609N</v>
      </c>
      <c r="Q5" s="61" t="str">
        <f>VLOOKUP(D5,'2.Bookinglist'!A:CT,12,FALSE)</f>
        <v>KST</v>
      </c>
      <c r="R5" s="60" t="str">
        <f>IF(LEFT(K5,2)="22","20'","40'")</f>
        <v>40'</v>
      </c>
      <c r="S5" s="185" t="n"/>
      <c r="T5" s="61" t="str">
        <f>VLOOKUP(A5,'1.Loading'!A:R,2,FALSE)</f>
        <v>2026-10-22</v>
      </c>
      <c r="U5" s="63">
        <f>T5-S5</f>
        <v>46317</v>
      </c>
      <c r="V5" s="186" t="n"/>
      <c r="W5" s="61" t="str">
        <f>VLOOKUP(A5,'3.GateMove'!A:D,4,FALSE)</f>
        <v>2026-10-15</v>
      </c>
      <c r="X5" s="63">
        <f>((T5-W5)+1)</f>
        <v>8</v>
      </c>
      <c r="Y5" s="64">
        <f>IF(AND(OR(C5="BKK01",C5="BKK04"),L5="CFS/CY"),0,IF(M5="DG",1,IF(LEFT(C5,3)="LCH",7,IF(C5="BKK02",5,3))))</f>
        <v>5</v>
      </c>
      <c r="Z5" s="63">
        <f>IF(IF(AND(AC5="TML",AB5&gt;0),((T5-W5)+1)-AB5,((T5-W5)+1)-Y5)&gt;0,IF(AND(AC5="TML",AB5&gt;0),((T5-W5)+1)-AB5,((T5-W5)+1)-Y5),0)</f>
        <v>3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300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46318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300</v>
      </c>
      <c r="AJ5" s="188" t="n"/>
      <c r="AK5" s="62" t="str">
        <f>VLOOKUP(D5,'2.Bookinglist'!A:CT,40,FALSE)</f>
        <v>Kanokporn</v>
      </c>
      <c r="AL5" s="60" t="str">
        <f>VLOOKUP(D5,'2.Bookinglist'!A:CW,101,FALSE)</f>
        <v>2026-10-19</v>
      </c>
      <c r="AM5" s="60" t="str">
        <f>VLOOKUP(D5,'2.Bookinglist'!A:BK,63,FALSE)</f>
        <v>BKK27</v>
      </c>
      <c r="AN5" s="62" t="str">
        <f>VLOOKUP(D5,'2.Bookinglist'!A:AZ,52,FALSE)</f>
        <v>Pickup : 2026-10-14, Return : 2026-10-15</v>
      </c>
      <c r="AO5" s="62">
        <f>VLOOKUP(D5,'2.Bookinglist'!A:CY,103,FALSE)</f>
        <v>0</v>
      </c>
    </row>
    <row r="6" ht="12.95" customHeight="1">
      <c r="A6" s="96" t="inlineStr">
        <is>
          <t>HALU2024574</t>
        </is>
      </c>
      <c r="B6" s="184" t="str">
        <f>IF(C6=Charge!$M$1,Charge!$J$1,IF(C6=Charge!$M$23,Charge!$J$23,IF(C6=Charge!$M$17,Charge!$J$17,IF(C6=Charge!$N$17,Charge!$J$17,Charge!$J$7))))</f>
        <v>G4</v>
      </c>
      <c r="C6" s="61" t="str">
        <f>VLOOKUP(A6,'1.Loading'!A:R,14,FALSE)</f>
        <v>BKK02</v>
      </c>
      <c r="D6" s="61" t="str">
        <f>VLOOKUP(A6,'1.Loading'!A:R,17,FALSE)</f>
        <v>HASLS22260801065</v>
      </c>
      <c r="E6" s="62" t="str">
        <f>VLOOKUP(D6,'2.Bookinglist'!A:CT,27,FALSE)</f>
        <v>KORCHINA FREIGHT (THAILAND) CO., LTD.</v>
      </c>
      <c r="F6" s="62" t="str">
        <f>VLOOKUP(D6,'2.Bookinglist'!A:CT,28,FALSE)</f>
        <v>RIVER KWAI INTERNATIONAL FOOD INDUSTRY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KRINC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SWAL</v>
      </c>
      <c r="P6" s="61" t="str">
        <f>VLOOKUP(A6,'1.Loading'!A:R,4,FALSE)</f>
        <v>2609N</v>
      </c>
      <c r="Q6" s="61" t="str">
        <f>VLOOKUP(D6,'2.Bookinglist'!A:CT,12,FALSE)</f>
        <v>KST</v>
      </c>
      <c r="R6" s="60" t="str">
        <f>IF(LEFT(K6,2)="22","20'","40'")</f>
        <v>20'</v>
      </c>
      <c r="S6" s="185" t="n"/>
      <c r="T6" s="61" t="str">
        <f>VLOOKUP(A6,'1.Loading'!A:R,2,FALSE)</f>
        <v>2026-10-22</v>
      </c>
      <c r="U6" s="63">
        <f>T6-S6</f>
        <v>46317</v>
      </c>
      <c r="V6" s="186" t="n"/>
      <c r="W6" s="61" t="str">
        <f>VLOOKUP(A6,'3.GateMove'!A:D,4,FALSE)</f>
        <v>2026-10-10</v>
      </c>
      <c r="X6" s="63">
        <f>((T6-W6)+1)</f>
        <v>13</v>
      </c>
      <c r="Y6" s="64">
        <f>IF(AND(OR(C6="BKK01",C6="BKK04"),L6="CFS/CY"),0,IF(M6="DG",1,IF(LEFT(C6,3)="LCH",7,IF(C6="BKK02",5,3))))</f>
        <v>5</v>
      </c>
      <c r="Z6" s="63">
        <f>IF(IF(AND(AC6="TML",AB6&gt;0),((T6-W6)+1)-AB6,((T6-W6)+1)-Y6)&gt;0,IF(AND(AC6="TML",AB6&gt;0),((T6-W6)+1)-AB6,((T6-W6)+1)-Y6),0)</f>
        <v>8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400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46318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400</v>
      </c>
      <c r="AJ6" s="188" t="n"/>
      <c r="AK6" s="62" t="str">
        <f>VLOOKUP(D6,'2.Bookinglist'!A:CT,40,FALSE)</f>
        <v>Pattarapong Saengthong</v>
      </c>
      <c r="AL6" s="60" t="str">
        <f>VLOOKUP(D6,'2.Bookinglist'!A:CW,101,FALSE)</f>
        <v>2026-10-20</v>
      </c>
      <c r="AM6" s="60" t="str">
        <f>VLOOKUP(D6,'2.Bookinglist'!A:BK,63,FALSE)</f>
        <v>BKK27</v>
      </c>
      <c r="AN6" s="62" t="str">
        <f>VLOOKUP(D6,'2.Bookinglist'!A:AZ,52,FALSE)</f>
        <v>Pickup : 2026-10-07, Return : 2026-10-09</v>
      </c>
      <c r="AO6" s="62">
        <f>VLOOKUP(D6,'2.Bookinglist'!A:CY,103,FALSE)</f>
        <v>0</v>
      </c>
    </row>
    <row r="7" ht="12.95" customHeight="1">
      <c r="A7" s="96" t="inlineStr">
        <is>
          <t>HALU2075360</t>
        </is>
      </c>
      <c r="B7" s="184" t="str">
        <f>IF(C7=Charge!$M$1,Charge!$J$1,IF(C7=Charge!$M$23,Charge!$J$23,IF(C7=Charge!$M$17,Charge!$J$17,IF(C7=Charge!$N$17,Charge!$J$17,Charge!$J$7))))</f>
        <v>G4</v>
      </c>
      <c r="C7" s="61" t="str">
        <f>VLOOKUP(A7,'1.Loading'!A:R,14,FALSE)</f>
        <v>BKK02</v>
      </c>
      <c r="D7" s="61" t="str">
        <f>VLOOKUP(A7,'1.Loading'!A:R,17,FALSE)</f>
        <v>HASLS22260801961</v>
      </c>
      <c r="E7" s="62" t="str">
        <f>VLOOKUP(D7,'2.Bookinglist'!A:CT,27,FALSE)</f>
        <v>SCGJWD LOGISTICS PUBLIC COMPANY LIMITED</v>
      </c>
      <c r="F7" s="62" t="str">
        <f>VLOOKUP(D7,'2.Bookinglist'!A:CT,28,FALSE)</f>
        <v>SCG INTERNATIONAL CORPORATION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SWAL</v>
      </c>
      <c r="P7" s="61" t="str">
        <f>VLOOKUP(A7,'1.Loading'!A:R,4,FALSE)</f>
        <v>2609N</v>
      </c>
      <c r="Q7" s="61" t="str">
        <f>VLOOKUP(D7,'2.Bookinglist'!A:CT,12,FALSE)</f>
        <v>KST</v>
      </c>
      <c r="R7" s="60" t="str">
        <f>IF(LEFT(K7,2)="22","20'","40'")</f>
        <v>20'</v>
      </c>
      <c r="S7" s="185" t="n"/>
      <c r="T7" s="61" t="str">
        <f>VLOOKUP(A7,'1.Loading'!A:R,2,FALSE)</f>
        <v>2026-10-22</v>
      </c>
      <c r="U7" s="63">
        <f>T7-S7</f>
        <v>46317</v>
      </c>
      <c r="V7" s="186" t="n"/>
      <c r="W7" s="61" t="str">
        <f>VLOOKUP(A7,'3.GateMove'!A:D,4,FALSE)</f>
        <v>2026-10-15</v>
      </c>
      <c r="X7" s="63">
        <f>((T7-W7)+1)</f>
        <v>8</v>
      </c>
      <c r="Y7" s="64">
        <f>IF(AND(OR(C7="BKK01",C7="BKK04"),L7="CFS/CY"),0,IF(M7="DG",1,IF(LEFT(C7,3)="LCH",7,IF(C7="BKK02",5,3))))</f>
        <v>5</v>
      </c>
      <c r="Z7" s="63">
        <f>IF(IF(AND(AC7="TML",AB7&gt;0),((T7-W7)+1)-AB7,((T7-W7)+1)-Y7)&gt;0,IF(AND(AC7="TML",AB7&gt;0),((T7-W7)+1)-AB7,((T7-W7)+1)-Y7),0)</f>
        <v>3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150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46318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150</v>
      </c>
      <c r="AJ7" s="188" t="n"/>
      <c r="AK7" s="62" t="str">
        <f>VLOOKUP(D7,'2.Bookinglist'!A:CT,40,FALSE)</f>
        <v>Kanokporn</v>
      </c>
      <c r="AL7" s="60" t="str">
        <f>VLOOKUP(D7,'2.Bookinglist'!A:CW,101,FALSE)</f>
        <v>2026-10-19</v>
      </c>
      <c r="AM7" s="60" t="str">
        <f>VLOOKUP(D7,'2.Bookinglist'!A:BK,63,FALSE)</f>
        <v>BKK25</v>
      </c>
      <c r="AN7" s="62" t="str">
        <f>VLOOKUP(D7,'2.Bookinglist'!A:AZ,52,FALSE)</f>
        <v>CY-RTN : 12-15/10/2026  (26IHWCL77)  </v>
      </c>
      <c r="AO7" s="62">
        <f>VLOOKUP(D7,'2.Bookinglist'!A:CY,103,FALSE)</f>
        <v>0</v>
      </c>
    </row>
    <row r="8" ht="12.95" customHeight="1">
      <c r="A8" s="96" t="inlineStr">
        <is>
          <t>HALU2075503</t>
        </is>
      </c>
      <c r="B8" s="184" t="str">
        <f>IF(C8=Charge!$M$1,Charge!$J$1,IF(C8=Charge!$M$23,Charge!$J$23,IF(C8=Charge!$M$17,Charge!$J$17,IF(C8=Charge!$N$17,Charge!$J$17,Charge!$J$7))))</f>
        <v>G4</v>
      </c>
      <c r="C8" s="61" t="str">
        <f>VLOOKUP(A8,'1.Loading'!A:R,14,FALSE)</f>
        <v>BKK02</v>
      </c>
      <c r="D8" s="61" t="str">
        <f>VLOOKUP(A8,'1.Loading'!A:R,17,FALSE)</f>
        <v>HASLS22260902836</v>
      </c>
      <c r="E8" s="62" t="str">
        <f>VLOOKUP(D8,'2.Bookinglist'!A:CT,27,FALSE)</f>
        <v>TRUE MARINE CO., LTD.</v>
      </c>
      <c r="F8" s="62" t="str">
        <f>VLOOKUP(D8,'2.Bookinglist'!A:CT,28,FALSE)</f>
        <v>O.S.WAX TRADING CO.,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VNSGN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SWAL</v>
      </c>
      <c r="P8" s="61" t="str">
        <f>VLOOKUP(A8,'1.Loading'!A:R,4,FALSE)</f>
        <v>2609N</v>
      </c>
      <c r="Q8" s="61" t="str">
        <f>VLOOKUP(D8,'2.Bookinglist'!A:CT,12,FALSE)</f>
        <v>KST</v>
      </c>
      <c r="R8" s="60" t="str">
        <f>IF(LEFT(K8,2)="22","20'","40'")</f>
        <v>20'</v>
      </c>
      <c r="S8" s="185" t="n"/>
      <c r="T8" s="61" t="str">
        <f>VLOOKUP(A8,'1.Loading'!A:R,2,FALSE)</f>
        <v>2026-10-22</v>
      </c>
      <c r="U8" s="63">
        <f>T8-S8</f>
        <v>46317</v>
      </c>
      <c r="V8" s="186" t="n"/>
      <c r="W8" s="61" t="str">
        <f>VLOOKUP(A8,'3.GateMove'!A:D,4,FALSE)</f>
        <v>2026-10-12</v>
      </c>
      <c r="X8" s="63">
        <f>((T8-W8)+1)</f>
        <v>11</v>
      </c>
      <c r="Y8" s="64">
        <f>IF(AND(OR(C8="BKK01",C8="BKK04"),L8="CFS/CY"),0,IF(M8="DG",1,IF(LEFT(C8,3)="LCH",7,IF(C8="BKK02",5,3))))</f>
        <v>5</v>
      </c>
      <c r="Z8" s="63">
        <f>IF(IF(AND(AC8="TML",AB8&gt;0),((T8-W8)+1)-AB8,((T8-W8)+1)-Y8)&gt;0,IF(AND(AC8="TML",AB8&gt;0),((T8-W8)+1)-AB8,((T8-W8)+1)-Y8),0)</f>
        <v>6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300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46318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300</v>
      </c>
      <c r="AJ8" s="188" t="n"/>
      <c r="AK8" s="62" t="str">
        <f>VLOOKUP(D8,'2.Bookinglist'!A:CT,40,FALSE)</f>
        <v>Nannaapust Sukporntaweewat</v>
      </c>
      <c r="AL8" s="60" t="str">
        <f>VLOOKUP(D8,'2.Bookinglist'!A:CW,101,FALSE)</f>
        <v>2026-10-21</v>
      </c>
      <c r="AM8" s="60" t="str">
        <f>VLOOKUP(D8,'2.Bookinglist'!A:BK,63,FALSE)</f>
        <v>BKK27</v>
      </c>
      <c r="AN8" s="62" t="str">
        <f>VLOOKUP(D8,'2.Bookinglist'!A:AZ,52,FALSE)</f>
        <v>APPROVAL BY MR.SANGJUN KIM DD.19/10/2026 ** FLEXIBAG ON DECK**
Pickup : 2026-10-10, Return : 2026-10-12</v>
      </c>
      <c r="AO8" s="62" t="str">
        <f>VLOOKUP(D8,'2.Bookinglist'!A:CY,103,FALSE)</f>
        <v>ROLL OVER FORM PREVIOUS VSL SWAL 2609N BY ALLOCATION TEAM MS.TARN APRPOVED COST IS UNDER HA DD.15/10</v>
      </c>
    </row>
    <row r="9" ht="12.95" customHeight="1">
      <c r="A9" s="96" t="inlineStr">
        <is>
          <t>HALU2090663</t>
        </is>
      </c>
      <c r="B9" s="184" t="str">
        <f>IF(C9=Charge!$M$1,Charge!$J$1,IF(C9=Charge!$M$23,Charge!$J$23,IF(C9=Charge!$M$17,Charge!$J$17,IF(C9=Charge!$N$17,Charge!$J$17,Charge!$J$7))))</f>
        <v>G4</v>
      </c>
      <c r="C9" s="61" t="str">
        <f>VLOOKUP(A9,'1.Loading'!A:R,14,FALSE)</f>
        <v>BKK02</v>
      </c>
      <c r="D9" s="61" t="str">
        <f>VLOOKUP(A9,'1.Loading'!A:R,17,FALSE)</f>
        <v>HASLS22260801961</v>
      </c>
      <c r="E9" s="62" t="str">
        <f>VLOOKUP(D9,'2.Bookinglist'!A:CT,27,FALSE)</f>
        <v>SCGJWD LOGISTICS PUBLIC COMPANY LIMITED</v>
      </c>
      <c r="F9" s="62" t="str">
        <f>VLOOKUP(D9,'2.Bookinglist'!A:CT,28,FALSE)</f>
        <v>SCG INTERNATIONAL CORPORATION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SWAL</v>
      </c>
      <c r="P9" s="61" t="str">
        <f>VLOOKUP(A9,'1.Loading'!A:R,4,FALSE)</f>
        <v>2609N</v>
      </c>
      <c r="Q9" s="61" t="str">
        <f>VLOOKUP(D9,'2.Bookinglist'!A:CT,12,FALSE)</f>
        <v>KST</v>
      </c>
      <c r="R9" s="60" t="str">
        <f>IF(LEFT(K9,2)="22","20'","40'")</f>
        <v>20'</v>
      </c>
      <c r="S9" s="185" t="n"/>
      <c r="T9" s="61" t="str">
        <f>VLOOKUP(A9,'1.Loading'!A:R,2,FALSE)</f>
        <v>2026-10-22</v>
      </c>
      <c r="U9" s="63">
        <f>T9-S9</f>
        <v>46317</v>
      </c>
      <c r="V9" s="186" t="n"/>
      <c r="W9" s="61" t="str">
        <f>VLOOKUP(A9,'3.GateMove'!A:D,4,FALSE)</f>
        <v>2026-10-15</v>
      </c>
      <c r="X9" s="63">
        <f>((T9-W9)+1)</f>
        <v>8</v>
      </c>
      <c r="Y9" s="64">
        <f>IF(AND(OR(C9="BKK01",C9="BKK04"),L9="CFS/CY"),0,IF(M9="DG",1,IF(LEFT(C9,3)="LCH",7,IF(C9="BKK02",5,3))))</f>
        <v>5</v>
      </c>
      <c r="Z9" s="63">
        <f>IF(IF(AND(AC9="TML",AB9&gt;0),((T9-W9)+1)-AB9,((T9-W9)+1)-Y9)&gt;0,IF(AND(AC9="TML",AB9&gt;0),((T9-W9)+1)-AB9,((T9-W9)+1)-Y9),0)</f>
        <v>3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150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46318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150</v>
      </c>
      <c r="AJ9" s="188" t="n"/>
      <c r="AK9" s="62" t="str">
        <f>VLOOKUP(D9,'2.Bookinglist'!A:CT,40,FALSE)</f>
        <v>Kanokporn</v>
      </c>
      <c r="AL9" s="60" t="str">
        <f>VLOOKUP(D9,'2.Bookinglist'!A:CW,101,FALSE)</f>
        <v>2026-10-19</v>
      </c>
      <c r="AM9" s="60" t="str">
        <f>VLOOKUP(D9,'2.Bookinglist'!A:BK,63,FALSE)</f>
        <v>BKK25</v>
      </c>
      <c r="AN9" s="62" t="str">
        <f>VLOOKUP(D9,'2.Bookinglist'!A:AZ,52,FALSE)</f>
        <v>CY-RTN : 12-15/10/2026  (26IHWCL77)  </v>
      </c>
      <c r="AO9" s="62">
        <f>VLOOKUP(D9,'2.Bookinglist'!A:CY,103,FALSE)</f>
        <v>0</v>
      </c>
    </row>
    <row r="10" ht="12.95" customHeight="1">
      <c r="A10" s="96" t="inlineStr">
        <is>
          <t>HALU2092645</t>
        </is>
      </c>
      <c r="B10" s="184" t="str">
        <f>IF(C10=Charge!$M$1,Charge!$J$1,IF(C10=Charge!$M$23,Charge!$J$23,IF(C10=Charge!$M$17,Charge!$J$17,IF(C10=Charge!$N$17,Charge!$J$17,Charge!$J$7))))</f>
        <v>G4</v>
      </c>
      <c r="C10" s="61" t="str">
        <f>VLOOKUP(A10,'1.Loading'!A:R,14,FALSE)</f>
        <v>BKK02</v>
      </c>
      <c r="D10" s="61" t="str">
        <f>VLOOKUP(A10,'1.Loading'!A:R,17,FALSE)</f>
        <v>HASLS22260801065</v>
      </c>
      <c r="E10" s="62" t="str">
        <f>VLOOKUP(D10,'2.Bookinglist'!A:CT,27,FALSE)</f>
        <v>KORCHINA FREIGHT (THAILAND) CO., LTD.</v>
      </c>
      <c r="F10" s="62" t="str">
        <f>VLOOKUP(D10,'2.Bookinglist'!A:CT,28,FALSE)</f>
        <v>RIVER KWAI INTERNATIONAL FOOD INDUSTRY CO.,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KRINC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SWAL</v>
      </c>
      <c r="P10" s="61" t="str">
        <f>VLOOKUP(A10,'1.Loading'!A:R,4,FALSE)</f>
        <v>2609N</v>
      </c>
      <c r="Q10" s="61" t="str">
        <f>VLOOKUP(D10,'2.Bookinglist'!A:CT,12,FALSE)</f>
        <v>KST</v>
      </c>
      <c r="R10" s="60" t="str">
        <f>IF(LEFT(K10,2)="22","20'","40'")</f>
        <v>20'</v>
      </c>
      <c r="S10" s="185" t="n"/>
      <c r="T10" s="61" t="str">
        <f>VLOOKUP(A10,'1.Loading'!A:R,2,FALSE)</f>
        <v>2026-10-22</v>
      </c>
      <c r="U10" s="63">
        <f>T10-S10</f>
        <v>46317</v>
      </c>
      <c r="V10" s="186" t="n"/>
      <c r="W10" s="61" t="str">
        <f>VLOOKUP(A10,'3.GateMove'!A:D,4,FALSE)</f>
        <v>2026-10-10</v>
      </c>
      <c r="X10" s="63">
        <f>((T10-W10)+1)</f>
        <v>13</v>
      </c>
      <c r="Y10" s="64">
        <f>IF(AND(OR(C10="BKK01",C10="BKK04"),L10="CFS/CY"),0,IF(M10="DG",1,IF(LEFT(C10,3)="LCH",7,IF(C10="BKK02",5,3))))</f>
        <v>5</v>
      </c>
      <c r="Z10" s="63">
        <f>IF(IF(AND(AC10="TML",AB10&gt;0),((T10-W10)+1)-AB10,((T10-W10)+1)-Y10)&gt;0,IF(AND(AC10="TML",AB10&gt;0),((T10-W10)+1)-AB10,((T10-W10)+1)-Y10),0)</f>
        <v>8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400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46318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400</v>
      </c>
      <c r="AJ10" s="188" t="n"/>
      <c r="AK10" s="62" t="str">
        <f>VLOOKUP(D10,'2.Bookinglist'!A:CT,40,FALSE)</f>
        <v>Pattarapong Saengthong</v>
      </c>
      <c r="AL10" s="60" t="str">
        <f>VLOOKUP(D10,'2.Bookinglist'!A:CW,101,FALSE)</f>
        <v>2026-10-20</v>
      </c>
      <c r="AM10" s="60" t="str">
        <f>VLOOKUP(D10,'2.Bookinglist'!A:BK,63,FALSE)</f>
        <v>BKK27</v>
      </c>
      <c r="AN10" s="62" t="str">
        <f>VLOOKUP(D10,'2.Bookinglist'!A:AZ,52,FALSE)</f>
        <v>Pickup : 2026-10-07, Return : 2026-10-09</v>
      </c>
      <c r="AO10" s="62">
        <f>VLOOKUP(D10,'2.Bookinglist'!A:CY,103,FALSE)</f>
        <v>0</v>
      </c>
    </row>
    <row r="11" ht="12.95" customHeight="1">
      <c r="A11" s="96" t="inlineStr">
        <is>
          <t>HALU2338277</t>
        </is>
      </c>
      <c r="B11" s="184" t="str">
        <f>IF(C11=Charge!$M$1,Charge!$J$1,IF(C11=Charge!$M$23,Charge!$J$23,IF(C11=Charge!$M$17,Charge!$J$17,IF(C11=Charge!$N$17,Charge!$J$17,Charge!$J$7))))</f>
        <v>G4</v>
      </c>
      <c r="C11" s="61" t="str">
        <f>VLOOKUP(A11,'1.Loading'!A:R,14,FALSE)</f>
        <v>BKK02</v>
      </c>
      <c r="D11" s="61" t="str">
        <f>VLOOKUP(A11,'1.Loading'!A:R,17,FALSE)</f>
        <v>HASLS22261000202</v>
      </c>
      <c r="E11" s="62" t="str">
        <f>VLOOKUP(D11,'2.Bookinglist'!A:CT,27,FALSE)</f>
        <v>PACIFIC STAR ALLIANCE CO., LTD.</v>
      </c>
      <c r="F11" s="62" t="str">
        <f>VLOOKUP(D11,'2.Bookinglist'!A:CT,28,FALSE)</f>
        <v>WIN CHANCE INDUSTRIES CO.,LTD.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SWAL</v>
      </c>
      <c r="P11" s="61" t="str">
        <f>VLOOKUP(A11,'1.Loading'!A:R,4,FALSE)</f>
        <v>2609N</v>
      </c>
      <c r="Q11" s="61" t="str">
        <f>VLOOKUP(D11,'2.Bookinglist'!A:CT,12,FALSE)</f>
        <v>KST</v>
      </c>
      <c r="R11" s="60" t="str">
        <f>IF(LEFT(K11,2)="22","20'","40'")</f>
        <v>20'</v>
      </c>
      <c r="S11" s="185" t="n"/>
      <c r="T11" s="61" t="str">
        <f>VLOOKUP(A11,'1.Loading'!A:R,2,FALSE)</f>
        <v>2026-10-22</v>
      </c>
      <c r="U11" s="63">
        <f>T11-S11</f>
        <v>46317</v>
      </c>
      <c r="V11" s="186" t="n"/>
      <c r="W11" s="61" t="str">
        <f>VLOOKUP(A11,'3.GateMove'!A:D,4,FALSE)</f>
        <v>2026-10-15</v>
      </c>
      <c r="X11" s="63">
        <f>((T11-W11)+1)</f>
        <v>8</v>
      </c>
      <c r="Y11" s="64">
        <f>IF(AND(OR(C11="BKK01",C11="BKK04"),L11="CFS/CY"),0,IF(M11="DG",1,IF(LEFT(C11,3)="LCH",7,IF(C11="BKK02",5,3))))</f>
        <v>5</v>
      </c>
      <c r="Z11" s="63">
        <f>IF(IF(AND(AC11="TML",AB11&gt;0),((T11-W11)+1)-AB11,((T11-W11)+1)-Y11)&gt;0,IF(AND(AC11="TML",AB11&gt;0),((T11-W11)+1)-AB11,((T11-W11)+1)-Y11),0)</f>
        <v>3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150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46318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150</v>
      </c>
      <c r="AJ11" s="188" t="n"/>
      <c r="AK11" s="62" t="str">
        <f>VLOOKUP(D11,'2.Bookinglist'!A:CT,40,FALSE)</f>
        <v>Kanokporn</v>
      </c>
      <c r="AL11" s="60" t="str">
        <f>VLOOKUP(D11,'2.Bookinglist'!A:CW,101,FALSE)</f>
        <v>2026-10-19</v>
      </c>
      <c r="AM11" s="60" t="str">
        <f>VLOOKUP(D11,'2.Bookinglist'!A:BK,63,FALSE)</f>
        <v>BKK27</v>
      </c>
      <c r="AN11" s="62" t="str">
        <f>VLOOKUP(D11,'2.Bookinglist'!A:AZ,52,FALSE)</f>
        <v>Pickup : 2026-10-15, Return : 2026-10-15</v>
      </c>
      <c r="AO11" s="62">
        <f>VLOOKUP(D11,'2.Bookinglist'!A:CY,103,FALSE)</f>
        <v>0</v>
      </c>
    </row>
    <row r="12" ht="12.95" customHeight="1">
      <c r="A12" s="96" t="inlineStr">
        <is>
          <t>HALU2345379</t>
        </is>
      </c>
      <c r="B12" s="184" t="str">
        <f>IF(C12=Charge!$M$1,Charge!$J$1,IF(C12=Charge!$M$23,Charge!$J$23,IF(C12=Charge!$M$17,Charge!$J$17,IF(C12=Charge!$N$17,Charge!$J$17,Charge!$J$7))))</f>
        <v>G4</v>
      </c>
      <c r="C12" s="61" t="str">
        <f>VLOOKUP(A12,'1.Loading'!A:R,14,FALSE)</f>
        <v>BKK02</v>
      </c>
      <c r="D12" s="61" t="str">
        <f>VLOOKUP(A12,'1.Loading'!A:R,17,FALSE)</f>
        <v>HASLS22261000771</v>
      </c>
      <c r="E12" s="62" t="str">
        <f>VLOOKUP(D12,'2.Bookinglist'!A:CT,27,FALSE)</f>
        <v>ALLIANZ GLOBAL LOGISTICS CO.,LTD.</v>
      </c>
      <c r="F12" s="62" t="str">
        <f>VLOOKUP(D12,'2.Bookinglist'!A:CT,28,FALSE)</f>
        <v>BANGKOK INTER FOOD CO.,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SWAL</v>
      </c>
      <c r="P12" s="61" t="str">
        <f>VLOOKUP(A12,'1.Loading'!A:R,4,FALSE)</f>
        <v>2609N</v>
      </c>
      <c r="Q12" s="61" t="str">
        <f>VLOOKUP(D12,'2.Bookinglist'!A:CT,12,FALSE)</f>
        <v>KST</v>
      </c>
      <c r="R12" s="60" t="str">
        <f>IF(LEFT(K12,2)="22","20'","40'")</f>
        <v>20'</v>
      </c>
      <c r="S12" s="185" t="n"/>
      <c r="T12" s="61" t="str">
        <f>VLOOKUP(A12,'1.Loading'!A:R,2,FALSE)</f>
        <v>2026-10-22</v>
      </c>
      <c r="U12" s="63">
        <f>T12-S12</f>
        <v>46317</v>
      </c>
      <c r="V12" s="186" t="n"/>
      <c r="W12" s="61" t="str">
        <f>VLOOKUP(A12,'3.GateMove'!A:D,4,FALSE)</f>
        <v>2026-10-12</v>
      </c>
      <c r="X12" s="63">
        <f>((T12-W12)+1)</f>
        <v>11</v>
      </c>
      <c r="Y12" s="64">
        <f>IF(AND(OR(C12="BKK01",C12="BKK04"),L12="CFS/CY"),0,IF(M12="DG",1,IF(LEFT(C12,3)="LCH",7,IF(C12="BKK02",5,3))))</f>
        <v>5</v>
      </c>
      <c r="Z12" s="63">
        <f>IF(IF(AND(AC12="TML",AB12&gt;0),((T12-W12)+1)-AB12,((T12-W12)+1)-Y12)&gt;0,IF(AND(AC12="TML",AB12&gt;0),((T12-W12)+1)-AB12,((T12-W12)+1)-Y12),0)</f>
        <v>6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300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46318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300</v>
      </c>
      <c r="AJ12" s="188" t="n"/>
      <c r="AK12" s="62" t="str">
        <f>VLOOKUP(D12,'2.Bookinglist'!A:CT,40,FALSE)</f>
        <v>Nannaapust Sukporntaweewat</v>
      </c>
      <c r="AL12" s="60" t="str">
        <f>VLOOKUP(D12,'2.Bookinglist'!A:CW,101,FALSE)</f>
        <v>2026-10-20</v>
      </c>
      <c r="AM12" s="60" t="str">
        <f>VLOOKUP(D12,'2.Bookinglist'!A:BK,63,FALSE)</f>
        <v>BKK27</v>
      </c>
      <c r="AN12" s="62" t="str">
        <f>VLOOKUP(D12,'2.Bookinglist'!A:AZ,52,FALSE)</f>
        <v>Pickup : 2026-10-10, Return : 2026-10-14</v>
      </c>
      <c r="AO12" s="62" t="str">
        <f>VLOOKUP(D12,'2.Bookinglist'!A:CY,103,FALSE)</f>
        <v>ROLL OVER FROM PREVIOUS VSL SWBTG 2616N BY ALLOCATON TEAM MS.TARN APRPOVED COST IS UNDER HA DD.14/10</v>
      </c>
    </row>
    <row r="13" ht="12.95" customHeight="1">
      <c r="A13" s="96" t="inlineStr">
        <is>
          <t>HALU2411763</t>
        </is>
      </c>
      <c r="B13" s="184" t="str">
        <f>IF(C13=Charge!$M$1,Charge!$J$1,IF(C13=Charge!$M$23,Charge!$J$23,IF(C13=Charge!$M$17,Charge!$J$17,IF(C13=Charge!$N$17,Charge!$J$17,Charge!$J$7))))</f>
        <v>G4</v>
      </c>
      <c r="C13" s="61" t="str">
        <f>VLOOKUP(A13,'1.Loading'!A:R,14,FALSE)</f>
        <v>BKK02</v>
      </c>
      <c r="D13" s="61" t="str">
        <f>VLOOKUP(A13,'1.Loading'!A:R,17,FALSE)</f>
        <v>HASLS22260901654</v>
      </c>
      <c r="E13" s="62" t="str">
        <f>VLOOKUP(D13,'2.Bookinglist'!A:CT,27,FALSE)</f>
        <v>EXPEDITORS (THAILAND) LTD.</v>
      </c>
      <c r="F13" s="62" t="str">
        <f>VLOOKUP(D13,'2.Bookinglist'!A:CT,28,FALSE)</f>
        <v>MINERAL RESOURCES DEVELOPMENT CO., 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CFS/CY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SWAL</v>
      </c>
      <c r="P13" s="61" t="str">
        <f>VLOOKUP(A13,'1.Loading'!A:R,4,FALSE)</f>
        <v>2609N</v>
      </c>
      <c r="Q13" s="61" t="str">
        <f>VLOOKUP(D13,'2.Bookinglist'!A:CT,12,FALSE)</f>
        <v>KST</v>
      </c>
      <c r="R13" s="60" t="str">
        <f>IF(LEFT(K13,2)="22","20'","40'")</f>
        <v>20'</v>
      </c>
      <c r="S13" s="185" t="n"/>
      <c r="T13" s="61" t="str">
        <f>VLOOKUP(A13,'1.Loading'!A:R,2,FALSE)</f>
        <v>2026-10-22</v>
      </c>
      <c r="U13" s="63">
        <f>T13-S13</f>
        <v>46317</v>
      </c>
      <c r="V13" s="186" t="n"/>
      <c r="W13" s="61" t="str">
        <f>VLOOKUP(A13,'3.GateMove'!A:D,4,FALSE)</f>
        <v>2026-10-15</v>
      </c>
      <c r="X13" s="63">
        <f>((T13-W13)+1)</f>
        <v>8</v>
      </c>
      <c r="Y13" s="64">
        <f>IF(AND(OR(C13="BKK01",C13="BKK04"),L13="CFS/CY"),0,IF(M13="DG",1,IF(LEFT(C13,3)="LCH",7,IF(C13="BKK02",5,3))))</f>
        <v>5</v>
      </c>
      <c r="Z13" s="63">
        <f>IF(IF(AND(AC13="TML",AB13&gt;0),((T13-W13)+1)-AB13,((T13-W13)+1)-Y13)&gt;0,IF(AND(AC13="TML",AB13&gt;0),((T13-W13)+1)-AB13,((T13-W13)+1)-Y13),0)</f>
        <v>3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150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46318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150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2026-10-19</v>
      </c>
      <c r="AM13" s="60" t="str">
        <f>VLOOKUP(D13,'2.Bookinglist'!A:BK,63,FALSE)</f>
        <v>BKK02</v>
      </c>
      <c r="AN13" s="62" t="str">
        <f>VLOOKUP(D13,'2.Bookinglist'!A:AZ,52,FALSE)</f>
        <v>STUFFING CARGO @UNITHAI DD.15/10/26 CLS TIME CFS DD.16/10/26 - 17:00HRS.
</v>
      </c>
      <c r="AO13" s="62">
        <f>VLOOKUP(D13,'2.Bookinglist'!A:CY,103,FALSE)</f>
        <v>0</v>
      </c>
    </row>
    <row r="14" ht="12.95" customHeight="1">
      <c r="A14" s="96" t="inlineStr">
        <is>
          <t>HALU2415774</t>
        </is>
      </c>
      <c r="B14" s="184" t="str">
        <f>IF(C14=Charge!$M$1,Charge!$J$1,IF(C14=Charge!$M$23,Charge!$J$23,IF(C14=Charge!$M$17,Charge!$J$17,IF(C14=Charge!$N$17,Charge!$J$17,Charge!$J$7))))</f>
        <v>G4</v>
      </c>
      <c r="C14" s="61" t="str">
        <f>VLOOKUP(A14,'1.Loading'!A:R,14,FALSE)</f>
        <v>BKK02</v>
      </c>
      <c r="D14" s="61" t="str">
        <f>VLOOKUP(A14,'1.Loading'!A:R,17,FALSE)</f>
        <v>HASLS22260900541</v>
      </c>
      <c r="E14" s="62" t="str">
        <f>VLOOKUP(D14,'2.Bookinglist'!A:CT,27,FALSE)</f>
        <v>MERCURIAL LOGISTICS  CO.,LTD</v>
      </c>
      <c r="F14" s="62" t="str">
        <f>VLOOKUP(D14,'2.Bookinglist'!A:CT,28,FALSE)</f>
        <v>UENO FINE CHEMICALS INDUSTRY (THAILAND)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SWAL</v>
      </c>
      <c r="P14" s="61" t="str">
        <f>VLOOKUP(A14,'1.Loading'!A:R,4,FALSE)</f>
        <v>2609N</v>
      </c>
      <c r="Q14" s="61" t="str">
        <f>VLOOKUP(D14,'2.Bookinglist'!A:CT,12,FALSE)</f>
        <v>KST</v>
      </c>
      <c r="R14" s="60" t="str">
        <f>IF(LEFT(K14,2)="22","20'","40'")</f>
        <v>20'</v>
      </c>
      <c r="S14" s="185" t="n"/>
      <c r="T14" s="61" t="str">
        <f>VLOOKUP(A14,'1.Loading'!A:R,2,FALSE)</f>
        <v>2026-10-22</v>
      </c>
      <c r="U14" s="63">
        <f>T14-S14</f>
        <v>46317</v>
      </c>
      <c r="V14" s="186" t="n"/>
      <c r="W14" s="61" t="str">
        <f>VLOOKUP(A14,'3.GateMove'!A:D,4,FALSE)</f>
        <v>2026-10-12</v>
      </c>
      <c r="X14" s="63">
        <f>((T14-W14)+1)</f>
        <v>11</v>
      </c>
      <c r="Y14" s="64">
        <f>IF(AND(OR(C14="BKK01",C14="BKK04"),L14="CFS/CY"),0,IF(M14="DG",1,IF(LEFT(C14,3)="LCH",7,IF(C14="BKK02",5,3))))</f>
        <v>5</v>
      </c>
      <c r="Z14" s="63">
        <f>IF(IF(AND(AC14="TML",AB14&gt;0),((T14-W14)+1)-AB14,((T14-W14)+1)-Y14)&gt;0,IF(AND(AC14="TML",AB14&gt;0),((T14-W14)+1)-AB14,((T14-W14)+1)-Y14),0)</f>
        <v>6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300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46318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300</v>
      </c>
      <c r="AJ14" s="188" t="n"/>
      <c r="AK14" s="62" t="str">
        <f>VLOOKUP(D14,'2.Bookinglist'!A:CT,40,FALSE)</f>
        <v>Nannaapust Sukporntaweewat</v>
      </c>
      <c r="AL14" s="60" t="str">
        <f>VLOOKUP(D14,'2.Bookinglist'!A:CW,101,FALSE)</f>
        <v>2026-10-20</v>
      </c>
      <c r="AM14" s="60" t="str">
        <f>VLOOKUP(D14,'2.Bookinglist'!A:BK,63,FALSE)</f>
        <v>BKK25</v>
      </c>
      <c r="AN14" s="62" t="str">
        <f>VLOOKUP(D14,'2.Bookinglist'!A:AZ,52,FALSE)</f>
        <v>Pickup : 2026-09-08, Return : 2026-09-09</v>
      </c>
      <c r="AO14" s="62" t="str">
        <f>VLOOKUP(D14,'2.Bookinglist'!A:CY,103,FALSE)</f>
        <v>ROLL OVER FROM PREIVOUS VSL PGPO 2612N BY ALLOCATION TEAM MS,TARN APPROVED COST IS UNDER HA DD.13/10</v>
      </c>
    </row>
    <row r="15" ht="12.95" customHeight="1">
      <c r="A15" s="96" t="inlineStr">
        <is>
          <t>HALU2416050</t>
        </is>
      </c>
      <c r="B15" s="184" t="str">
        <f>IF(C15=Charge!$M$1,Charge!$J$1,IF(C15=Charge!$M$23,Charge!$J$23,IF(C15=Charge!$M$17,Charge!$J$17,IF(C15=Charge!$N$17,Charge!$J$17,Charge!$J$7))))</f>
        <v>G4</v>
      </c>
      <c r="C15" s="61" t="str">
        <f>VLOOKUP(A15,'1.Loading'!A:R,14,FALSE)</f>
        <v>BKK02</v>
      </c>
      <c r="D15" s="61" t="str">
        <f>VLOOKUP(A15,'1.Loading'!A:R,17,FALSE)</f>
        <v>HASLS22260901654</v>
      </c>
      <c r="E15" s="62" t="str">
        <f>VLOOKUP(D15,'2.Bookinglist'!A:CT,27,FALSE)</f>
        <v>EXPEDITORS (THAILAND) LTD.</v>
      </c>
      <c r="F15" s="62" t="str">
        <f>VLOOKUP(D15,'2.Bookinglist'!A:CT,28,FALSE)</f>
        <v>MINERAL RESOURCES DEVELOPMENT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CFS/CY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SWAL</v>
      </c>
      <c r="P15" s="61" t="str">
        <f>VLOOKUP(A15,'1.Loading'!A:R,4,FALSE)</f>
        <v>2609N</v>
      </c>
      <c r="Q15" s="61" t="str">
        <f>VLOOKUP(D15,'2.Bookinglist'!A:CT,12,FALSE)</f>
        <v>KST</v>
      </c>
      <c r="R15" s="60" t="str">
        <f>IF(LEFT(K15,2)="22","20'","40'")</f>
        <v>20'</v>
      </c>
      <c r="S15" s="185" t="n"/>
      <c r="T15" s="61" t="str">
        <f>VLOOKUP(A15,'1.Loading'!A:R,2,FALSE)</f>
        <v>2026-10-22</v>
      </c>
      <c r="U15" s="63">
        <f>T15-S15</f>
        <v>46317</v>
      </c>
      <c r="V15" s="186" t="n"/>
      <c r="W15" s="61" t="str">
        <f>VLOOKUP(A15,'3.GateMove'!A:D,4,FALSE)</f>
        <v>2026-10-15</v>
      </c>
      <c r="X15" s="63">
        <f>((T15-W15)+1)</f>
        <v>8</v>
      </c>
      <c r="Y15" s="64">
        <f>IF(AND(OR(C15="BKK01",C15="BKK04"),L15="CFS/CY"),0,IF(M15="DG",1,IF(LEFT(C15,3)="LCH",7,IF(C15="BKK02",5,3))))</f>
        <v>5</v>
      </c>
      <c r="Z15" s="63">
        <f>IF(IF(AND(AC15="TML",AB15&gt;0),((T15-W15)+1)-AB15,((T15-W15)+1)-Y15)&gt;0,IF(AND(AC15="TML",AB15&gt;0),((T15-W15)+1)-AB15,((T15-W15)+1)-Y15),0)</f>
        <v>3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150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46318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150</v>
      </c>
      <c r="AJ15" s="188" t="n"/>
      <c r="AK15" s="62" t="str">
        <f>VLOOKUP(D15,'2.Bookinglist'!A:CT,40,FALSE)</f>
        <v>Kanokporn</v>
      </c>
      <c r="AL15" s="60" t="str">
        <f>VLOOKUP(D15,'2.Bookinglist'!A:CW,101,FALSE)</f>
        <v>2026-10-19</v>
      </c>
      <c r="AM15" s="60" t="str">
        <f>VLOOKUP(D15,'2.Bookinglist'!A:BK,63,FALSE)</f>
        <v>BKK02</v>
      </c>
      <c r="AN15" s="62" t="str">
        <f>VLOOKUP(D15,'2.Bookinglist'!A:AZ,52,FALSE)</f>
        <v>STUFFING CARGO @UNITHAI DD.15/10/26 CLS TIME CFS DD.16/10/26 - 17:00HRS.
</v>
      </c>
      <c r="AO15" s="62">
        <f>VLOOKUP(D15,'2.Bookinglist'!A:CY,103,FALSE)</f>
        <v>0</v>
      </c>
    </row>
    <row r="16" ht="12.95" customHeight="1">
      <c r="A16" s="96" t="inlineStr">
        <is>
          <t>HALU2418120</t>
        </is>
      </c>
      <c r="B16" s="184" t="str">
        <f>IF(C16=Charge!$M$1,Charge!$J$1,IF(C16=Charge!$M$23,Charge!$J$23,IF(C16=Charge!$M$17,Charge!$J$17,IF(C16=Charge!$N$17,Charge!$J$17,Charge!$J$7))))</f>
        <v>G4</v>
      </c>
      <c r="C16" s="61" t="str">
        <f>VLOOKUP(A16,'1.Loading'!A:R,14,FALSE)</f>
        <v>BKK02</v>
      </c>
      <c r="D16" s="61" t="str">
        <f>VLOOKUP(A16,'1.Loading'!A:R,17,FALSE)</f>
        <v>HASLS22261000064</v>
      </c>
      <c r="E16" s="62" t="str">
        <f>VLOOKUP(D16,'2.Bookinglist'!A:CT,27,FALSE)</f>
        <v>SEATRANS LOGISTICS CO., LTD.</v>
      </c>
      <c r="F16" s="62" t="str">
        <f>VLOOKUP(D16,'2.Bookinglist'!A:CT,28,FALSE)</f>
        <v>GENERAL STARCH LIMITED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SWAL</v>
      </c>
      <c r="P16" s="61" t="str">
        <f>VLOOKUP(A16,'1.Loading'!A:R,4,FALSE)</f>
        <v>2609N</v>
      </c>
      <c r="Q16" s="61" t="str">
        <f>VLOOKUP(D16,'2.Bookinglist'!A:CT,12,FALSE)</f>
        <v>KST</v>
      </c>
      <c r="R16" s="60" t="str">
        <f>IF(LEFT(K16,2)="22","20'","40'")</f>
        <v>20'</v>
      </c>
      <c r="S16" s="185" t="n"/>
      <c r="T16" s="61" t="str">
        <f>VLOOKUP(A16,'1.Loading'!A:R,2,FALSE)</f>
        <v>2026-10-22</v>
      </c>
      <c r="U16" s="63">
        <f>T16-S16</f>
        <v>46317</v>
      </c>
      <c r="V16" s="186" t="n"/>
      <c r="W16" s="61" t="str">
        <f>VLOOKUP(A16,'3.GateMove'!A:D,4,FALSE)</f>
        <v>2026-10-13</v>
      </c>
      <c r="X16" s="63">
        <f>((T16-W16)+1)</f>
        <v>10</v>
      </c>
      <c r="Y16" s="64">
        <f>IF(AND(OR(C16="BKK01",C16="BKK04"),L16="CFS/CY"),0,IF(M16="DG",1,IF(LEFT(C16,3)="LCH",7,IF(C16="BKK02",5,3))))</f>
        <v>5</v>
      </c>
      <c r="Z16" s="63">
        <f>IF(IF(AND(AC16="TML",AB16&gt;0),((T16-W16)+1)-AB16,((T16-W16)+1)-Y16)&gt;0,IF(AND(AC16="TML",AB16&gt;0),((T16-W16)+1)-AB16,((T16-W16)+1)-Y16),0)</f>
        <v>5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250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46318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250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2026-10-20</v>
      </c>
      <c r="AM16" s="60" t="str">
        <f>VLOOKUP(D16,'2.Bookinglist'!A:BK,63,FALSE)</f>
        <v>BKK27</v>
      </c>
      <c r="AN16" s="62" t="str">
        <f>VLOOKUP(D16,'2.Bookinglist'!A:AZ,52,FALSE)</f>
        <v>Pickup : 2026-10-09, Return : 2026-10-12</v>
      </c>
      <c r="AO16" s="62" t="str">
        <f>VLOOKUP(D16,'2.Bookinglist'!A:CY,103,FALSE)</f>
        <v>ROLL OVER FROM PREVIOUS VSL SWBT 2616N BY ALLOCATION TEAM MS.TANR APRPOVED COST IS UNDER HA DD.14/10</v>
      </c>
    </row>
    <row r="17" ht="12.95" customHeight="1">
      <c r="A17" s="96" t="inlineStr">
        <is>
          <t>HALU2429510</t>
        </is>
      </c>
      <c r="B17" s="184" t="str">
        <f>IF(C17=Charge!$M$1,Charge!$J$1,IF(C17=Charge!$M$23,Charge!$J$23,IF(C17=Charge!$M$17,Charge!$J$17,IF(C17=Charge!$N$17,Charge!$J$17,Charge!$J$7))))</f>
        <v>G4</v>
      </c>
      <c r="C17" s="61" t="str">
        <f>VLOOKUP(A17,'1.Loading'!A:R,14,FALSE)</f>
        <v>BKK02</v>
      </c>
      <c r="D17" s="61" t="str">
        <f>VLOOKUP(A17,'1.Loading'!A:R,17,FALSE)</f>
        <v>HASLS22261000583</v>
      </c>
      <c r="E17" s="62" t="str">
        <f>VLOOKUP(D17,'2.Bookinglist'!A:CT,27,FALSE)</f>
        <v>BIZCON LOGISTICS CO., LTD.</v>
      </c>
      <c r="F17" s="62" t="str">
        <f>VLOOKUP(D17,'2.Bookinglist'!A:CT,28,FALSE)</f>
        <v>CHAIYABOON BROTHERS GROUP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SWAL</v>
      </c>
      <c r="P17" s="61" t="str">
        <f>VLOOKUP(A17,'1.Loading'!A:R,4,FALSE)</f>
        <v>2609N</v>
      </c>
      <c r="Q17" s="61" t="str">
        <f>VLOOKUP(D17,'2.Bookinglist'!A:CT,12,FALSE)</f>
        <v>KST</v>
      </c>
      <c r="R17" s="60" t="str">
        <f>IF(LEFT(K17,2)="22","20'","40'")</f>
        <v>20'</v>
      </c>
      <c r="S17" s="185" t="n"/>
      <c r="T17" s="61" t="str">
        <f>VLOOKUP(A17,'1.Loading'!A:R,2,FALSE)</f>
        <v>2026-10-22</v>
      </c>
      <c r="U17" s="63">
        <f>T17-S17</f>
        <v>46317</v>
      </c>
      <c r="V17" s="186" t="n"/>
      <c r="W17" s="61" t="str">
        <f>VLOOKUP(A17,'3.GateMove'!A:D,4,FALSE)</f>
        <v>2026-10-15</v>
      </c>
      <c r="X17" s="63">
        <f>((T17-W17)+1)</f>
        <v>8</v>
      </c>
      <c r="Y17" s="64">
        <f>IF(AND(OR(C17="BKK01",C17="BKK04"),L17="CFS/CY"),0,IF(M17="DG",1,IF(LEFT(C17,3)="LCH",7,IF(C17="BKK02",5,3))))</f>
        <v>5</v>
      </c>
      <c r="Z17" s="63">
        <f>IF(IF(AND(AC17="TML",AB17&gt;0),((T17-W17)+1)-AB17,((T17-W17)+1)-Y17)&gt;0,IF(AND(AC17="TML",AB17&gt;0),((T17-W17)+1)-AB17,((T17-W17)+1)-Y17),0)</f>
        <v>3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150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46318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150</v>
      </c>
      <c r="AJ17" s="188" t="n"/>
      <c r="AK17" s="62" t="str">
        <f>VLOOKUP(D17,'2.Bookinglist'!A:CT,40,FALSE)</f>
        <v>Arunphat W. (Aiw)</v>
      </c>
      <c r="AL17" s="60" t="str">
        <f>VLOOKUP(D17,'2.Bookinglist'!A:CW,101,FALSE)</f>
        <v>2026-10-19</v>
      </c>
      <c r="AM17" s="60" t="str">
        <f>VLOOKUP(D17,'2.Bookinglist'!A:BK,63,FALSE)</f>
        <v>BKK27</v>
      </c>
      <c r="AN17" s="62" t="str">
        <f>VLOOKUP(D17,'2.Bookinglist'!A:AZ,52,FALSE)</f>
        <v>Pickup : 2026-10-15, Return : 2026-10-15</v>
      </c>
      <c r="AO17" s="62">
        <f>VLOOKUP(D17,'2.Bookinglist'!A:CY,103,FALSE)</f>
        <v>0</v>
      </c>
    </row>
    <row r="18" ht="12.95" customHeight="1">
      <c r="A18" s="96" t="inlineStr">
        <is>
          <t>HALU2468809</t>
        </is>
      </c>
      <c r="B18" s="184" t="str">
        <f>IF(C18=Charge!$M$1,Charge!$J$1,IF(C18=Charge!$M$23,Charge!$J$23,IF(C18=Charge!$M$17,Charge!$J$17,IF(C18=Charge!$N$17,Charge!$J$17,Charge!$J$7))))</f>
        <v>G4</v>
      </c>
      <c r="C18" s="61" t="str">
        <f>VLOOKUP(A18,'1.Loading'!A:R,14,FALSE)</f>
        <v>BKK02</v>
      </c>
      <c r="D18" s="61" t="str">
        <f>VLOOKUP(A18,'1.Loading'!A:R,17,FALSE)</f>
        <v>HASLS22260901654</v>
      </c>
      <c r="E18" s="62" t="str">
        <f>VLOOKUP(D18,'2.Bookinglist'!A:CT,27,FALSE)</f>
        <v>EXPEDITORS (THAILAND) LTD.</v>
      </c>
      <c r="F18" s="62" t="str">
        <f>VLOOKUP(D18,'2.Bookinglist'!A:CT,28,FALSE)</f>
        <v>MINERAL RESOURCES DEVELOPMENT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CFS/CY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SWAL</v>
      </c>
      <c r="P18" s="61" t="str">
        <f>VLOOKUP(A18,'1.Loading'!A:R,4,FALSE)</f>
        <v>2609N</v>
      </c>
      <c r="Q18" s="61" t="str">
        <f>VLOOKUP(D18,'2.Bookinglist'!A:CT,12,FALSE)</f>
        <v>KST</v>
      </c>
      <c r="R18" s="60" t="str">
        <f>IF(LEFT(K18,2)="22","20'","40'")</f>
        <v>20'</v>
      </c>
      <c r="S18" s="185" t="n"/>
      <c r="T18" s="61" t="str">
        <f>VLOOKUP(A18,'1.Loading'!A:R,2,FALSE)</f>
        <v>2026-10-22</v>
      </c>
      <c r="U18" s="63">
        <f>T18-S18</f>
        <v>46317</v>
      </c>
      <c r="V18" s="186" t="n"/>
      <c r="W18" s="61" t="str">
        <f>VLOOKUP(A18,'3.GateMove'!A:D,4,FALSE)</f>
        <v>2026-10-15</v>
      </c>
      <c r="X18" s="63">
        <f>((T18-W18)+1)</f>
        <v>8</v>
      </c>
      <c r="Y18" s="64">
        <f>IF(AND(OR(C18="BKK01",C18="BKK04"),L18="CFS/CY"),0,IF(M18="DG",1,IF(LEFT(C18,3)="LCH",7,IF(C18="BKK02",5,3))))</f>
        <v>5</v>
      </c>
      <c r="Z18" s="63">
        <f>IF(IF(AND(AC18="TML",AB18&gt;0),((T18-W18)+1)-AB18,((T18-W18)+1)-Y18)&gt;0,IF(AND(AC18="TML",AB18&gt;0),((T18-W18)+1)-AB18,((T18-W18)+1)-Y18),0)</f>
        <v>3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150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46318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150</v>
      </c>
      <c r="AJ18" s="188" t="n"/>
      <c r="AK18" s="62" t="str">
        <f>VLOOKUP(D18,'2.Bookinglist'!A:CT,40,FALSE)</f>
        <v>Kanokporn</v>
      </c>
      <c r="AL18" s="60" t="str">
        <f>VLOOKUP(D18,'2.Bookinglist'!A:CW,101,FALSE)</f>
        <v>2026-10-19</v>
      </c>
      <c r="AM18" s="60" t="str">
        <f>VLOOKUP(D18,'2.Bookinglist'!A:BK,63,FALSE)</f>
        <v>BKK02</v>
      </c>
      <c r="AN18" s="62" t="str">
        <f>VLOOKUP(D18,'2.Bookinglist'!A:AZ,52,FALSE)</f>
        <v>STUFFING CARGO @UNITHAI DD.15/10/26 CLS TIME CFS DD.16/10/26 - 17:00HRS.
</v>
      </c>
      <c r="AO18" s="62">
        <f>VLOOKUP(D18,'2.Bookinglist'!A:CY,103,FALSE)</f>
        <v>0</v>
      </c>
    </row>
    <row r="19" ht="12.95" customHeight="1">
      <c r="A19" s="96" t="inlineStr">
        <is>
          <t>HALU2503094</t>
        </is>
      </c>
      <c r="B19" s="184" t="str">
        <f>IF(C19=Charge!$M$1,Charge!$J$1,IF(C19=Charge!$M$23,Charge!$J$23,IF(C19=Charge!$M$17,Charge!$J$17,IF(C19=Charge!$N$17,Charge!$J$17,Charge!$J$7))))</f>
        <v>G4</v>
      </c>
      <c r="C19" s="61" t="str">
        <f>VLOOKUP(A19,'1.Loading'!A:R,14,FALSE)</f>
        <v>BKK02</v>
      </c>
      <c r="D19" s="61" t="str">
        <f>VLOOKUP(A19,'1.Loading'!A:R,17,FALSE)</f>
        <v>HASLS22260901991</v>
      </c>
      <c r="E19" s="62" t="str">
        <f>VLOOKUP(D19,'2.Bookinglist'!A:CT,27,FALSE)</f>
        <v>RIVA LOGISTICS CO., LTD.</v>
      </c>
      <c r="F19" s="62" t="str">
        <f>VLOOKUP(D19,'2.Bookinglist'!A:CT,28,FALSE)</f>
        <v>CHINCHANA INDUSTRIES (THAILAND) CO.,LTD.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CFS/CY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SWAL</v>
      </c>
      <c r="P19" s="61" t="str">
        <f>VLOOKUP(A19,'1.Loading'!A:R,4,FALSE)</f>
        <v>2609N</v>
      </c>
      <c r="Q19" s="61" t="str">
        <f>VLOOKUP(D19,'2.Bookinglist'!A:CT,12,FALSE)</f>
        <v>KST</v>
      </c>
      <c r="R19" s="60" t="str">
        <f>IF(LEFT(K19,2)="22","20'","40'")</f>
        <v>20'</v>
      </c>
      <c r="S19" s="185" t="n"/>
      <c r="T19" s="61" t="str">
        <f>VLOOKUP(A19,'1.Loading'!A:R,2,FALSE)</f>
        <v>2026-10-22</v>
      </c>
      <c r="U19" s="63">
        <f>T19-S19</f>
        <v>46317</v>
      </c>
      <c r="V19" s="186" t="n"/>
      <c r="W19" s="61" t="str">
        <f>VLOOKUP(A19,'3.GateMove'!A:D,4,FALSE)</f>
        <v>2026-10-16</v>
      </c>
      <c r="X19" s="63">
        <f>((T19-W19)+1)</f>
        <v>7</v>
      </c>
      <c r="Y19" s="64">
        <f>IF(AND(OR(C19="BKK01",C19="BKK04"),L19="CFS/CY"),0,IF(M19="DG",1,IF(LEFT(C19,3)="LCH",7,IF(C19="BKK02",5,3))))</f>
        <v>5</v>
      </c>
      <c r="Z19" s="63">
        <f>IF(IF(AND(AC19="TML",AB19&gt;0),((T19-W19)+1)-AB19,((T19-W19)+1)-Y19)&gt;0,IF(AND(AC19="TML",AB19&gt;0),((T19-W19)+1)-AB19,((T19-W19)+1)-Y19),0)</f>
        <v>2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100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46318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100</v>
      </c>
      <c r="AJ19" s="188" t="n"/>
      <c r="AK19" s="62" t="str">
        <f>VLOOKUP(D19,'2.Bookinglist'!A:CT,40,FALSE)</f>
        <v>Nannaapust Sukporntaweewat</v>
      </c>
      <c r="AL19" s="60" t="str">
        <f>VLOOKUP(D19,'2.Bookinglist'!A:CW,101,FALSE)</f>
        <v>2026-10-19</v>
      </c>
      <c r="AM19" s="60" t="str">
        <f>VLOOKUP(D19,'2.Bookinglist'!A:BK,63,FALSE)</f>
        <v>BKK02</v>
      </c>
      <c r="AN19" s="62" t="str">
        <f>VLOOKUP(D19,'2.Bookinglist'!A:AZ,52,FALSE)</f>
        <v>STUFFING CARGO @UINTHAI DD.16/10/26 CLS TIME CFS DD.16/10/26 - 17:00HRS.
</v>
      </c>
      <c r="AO19" s="62">
        <f>VLOOKUP(D19,'2.Bookinglist'!A:CY,103,FALSE)</f>
        <v>0</v>
      </c>
    </row>
    <row r="20" ht="12.95" customHeight="1">
      <c r="A20" s="96" t="inlineStr">
        <is>
          <t>HALU2563215</t>
        </is>
      </c>
      <c r="B20" s="184" t="str">
        <f>IF(C20=Charge!$M$1,Charge!$J$1,IF(C20=Charge!$M$23,Charge!$J$23,IF(C20=Charge!$M$17,Charge!$J$17,IF(C20=Charge!$N$17,Charge!$J$17,Charge!$J$7))))</f>
        <v>G4</v>
      </c>
      <c r="C20" s="61" t="str">
        <f>VLOOKUP(A20,'1.Loading'!A:R,14,FALSE)</f>
        <v>BKK02</v>
      </c>
      <c r="D20" s="61" t="str">
        <f>VLOOKUP(A20,'1.Loading'!A:R,17,FALSE)</f>
        <v>HASLS22261000844</v>
      </c>
      <c r="E20" s="62" t="str">
        <f>VLOOKUP(D20,'2.Bookinglist'!A:CT,27,FALSE)</f>
        <v>HAST LOGISTICS CO., LTD.</v>
      </c>
      <c r="F20" s="62" t="str">
        <f>VLOOKUP(D20,'2.Bookinglist'!A:CT,28,FALSE)</f>
        <v>BANGKOK THAI-RUS INTERCORP CO., 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KRINC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SWAL</v>
      </c>
      <c r="P20" s="61" t="str">
        <f>VLOOKUP(A20,'1.Loading'!A:R,4,FALSE)</f>
        <v>2609N</v>
      </c>
      <c r="Q20" s="61" t="str">
        <f>VLOOKUP(D20,'2.Bookinglist'!A:CT,12,FALSE)</f>
        <v>KST</v>
      </c>
      <c r="R20" s="60" t="str">
        <f>IF(LEFT(K20,2)="22","20'","40'")</f>
        <v>20'</v>
      </c>
      <c r="S20" s="185" t="n"/>
      <c r="T20" s="61" t="str">
        <f>VLOOKUP(A20,'1.Loading'!A:R,2,FALSE)</f>
        <v>2026-10-22</v>
      </c>
      <c r="U20" s="63">
        <f>T20-S20</f>
        <v>46317</v>
      </c>
      <c r="V20" s="186" t="n"/>
      <c r="W20" s="61" t="str">
        <f>VLOOKUP(A20,'3.GateMove'!A:D,4,FALSE)</f>
        <v>2026-10-17</v>
      </c>
      <c r="X20" s="63">
        <f>((T20-W20)+1)</f>
        <v>6</v>
      </c>
      <c r="Y20" s="64">
        <f>IF(AND(OR(C20="BKK01",C20="BKK04"),L20="CFS/CY"),0,IF(M20="DG",1,IF(LEFT(C20,3)="LCH",7,IF(C20="BKK02",5,3))))</f>
        <v>5</v>
      </c>
      <c r="Z20" s="63">
        <f>IF(IF(AND(AC20="TML",AB20&gt;0),((T20-W20)+1)-AB20,((T20-W20)+1)-Y20)&gt;0,IF(AND(AC20="TML",AB20&gt;0),((T20-W20)+1)-AB20,((T20-W20)+1)-Y20),0)</f>
        <v>1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50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46318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50</v>
      </c>
      <c r="AJ20" s="188" t="n"/>
      <c r="AK20" s="62" t="str">
        <f>VLOOKUP(D20,'2.Bookinglist'!A:CT,40,FALSE)</f>
        <v>Lee suk hyun</v>
      </c>
      <c r="AL20" s="60" t="str">
        <f>VLOOKUP(D20,'2.Bookinglist'!A:CW,101,FALSE)</f>
        <v>2026-10-20</v>
      </c>
      <c r="AM20" s="60" t="str">
        <f>VLOOKUP(D20,'2.Bookinglist'!A:BK,63,FALSE)</f>
        <v>BKK27</v>
      </c>
      <c r="AN20" s="62" t="str">
        <f>VLOOKUP(D20,'2.Bookinglist'!A:AZ,52,FALSE)</f>
        <v>Pickup : 2026-10-15, Return : 2026-10-17 </v>
      </c>
      <c r="AO20" s="62">
        <f>VLOOKUP(D20,'2.Bookinglist'!A:CY,103,FALSE)</f>
        <v>0</v>
      </c>
    </row>
    <row r="21" ht="12.95" customHeight="1">
      <c r="A21" s="96" t="inlineStr">
        <is>
          <t>HALU2572860</t>
        </is>
      </c>
      <c r="B21" s="184" t="str">
        <f>IF(C21=Charge!$M$1,Charge!$J$1,IF(C21=Charge!$M$23,Charge!$J$23,IF(C21=Charge!$M$17,Charge!$J$17,IF(C21=Charge!$N$17,Charge!$J$17,Charge!$J$7))))</f>
        <v>G4</v>
      </c>
      <c r="C21" s="61" t="str">
        <f>VLOOKUP(A21,'1.Loading'!A:R,14,FALSE)</f>
        <v>BKK02</v>
      </c>
      <c r="D21" s="61" t="str">
        <f>VLOOKUP(A21,'1.Loading'!A:R,17,FALSE)</f>
        <v>HASLS22260901757</v>
      </c>
      <c r="E21" s="62" t="str">
        <f>VLOOKUP(D21,'2.Bookinglist'!A:CT,27,FALSE)</f>
        <v>PROFREIGHT INTERNATIONAL CO., LTD.</v>
      </c>
      <c r="F21" s="62" t="str">
        <f>VLOOKUP(D21,'2.Bookinglist'!A:CT,28,FALSE)</f>
        <v>SIAM BROTHERS CORP.,LTD.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CFS/CY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SWAL</v>
      </c>
      <c r="P21" s="61" t="str">
        <f>VLOOKUP(A21,'1.Loading'!A:R,4,FALSE)</f>
        <v>2609N</v>
      </c>
      <c r="Q21" s="61" t="str">
        <f>VLOOKUP(D21,'2.Bookinglist'!A:CT,12,FALSE)</f>
        <v>KST</v>
      </c>
      <c r="R21" s="60" t="str">
        <f>IF(LEFT(K21,2)="22","20'","40'")</f>
        <v>20'</v>
      </c>
      <c r="S21" s="185" t="n"/>
      <c r="T21" s="61" t="str">
        <f>VLOOKUP(A21,'1.Loading'!A:R,2,FALSE)</f>
        <v>2026-10-22</v>
      </c>
      <c r="U21" s="63">
        <f>T21-S21</f>
        <v>46317</v>
      </c>
      <c r="V21" s="186" t="n"/>
      <c r="W21" s="61" t="str">
        <f>VLOOKUP(A21,'3.GateMove'!A:D,4,FALSE)</f>
        <v>2026-10-16</v>
      </c>
      <c r="X21" s="63">
        <f>((T21-W21)+1)</f>
        <v>7</v>
      </c>
      <c r="Y21" s="64">
        <f>IF(AND(OR(C21="BKK01",C21="BKK04"),L21="CFS/CY"),0,IF(M21="DG",1,IF(LEFT(C21,3)="LCH",7,IF(C21="BKK02",5,3))))</f>
        <v>5</v>
      </c>
      <c r="Z21" s="63">
        <f>IF(IF(AND(AC21="TML",AB21&gt;0),((T21-W21)+1)-AB21,((T21-W21)+1)-Y21)&gt;0,IF(AND(AC21="TML",AB21&gt;0),((T21-W21)+1)-AB21,((T21-W21)+1)-Y21),0)</f>
        <v>2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100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46318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100</v>
      </c>
      <c r="AJ21" s="188" t="n"/>
      <c r="AK21" s="62" t="str">
        <f>VLOOKUP(D21,'2.Bookinglist'!A:CT,40,FALSE)</f>
        <v>Nustsireerach</v>
      </c>
      <c r="AL21" s="60" t="str">
        <f>VLOOKUP(D21,'2.Bookinglist'!A:CW,101,FALSE)</f>
        <v>2026-10-20</v>
      </c>
      <c r="AM21" s="60" t="str">
        <f>VLOOKUP(D21,'2.Bookinglist'!A:BK,63,FALSE)</f>
        <v>BKK02</v>
      </c>
      <c r="AN21" s="62" t="str">
        <f>VLOOKUP(D21,'2.Bookinglist'!A:AZ,52,FALSE)</f>
        <v>STUFFING CARGO @UNITHAI  DD.16/10/26 CLS TIME CFS DD.16/10/26 - 17:00HRS.
</v>
      </c>
      <c r="AO21" s="62">
        <f>VLOOKUP(D21,'2.Bookinglist'!A:CY,103,FALSE)</f>
        <v>0</v>
      </c>
    </row>
    <row r="22" ht="12.95" customHeight="1">
      <c r="A22" s="96" t="inlineStr">
        <is>
          <t>HALU2585810</t>
        </is>
      </c>
      <c r="B22" s="184" t="str">
        <f>IF(C22=Charge!$M$1,Charge!$J$1,IF(C22=Charge!$M$23,Charge!$J$23,IF(C22=Charge!$M$17,Charge!$J$17,IF(C22=Charge!$N$17,Charge!$J$17,Charge!$J$7))))</f>
        <v>G4</v>
      </c>
      <c r="C22" s="61" t="str">
        <f>VLOOKUP(A22,'1.Loading'!A:R,14,FALSE)</f>
        <v>BKK02</v>
      </c>
      <c r="D22" s="61" t="str">
        <f>VLOOKUP(A22,'1.Loading'!A:R,17,FALSE)</f>
        <v>HASLS22260902436</v>
      </c>
      <c r="E22" s="62" t="str">
        <f>VLOOKUP(D22,'2.Bookinglist'!A:CT,27,FALSE)</f>
        <v>ACCORD PILOT LOGISTICS (THAILAND) CO., LTD.</v>
      </c>
      <c r="F22" s="62" t="str">
        <f>VLOOKUP(D22,'2.Bookinglist'!A:CT,28,FALSE)</f>
        <v>Q PLUS CONCEPT CO.,LTD.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SWAL</v>
      </c>
      <c r="P22" s="61" t="str">
        <f>VLOOKUP(A22,'1.Loading'!A:R,4,FALSE)</f>
        <v>2609N</v>
      </c>
      <c r="Q22" s="61" t="str">
        <f>VLOOKUP(D22,'2.Bookinglist'!A:CT,12,FALSE)</f>
        <v>KST</v>
      </c>
      <c r="R22" s="60" t="str">
        <f>IF(LEFT(K22,2)="22","20'","40'")</f>
        <v>20'</v>
      </c>
      <c r="S22" s="185" t="n"/>
      <c r="T22" s="61" t="str">
        <f>VLOOKUP(A22,'1.Loading'!A:R,2,FALSE)</f>
        <v>2026-10-22</v>
      </c>
      <c r="U22" s="63">
        <f>T22-S22</f>
        <v>46317</v>
      </c>
      <c r="V22" s="186" t="n"/>
      <c r="W22" s="61" t="str">
        <f>VLOOKUP(A22,'3.GateMove'!A:D,4,FALSE)</f>
        <v>2026-10-12</v>
      </c>
      <c r="X22" s="63">
        <f>((T22-W22)+1)</f>
        <v>11</v>
      </c>
      <c r="Y22" s="64">
        <f>IF(AND(OR(C22="BKK01",C22="BKK04"),L22="CFS/CY"),0,IF(M22="DG",1,IF(LEFT(C22,3)="LCH",7,IF(C22="BKK02",5,3))))</f>
        <v>5</v>
      </c>
      <c r="Z22" s="63">
        <f>IF(IF(AND(AC22="TML",AB22&gt;0),((T22-W22)+1)-AB22,((T22-W22)+1)-Y22)&gt;0,IF(AND(AC22="TML",AB22&gt;0),((T22-W22)+1)-AB22,((T22-W22)+1)-Y22),0)</f>
        <v>6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300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46318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300</v>
      </c>
      <c r="AJ22" s="188" t="n"/>
      <c r="AK22" s="62" t="str">
        <f>VLOOKUP(D22,'2.Bookinglist'!A:CT,40,FALSE)</f>
        <v>Kanokporn</v>
      </c>
      <c r="AL22" s="60" t="str">
        <f>VLOOKUP(D22,'2.Bookinglist'!A:CW,101,FALSE)</f>
        <v>2026-10-21</v>
      </c>
      <c r="AM22" s="60" t="str">
        <f>VLOOKUP(D22,'2.Bookinglist'!A:BK,63,FALSE)</f>
        <v>BKK27</v>
      </c>
      <c r="AN22" s="62" t="str">
        <f>VLOOKUP(D22,'2.Bookinglist'!A:AZ,52,FALSE)</f>
        <v>Pickup : 2026-10-10, Return : 2026-10-12</v>
      </c>
      <c r="AO22" s="62" t="str">
        <f>VLOOKUP(D22,'2.Bookinglist'!A:CY,103,FALSE)</f>
        <v>ROLL OVER FORM PREVIOUS VSL SWAL 2609N BY ALLOCATION TEAM MS.TARN APRPOVED COST IS UNDER HA DD.15/10</v>
      </c>
    </row>
    <row r="23" ht="12.95" customHeight="1">
      <c r="A23" s="96" t="inlineStr">
        <is>
          <t>HALU5681952</t>
        </is>
      </c>
      <c r="B23" s="184" t="str">
        <f>IF(C23=Charge!$M$1,Charge!$J$1,IF(C23=Charge!$M$23,Charge!$J$23,IF(C23=Charge!$M$17,Charge!$J$17,IF(C23=Charge!$N$17,Charge!$J$17,Charge!$J$7))))</f>
        <v>G4</v>
      </c>
      <c r="C23" s="61" t="str">
        <f>VLOOKUP(A23,'1.Loading'!A:R,14,FALSE)</f>
        <v>BKK02</v>
      </c>
      <c r="D23" s="61" t="str">
        <f>VLOOKUP(A23,'1.Loading'!A:R,17,FALSE)</f>
        <v>HASLS22260902444</v>
      </c>
      <c r="E23" s="62" t="str">
        <f>VLOOKUP(D23,'2.Bookinglist'!A:CT,27,FALSE)</f>
        <v>CAPRICORN LOGISTICS CO., LTD.</v>
      </c>
      <c r="F23" s="62" t="str">
        <f>VLOOKUP(D23,'2.Bookinglist'!A:CT,28,FALSE)</f>
        <v>SWAN INDUSTRIES (THAILAND)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SWAL</v>
      </c>
      <c r="P23" s="61" t="str">
        <f>VLOOKUP(A23,'1.Loading'!A:R,4,FALSE)</f>
        <v>2609N</v>
      </c>
      <c r="Q23" s="61" t="str">
        <f>VLOOKUP(D23,'2.Bookinglist'!A:CT,12,FALSE)</f>
        <v>KST</v>
      </c>
      <c r="R23" s="60" t="str">
        <f>IF(LEFT(K23,2)="22","20'","40'")</f>
        <v>40'</v>
      </c>
      <c r="S23" s="185" t="n"/>
      <c r="T23" s="61" t="str">
        <f>VLOOKUP(A23,'1.Loading'!A:R,2,FALSE)</f>
        <v>2026-10-22</v>
      </c>
      <c r="U23" s="63">
        <f>T23-S23</f>
        <v>46317</v>
      </c>
      <c r="V23" s="186" t="n"/>
      <c r="W23" s="61" t="str">
        <f>VLOOKUP(A23,'3.GateMove'!A:D,4,FALSE)</f>
        <v>2026-10-15</v>
      </c>
      <c r="X23" s="63">
        <f>((T23-W23)+1)</f>
        <v>8</v>
      </c>
      <c r="Y23" s="64">
        <f>IF(AND(OR(C23="BKK01",C23="BKK04"),L23="CFS/CY"),0,IF(M23="DG",1,IF(LEFT(C23,3)="LCH",7,IF(C23="BKK02",5,3))))</f>
        <v>5</v>
      </c>
      <c r="Z23" s="63">
        <f>IF(IF(AND(AC23="TML",AB23&gt;0),((T23-W23)+1)-AB23,((T23-W23)+1)-Y23)&gt;0,IF(AND(AC23="TML",AB23&gt;0),((T23-W23)+1)-AB23,((T23-W23)+1)-Y23),0)</f>
        <v>3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300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46318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300</v>
      </c>
      <c r="AJ23" s="188" t="n"/>
      <c r="AK23" s="62" t="str">
        <f>VLOOKUP(D23,'2.Bookinglist'!A:CT,40,FALSE)</f>
        <v>Nguyen Xuan Toan</v>
      </c>
      <c r="AL23" s="60" t="str">
        <f>VLOOKUP(D23,'2.Bookinglist'!A:CW,101,FALSE)</f>
        <v>2026-10-19</v>
      </c>
      <c r="AM23" s="60" t="str">
        <f>VLOOKUP(D23,'2.Bookinglist'!A:BK,63,FALSE)</f>
        <v>BKK27</v>
      </c>
      <c r="AN23" s="62" t="str">
        <f>VLOOKUP(D23,'2.Bookinglist'!A:AZ,52,FALSE)</f>
        <v>Pickup : 2026-10-14, Return : 2026-10-15 </v>
      </c>
      <c r="AO23" s="62">
        <f>VLOOKUP(D23,'2.Bookinglist'!A:CY,103,FALSE)</f>
        <v>0</v>
      </c>
    </row>
    <row r="24" ht="12.95" customHeight="1">
      <c r="A24" s="96" t="inlineStr">
        <is>
          <t>HLHU6404310</t>
        </is>
      </c>
      <c r="B24" s="184" t="str">
        <f>IF(C24=Charge!$M$1,Charge!$J$1,IF(C24=Charge!$M$23,Charge!$J$23,IF(C24=Charge!$M$17,Charge!$J$17,IF(C24=Charge!$N$17,Charge!$J$17,Charge!$J$7))))</f>
        <v>G4</v>
      </c>
      <c r="C24" s="61" t="str">
        <f>VLOOKUP(A24,'1.Loading'!A:R,14,FALSE)</f>
        <v>BKK02</v>
      </c>
      <c r="D24" s="61" t="str">
        <f>VLOOKUP(A24,'1.Loading'!A:R,17,FALSE)</f>
        <v>HASLS22260900821</v>
      </c>
      <c r="E24" s="62" t="str">
        <f>VLOOKUP(D24,'2.Bookinglist'!A:CT,27,FALSE)</f>
        <v>YOUNGSUWAT TRADING CO.,LTD.</v>
      </c>
      <c r="F24" s="62" t="str">
        <f>VLOOKUP(D24,'2.Bookinglist'!A:CT,28,FALSE)</f>
        <v>YOUNGSUWAT TRADING CO.,LTD.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JPTKS</v>
      </c>
      <c r="J24" s="61" t="str">
        <f>VLOOKUP(D24,'2.Bookinglist'!A:CT,26,FALSE)</f>
        <v>KRPUS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SWAL</v>
      </c>
      <c r="P24" s="61" t="str">
        <f>VLOOKUP(A24,'1.Loading'!A:R,4,FALSE)</f>
        <v>2609N</v>
      </c>
      <c r="Q24" s="61" t="str">
        <f>VLOOKUP(D24,'2.Bookinglist'!A:CT,12,FALSE)</f>
        <v>KST</v>
      </c>
      <c r="R24" s="60" t="str">
        <f>IF(LEFT(K24,2)="22","20'","40'")</f>
        <v>40'</v>
      </c>
      <c r="S24" s="185" t="n"/>
      <c r="T24" s="61" t="str">
        <f>VLOOKUP(A24,'1.Loading'!A:R,2,FALSE)</f>
        <v>2026-10-22</v>
      </c>
      <c r="U24" s="63">
        <f>T24-S24</f>
        <v>46317</v>
      </c>
      <c r="V24" s="186" t="n"/>
      <c r="W24" s="61" t="str">
        <f>VLOOKUP(A24,'3.GateMove'!A:D,4,FALSE)</f>
        <v>2026-10-16</v>
      </c>
      <c r="X24" s="63">
        <f>((T24-W24)+1)</f>
        <v>7</v>
      </c>
      <c r="Y24" s="64">
        <f>IF(AND(OR(C24="BKK01",C24="BKK04"),L24="CFS/CY"),0,IF(M24="DG",1,IF(LEFT(C24,3)="LCH",7,IF(C24="BKK02",5,3))))</f>
        <v>5</v>
      </c>
      <c r="Z24" s="63">
        <f>IF(IF(AND(AC24="TML",AB24&gt;0),((T24-W24)+1)-AB24,((T24-W24)+1)-Y24)&gt;0,IF(AND(AC24="TML",AB24&gt;0),((T24-W24)+1)-AB24,((T24-W24)+1)-Y24),0)</f>
        <v>2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200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46318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200</v>
      </c>
      <c r="AJ24" s="188" t="n"/>
      <c r="AK24" s="62" t="str">
        <f>VLOOKUP(D24,'2.Bookinglist'!A:CT,40,FALSE)</f>
        <v>Vilaiporn</v>
      </c>
      <c r="AL24" s="60" t="str">
        <f>VLOOKUP(D24,'2.Bookinglist'!A:CW,101,FALSE)</f>
        <v>2026-10-19</v>
      </c>
      <c r="AM24" s="60" t="str">
        <f>VLOOKUP(D24,'2.Bookinglist'!A:BK,63,FALSE)</f>
        <v>BKK27</v>
      </c>
      <c r="AN24" s="62" t="str">
        <f>VLOOKUP(D24,'2.Bookinglist'!A:AZ,52,FALSE)</f>
        <v>[FIX]Pickup : 2026-10-14, Return : 2026-10-15</v>
      </c>
      <c r="AO24" s="62">
        <f>VLOOKUP(D24,'2.Bookinglist'!A:CY,103,FALSE)</f>
        <v>0</v>
      </c>
    </row>
    <row r="25" ht="12.95" customHeight="1">
      <c r="A25" s="96" t="inlineStr">
        <is>
          <t>HLHU8322165</t>
        </is>
      </c>
      <c r="B25" s="184" t="str">
        <f>IF(C25=Charge!$M$1,Charge!$J$1,IF(C25=Charge!$M$23,Charge!$J$23,IF(C25=Charge!$M$17,Charge!$J$17,IF(C25=Charge!$N$17,Charge!$J$17,Charge!$J$7))))</f>
        <v>G4</v>
      </c>
      <c r="C25" s="61" t="str">
        <f>VLOOKUP(A25,'1.Loading'!A:R,14,FALSE)</f>
        <v>BKK02</v>
      </c>
      <c r="D25" s="61" t="str">
        <f>VLOOKUP(A25,'1.Loading'!A:R,17,FALSE)</f>
        <v>HASLS22260902491</v>
      </c>
      <c r="E25" s="62" t="str">
        <f>VLOOKUP(D25,'2.Bookinglist'!A:CT,27,FALSE)</f>
        <v>BEE LOGISTICS (THAILAND) CO., LTD.</v>
      </c>
      <c r="F25" s="62" t="str">
        <f>VLOOKUP(D25,'2.Bookinglist'!A:CT,28,FALSE)</f>
        <v>DEESTONE CORPORATION PUBLIC COMPANY LIMITED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VNSGN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SWAL</v>
      </c>
      <c r="P25" s="61" t="str">
        <f>VLOOKUP(A25,'1.Loading'!A:R,4,FALSE)</f>
        <v>2609N</v>
      </c>
      <c r="Q25" s="61" t="str">
        <f>VLOOKUP(D25,'2.Bookinglist'!A:CT,12,FALSE)</f>
        <v>KST</v>
      </c>
      <c r="R25" s="60" t="str">
        <f>IF(LEFT(K25,2)="22","20'","40'")</f>
        <v>40'</v>
      </c>
      <c r="S25" s="185" t="n"/>
      <c r="T25" s="61" t="str">
        <f>VLOOKUP(A25,'1.Loading'!A:R,2,FALSE)</f>
        <v>2026-10-22</v>
      </c>
      <c r="U25" s="63">
        <f>T25-S25</f>
        <v>46317</v>
      </c>
      <c r="V25" s="186" t="n"/>
      <c r="W25" s="61" t="str">
        <f>VLOOKUP(A25,'3.GateMove'!A:D,4,FALSE)</f>
        <v>2026-10-16</v>
      </c>
      <c r="X25" s="63">
        <f>((T25-W25)+1)</f>
        <v>7</v>
      </c>
      <c r="Y25" s="64">
        <f>IF(AND(OR(C25="BKK01",C25="BKK04"),L25="CFS/CY"),0,IF(M25="DG",1,IF(LEFT(C25,3)="LCH",7,IF(C25="BKK02",5,3))))</f>
        <v>5</v>
      </c>
      <c r="Z25" s="63">
        <f>IF(IF(AND(AC25="TML",AB25&gt;0),((T25-W25)+1)-AB25,((T25-W25)+1)-Y25)&gt;0,IF(AND(AC25="TML",AB25&gt;0),((T25-W25)+1)-AB25,((T25-W25)+1)-Y25),0)</f>
        <v>2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200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46318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200</v>
      </c>
      <c r="AJ25" s="188" t="n"/>
      <c r="AK25" s="62" t="str">
        <f>VLOOKUP(D25,'2.Bookinglist'!A:CT,40,FALSE)</f>
        <v>Nustsireerach</v>
      </c>
      <c r="AL25" s="60" t="str">
        <f>VLOOKUP(D25,'2.Bookinglist'!A:CW,101,FALSE)</f>
        <v>2026-10-19</v>
      </c>
      <c r="AM25" s="60" t="str">
        <f>VLOOKUP(D25,'2.Bookinglist'!A:BK,63,FALSE)</f>
        <v>BKK27</v>
      </c>
      <c r="AN25" s="62" t="str">
        <f>VLOOKUP(D25,'2.Bookinglist'!A:AZ,52,FALSE)</f>
        <v>Pickup : 2026-10-14, Return : 2026-10-15</v>
      </c>
      <c r="AO25" s="62">
        <f>VLOOKUP(D25,'2.Bookinglist'!A:CY,103,FALSE)</f>
        <v>0</v>
      </c>
    </row>
    <row r="26" ht="12.95" customHeight="1">
      <c r="A26" s="96" t="inlineStr">
        <is>
          <t>HLHU8365188</t>
        </is>
      </c>
      <c r="B26" s="184" t="str">
        <f>IF(C26=Charge!$M$1,Charge!$J$1,IF(C26=Charge!$M$23,Charge!$J$23,IF(C26=Charge!$M$17,Charge!$J$17,IF(C26=Charge!$N$17,Charge!$J$17,Charge!$J$7))))</f>
        <v>G4</v>
      </c>
      <c r="C26" s="61" t="str">
        <f>VLOOKUP(A26,'1.Loading'!A:R,14,FALSE)</f>
        <v>BKK02</v>
      </c>
      <c r="D26" s="61" t="str">
        <f>VLOOKUP(A26,'1.Loading'!A:R,17,FALSE)</f>
        <v>HASLS22260902439</v>
      </c>
      <c r="E26" s="62" t="str">
        <f>VLOOKUP(D26,'2.Bookinglist'!A:CT,27,FALSE)</f>
        <v>CAPRICORN LOGISTICS CO., LTD.</v>
      </c>
      <c r="F26" s="62" t="str">
        <f>VLOOKUP(D26,'2.Bookinglist'!A:CT,28,FALSE)</f>
        <v>SWAN INDUSTRIES (THAILAND)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VNSGN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SWAL</v>
      </c>
      <c r="P26" s="61" t="str">
        <f>VLOOKUP(A26,'1.Loading'!A:R,4,FALSE)</f>
        <v>2609N</v>
      </c>
      <c r="Q26" s="61" t="str">
        <f>VLOOKUP(D26,'2.Bookinglist'!A:CT,12,FALSE)</f>
        <v>KST</v>
      </c>
      <c r="R26" s="60" t="str">
        <f>IF(LEFT(K26,2)="22","20'","40'")</f>
        <v>40'</v>
      </c>
      <c r="S26" s="185" t="n"/>
      <c r="T26" s="61" t="str">
        <f>VLOOKUP(A26,'1.Loading'!A:R,2,FALSE)</f>
        <v>2026-10-22</v>
      </c>
      <c r="U26" s="63">
        <f>T26-S26</f>
        <v>46317</v>
      </c>
      <c r="V26" s="186" t="n"/>
      <c r="W26" s="61" t="str">
        <f>VLOOKUP(A26,'3.GateMove'!A:D,4,FALSE)</f>
        <v>2026-10-16</v>
      </c>
      <c r="X26" s="63">
        <f>((T26-W26)+1)</f>
        <v>7</v>
      </c>
      <c r="Y26" s="64">
        <f>IF(AND(OR(C26="BKK01",C26="BKK04"),L26="CFS/CY"),0,IF(M26="DG",1,IF(LEFT(C26,3)="LCH",7,IF(C26="BKK02",5,3))))</f>
        <v>5</v>
      </c>
      <c r="Z26" s="63">
        <f>IF(IF(AND(AC26="TML",AB26&gt;0),((T26-W26)+1)-AB26,((T26-W26)+1)-Y26)&gt;0,IF(AND(AC26="TML",AB26&gt;0),((T26-W26)+1)-AB26,((T26-W26)+1)-Y26),0)</f>
        <v>2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200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46318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200</v>
      </c>
      <c r="AJ26" s="188" t="n"/>
      <c r="AK26" s="62" t="str">
        <f>VLOOKUP(D26,'2.Bookinglist'!A:CT,40,FALSE)</f>
        <v>Nguyen Xuan Toan</v>
      </c>
      <c r="AL26" s="60" t="str">
        <f>VLOOKUP(D26,'2.Bookinglist'!A:CW,101,FALSE)</f>
        <v>2026-10-19</v>
      </c>
      <c r="AM26" s="60" t="str">
        <f>VLOOKUP(D26,'2.Bookinglist'!A:BK,63,FALSE)</f>
        <v>BKK27</v>
      </c>
      <c r="AN26" s="62" t="str">
        <f>VLOOKUP(D26,'2.Bookinglist'!A:AZ,52,FALSE)</f>
        <v>Pickup : 2026-10-14, Return : 2026-10-15</v>
      </c>
      <c r="AO26" s="62">
        <f>VLOOKUP(D26,'2.Bookinglist'!A:CY,103,FALSE)</f>
        <v>0</v>
      </c>
    </row>
    <row r="27" ht="12.95" customHeight="1">
      <c r="A27" s="96" t="inlineStr">
        <is>
          <t>HLHU8403098</t>
        </is>
      </c>
      <c r="B27" s="184" t="str">
        <f>IF(C27=Charge!$M$1,Charge!$J$1,IF(C27=Charge!$M$23,Charge!$J$23,IF(C27=Charge!$M$17,Charge!$J$17,IF(C27=Charge!$N$17,Charge!$J$17,Charge!$J$7))))</f>
        <v>G4</v>
      </c>
      <c r="C27" s="61" t="str">
        <f>VLOOKUP(A27,'1.Loading'!A:R,14,FALSE)</f>
        <v>BKK02</v>
      </c>
      <c r="D27" s="61" t="str">
        <f>VLOOKUP(A27,'1.Loading'!A:R,17,FALSE)</f>
        <v>HASLS22260902444</v>
      </c>
      <c r="E27" s="62" t="str">
        <f>VLOOKUP(D27,'2.Bookinglist'!A:CT,27,FALSE)</f>
        <v>CAPRICORN LOGISTICS CO., LTD.</v>
      </c>
      <c r="F27" s="62" t="str">
        <f>VLOOKUP(D27,'2.Bookinglist'!A:CT,28,FALSE)</f>
        <v>SWAN INDUSTRIES (THAILAND)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VNSGN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SWAL</v>
      </c>
      <c r="P27" s="61" t="str">
        <f>VLOOKUP(A27,'1.Loading'!A:R,4,FALSE)</f>
        <v>2609N</v>
      </c>
      <c r="Q27" s="61" t="str">
        <f>VLOOKUP(D27,'2.Bookinglist'!A:CT,12,FALSE)</f>
        <v>KST</v>
      </c>
      <c r="R27" s="60" t="str">
        <f>IF(LEFT(K27,2)="22","20'","40'")</f>
        <v>40'</v>
      </c>
      <c r="S27" s="185" t="n"/>
      <c r="T27" s="61" t="str">
        <f>VLOOKUP(A27,'1.Loading'!A:R,2,FALSE)</f>
        <v>2026-10-22</v>
      </c>
      <c r="U27" s="63">
        <f>T27-S27</f>
        <v>46317</v>
      </c>
      <c r="V27" s="186" t="n"/>
      <c r="W27" s="61" t="str">
        <f>VLOOKUP(A27,'3.GateMove'!A:D,4,FALSE)</f>
        <v>2026-10-16</v>
      </c>
      <c r="X27" s="63">
        <f>((T27-W27)+1)</f>
        <v>7</v>
      </c>
      <c r="Y27" s="64">
        <f>IF(AND(OR(C27="BKK01",C27="BKK04"),L27="CFS/CY"),0,IF(M27="DG",1,IF(LEFT(C27,3)="LCH",7,IF(C27="BKK02",5,3))))</f>
        <v>5</v>
      </c>
      <c r="Z27" s="63">
        <f>IF(IF(AND(AC27="TML",AB27&gt;0),((T27-W27)+1)-AB27,((T27-W27)+1)-Y27)&gt;0,IF(AND(AC27="TML",AB27&gt;0),((T27-W27)+1)-AB27,((T27-W27)+1)-Y27),0)</f>
        <v>2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200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46318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200</v>
      </c>
      <c r="AJ27" s="188" t="n"/>
      <c r="AK27" s="62" t="str">
        <f>VLOOKUP(D27,'2.Bookinglist'!A:CT,40,FALSE)</f>
        <v>Nguyen Xuan Toan</v>
      </c>
      <c r="AL27" s="60" t="str">
        <f>VLOOKUP(D27,'2.Bookinglist'!A:CW,101,FALSE)</f>
        <v>2026-10-19</v>
      </c>
      <c r="AM27" s="60" t="str">
        <f>VLOOKUP(D27,'2.Bookinglist'!A:BK,63,FALSE)</f>
        <v>BKK27</v>
      </c>
      <c r="AN27" s="62" t="str">
        <f>VLOOKUP(D27,'2.Bookinglist'!A:AZ,52,FALSE)</f>
        <v>Pickup : 2026-10-14, Return : 2026-10-15 </v>
      </c>
      <c r="AO27" s="62">
        <f>VLOOKUP(D27,'2.Bookinglist'!A:CY,103,FALSE)</f>
        <v>0</v>
      </c>
    </row>
    <row r="28" ht="12.95" customHeight="1">
      <c r="A28" s="96" t="inlineStr">
        <is>
          <t>HLHU8436039</t>
        </is>
      </c>
      <c r="B28" s="184" t="str">
        <f>IF(C28=Charge!$M$1,Charge!$J$1,IF(C28=Charge!$M$23,Charge!$J$23,IF(C28=Charge!$M$17,Charge!$J$17,IF(C28=Charge!$N$17,Charge!$J$17,Charge!$J$7))))</f>
        <v>G4</v>
      </c>
      <c r="C28" s="61" t="str">
        <f>VLOOKUP(A28,'1.Loading'!A:R,14,FALSE)</f>
        <v>BKK02</v>
      </c>
      <c r="D28" s="61" t="str">
        <f>VLOOKUP(A28,'1.Loading'!A:R,17,FALSE)</f>
        <v>HASLS22261000779</v>
      </c>
      <c r="E28" s="62" t="str">
        <f>VLOOKUP(D28,'2.Bookinglist'!A:CT,27,FALSE)</f>
        <v>TOSHIBA LOGISTICS (THAILAND) CO., LTD.</v>
      </c>
      <c r="F28" s="62" t="str">
        <f>VLOOKUP(D28,'2.Bookinglist'!A:CT,28,FALSE)</f>
        <v> CARRIER AIR CONDITIONING (THAILAND) CO.,LTD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SWAL</v>
      </c>
      <c r="P28" s="61" t="str">
        <f>VLOOKUP(A28,'1.Loading'!A:R,4,FALSE)</f>
        <v>2609N</v>
      </c>
      <c r="Q28" s="61" t="str">
        <f>VLOOKUP(D28,'2.Bookinglist'!A:CT,12,FALSE)</f>
        <v>KST</v>
      </c>
      <c r="R28" s="60" t="str">
        <f>IF(LEFT(K28,2)="22","20'","40'")</f>
        <v>40'</v>
      </c>
      <c r="S28" s="185" t="n"/>
      <c r="T28" s="61" t="str">
        <f>VLOOKUP(A28,'1.Loading'!A:R,2,FALSE)</f>
        <v>2026-10-22</v>
      </c>
      <c r="U28" s="63">
        <f>T28-S28</f>
        <v>46317</v>
      </c>
      <c r="V28" s="186" t="n"/>
      <c r="W28" s="61" t="str">
        <f>VLOOKUP(A28,'3.GateMove'!A:D,4,FALSE)</f>
        <v>2026-10-16</v>
      </c>
      <c r="X28" s="63">
        <f>((T28-W28)+1)</f>
        <v>7</v>
      </c>
      <c r="Y28" s="64">
        <f>IF(AND(OR(C28="BKK01",C28="BKK04"),L28="CFS/CY"),0,IF(M28="DG",1,IF(LEFT(C28,3)="LCH",7,IF(C28="BKK02",5,3))))</f>
        <v>5</v>
      </c>
      <c r="Z28" s="63">
        <f>IF(IF(AND(AC28="TML",AB28&gt;0),((T28-W28)+1)-AB28,((T28-W28)+1)-Y28)&gt;0,IF(AND(AC28="TML",AB28&gt;0),((T28-W28)+1)-AB28,((T28-W28)+1)-Y28),0)</f>
        <v>2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200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46318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200</v>
      </c>
      <c r="AJ28" s="188" t="n"/>
      <c r="AK28" s="62" t="str">
        <f>VLOOKUP(D28,'2.Bookinglist'!A:CT,40,FALSE)</f>
        <v>Pattarapong Saengthong</v>
      </c>
      <c r="AL28" s="60" t="str">
        <f>VLOOKUP(D28,'2.Bookinglist'!A:CW,101,FALSE)</f>
        <v>2026-10-19</v>
      </c>
      <c r="AM28" s="60" t="str">
        <f>VLOOKUP(D28,'2.Bookinglist'!A:BK,63,FALSE)</f>
        <v>BKK27</v>
      </c>
      <c r="AN28" s="62" t="str">
        <f>VLOOKUP(D28,'2.Bookinglist'!A:AZ,52,FALSE)</f>
        <v>Pickup : 2026-10-14, Return : 2026-10-15</v>
      </c>
      <c r="AO28" s="62">
        <f>VLOOKUP(D28,'2.Bookinglist'!A:CY,103,FALSE)</f>
        <v>0</v>
      </c>
    </row>
    <row r="29" ht="12.95" customHeight="1">
      <c r="A29" s="96" t="inlineStr">
        <is>
          <t>HLHU8440152</t>
        </is>
      </c>
      <c r="B29" s="184" t="str">
        <f>IF(C29=Charge!$M$1,Charge!$J$1,IF(C29=Charge!$M$23,Charge!$J$23,IF(C29=Charge!$M$17,Charge!$J$17,IF(C29=Charge!$N$17,Charge!$J$17,Charge!$J$7))))</f>
        <v>G4</v>
      </c>
      <c r="C29" s="61" t="str">
        <f>VLOOKUP(A29,'1.Loading'!A:R,14,FALSE)</f>
        <v>BKK02</v>
      </c>
      <c r="D29" s="61" t="str">
        <f>VLOOKUP(A29,'1.Loading'!A:R,17,FALSE)</f>
        <v>HASLS22261000779</v>
      </c>
      <c r="E29" s="62" t="str">
        <f>VLOOKUP(D29,'2.Bookinglist'!A:CT,27,FALSE)</f>
        <v>TOSHIBA LOGISTICS (THAILAND) CO., LTD.</v>
      </c>
      <c r="F29" s="62" t="str">
        <f>VLOOKUP(D29,'2.Bookinglist'!A:CT,28,FALSE)</f>
        <v> CARRIER AIR CONDITIONING (THAILAND) CO.,LTD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SWAL</v>
      </c>
      <c r="P29" s="61" t="str">
        <f>VLOOKUP(A29,'1.Loading'!A:R,4,FALSE)</f>
        <v>2609N</v>
      </c>
      <c r="Q29" s="61" t="str">
        <f>VLOOKUP(D29,'2.Bookinglist'!A:CT,12,FALSE)</f>
        <v>KST</v>
      </c>
      <c r="R29" s="60" t="str">
        <f>IF(LEFT(K29,2)="22","20'","40'")</f>
        <v>40'</v>
      </c>
      <c r="S29" s="185" t="n"/>
      <c r="T29" s="61" t="str">
        <f>VLOOKUP(A29,'1.Loading'!A:R,2,FALSE)</f>
        <v>2026-10-22</v>
      </c>
      <c r="U29" s="63">
        <f>T29-S29</f>
        <v>46317</v>
      </c>
      <c r="V29" s="186" t="n"/>
      <c r="W29" s="61" t="str">
        <f>VLOOKUP(A29,'3.GateMove'!A:D,4,FALSE)</f>
        <v>2026-10-16</v>
      </c>
      <c r="X29" s="63">
        <f>((T29-W29)+1)</f>
        <v>7</v>
      </c>
      <c r="Y29" s="64">
        <f>IF(AND(OR(C29="BKK01",C29="BKK04"),L29="CFS/CY"),0,IF(M29="DG",1,IF(LEFT(C29,3)="LCH",7,IF(C29="BKK02",5,3))))</f>
        <v>5</v>
      </c>
      <c r="Z29" s="63">
        <f>IF(IF(AND(AC29="TML",AB29&gt;0),((T29-W29)+1)-AB29,((T29-W29)+1)-Y29)&gt;0,IF(AND(AC29="TML",AB29&gt;0),((T29-W29)+1)-AB29,((T29-W29)+1)-Y29),0)</f>
        <v>2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200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46318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200</v>
      </c>
      <c r="AJ29" s="188" t="n"/>
      <c r="AK29" s="62" t="str">
        <f>VLOOKUP(D29,'2.Bookinglist'!A:CT,40,FALSE)</f>
        <v>Pattarapong Saengthong</v>
      </c>
      <c r="AL29" s="60" t="str">
        <f>VLOOKUP(D29,'2.Bookinglist'!A:CW,101,FALSE)</f>
        <v>2026-10-19</v>
      </c>
      <c r="AM29" s="60" t="str">
        <f>VLOOKUP(D29,'2.Bookinglist'!A:BK,63,FALSE)</f>
        <v>BKK27</v>
      </c>
      <c r="AN29" s="62" t="str">
        <f>VLOOKUP(D29,'2.Bookinglist'!A:AZ,52,FALSE)</f>
        <v>Pickup : 2026-10-14, Return : 2026-10-15</v>
      </c>
      <c r="AO29" s="62">
        <f>VLOOKUP(D29,'2.Bookinglist'!A:CY,103,FALSE)</f>
        <v>0</v>
      </c>
    </row>
    <row r="30" ht="12.95" customHeight="1">
      <c r="A30" s="96" t="inlineStr">
        <is>
          <t>HLHU8462038</t>
        </is>
      </c>
      <c r="B30" s="184" t="str">
        <f>IF(C30=Charge!$M$1,Charge!$J$1,IF(C30=Charge!$M$23,Charge!$J$23,IF(C30=Charge!$M$17,Charge!$J$17,IF(C30=Charge!$N$17,Charge!$J$17,Charge!$J$7))))</f>
        <v>G4</v>
      </c>
      <c r="C30" s="61" t="str">
        <f>VLOOKUP(A30,'1.Loading'!A:R,14,FALSE)</f>
        <v>BKK02</v>
      </c>
      <c r="D30" s="61" t="str">
        <f>VLOOKUP(A30,'1.Loading'!A:R,17,FALSE)</f>
        <v>HASLS22261000020</v>
      </c>
      <c r="E30" s="62" t="str">
        <f>VLOOKUP(D30,'2.Bookinglist'!A:CT,27,FALSE)</f>
        <v>BEE LOGISTICS (THAILAND) CO., LTD.</v>
      </c>
      <c r="F30" s="62" t="str">
        <f>VLOOKUP(D30,'2.Bookinglist'!A:CT,28,FALSE)</f>
        <v>BIZMAKER CO.,LTD.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VNSGN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SWAL</v>
      </c>
      <c r="P30" s="61" t="str">
        <f>VLOOKUP(A30,'1.Loading'!A:R,4,FALSE)</f>
        <v>2609N</v>
      </c>
      <c r="Q30" s="61" t="str">
        <f>VLOOKUP(D30,'2.Bookinglist'!A:CT,12,FALSE)</f>
        <v>KST</v>
      </c>
      <c r="R30" s="60" t="str">
        <f>IF(LEFT(K30,2)="22","20'","40'")</f>
        <v>40'</v>
      </c>
      <c r="S30" s="185" t="n"/>
      <c r="T30" s="61" t="str">
        <f>VLOOKUP(A30,'1.Loading'!A:R,2,FALSE)</f>
        <v>2026-10-22</v>
      </c>
      <c r="U30" s="63">
        <f>T30-S30</f>
        <v>46317</v>
      </c>
      <c r="V30" s="186" t="n"/>
      <c r="W30" s="61" t="str">
        <f>VLOOKUP(A30,'3.GateMove'!A:D,4,FALSE)</f>
        <v>2026-10-17</v>
      </c>
      <c r="X30" s="63">
        <f>((T30-W30)+1)</f>
        <v>6</v>
      </c>
      <c r="Y30" s="64">
        <f>IF(AND(OR(C30="BKK01",C30="BKK04"),L30="CFS/CY"),0,IF(M30="DG",1,IF(LEFT(C30,3)="LCH",7,IF(C30="BKK02",5,3))))</f>
        <v>5</v>
      </c>
      <c r="Z30" s="63">
        <f>IF(IF(AND(AC30="TML",AB30&gt;0),((T30-W30)+1)-AB30,((T30-W30)+1)-Y30)&gt;0,IF(AND(AC30="TML",AB30&gt;0),((T30-W30)+1)-AB30,((T30-W30)+1)-Y30),0)</f>
        <v>1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100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46318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100</v>
      </c>
      <c r="AJ30" s="188" t="n"/>
      <c r="AK30" s="62" t="str">
        <f>VLOOKUP(D30,'2.Bookinglist'!A:CT,40,FALSE)</f>
        <v>Nustsireerach</v>
      </c>
      <c r="AL30" s="60" t="str">
        <f>VLOOKUP(D30,'2.Bookinglist'!A:CW,101,FALSE)</f>
        <v>2026-10-19</v>
      </c>
      <c r="AM30" s="60" t="str">
        <f>VLOOKUP(D30,'2.Bookinglist'!A:BK,63,FALSE)</f>
        <v>BKK27</v>
      </c>
      <c r="AN30" s="62" t="str">
        <f>VLOOKUP(D30,'2.Bookinglist'!A:AZ,52,FALSE)</f>
        <v>Pickup : 2026-10-14, Return : 2026-10-15</v>
      </c>
      <c r="AO30" s="62">
        <f>VLOOKUP(D30,'2.Bookinglist'!A:CY,103,FALSE)</f>
        <v>0</v>
      </c>
    </row>
    <row r="31" ht="12.95" customHeight="1">
      <c r="A31" s="96" t="inlineStr">
        <is>
          <t>HLHU8518899</t>
        </is>
      </c>
      <c r="B31" s="184" t="str">
        <f>IF(C31=Charge!$M$1,Charge!$J$1,IF(C31=Charge!$M$23,Charge!$J$23,IF(C31=Charge!$M$17,Charge!$J$17,IF(C31=Charge!$N$17,Charge!$J$17,Charge!$J$7))))</f>
        <v>G4</v>
      </c>
      <c r="C31" s="61" t="str">
        <f>VLOOKUP(A31,'1.Loading'!A:R,14,FALSE)</f>
        <v>BKK02</v>
      </c>
      <c r="D31" s="61" t="str">
        <f>VLOOKUP(A31,'1.Loading'!A:R,17,FALSE)</f>
        <v>HASLS22260902622</v>
      </c>
      <c r="E31" s="62" t="str">
        <f>VLOOKUP(D31,'2.Bookinglist'!A:CT,27,FALSE)</f>
        <v>OCEAN AIR INTERNATIONAL CO., LTD.</v>
      </c>
      <c r="F31" s="62" t="str">
        <f>VLOOKUP(D31,'2.Bookinglist'!A:CT,28,FALSE)</f>
        <v>ASIAN GLOBAL HOLDING CO.,LTD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VNSGN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SWAL</v>
      </c>
      <c r="P31" s="61" t="str">
        <f>VLOOKUP(A31,'1.Loading'!A:R,4,FALSE)</f>
        <v>2609N</v>
      </c>
      <c r="Q31" s="61" t="str">
        <f>VLOOKUP(D31,'2.Bookinglist'!A:CT,12,FALSE)</f>
        <v>KST</v>
      </c>
      <c r="R31" s="60" t="str">
        <f>IF(LEFT(K31,2)="22","20'","40'")</f>
        <v>40'</v>
      </c>
      <c r="S31" s="185" t="n"/>
      <c r="T31" s="61" t="str">
        <f>VLOOKUP(A31,'1.Loading'!A:R,2,FALSE)</f>
        <v>2026-10-22</v>
      </c>
      <c r="U31" s="63">
        <f>T31-S31</f>
        <v>46317</v>
      </c>
      <c r="V31" s="186" t="n"/>
      <c r="W31" s="61" t="str">
        <f>VLOOKUP(A31,'3.GateMove'!A:D,4,FALSE)</f>
        <v>2026-10-12</v>
      </c>
      <c r="X31" s="63">
        <f>((T31-W31)+1)</f>
        <v>11</v>
      </c>
      <c r="Y31" s="64">
        <f>IF(AND(OR(C31="BKK01",C31="BKK04"),L31="CFS/CY"),0,IF(M31="DG",1,IF(LEFT(C31,3)="LCH",7,IF(C31="BKK02",5,3))))</f>
        <v>5</v>
      </c>
      <c r="Z31" s="63">
        <f>IF(IF(AND(AC31="TML",AB31&gt;0),((T31-W31)+1)-AB31,((T31-W31)+1)-Y31)&gt;0,IF(AND(AC31="TML",AB31&gt;0),((T31-W31)+1)-AB31,((T31-W31)+1)-Y31),0)</f>
        <v>6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600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46318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600</v>
      </c>
      <c r="AJ31" s="188" t="n"/>
      <c r="AK31" s="62" t="str">
        <f>VLOOKUP(D31,'2.Bookinglist'!A:CT,40,FALSE)</f>
        <v>Nguyen Xuan Toan</v>
      </c>
      <c r="AL31" s="60" t="str">
        <f>VLOOKUP(D31,'2.Bookinglist'!A:CW,101,FALSE)</f>
        <v>2026-10-21</v>
      </c>
      <c r="AM31" s="60" t="str">
        <f>VLOOKUP(D31,'2.Bookinglist'!A:BK,63,FALSE)</f>
        <v>BKK27</v>
      </c>
      <c r="AN31" s="62" t="str">
        <f>VLOOKUP(D31,'2.Bookinglist'!A:AZ,52,FALSE)</f>
        <v>Pickup : 2026-10-12, Return : 2026-10-13 </v>
      </c>
      <c r="AO31" s="62" t="str">
        <f>VLOOKUP(D31,'2.Bookinglist'!A:CY,103,FALSE)</f>
        <v>ROLL OVER FORM PREVIOUS VSL SWAL 2609N BY ALLOCATION TEAM MS.TARN APRPOVED COST IS UNDER HA DD.15/10</v>
      </c>
    </row>
    <row r="32" ht="12.95" customHeight="1">
      <c r="A32" s="96" t="inlineStr">
        <is>
          <t>HLHU8533933</t>
        </is>
      </c>
      <c r="B32" s="184" t="str">
        <f>IF(C32=Charge!$M$1,Charge!$J$1,IF(C32=Charge!$M$23,Charge!$J$23,IF(C32=Charge!$M$17,Charge!$J$17,IF(C32=Charge!$N$17,Charge!$J$17,Charge!$J$7))))</f>
        <v>G4</v>
      </c>
      <c r="C32" s="61" t="str">
        <f>VLOOKUP(A32,'1.Loading'!A:R,14,FALSE)</f>
        <v>BKK02</v>
      </c>
      <c r="D32" s="61" t="str">
        <f>VLOOKUP(A32,'1.Loading'!A:R,17,FALSE)</f>
        <v>HASLS22260902439</v>
      </c>
      <c r="E32" s="62" t="str">
        <f>VLOOKUP(D32,'2.Bookinglist'!A:CT,27,FALSE)</f>
        <v>CAPRICORN LOGISTICS CO., LTD.</v>
      </c>
      <c r="F32" s="62" t="str">
        <f>VLOOKUP(D32,'2.Bookinglist'!A:CT,28,FALSE)</f>
        <v>SWAN INDUSTRIES (THAILAND)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SWAL</v>
      </c>
      <c r="P32" s="61" t="str">
        <f>VLOOKUP(A32,'1.Loading'!A:R,4,FALSE)</f>
        <v>2609N</v>
      </c>
      <c r="Q32" s="61" t="str">
        <f>VLOOKUP(D32,'2.Bookinglist'!A:CT,12,FALSE)</f>
        <v>KST</v>
      </c>
      <c r="R32" s="60" t="str">
        <f>IF(LEFT(K32,2)="22","20'","40'")</f>
        <v>40'</v>
      </c>
      <c r="S32" s="185" t="n"/>
      <c r="T32" s="61" t="str">
        <f>VLOOKUP(A32,'1.Loading'!A:R,2,FALSE)</f>
        <v>2026-10-22</v>
      </c>
      <c r="U32" s="63">
        <f>T32-S32</f>
        <v>46317</v>
      </c>
      <c r="V32" s="186" t="n"/>
      <c r="W32" s="61" t="str">
        <f>VLOOKUP(A32,'3.GateMove'!A:D,4,FALSE)</f>
        <v>2026-10-16</v>
      </c>
      <c r="X32" s="63">
        <f>((T32-W32)+1)</f>
        <v>7</v>
      </c>
      <c r="Y32" s="64">
        <f>IF(AND(OR(C32="BKK01",C32="BKK04"),L32="CFS/CY"),0,IF(M32="DG",1,IF(LEFT(C32,3)="LCH",7,IF(C32="BKK02",5,3))))</f>
        <v>5</v>
      </c>
      <c r="Z32" s="63">
        <f>IF(IF(AND(AC32="TML",AB32&gt;0),((T32-W32)+1)-AB32,((T32-W32)+1)-Y32)&gt;0,IF(AND(AC32="TML",AB32&gt;0),((T32-W32)+1)-AB32,((T32-W32)+1)-Y32),0)</f>
        <v>2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200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46318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200</v>
      </c>
      <c r="AJ32" s="188" t="n"/>
      <c r="AK32" s="62" t="str">
        <f>VLOOKUP(D32,'2.Bookinglist'!A:CT,40,FALSE)</f>
        <v>Nguyen Xuan Toan</v>
      </c>
      <c r="AL32" s="60" t="str">
        <f>VLOOKUP(D32,'2.Bookinglist'!A:CW,101,FALSE)</f>
        <v>2026-10-19</v>
      </c>
      <c r="AM32" s="60" t="str">
        <f>VLOOKUP(D32,'2.Bookinglist'!A:BK,63,FALSE)</f>
        <v>BKK27</v>
      </c>
      <c r="AN32" s="62" t="str">
        <f>VLOOKUP(D32,'2.Bookinglist'!A:AZ,52,FALSE)</f>
        <v>Pickup : 2026-10-14, Return : 2026-10-15</v>
      </c>
      <c r="AO32" s="62">
        <f>VLOOKUP(D32,'2.Bookinglist'!A:CY,103,FALSE)</f>
        <v>0</v>
      </c>
    </row>
    <row r="33" ht="12.95" customHeight="1">
      <c r="A33" s="96" t="inlineStr">
        <is>
          <t>HLHU8576658</t>
        </is>
      </c>
      <c r="B33" s="184" t="str">
        <f>IF(C33=Charge!$M$1,Charge!$J$1,IF(C33=Charge!$M$23,Charge!$J$23,IF(C33=Charge!$M$17,Charge!$J$17,IF(C33=Charge!$N$17,Charge!$J$17,Charge!$J$7))))</f>
        <v>G4</v>
      </c>
      <c r="C33" s="61" t="str">
        <f>VLOOKUP(A33,'1.Loading'!A:R,14,FALSE)</f>
        <v>BKK02</v>
      </c>
      <c r="D33" s="61" t="str">
        <f>VLOOKUP(A33,'1.Loading'!A:R,17,FALSE)</f>
        <v>HASLS22260900823</v>
      </c>
      <c r="E33" s="62" t="str">
        <f>VLOOKUP(D33,'2.Bookinglist'!A:CT,27,FALSE)</f>
        <v>YOUNGSUWAT TRADING CO.,LTD.</v>
      </c>
      <c r="F33" s="62" t="str">
        <f>VLOOKUP(D33,'2.Bookinglist'!A:CT,28,FALSE)</f>
        <v>YOUNGSUWAT TRADING CO.,LTD.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JPTOS</v>
      </c>
      <c r="J33" s="61" t="str">
        <f>VLOOKUP(D33,'2.Bookinglist'!A:CT,26,FALSE)</f>
        <v>KRPUS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SWAL</v>
      </c>
      <c r="P33" s="61" t="str">
        <f>VLOOKUP(A33,'1.Loading'!A:R,4,FALSE)</f>
        <v>2609N</v>
      </c>
      <c r="Q33" s="61" t="str">
        <f>VLOOKUP(D33,'2.Bookinglist'!A:CT,12,FALSE)</f>
        <v>KST</v>
      </c>
      <c r="R33" s="60" t="str">
        <f>IF(LEFT(K33,2)="22","20'","40'")</f>
        <v>40'</v>
      </c>
      <c r="S33" s="185" t="n"/>
      <c r="T33" s="61" t="str">
        <f>VLOOKUP(A33,'1.Loading'!A:R,2,FALSE)</f>
        <v>2026-10-22</v>
      </c>
      <c r="U33" s="63">
        <f>T33-S33</f>
        <v>46317</v>
      </c>
      <c r="V33" s="186" t="n"/>
      <c r="W33" s="61" t="str">
        <f>VLOOKUP(A33,'3.GateMove'!A:D,4,FALSE)</f>
        <v>2026-10-16</v>
      </c>
      <c r="X33" s="63">
        <f>((T33-W33)+1)</f>
        <v>7</v>
      </c>
      <c r="Y33" s="64">
        <f>IF(AND(OR(C33="BKK01",C33="BKK04"),L33="CFS/CY"),0,IF(M33="DG",1,IF(LEFT(C33,3)="LCH",7,IF(C33="BKK02",5,3))))</f>
        <v>5</v>
      </c>
      <c r="Z33" s="63">
        <f>IF(IF(AND(AC33="TML",AB33&gt;0),((T33-W33)+1)-AB33,((T33-W33)+1)-Y33)&gt;0,IF(AND(AC33="TML",AB33&gt;0),((T33-W33)+1)-AB33,((T33-W33)+1)-Y33),0)</f>
        <v>2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200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46318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200</v>
      </c>
      <c r="AJ33" s="188" t="n"/>
      <c r="AK33" s="62" t="str">
        <f>VLOOKUP(D33,'2.Bookinglist'!A:CT,40,FALSE)</f>
        <v>Vilaiporn</v>
      </c>
      <c r="AL33" s="60" t="str">
        <f>VLOOKUP(D33,'2.Bookinglist'!A:CW,101,FALSE)</f>
        <v>2026-10-19</v>
      </c>
      <c r="AM33" s="60" t="str">
        <f>VLOOKUP(D33,'2.Bookinglist'!A:BK,63,FALSE)</f>
        <v>BKK27</v>
      </c>
      <c r="AN33" s="62" t="str">
        <f>VLOOKUP(D33,'2.Bookinglist'!A:AZ,52,FALSE)</f>
        <v>Pickup : 2026-10-14, Return : 2026-10-15 </v>
      </c>
      <c r="AO33" s="62">
        <f>VLOOKUP(D33,'2.Bookinglist'!A:CY,103,FALSE)</f>
        <v>0</v>
      </c>
    </row>
    <row r="34" ht="12.95" customHeight="1">
      <c r="A34" s="96" t="inlineStr">
        <is>
          <t>HLHU8600630</t>
        </is>
      </c>
      <c r="B34" s="184" t="str">
        <f>IF(C34=Charge!$M$1,Charge!$J$1,IF(C34=Charge!$M$23,Charge!$J$23,IF(C34=Charge!$M$17,Charge!$J$17,IF(C34=Charge!$N$17,Charge!$J$17,Charge!$J$7))))</f>
        <v>G4</v>
      </c>
      <c r="C34" s="61" t="str">
        <f>VLOOKUP(A34,'1.Loading'!A:R,14,FALSE)</f>
        <v>BKK02</v>
      </c>
      <c r="D34" s="61" t="str">
        <f>VLOOKUP(A34,'1.Loading'!A:R,17,FALSE)</f>
        <v>HASLS22260900821</v>
      </c>
      <c r="E34" s="62" t="str">
        <f>VLOOKUP(D34,'2.Bookinglist'!A:CT,27,FALSE)</f>
        <v>YOUNGSUWAT TRADING CO.,LTD.</v>
      </c>
      <c r="F34" s="62" t="str">
        <f>VLOOKUP(D34,'2.Bookinglist'!A:CT,28,FALSE)</f>
        <v>YOUNGSUWAT TRADING CO.,LTD.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JPTKS</v>
      </c>
      <c r="J34" s="61" t="str">
        <f>VLOOKUP(D34,'2.Bookinglist'!A:CT,26,FALSE)</f>
        <v>KRPUS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SWAL</v>
      </c>
      <c r="P34" s="61" t="str">
        <f>VLOOKUP(A34,'1.Loading'!A:R,4,FALSE)</f>
        <v>2609N</v>
      </c>
      <c r="Q34" s="61" t="str">
        <f>VLOOKUP(D34,'2.Bookinglist'!A:CT,12,FALSE)</f>
        <v>KST</v>
      </c>
      <c r="R34" s="60" t="str">
        <f>IF(LEFT(K34,2)="22","20'","40'")</f>
        <v>40'</v>
      </c>
      <c r="S34" s="185" t="n"/>
      <c r="T34" s="61" t="str">
        <f>VLOOKUP(A34,'1.Loading'!A:R,2,FALSE)</f>
        <v>2026-10-22</v>
      </c>
      <c r="U34" s="63">
        <f>T34-S34</f>
        <v>46317</v>
      </c>
      <c r="V34" s="186" t="n"/>
      <c r="W34" s="61" t="str">
        <f>VLOOKUP(A34,'3.GateMove'!A:D,4,FALSE)</f>
        <v>2026-10-16</v>
      </c>
      <c r="X34" s="63">
        <f>((T34-W34)+1)</f>
        <v>7</v>
      </c>
      <c r="Y34" s="64">
        <f>IF(AND(OR(C34="BKK01",C34="BKK04"),L34="CFS/CY"),0,IF(M34="DG",1,IF(LEFT(C34,3)="LCH",7,IF(C34="BKK02",5,3))))</f>
        <v>5</v>
      </c>
      <c r="Z34" s="63">
        <f>IF(IF(AND(AC34="TML",AB34&gt;0),((T34-W34)+1)-AB34,((T34-W34)+1)-Y34)&gt;0,IF(AND(AC34="TML",AB34&gt;0),((T34-W34)+1)-AB34,((T34-W34)+1)-Y34),0)</f>
        <v>2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200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46318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200</v>
      </c>
      <c r="AJ34" s="188" t="n"/>
      <c r="AK34" s="62" t="str">
        <f>VLOOKUP(D34,'2.Bookinglist'!A:CT,40,FALSE)</f>
        <v>Vilaiporn</v>
      </c>
      <c r="AL34" s="60" t="str">
        <f>VLOOKUP(D34,'2.Bookinglist'!A:CW,101,FALSE)</f>
        <v>2026-10-19</v>
      </c>
      <c r="AM34" s="60" t="str">
        <f>VLOOKUP(D34,'2.Bookinglist'!A:BK,63,FALSE)</f>
        <v>BKK27</v>
      </c>
      <c r="AN34" s="62" t="str">
        <f>VLOOKUP(D34,'2.Bookinglist'!A:AZ,52,FALSE)</f>
        <v>[FIX]Pickup : 2026-10-14, Return : 2026-10-15</v>
      </c>
      <c r="AO34" s="62">
        <f>VLOOKUP(D34,'2.Bookinglist'!A:CY,103,FALSE)</f>
        <v>0</v>
      </c>
    </row>
    <row r="35" ht="12.95" customHeight="1">
      <c r="A35" s="96" t="inlineStr">
        <is>
          <t>SEGU9785737</t>
        </is>
      </c>
      <c r="B35" s="184" t="str">
        <f>IF(C35=Charge!$M$1,Charge!$J$1,IF(C35=Charge!$M$23,Charge!$J$23,IF(C35=Charge!$M$17,Charge!$J$17,IF(C35=Charge!$N$17,Charge!$J$17,Charge!$J$7))))</f>
        <v>G4</v>
      </c>
      <c r="C35" s="61" t="str">
        <f>VLOOKUP(A35,'1.Loading'!A:R,14,FALSE)</f>
        <v>BKK02</v>
      </c>
      <c r="D35" s="61" t="str">
        <f>VLOOKUP(A35,'1.Loading'!A:R,17,FALSE)</f>
        <v>HASLS22261000499</v>
      </c>
      <c r="E35" s="62" t="str">
        <f>VLOOKUP(D35,'2.Bookinglist'!A:CT,27,FALSE)</f>
        <v>LAND SEA SKY CO., LTD.</v>
      </c>
      <c r="F35" s="62" t="str">
        <f>VLOOKUP(D35,'2.Bookinglist'!A:CT,28,FALSE)</f>
        <v>SAHA FARMS  INTERNATIONAL CO LTD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KRINC</v>
      </c>
      <c r="J35" s="61">
        <f>VLOOKUP(D35,'2.Bookinglist'!A:CT,26,FALSE)</f>
        <v>0</v>
      </c>
      <c r="K35" s="61" t="str">
        <f>VLOOKUP(A35,'1.Loading'!A:R,5,FALSE)</f>
        <v>45RE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>RF</v>
      </c>
      <c r="O35" s="61" t="str">
        <f>VLOOKUP(A35,'1.Loading'!A:R,3,FALSE)</f>
        <v>SWAL</v>
      </c>
      <c r="P35" s="61" t="str">
        <f>VLOOKUP(A35,'1.Loading'!A:R,4,FALSE)</f>
        <v>2609N</v>
      </c>
      <c r="Q35" s="61" t="str">
        <f>VLOOKUP(D35,'2.Bookinglist'!A:CT,12,FALSE)</f>
        <v>KST</v>
      </c>
      <c r="R35" s="60" t="str">
        <f>IF(LEFT(K35,2)="22","20'","40'")</f>
        <v>40'</v>
      </c>
      <c r="S35" s="185" t="n"/>
      <c r="T35" s="61" t="str">
        <f>VLOOKUP(A35,'1.Loading'!A:R,2,FALSE)</f>
        <v>2026-10-22</v>
      </c>
      <c r="U35" s="63">
        <f>T35-S35</f>
        <v>46317</v>
      </c>
      <c r="V35" s="186" t="n"/>
      <c r="W35" s="61" t="str">
        <f>VLOOKUP(A35,'3.GateMove'!A:D,4,FALSE)</f>
        <v>2026-10-18</v>
      </c>
      <c r="X35" s="63">
        <f>((T35-W35)+1)</f>
        <v>5</v>
      </c>
      <c r="Y35" s="64">
        <f>IF(AND(OR(C35="BKK01",C35="BKK04"),L35="CFS/CY"),0,IF(M35="DG",1,IF(LEFT(C35,3)="LCH",7,IF(C35="BKK02",5,3))))</f>
        <v>5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3</v>
      </c>
      <c r="AE35" s="63">
        <f>(T35-V35)+1</f>
        <v>46318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Sukunpoj Damrongying</v>
      </c>
      <c r="AL35" s="60" t="str">
        <f>VLOOKUP(D35,'2.Bookinglist'!A:CW,101,FALSE)</f>
        <v>2026-10-20</v>
      </c>
      <c r="AM35" s="60" t="str">
        <f>VLOOKUP(D35,'2.Bookinglist'!A:BK,63,FALSE)</f>
        <v>BKK27</v>
      </c>
      <c r="AN35" s="62" t="str">
        <f>VLOOKUP(D35,'2.Bookinglist'!A:AZ,52,FALSE)</f>
        <v>Pickup : 2026-10-16, Return : 2026-10-18 (Temp -18.0 / Vent Close)
 CLS TIME 18/10 @23.59 </v>
      </c>
      <c r="AO35" s="62">
        <f>VLOOKUP(D35,'2.Bookinglist'!A:CY,103,FALSE)</f>
        <v>0</v>
      </c>
    </row>
    <row r="36" ht="12.95" customHeight="1">
      <c r="A36" s="96" t="inlineStr">
        <is>
          <t>SKHU6401283</t>
        </is>
      </c>
      <c r="B36" s="184" t="str">
        <f>IF(C36=Charge!$M$1,Charge!$J$1,IF(C36=Charge!$M$23,Charge!$J$23,IF(C36=Charge!$M$17,Charge!$J$17,IF(C36=Charge!$N$17,Charge!$J$17,Charge!$J$7))))</f>
        <v>G4</v>
      </c>
      <c r="C36" s="61" t="str">
        <f>VLOOKUP(A36,'1.Loading'!A:R,14,FALSE)</f>
        <v>BKK02</v>
      </c>
      <c r="D36" s="61" t="str">
        <f>VLOOKUP(A36,'1.Loading'!A:R,17,FALSE)</f>
        <v>HASLS22260902439</v>
      </c>
      <c r="E36" s="62" t="str">
        <f>VLOOKUP(D36,'2.Bookinglist'!A:CT,27,FALSE)</f>
        <v>CAPRICORN LOGISTICS CO., LTD.</v>
      </c>
      <c r="F36" s="62" t="str">
        <f>VLOOKUP(D36,'2.Bookinglist'!A:CT,28,FALSE)</f>
        <v>SWAN INDUSTRIES (THAILAND)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SWAL</v>
      </c>
      <c r="P36" s="61" t="str">
        <f>VLOOKUP(A36,'1.Loading'!A:R,4,FALSE)</f>
        <v>2609N</v>
      </c>
      <c r="Q36" s="61" t="str">
        <f>VLOOKUP(D36,'2.Bookinglist'!A:CT,12,FALSE)</f>
        <v>KST</v>
      </c>
      <c r="R36" s="60" t="str">
        <f>IF(LEFT(K36,2)="22","20'","40'")</f>
        <v>40'</v>
      </c>
      <c r="S36" s="185" t="n"/>
      <c r="T36" s="61" t="str">
        <f>VLOOKUP(A36,'1.Loading'!A:R,2,FALSE)</f>
        <v>2026-10-22</v>
      </c>
      <c r="U36" s="63">
        <f>T36-S36</f>
        <v>46317</v>
      </c>
      <c r="V36" s="186" t="n"/>
      <c r="W36" s="61" t="str">
        <f>VLOOKUP(A36,'3.GateMove'!A:D,4,FALSE)</f>
        <v>2026-10-16</v>
      </c>
      <c r="X36" s="63">
        <f>((T36-W36)+1)</f>
        <v>7</v>
      </c>
      <c r="Y36" s="64">
        <f>IF(AND(OR(C36="BKK01",C36="BKK04"),L36="CFS/CY"),0,IF(M36="DG",1,IF(LEFT(C36,3)="LCH",7,IF(C36="BKK02",5,3))))</f>
        <v>5</v>
      </c>
      <c r="Z36" s="63">
        <f>IF(IF(AND(AC36="TML",AB36&gt;0),((T36-W36)+1)-AB36,((T36-W36)+1)-Y36)&gt;0,IF(AND(AC36="TML",AB36&gt;0),((T36-W36)+1)-AB36,((T36-W36)+1)-Y36),0)</f>
        <v>2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200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46318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200</v>
      </c>
      <c r="AJ36" s="188" t="n"/>
      <c r="AK36" s="62" t="str">
        <f>VLOOKUP(D36,'2.Bookinglist'!A:CT,40,FALSE)</f>
        <v>Nguyen Xuan Toan</v>
      </c>
      <c r="AL36" s="60" t="str">
        <f>VLOOKUP(D36,'2.Bookinglist'!A:CW,101,FALSE)</f>
        <v>2026-10-19</v>
      </c>
      <c r="AM36" s="60" t="str">
        <f>VLOOKUP(D36,'2.Bookinglist'!A:BK,63,FALSE)</f>
        <v>BKK27</v>
      </c>
      <c r="AN36" s="62" t="str">
        <f>VLOOKUP(D36,'2.Bookinglist'!A:AZ,52,FALSE)</f>
        <v>Pickup : 2026-10-14, Return : 2026-10-15</v>
      </c>
      <c r="AO36" s="62">
        <f>VLOOKUP(D36,'2.Bookinglist'!A:CY,103,FALSE)</f>
        <v>0</v>
      </c>
    </row>
    <row r="37" ht="12.95" customHeight="1">
      <c r="A37" s="96" t="inlineStr">
        <is>
          <t>SKHU6455248</t>
        </is>
      </c>
      <c r="B37" s="184" t="str">
        <f>IF(C37=Charge!$M$1,Charge!$J$1,IF(C37=Charge!$M$23,Charge!$J$23,IF(C37=Charge!$M$17,Charge!$J$17,IF(C37=Charge!$N$17,Charge!$J$17,Charge!$J$7))))</f>
        <v>G4</v>
      </c>
      <c r="C37" s="61" t="str">
        <f>VLOOKUP(A37,'1.Loading'!A:R,14,FALSE)</f>
        <v>BKK02</v>
      </c>
      <c r="D37" s="61" t="str">
        <f>VLOOKUP(A37,'1.Loading'!A:R,17,FALSE)</f>
        <v>HASLS22260902622</v>
      </c>
      <c r="E37" s="62" t="str">
        <f>VLOOKUP(D37,'2.Bookinglist'!A:CT,27,FALSE)</f>
        <v>OCEAN AIR INTERNATIONAL CO., LTD.</v>
      </c>
      <c r="F37" s="62" t="str">
        <f>VLOOKUP(D37,'2.Bookinglist'!A:CT,28,FALSE)</f>
        <v>ASIAN GLOBAL HOLDING CO.,LTD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SWAL</v>
      </c>
      <c r="P37" s="61" t="str">
        <f>VLOOKUP(A37,'1.Loading'!A:R,4,FALSE)</f>
        <v>2609N</v>
      </c>
      <c r="Q37" s="61" t="str">
        <f>VLOOKUP(D37,'2.Bookinglist'!A:CT,12,FALSE)</f>
        <v>KST</v>
      </c>
      <c r="R37" s="60" t="str">
        <f>IF(LEFT(K37,2)="22","20'","40'")</f>
        <v>40'</v>
      </c>
      <c r="S37" s="185" t="n"/>
      <c r="T37" s="61" t="str">
        <f>VLOOKUP(A37,'1.Loading'!A:R,2,FALSE)</f>
        <v>2026-10-22</v>
      </c>
      <c r="U37" s="63">
        <f>T37-S37</f>
        <v>46317</v>
      </c>
      <c r="V37" s="186" t="n"/>
      <c r="W37" s="61" t="str">
        <f>VLOOKUP(A37,'3.GateMove'!A:D,4,FALSE)</f>
        <v>2026-10-12</v>
      </c>
      <c r="X37" s="63">
        <f>((T37-W37)+1)</f>
        <v>11</v>
      </c>
      <c r="Y37" s="64">
        <f>IF(AND(OR(C37="BKK01",C37="BKK04"),L37="CFS/CY"),0,IF(M37="DG",1,IF(LEFT(C37,3)="LCH",7,IF(C37="BKK02",5,3))))</f>
        <v>5</v>
      </c>
      <c r="Z37" s="63">
        <f>IF(IF(AND(AC37="TML",AB37&gt;0),((T37-W37)+1)-AB37,((T37-W37)+1)-Y37)&gt;0,IF(AND(AC37="TML",AB37&gt;0),((T37-W37)+1)-AB37,((T37-W37)+1)-Y37),0)</f>
        <v>6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600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46318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600</v>
      </c>
      <c r="AJ37" s="188" t="n"/>
      <c r="AK37" s="62" t="str">
        <f>VLOOKUP(D37,'2.Bookinglist'!A:CT,40,FALSE)</f>
        <v>Nguyen Xuan Toan</v>
      </c>
      <c r="AL37" s="60" t="str">
        <f>VLOOKUP(D37,'2.Bookinglist'!A:CW,101,FALSE)</f>
        <v>2026-10-21</v>
      </c>
      <c r="AM37" s="60" t="str">
        <f>VLOOKUP(D37,'2.Bookinglist'!A:BK,63,FALSE)</f>
        <v>BKK27</v>
      </c>
      <c r="AN37" s="62" t="str">
        <f>VLOOKUP(D37,'2.Bookinglist'!A:AZ,52,FALSE)</f>
        <v>Pickup : 2026-10-12, Return : 2026-10-13 </v>
      </c>
      <c r="AO37" s="62" t="str">
        <f>VLOOKUP(D37,'2.Bookinglist'!A:CY,103,FALSE)</f>
        <v>ROLL OVER FORM PREVIOUS VSL SWAL 2609N BY ALLOCATION TEAM MS.TARN APRPOVED COST IS UNDER HA DD.15/10</v>
      </c>
    </row>
    <row r="38" ht="12.95" customHeight="1">
      <c r="A38" s="96" t="inlineStr">
        <is>
          <t>SKHU6506535</t>
        </is>
      </c>
      <c r="B38" s="184" t="str">
        <f>IF(C38=Charge!$M$1,Charge!$J$1,IF(C38=Charge!$M$23,Charge!$J$23,IF(C38=Charge!$M$17,Charge!$J$17,IF(C38=Charge!$N$17,Charge!$J$17,Charge!$J$7))))</f>
        <v>G4</v>
      </c>
      <c r="C38" s="61" t="str">
        <f>VLOOKUP(A38,'1.Loading'!A:R,14,FALSE)</f>
        <v>BKK02</v>
      </c>
      <c r="D38" s="61" t="str">
        <f>VLOOKUP(A38,'1.Loading'!A:R,17,FALSE)</f>
        <v>HASLS22260900821</v>
      </c>
      <c r="E38" s="62" t="str">
        <f>VLOOKUP(D38,'2.Bookinglist'!A:CT,27,FALSE)</f>
        <v>YOUNGSUWAT TRADING CO.,LTD.</v>
      </c>
      <c r="F38" s="62" t="str">
        <f>VLOOKUP(D38,'2.Bookinglist'!A:CT,28,FALSE)</f>
        <v>YOUNGSUWAT TRADING CO.,LTD.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JPTKS</v>
      </c>
      <c r="J38" s="61" t="str">
        <f>VLOOKUP(D38,'2.Bookinglist'!A:CT,26,FALSE)</f>
        <v>KRPUS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SWAL</v>
      </c>
      <c r="P38" s="61" t="str">
        <f>VLOOKUP(A38,'1.Loading'!A:R,4,FALSE)</f>
        <v>2609N</v>
      </c>
      <c r="Q38" s="61" t="str">
        <f>VLOOKUP(D38,'2.Bookinglist'!A:CT,12,FALSE)</f>
        <v>KST</v>
      </c>
      <c r="R38" s="60" t="str">
        <f>IF(LEFT(K38,2)="22","20'","40'")</f>
        <v>40'</v>
      </c>
      <c r="S38" s="185" t="n"/>
      <c r="T38" s="61" t="str">
        <f>VLOOKUP(A38,'1.Loading'!A:R,2,FALSE)</f>
        <v>2026-10-22</v>
      </c>
      <c r="U38" s="63">
        <f>T38-S38</f>
        <v>46317</v>
      </c>
      <c r="V38" s="186" t="n"/>
      <c r="W38" s="61" t="str">
        <f>VLOOKUP(A38,'3.GateMove'!A:D,4,FALSE)</f>
        <v>2026-10-16</v>
      </c>
      <c r="X38" s="63">
        <f>((T38-W38)+1)</f>
        <v>7</v>
      </c>
      <c r="Y38" s="64">
        <f>IF(AND(OR(C38="BKK01",C38="BKK04"),L38="CFS/CY"),0,IF(M38="DG",1,IF(LEFT(C38,3)="LCH",7,IF(C38="BKK02",5,3))))</f>
        <v>5</v>
      </c>
      <c r="Z38" s="63">
        <f>IF(IF(AND(AC38="TML",AB38&gt;0),((T38-W38)+1)-AB38,((T38-W38)+1)-Y38)&gt;0,IF(AND(AC38="TML",AB38&gt;0),((T38-W38)+1)-AB38,((T38-W38)+1)-Y38),0)</f>
        <v>2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200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46318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200</v>
      </c>
      <c r="AJ38" s="188" t="n"/>
      <c r="AK38" s="62" t="str">
        <f>VLOOKUP(D38,'2.Bookinglist'!A:CT,40,FALSE)</f>
        <v>Vilaiporn</v>
      </c>
      <c r="AL38" s="60" t="str">
        <f>VLOOKUP(D38,'2.Bookinglist'!A:CW,101,FALSE)</f>
        <v>2026-10-19</v>
      </c>
      <c r="AM38" s="60" t="str">
        <f>VLOOKUP(D38,'2.Bookinglist'!A:BK,63,FALSE)</f>
        <v>BKK27</v>
      </c>
      <c r="AN38" s="62" t="str">
        <f>VLOOKUP(D38,'2.Bookinglist'!A:AZ,52,FALSE)</f>
        <v>[FIX]Pickup : 2026-10-14, Return : 2026-10-15</v>
      </c>
      <c r="AO38" s="62">
        <f>VLOOKUP(D38,'2.Bookinglist'!A:CY,103,FALSE)</f>
        <v>0</v>
      </c>
    </row>
    <row r="39" ht="12.95" customHeight="1">
      <c r="A39" s="96" t="inlineStr">
        <is>
          <t>SKHU6528560</t>
        </is>
      </c>
      <c r="B39" s="184" t="str">
        <f>IF(C39=Charge!$M$1,Charge!$J$1,IF(C39=Charge!$M$23,Charge!$J$23,IF(C39=Charge!$M$17,Charge!$J$17,IF(C39=Charge!$N$17,Charge!$J$17,Charge!$J$7))))</f>
        <v>G4</v>
      </c>
      <c r="C39" s="61" t="str">
        <f>VLOOKUP(A39,'1.Loading'!A:R,14,FALSE)</f>
        <v>BKK02</v>
      </c>
      <c r="D39" s="61" t="str">
        <f>VLOOKUP(A39,'1.Loading'!A:R,17,FALSE)</f>
        <v>HASLS22260902439</v>
      </c>
      <c r="E39" s="62" t="str">
        <f>VLOOKUP(D39,'2.Bookinglist'!A:CT,27,FALSE)</f>
        <v>CAPRICORN LOGISTICS CO., LTD.</v>
      </c>
      <c r="F39" s="62" t="str">
        <f>VLOOKUP(D39,'2.Bookinglist'!A:CT,28,FALSE)</f>
        <v>SWAN INDUSTRIES (THAILAND) LTD.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VNSGN</v>
      </c>
      <c r="J39" s="61">
        <f>VLOOKUP(D39,'2.Bookinglist'!A:CT,26,FALSE)</f>
        <v>0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SWAL</v>
      </c>
      <c r="P39" s="61" t="str">
        <f>VLOOKUP(A39,'1.Loading'!A:R,4,FALSE)</f>
        <v>2609N</v>
      </c>
      <c r="Q39" s="61" t="str">
        <f>VLOOKUP(D39,'2.Bookinglist'!A:CT,12,FALSE)</f>
        <v>KST</v>
      </c>
      <c r="R39" s="60" t="str">
        <f>IF(LEFT(K39,2)="22","20'","40'")</f>
        <v>40'</v>
      </c>
      <c r="S39" s="185" t="n"/>
      <c r="T39" s="61" t="str">
        <f>VLOOKUP(A39,'1.Loading'!A:R,2,FALSE)</f>
        <v>2026-10-22</v>
      </c>
      <c r="U39" s="63">
        <f>T39-S39</f>
        <v>46317</v>
      </c>
      <c r="V39" s="186" t="n"/>
      <c r="W39" s="61" t="str">
        <f>VLOOKUP(A39,'3.GateMove'!A:D,4,FALSE)</f>
        <v>2026-10-15</v>
      </c>
      <c r="X39" s="63">
        <f>((T39-W39)+1)</f>
        <v>8</v>
      </c>
      <c r="Y39" s="64">
        <f>IF(AND(OR(C39="BKK01",C39="BKK04"),L39="CFS/CY"),0,IF(M39="DG",1,IF(LEFT(C39,3)="LCH",7,IF(C39="BKK02",5,3))))</f>
        <v>5</v>
      </c>
      <c r="Z39" s="63">
        <f>IF(IF(AND(AC39="TML",AB39&gt;0),((T39-W39)+1)-AB39,((T39-W39)+1)-Y39)&gt;0,IF(AND(AC39="TML",AB39&gt;0),((T39-W39)+1)-AB39,((T39-W39)+1)-Y39),0)</f>
        <v>3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300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46318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300</v>
      </c>
      <c r="AJ39" s="188" t="n"/>
      <c r="AK39" s="62" t="str">
        <f>VLOOKUP(D39,'2.Bookinglist'!A:CT,40,FALSE)</f>
        <v>Nguyen Xuan Toan</v>
      </c>
      <c r="AL39" s="60" t="str">
        <f>VLOOKUP(D39,'2.Bookinglist'!A:CW,101,FALSE)</f>
        <v>2026-10-19</v>
      </c>
      <c r="AM39" s="60" t="str">
        <f>VLOOKUP(D39,'2.Bookinglist'!A:BK,63,FALSE)</f>
        <v>BKK27</v>
      </c>
      <c r="AN39" s="62" t="str">
        <f>VLOOKUP(D39,'2.Bookinglist'!A:AZ,52,FALSE)</f>
        <v>Pickup : 2026-10-14, Return : 2026-10-15</v>
      </c>
      <c r="AO39" s="62">
        <f>VLOOKUP(D39,'2.Bookinglist'!A:CY,103,FALSE)</f>
        <v>0</v>
      </c>
    </row>
    <row r="40" ht="12.95" customHeight="1">
      <c r="A40" s="96" t="inlineStr">
        <is>
          <t>SKHU6538548</t>
        </is>
      </c>
      <c r="B40" s="184" t="str">
        <f>IF(C40=Charge!$M$1,Charge!$J$1,IF(C40=Charge!$M$23,Charge!$J$23,IF(C40=Charge!$M$17,Charge!$J$17,IF(C40=Charge!$N$17,Charge!$J$17,Charge!$J$7))))</f>
        <v>G4</v>
      </c>
      <c r="C40" s="61" t="str">
        <f>VLOOKUP(A40,'1.Loading'!A:R,14,FALSE)</f>
        <v>BKK02</v>
      </c>
      <c r="D40" s="61" t="str">
        <f>VLOOKUP(A40,'1.Loading'!A:R,17,FALSE)</f>
        <v>HASLS22260900823</v>
      </c>
      <c r="E40" s="62" t="str">
        <f>VLOOKUP(D40,'2.Bookinglist'!A:CT,27,FALSE)</f>
        <v>YOUNGSUWAT TRADING CO.,LTD.</v>
      </c>
      <c r="F40" s="62" t="str">
        <f>VLOOKUP(D40,'2.Bookinglist'!A:CT,28,FALSE)</f>
        <v>YOUNGSUWAT TRADING CO.,LTD.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JPTOS</v>
      </c>
      <c r="J40" s="61" t="str">
        <f>VLOOKUP(D40,'2.Bookinglist'!A:CT,26,FALSE)</f>
        <v>KRPUS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SWAL</v>
      </c>
      <c r="P40" s="61" t="str">
        <f>VLOOKUP(A40,'1.Loading'!A:R,4,FALSE)</f>
        <v>2609N</v>
      </c>
      <c r="Q40" s="61" t="str">
        <f>VLOOKUP(D40,'2.Bookinglist'!A:CT,12,FALSE)</f>
        <v>KST</v>
      </c>
      <c r="R40" s="60" t="str">
        <f>IF(LEFT(K40,2)="22","20'","40'")</f>
        <v>40'</v>
      </c>
      <c r="S40" s="185" t="n"/>
      <c r="T40" s="61" t="str">
        <f>VLOOKUP(A40,'1.Loading'!A:R,2,FALSE)</f>
        <v>2026-10-22</v>
      </c>
      <c r="U40" s="63">
        <f>T40-S40</f>
        <v>46317</v>
      </c>
      <c r="V40" s="186" t="n"/>
      <c r="W40" s="61" t="str">
        <f>VLOOKUP(A40,'3.GateMove'!A:D,4,FALSE)</f>
        <v>2026-10-16</v>
      </c>
      <c r="X40" s="63">
        <f>((T40-W40)+1)</f>
        <v>7</v>
      </c>
      <c r="Y40" s="64">
        <f>IF(AND(OR(C40="BKK01",C40="BKK04"),L40="CFS/CY"),0,IF(M40="DG",1,IF(LEFT(C40,3)="LCH",7,IF(C40="BKK02",5,3))))</f>
        <v>5</v>
      </c>
      <c r="Z40" s="63">
        <f>IF(IF(AND(AC40="TML",AB40&gt;0),((T40-W40)+1)-AB40,((T40-W40)+1)-Y40)&gt;0,IF(AND(AC40="TML",AB40&gt;0),((T40-W40)+1)-AB40,((T40-W40)+1)-Y40),0)</f>
        <v>2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200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46318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200</v>
      </c>
      <c r="AJ40" s="188" t="n"/>
      <c r="AK40" s="62" t="str">
        <f>VLOOKUP(D40,'2.Bookinglist'!A:CT,40,FALSE)</f>
        <v>Vilaiporn</v>
      </c>
      <c r="AL40" s="60" t="str">
        <f>VLOOKUP(D40,'2.Bookinglist'!A:CW,101,FALSE)</f>
        <v>2026-10-19</v>
      </c>
      <c r="AM40" s="60" t="str">
        <f>VLOOKUP(D40,'2.Bookinglist'!A:BK,63,FALSE)</f>
        <v>BKK27</v>
      </c>
      <c r="AN40" s="62" t="str">
        <f>VLOOKUP(D40,'2.Bookinglist'!A:AZ,52,FALSE)</f>
        <v>Pickup : 2026-10-14, Return : 2026-10-15 </v>
      </c>
      <c r="AO40" s="62">
        <f>VLOOKUP(D40,'2.Bookinglist'!A:CY,103,FALSE)</f>
        <v>0</v>
      </c>
    </row>
    <row r="41" ht="12.95" customHeight="1">
      <c r="A41" s="96" t="inlineStr">
        <is>
          <t>SKHU6540099</t>
        </is>
      </c>
      <c r="B41" s="184" t="str">
        <f>IF(C41=Charge!$M$1,Charge!$J$1,IF(C41=Charge!$M$23,Charge!$J$23,IF(C41=Charge!$M$17,Charge!$J$17,IF(C41=Charge!$N$17,Charge!$J$17,Charge!$J$7))))</f>
        <v>G4</v>
      </c>
      <c r="C41" s="61" t="str">
        <f>VLOOKUP(A41,'1.Loading'!A:R,14,FALSE)</f>
        <v>BKK02</v>
      </c>
      <c r="D41" s="61" t="str">
        <f>VLOOKUP(A41,'1.Loading'!A:R,17,FALSE)</f>
        <v>HASLS22261000265</v>
      </c>
      <c r="E41" s="62" t="str">
        <f>VLOOKUP(D41,'2.Bookinglist'!A:CT,27,FALSE)</f>
        <v>ALLIANZ GLOBAL LOGISTICS CO.,LTD.</v>
      </c>
      <c r="F41" s="62" t="str">
        <f>VLOOKUP(D41,'2.Bookinglist'!A:CT,28,FALSE)</f>
        <v>KOI SOUTHEAST TRADING CO., 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45GP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SWAL</v>
      </c>
      <c r="P41" s="61" t="str">
        <f>VLOOKUP(A41,'1.Loading'!A:R,4,FALSE)</f>
        <v>2609N</v>
      </c>
      <c r="Q41" s="61" t="str">
        <f>VLOOKUP(D41,'2.Bookinglist'!A:CT,12,FALSE)</f>
        <v>KST</v>
      </c>
      <c r="R41" s="60" t="str">
        <f>IF(LEFT(K41,2)="22","20'","40'")</f>
        <v>40'</v>
      </c>
      <c r="S41" s="185" t="n"/>
      <c r="T41" s="61" t="str">
        <f>VLOOKUP(A41,'1.Loading'!A:R,2,FALSE)</f>
        <v>2026-10-22</v>
      </c>
      <c r="U41" s="63">
        <f>T41-S41</f>
        <v>46317</v>
      </c>
      <c r="V41" s="186" t="n"/>
      <c r="W41" s="61" t="str">
        <f>VLOOKUP(A41,'3.GateMove'!A:D,4,FALSE)</f>
        <v>2026-10-12</v>
      </c>
      <c r="X41" s="63">
        <f>((T41-W41)+1)</f>
        <v>11</v>
      </c>
      <c r="Y41" s="64">
        <f>IF(AND(OR(C41="BKK01",C41="BKK04"),L41="CFS/CY"),0,IF(M41="DG",1,IF(LEFT(C41,3)="LCH",7,IF(C41="BKK02",5,3))))</f>
        <v>5</v>
      </c>
      <c r="Z41" s="63">
        <f>IF(IF(AND(AC41="TML",AB41&gt;0),((T41-W41)+1)-AB41,((T41-W41)+1)-Y41)&gt;0,IF(AND(AC41="TML",AB41&gt;0),((T41-W41)+1)-AB41,((T41-W41)+1)-Y41),0)</f>
        <v>6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600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46318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600</v>
      </c>
      <c r="AJ41" s="188" t="n"/>
      <c r="AK41" s="62" t="str">
        <f>VLOOKUP(D41,'2.Bookinglist'!A:CT,40,FALSE)</f>
        <v>Nannaapust Sukporntaweewat</v>
      </c>
      <c r="AL41" s="60" t="str">
        <f>VLOOKUP(D41,'2.Bookinglist'!A:CW,101,FALSE)</f>
        <v>2026-10-21</v>
      </c>
      <c r="AM41" s="60" t="str">
        <f>VLOOKUP(D41,'2.Bookinglist'!A:BK,63,FALSE)</f>
        <v>BKK27</v>
      </c>
      <c r="AN41" s="62" t="str">
        <f>VLOOKUP(D41,'2.Bookinglist'!A:AZ,52,FALSE)</f>
        <v>Pickup : 2026-10-10, Return : 2026-10-13 </v>
      </c>
      <c r="AO41" s="62" t="str">
        <f>VLOOKUP(D41,'2.Bookinglist'!A:CY,103,FALSE)</f>
        <v>ROLL OVER FORM PREVIOUS VSL SWAL 2609N BY ALLOCATION TEAM MS.TARN APRPOVED COST IS UNDER HA DD.15/10</v>
      </c>
    </row>
    <row r="42" ht="12.95" customHeight="1">
      <c r="A42" s="96" t="inlineStr">
        <is>
          <t>SKHU6612671</t>
        </is>
      </c>
      <c r="B42" s="184" t="str">
        <f>IF(C42=Charge!$M$1,Charge!$J$1,IF(C42=Charge!$M$23,Charge!$J$23,IF(C42=Charge!$M$17,Charge!$J$17,IF(C42=Charge!$N$17,Charge!$J$17,Charge!$J$7))))</f>
        <v>G4</v>
      </c>
      <c r="C42" s="61" t="str">
        <f>VLOOKUP(A42,'1.Loading'!A:R,14,FALSE)</f>
        <v>BKK02</v>
      </c>
      <c r="D42" s="61" t="str">
        <f>VLOOKUP(A42,'1.Loading'!A:R,17,FALSE)</f>
        <v>HASLS22261000265</v>
      </c>
      <c r="E42" s="62" t="str">
        <f>VLOOKUP(D42,'2.Bookinglist'!A:CT,27,FALSE)</f>
        <v>ALLIANZ GLOBAL LOGISTICS CO.,LTD.</v>
      </c>
      <c r="F42" s="62" t="str">
        <f>VLOOKUP(D42,'2.Bookinglist'!A:CT,28,FALSE)</f>
        <v>KOI SOUTHEAST TRADING CO., 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VNSGN</v>
      </c>
      <c r="J42" s="61">
        <f>VLOOKUP(D42,'2.Bookinglist'!A:CT,26,FALSE)</f>
        <v>0</v>
      </c>
      <c r="K42" s="61" t="str">
        <f>VLOOKUP(A42,'1.Loading'!A:R,5,FALSE)</f>
        <v>45GP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SWAL</v>
      </c>
      <c r="P42" s="61" t="str">
        <f>VLOOKUP(A42,'1.Loading'!A:R,4,FALSE)</f>
        <v>2609N</v>
      </c>
      <c r="Q42" s="61" t="str">
        <f>VLOOKUP(D42,'2.Bookinglist'!A:CT,12,FALSE)</f>
        <v>KST</v>
      </c>
      <c r="R42" s="60" t="str">
        <f>IF(LEFT(K42,2)="22","20'","40'")</f>
        <v>40'</v>
      </c>
      <c r="S42" s="185" t="n"/>
      <c r="T42" s="61" t="str">
        <f>VLOOKUP(A42,'1.Loading'!A:R,2,FALSE)</f>
        <v>2026-10-22</v>
      </c>
      <c r="U42" s="63">
        <f>T42-S42</f>
        <v>46317</v>
      </c>
      <c r="V42" s="186" t="n"/>
      <c r="W42" s="61" t="str">
        <f>VLOOKUP(A42,'3.GateMove'!A:D,4,FALSE)</f>
        <v>2026-10-12</v>
      </c>
      <c r="X42" s="63">
        <f>((T42-W42)+1)</f>
        <v>11</v>
      </c>
      <c r="Y42" s="64">
        <f>IF(AND(OR(C42="BKK01",C42="BKK04"),L42="CFS/CY"),0,IF(M42="DG",1,IF(LEFT(C42,3)="LCH",7,IF(C42="BKK02",5,3))))</f>
        <v>5</v>
      </c>
      <c r="Z42" s="63">
        <f>IF(IF(AND(AC42="TML",AB42&gt;0),((T42-W42)+1)-AB42,((T42-W42)+1)-Y42)&gt;0,IF(AND(AC42="TML",AB42&gt;0),((T42-W42)+1)-AB42,((T42-W42)+1)-Y42),0)</f>
        <v>6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600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46318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600</v>
      </c>
      <c r="AJ42" s="188" t="n"/>
      <c r="AK42" s="62" t="str">
        <f>VLOOKUP(D42,'2.Bookinglist'!A:CT,40,FALSE)</f>
        <v>Nannaapust Sukporntaweewat</v>
      </c>
      <c r="AL42" s="60" t="str">
        <f>VLOOKUP(D42,'2.Bookinglist'!A:CW,101,FALSE)</f>
        <v>2026-10-21</v>
      </c>
      <c r="AM42" s="60" t="str">
        <f>VLOOKUP(D42,'2.Bookinglist'!A:BK,63,FALSE)</f>
        <v>BKK27</v>
      </c>
      <c r="AN42" s="62" t="str">
        <f>VLOOKUP(D42,'2.Bookinglist'!A:AZ,52,FALSE)</f>
        <v>Pickup : 2026-10-10, Return : 2026-10-13 </v>
      </c>
      <c r="AO42" s="62" t="str">
        <f>VLOOKUP(D42,'2.Bookinglist'!A:CY,103,FALSE)</f>
        <v>ROLL OVER FORM PREVIOUS VSL SWAL 2609N BY ALLOCATION TEAM MS.TARN APRPOVED COST IS UNDER HA DD.15/10</v>
      </c>
    </row>
    <row r="43" ht="12.95" customHeight="1">
      <c r="A43" s="96" t="inlineStr">
        <is>
          <t>SKHU6613364</t>
        </is>
      </c>
      <c r="B43" s="184" t="str">
        <f>IF(C43=Charge!$M$1,Charge!$J$1,IF(C43=Charge!$M$23,Charge!$J$23,IF(C43=Charge!$M$17,Charge!$J$17,IF(C43=Charge!$N$17,Charge!$J$17,Charge!$J$7))))</f>
        <v>G4</v>
      </c>
      <c r="C43" s="61" t="str">
        <f>VLOOKUP(A43,'1.Loading'!A:R,14,FALSE)</f>
        <v>BKK02</v>
      </c>
      <c r="D43" s="61" t="str">
        <f>VLOOKUP(A43,'1.Loading'!A:R,17,FALSE)</f>
        <v>HASLS22260900823</v>
      </c>
      <c r="E43" s="62" t="str">
        <f>VLOOKUP(D43,'2.Bookinglist'!A:CT,27,FALSE)</f>
        <v>YOUNGSUWAT TRADING CO.,LTD.</v>
      </c>
      <c r="F43" s="62" t="str">
        <f>VLOOKUP(D43,'2.Bookinglist'!A:CT,28,FALSE)</f>
        <v>YOUNGSUWAT TRADING CO.,LTD.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JPTOS</v>
      </c>
      <c r="J43" s="61" t="str">
        <f>VLOOKUP(D43,'2.Bookinglist'!A:CT,26,FALSE)</f>
        <v>KRPUS</v>
      </c>
      <c r="K43" s="61" t="str">
        <f>VLOOKUP(A43,'1.Loading'!A:R,5,FALSE)</f>
        <v>45GP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SWAL</v>
      </c>
      <c r="P43" s="61" t="str">
        <f>VLOOKUP(A43,'1.Loading'!A:R,4,FALSE)</f>
        <v>2609N</v>
      </c>
      <c r="Q43" s="61" t="str">
        <f>VLOOKUP(D43,'2.Bookinglist'!A:CT,12,FALSE)</f>
        <v>KST</v>
      </c>
      <c r="R43" s="60" t="str">
        <f>IF(LEFT(K43,2)="22","20'","40'")</f>
        <v>40'</v>
      </c>
      <c r="S43" s="185" t="n"/>
      <c r="T43" s="61" t="str">
        <f>VLOOKUP(A43,'1.Loading'!A:R,2,FALSE)</f>
        <v>2026-10-22</v>
      </c>
      <c r="U43" s="63">
        <f>T43-S43</f>
        <v>46317</v>
      </c>
      <c r="V43" s="186" t="n"/>
      <c r="W43" s="61" t="str">
        <f>VLOOKUP(A43,'3.GateMove'!A:D,4,FALSE)</f>
        <v>2026-10-16</v>
      </c>
      <c r="X43" s="63">
        <f>((T43-W43)+1)</f>
        <v>7</v>
      </c>
      <c r="Y43" s="64">
        <f>IF(AND(OR(C43="BKK01",C43="BKK04"),L43="CFS/CY"),0,IF(M43="DG",1,IF(LEFT(C43,3)="LCH",7,IF(C43="BKK02",5,3))))</f>
        <v>5</v>
      </c>
      <c r="Z43" s="63">
        <f>IF(IF(AND(AC43="TML",AB43&gt;0),((T43-W43)+1)-AB43,((T43-W43)+1)-Y43)&gt;0,IF(AND(AC43="TML",AB43&gt;0),((T43-W43)+1)-AB43,((T43-W43)+1)-Y43),0)</f>
        <v>2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200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46318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200</v>
      </c>
      <c r="AJ43" s="188" t="n"/>
      <c r="AK43" s="62" t="str">
        <f>VLOOKUP(D43,'2.Bookinglist'!A:CT,40,FALSE)</f>
        <v>Vilaiporn</v>
      </c>
      <c r="AL43" s="60" t="str">
        <f>VLOOKUP(D43,'2.Bookinglist'!A:CW,101,FALSE)</f>
        <v>2026-10-19</v>
      </c>
      <c r="AM43" s="60" t="str">
        <f>VLOOKUP(D43,'2.Bookinglist'!A:BK,63,FALSE)</f>
        <v>BKK27</v>
      </c>
      <c r="AN43" s="62" t="str">
        <f>VLOOKUP(D43,'2.Bookinglist'!A:AZ,52,FALSE)</f>
        <v>Pickup : 2026-10-14, Return : 2026-10-15 </v>
      </c>
      <c r="AO43" s="62">
        <f>VLOOKUP(D43,'2.Bookinglist'!A:CY,103,FALSE)</f>
        <v>0</v>
      </c>
    </row>
    <row r="44" ht="12.95" customHeight="1">
      <c r="A44" s="96" t="inlineStr">
        <is>
          <t>SKHU8101198</t>
        </is>
      </c>
      <c r="B44" s="184" t="str">
        <f>IF(C44=Charge!$M$1,Charge!$J$1,IF(C44=Charge!$M$23,Charge!$J$23,IF(C44=Charge!$M$17,Charge!$J$17,IF(C44=Charge!$N$17,Charge!$J$17,Charge!$J$7))))</f>
        <v>G4</v>
      </c>
      <c r="C44" s="61" t="str">
        <f>VLOOKUP(A44,'1.Loading'!A:R,14,FALSE)</f>
        <v>BKK02</v>
      </c>
      <c r="D44" s="61" t="str">
        <f>VLOOKUP(A44,'1.Loading'!A:R,17,FALSE)</f>
        <v>HASLS22260902439</v>
      </c>
      <c r="E44" s="62" t="str">
        <f>VLOOKUP(D44,'2.Bookinglist'!A:CT,27,FALSE)</f>
        <v>CAPRICORN LOGISTICS CO., LTD.</v>
      </c>
      <c r="F44" s="62" t="str">
        <f>VLOOKUP(D44,'2.Bookinglist'!A:CT,28,FALSE)</f>
        <v>SWAN INDUSTRIES (THAILAND) LTD.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VNSGN</v>
      </c>
      <c r="J44" s="61">
        <f>VLOOKUP(D44,'2.Bookinglist'!A:CT,26,FALSE)</f>
        <v>0</v>
      </c>
      <c r="K44" s="61" t="str">
        <f>VLOOKUP(A44,'1.Loading'!A:R,5,FALSE)</f>
        <v>45GP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SWAL</v>
      </c>
      <c r="P44" s="61" t="str">
        <f>VLOOKUP(A44,'1.Loading'!A:R,4,FALSE)</f>
        <v>2609N</v>
      </c>
      <c r="Q44" s="61" t="str">
        <f>VLOOKUP(D44,'2.Bookinglist'!A:CT,12,FALSE)</f>
        <v>KST</v>
      </c>
      <c r="R44" s="60" t="str">
        <f>IF(LEFT(K44,2)="22","20'","40'")</f>
        <v>40'</v>
      </c>
      <c r="S44" s="185" t="n"/>
      <c r="T44" s="61" t="str">
        <f>VLOOKUP(A44,'1.Loading'!A:R,2,FALSE)</f>
        <v>2026-10-22</v>
      </c>
      <c r="U44" s="63">
        <f>T44-S44</f>
        <v>46317</v>
      </c>
      <c r="V44" s="186" t="n"/>
      <c r="W44" s="61" t="str">
        <f>VLOOKUP(A44,'3.GateMove'!A:D,4,FALSE)</f>
        <v>2026-10-15</v>
      </c>
      <c r="X44" s="63">
        <f>((T44-W44)+1)</f>
        <v>8</v>
      </c>
      <c r="Y44" s="64">
        <f>IF(AND(OR(C44="BKK01",C44="BKK04"),L44="CFS/CY"),0,IF(M44="DG",1,IF(LEFT(C44,3)="LCH",7,IF(C44="BKK02",5,3))))</f>
        <v>5</v>
      </c>
      <c r="Z44" s="63">
        <f>IF(IF(AND(AC44="TML",AB44&gt;0),((T44-W44)+1)-AB44,((T44-W44)+1)-Y44)&gt;0,IF(AND(AC44="TML",AB44&gt;0),((T44-W44)+1)-AB44,((T44-W44)+1)-Y44),0)</f>
        <v>3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300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46318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300</v>
      </c>
      <c r="AJ44" s="188" t="n"/>
      <c r="AK44" s="62" t="str">
        <f>VLOOKUP(D44,'2.Bookinglist'!A:CT,40,FALSE)</f>
        <v>Nguyen Xuan Toan</v>
      </c>
      <c r="AL44" s="60" t="str">
        <f>VLOOKUP(D44,'2.Bookinglist'!A:CW,101,FALSE)</f>
        <v>2026-10-19</v>
      </c>
      <c r="AM44" s="60" t="str">
        <f>VLOOKUP(D44,'2.Bookinglist'!A:BK,63,FALSE)</f>
        <v>BKK27</v>
      </c>
      <c r="AN44" s="62" t="str">
        <f>VLOOKUP(D44,'2.Bookinglist'!A:AZ,52,FALSE)</f>
        <v>Pickup : 2026-10-14, Return : 2026-10-15</v>
      </c>
      <c r="AO44" s="62">
        <f>VLOOKUP(D44,'2.Bookinglist'!A:CY,103,FALSE)</f>
        <v>0</v>
      </c>
    </row>
    <row r="45" ht="12.95" customHeight="1">
      <c r="A45" s="96" t="inlineStr">
        <is>
          <t>SKHU8433612</t>
        </is>
      </c>
      <c r="B45" s="184" t="str">
        <f>IF(C45=Charge!$M$1,Charge!$J$1,IF(C45=Charge!$M$23,Charge!$J$23,IF(C45=Charge!$M$17,Charge!$J$17,IF(C45=Charge!$N$17,Charge!$J$17,Charge!$J$7))))</f>
        <v>G4</v>
      </c>
      <c r="C45" s="61" t="str">
        <f>VLOOKUP(A45,'1.Loading'!A:R,14,FALSE)</f>
        <v>BKK02</v>
      </c>
      <c r="D45" s="61" t="str">
        <f>VLOOKUP(A45,'1.Loading'!A:R,17,FALSE)</f>
        <v>HASLS22260902444</v>
      </c>
      <c r="E45" s="62" t="str">
        <f>VLOOKUP(D45,'2.Bookinglist'!A:CT,27,FALSE)</f>
        <v>CAPRICORN LOGISTICS CO., LTD.</v>
      </c>
      <c r="F45" s="62" t="str">
        <f>VLOOKUP(D45,'2.Bookinglist'!A:CT,28,FALSE)</f>
        <v>SWAN INDUSTRIES (THAILAND) LTD.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VNSGN</v>
      </c>
      <c r="J45" s="61">
        <f>VLOOKUP(D45,'2.Bookinglist'!A:CT,26,FALSE)</f>
        <v>0</v>
      </c>
      <c r="K45" s="61" t="str">
        <f>VLOOKUP(A45,'1.Loading'!A:R,5,FALSE)</f>
        <v>45GP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SWAL</v>
      </c>
      <c r="P45" s="61" t="str">
        <f>VLOOKUP(A45,'1.Loading'!A:R,4,FALSE)</f>
        <v>2609N</v>
      </c>
      <c r="Q45" s="61" t="str">
        <f>VLOOKUP(D45,'2.Bookinglist'!A:CT,12,FALSE)</f>
        <v>KST</v>
      </c>
      <c r="R45" s="60" t="str">
        <f>IF(LEFT(K45,2)="22","20'","40'")</f>
        <v>40'</v>
      </c>
      <c r="S45" s="185" t="n"/>
      <c r="T45" s="61" t="str">
        <f>VLOOKUP(A45,'1.Loading'!A:R,2,FALSE)</f>
        <v>2026-10-22</v>
      </c>
      <c r="U45" s="63">
        <f>T45-S45</f>
        <v>46317</v>
      </c>
      <c r="V45" s="186" t="n"/>
      <c r="W45" s="61" t="str">
        <f>VLOOKUP(A45,'3.GateMove'!A:D,4,FALSE)</f>
        <v>2026-10-17</v>
      </c>
      <c r="X45" s="63">
        <f>((T45-W45)+1)</f>
        <v>6</v>
      </c>
      <c r="Y45" s="64">
        <f>IF(AND(OR(C45="BKK01",C45="BKK04"),L45="CFS/CY"),0,IF(M45="DG",1,IF(LEFT(C45,3)="LCH",7,IF(C45="BKK02",5,3))))</f>
        <v>5</v>
      </c>
      <c r="Z45" s="63">
        <f>IF(IF(AND(AC45="TML",AB45&gt;0),((T45-W45)+1)-AB45,((T45-W45)+1)-Y45)&gt;0,IF(AND(AC45="TML",AB45&gt;0),((T45-W45)+1)-AB45,((T45-W45)+1)-Y45),0)</f>
        <v>1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100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46318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100</v>
      </c>
      <c r="AJ45" s="188" t="n"/>
      <c r="AK45" s="62" t="str">
        <f>VLOOKUP(D45,'2.Bookinglist'!A:CT,40,FALSE)</f>
        <v>Nguyen Xuan Toan</v>
      </c>
      <c r="AL45" s="60" t="str">
        <f>VLOOKUP(D45,'2.Bookinglist'!A:CW,101,FALSE)</f>
        <v>2026-10-19</v>
      </c>
      <c r="AM45" s="60" t="str">
        <f>VLOOKUP(D45,'2.Bookinglist'!A:BK,63,FALSE)</f>
        <v>BKK27</v>
      </c>
      <c r="AN45" s="62" t="str">
        <f>VLOOKUP(D45,'2.Bookinglist'!A:AZ,52,FALSE)</f>
        <v>Pickup : 2026-10-14, Return : 2026-10-15 </v>
      </c>
      <c r="AO45" s="62">
        <f>VLOOKUP(D45,'2.Bookinglist'!A:CY,103,FALSE)</f>
        <v>0</v>
      </c>
    </row>
    <row r="46" ht="12.95" customHeight="1">
      <c r="A46" s="96" t="inlineStr">
        <is>
          <t>SKHU9107863</t>
        </is>
      </c>
      <c r="B46" s="184" t="str">
        <f>IF(C46=Charge!$M$1,Charge!$J$1,IF(C46=Charge!$M$23,Charge!$J$23,IF(C46=Charge!$M$17,Charge!$J$17,IF(C46=Charge!$N$17,Charge!$J$17,Charge!$J$7))))</f>
        <v>G4</v>
      </c>
      <c r="C46" s="61" t="str">
        <f>VLOOKUP(A46,'1.Loading'!A:R,14,FALSE)</f>
        <v>BKK02</v>
      </c>
      <c r="D46" s="61" t="str">
        <f>VLOOKUP(A46,'1.Loading'!A:R,17,FALSE)</f>
        <v>HASLS22260902280</v>
      </c>
      <c r="E46" s="62" t="str">
        <f>VLOOKUP(D46,'2.Bookinglist'!A:CT,27,FALSE)</f>
        <v>DIGITAL TRANSPORT SYSTEM CO., LTD.</v>
      </c>
      <c r="F46" s="62" t="str">
        <f>VLOOKUP(D46,'2.Bookinglist'!A:CT,28,FALSE)</f>
        <v>BIG C SUPERCENTER PUBLIC CO.,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SWAL</v>
      </c>
      <c r="P46" s="61" t="str">
        <f>VLOOKUP(A46,'1.Loading'!A:R,4,FALSE)</f>
        <v>2609N</v>
      </c>
      <c r="Q46" s="61" t="str">
        <f>VLOOKUP(D46,'2.Bookinglist'!A:CT,12,FALSE)</f>
        <v>KST</v>
      </c>
      <c r="R46" s="60" t="str">
        <f>IF(LEFT(K46,2)="22","20'","40'")</f>
        <v>40'</v>
      </c>
      <c r="S46" s="185" t="n"/>
      <c r="T46" s="61" t="str">
        <f>VLOOKUP(A46,'1.Loading'!A:R,2,FALSE)</f>
        <v>2026-10-22</v>
      </c>
      <c r="U46" s="63">
        <f>T46-S46</f>
        <v>46317</v>
      </c>
      <c r="V46" s="186" t="n"/>
      <c r="W46" s="61" t="str">
        <f>VLOOKUP(A46,'3.GateMove'!A:D,4,FALSE)</f>
        <v>2026-10-15</v>
      </c>
      <c r="X46" s="63">
        <f>((T46-W46)+1)</f>
        <v>8</v>
      </c>
      <c r="Y46" s="64">
        <f>IF(AND(OR(C46="BKK01",C46="BKK04"),L46="CFS/CY"),0,IF(M46="DG",1,IF(LEFT(C46,3)="LCH",7,IF(C46="BKK02",5,3))))</f>
        <v>5</v>
      </c>
      <c r="Z46" s="63">
        <f>IF(IF(AND(AC46="TML",AB46&gt;0),((T46-W46)+1)-AB46,((T46-W46)+1)-Y46)&gt;0,IF(AND(AC46="TML",AB46&gt;0),((T46-W46)+1)-AB46,((T46-W46)+1)-Y46),0)</f>
        <v>3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300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46318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300</v>
      </c>
      <c r="AJ46" s="188" t="n"/>
      <c r="AK46" s="62" t="str">
        <f>VLOOKUP(D46,'2.Bookinglist'!A:CT,40,FALSE)</f>
        <v>Nguyen Van Nam</v>
      </c>
      <c r="AL46" s="60" t="str">
        <f>VLOOKUP(D46,'2.Bookinglist'!A:CW,101,FALSE)</f>
        <v>2026-10-19</v>
      </c>
      <c r="AM46" s="60" t="str">
        <f>VLOOKUP(D46,'2.Bookinglist'!A:BK,63,FALSE)</f>
        <v>BKK27</v>
      </c>
      <c r="AN46" s="62" t="str">
        <f>VLOOKUP(D46,'2.Bookinglist'!A:AZ,52,FALSE)</f>
        <v>Pickup : 2026-10-14, Return : 2026-10-15</v>
      </c>
      <c r="AO46" s="62">
        <f>VLOOKUP(D46,'2.Bookinglist'!A:CY,103,FALSE)</f>
        <v>0</v>
      </c>
    </row>
    <row r="47" ht="12.95" customHeight="1">
      <c r="A47" s="96" t="inlineStr">
        <is>
          <t>SKHU9110975</t>
        </is>
      </c>
      <c r="B47" s="184" t="str">
        <f>IF(C47=Charge!$M$1,Charge!$J$1,IF(C47=Charge!$M$23,Charge!$J$23,IF(C47=Charge!$M$17,Charge!$J$17,IF(C47=Charge!$N$17,Charge!$J$17,Charge!$J$7))))</f>
        <v>G4</v>
      </c>
      <c r="C47" s="61" t="str">
        <f>VLOOKUP(A47,'1.Loading'!A:R,14,FALSE)</f>
        <v>BKK02</v>
      </c>
      <c r="D47" s="61" t="str">
        <f>VLOOKUP(A47,'1.Loading'!A:R,17,FALSE)</f>
        <v>HASLS22260901080</v>
      </c>
      <c r="E47" s="62" t="str">
        <f>VLOOKUP(D47,'2.Bookinglist'!A:CT,27,FALSE)</f>
        <v>EAST-LINK CORPORATION CO., LTD.</v>
      </c>
      <c r="F47" s="62" t="str">
        <f>VLOOKUP(D47,'2.Bookinglist'!A:CT,28,FALSE)</f>
        <v>SIAM FUKOKU CO.,LTD.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VNSGN</v>
      </c>
      <c r="J47" s="61">
        <f>VLOOKUP(D47,'2.Bookinglist'!A:CT,26,FALSE)</f>
        <v>0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SWAL</v>
      </c>
      <c r="P47" s="61" t="str">
        <f>VLOOKUP(A47,'1.Loading'!A:R,4,FALSE)</f>
        <v>2609N</v>
      </c>
      <c r="Q47" s="61" t="str">
        <f>VLOOKUP(D47,'2.Bookinglist'!A:CT,12,FALSE)</f>
        <v>KST</v>
      </c>
      <c r="R47" s="60" t="str">
        <f>IF(LEFT(K47,2)="22","20'","40'")</f>
        <v>40'</v>
      </c>
      <c r="S47" s="185" t="n"/>
      <c r="T47" s="61" t="str">
        <f>VLOOKUP(A47,'1.Loading'!A:R,2,FALSE)</f>
        <v>2026-10-22</v>
      </c>
      <c r="U47" s="63">
        <f>T47-S47</f>
        <v>46317</v>
      </c>
      <c r="V47" s="186" t="n"/>
      <c r="W47" s="61" t="str">
        <f>VLOOKUP(A47,'3.GateMove'!A:D,4,FALSE)</f>
        <v>2026-10-17</v>
      </c>
      <c r="X47" s="63">
        <f>((T47-W47)+1)</f>
        <v>6</v>
      </c>
      <c r="Y47" s="64">
        <f>IF(AND(OR(C47="BKK01",C47="BKK04"),L47="CFS/CY"),0,IF(M47="DG",1,IF(LEFT(C47,3)="LCH",7,IF(C47="BKK02",5,3))))</f>
        <v>5</v>
      </c>
      <c r="Z47" s="63">
        <f>IF(IF(AND(AC47="TML",AB47&gt;0),((T47-W47)+1)-AB47,((T47-W47)+1)-Y47)&gt;0,IF(AND(AC47="TML",AB47&gt;0),((T47-W47)+1)-AB47,((T47-W47)+1)-Y47),0)</f>
        <v>1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100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46318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100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2026-10-19</v>
      </c>
      <c r="AM47" s="60" t="str">
        <f>VLOOKUP(D47,'2.Bookinglist'!A:BK,63,FALSE)</f>
        <v>BKK25</v>
      </c>
      <c r="AN47" s="62" t="str">
        <f>VLOOKUP(D47,'2.Bookinglist'!A:AZ,52,FALSE)</f>
        <v>Pickup : 2026-10-15, Return : 2026-10-16 (EXTEND CLOSING DD.17/10/26 @23.59)</v>
      </c>
      <c r="AO47" s="62">
        <f>VLOOKUP(D47,'2.Bookinglist'!A:CY,103,FALSE)</f>
        <v>0</v>
      </c>
    </row>
    <row r="48" ht="12.95" customHeight="1">
      <c r="A48" s="96" t="inlineStr">
        <is>
          <t>SKHU9540791</t>
        </is>
      </c>
      <c r="B48" s="184" t="str">
        <f>IF(C48=Charge!$M$1,Charge!$J$1,IF(C48=Charge!$M$23,Charge!$J$23,IF(C48=Charge!$M$17,Charge!$J$17,IF(C48=Charge!$N$17,Charge!$J$17,Charge!$J$7))))</f>
        <v>G4</v>
      </c>
      <c r="C48" s="61" t="str">
        <f>VLOOKUP(A48,'1.Loading'!A:R,14,FALSE)</f>
        <v>BKK02</v>
      </c>
      <c r="D48" s="61" t="str">
        <f>VLOOKUP(A48,'1.Loading'!A:R,17,FALSE)</f>
        <v>HASLS22260902444</v>
      </c>
      <c r="E48" s="62" t="str">
        <f>VLOOKUP(D48,'2.Bookinglist'!A:CT,27,FALSE)</f>
        <v>CAPRICORN LOGISTICS CO., LTD.</v>
      </c>
      <c r="F48" s="62" t="str">
        <f>VLOOKUP(D48,'2.Bookinglist'!A:CT,28,FALSE)</f>
        <v>SWAN INDUSTRIES (THAILAND)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VNSGN</v>
      </c>
      <c r="J48" s="61">
        <f>VLOOKUP(D48,'2.Bookinglist'!A:CT,26,FALSE)</f>
        <v>0</v>
      </c>
      <c r="K48" s="61" t="str">
        <f>VLOOKUP(A48,'1.Loading'!A:R,5,FALSE)</f>
        <v>45GP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SWAL</v>
      </c>
      <c r="P48" s="61" t="str">
        <f>VLOOKUP(A48,'1.Loading'!A:R,4,FALSE)</f>
        <v>2609N</v>
      </c>
      <c r="Q48" s="61" t="str">
        <f>VLOOKUP(D48,'2.Bookinglist'!A:CT,12,FALSE)</f>
        <v>KST</v>
      </c>
      <c r="R48" s="60" t="str">
        <f>IF(LEFT(K48,2)="22","20'","40'")</f>
        <v>40'</v>
      </c>
      <c r="S48" s="185" t="n"/>
      <c r="T48" s="61" t="str">
        <f>VLOOKUP(A48,'1.Loading'!A:R,2,FALSE)</f>
        <v>2026-10-22</v>
      </c>
      <c r="U48" s="63">
        <f>T48-S48</f>
        <v>46317</v>
      </c>
      <c r="V48" s="186" t="n"/>
      <c r="W48" s="61" t="str">
        <f>VLOOKUP(A48,'3.GateMove'!A:D,4,FALSE)</f>
        <v>2026-10-15</v>
      </c>
      <c r="X48" s="63">
        <f>((T48-W48)+1)</f>
        <v>8</v>
      </c>
      <c r="Y48" s="64">
        <f>IF(AND(OR(C48="BKK01",C48="BKK04"),L48="CFS/CY"),0,IF(M48="DG",1,IF(LEFT(C48,3)="LCH",7,IF(C48="BKK02",5,3))))</f>
        <v>5</v>
      </c>
      <c r="Z48" s="63">
        <f>IF(IF(AND(AC48="TML",AB48&gt;0),((T48-W48)+1)-AB48,((T48-W48)+1)-Y48)&gt;0,IF(AND(AC48="TML",AB48&gt;0),((T48-W48)+1)-AB48,((T48-W48)+1)-Y48),0)</f>
        <v>3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300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46318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300</v>
      </c>
      <c r="AJ48" s="188" t="n"/>
      <c r="AK48" s="62" t="str">
        <f>VLOOKUP(D48,'2.Bookinglist'!A:CT,40,FALSE)</f>
        <v>Nguyen Xuan Toan</v>
      </c>
      <c r="AL48" s="60" t="str">
        <f>VLOOKUP(D48,'2.Bookinglist'!A:CW,101,FALSE)</f>
        <v>2026-10-19</v>
      </c>
      <c r="AM48" s="60" t="str">
        <f>VLOOKUP(D48,'2.Bookinglist'!A:BK,63,FALSE)</f>
        <v>BKK27</v>
      </c>
      <c r="AN48" s="62" t="str">
        <f>VLOOKUP(D48,'2.Bookinglist'!A:AZ,52,FALSE)</f>
        <v>Pickup : 2026-10-14, Return : 2026-10-15 </v>
      </c>
      <c r="AO48" s="62">
        <f>VLOOKUP(D48,'2.Bookinglist'!A:CY,103,FALSE)</f>
        <v>0</v>
      </c>
    </row>
    <row r="49" ht="12.95" customHeight="1">
      <c r="A49" s="96" t="inlineStr">
        <is>
          <t>SKHU9622035</t>
        </is>
      </c>
      <c r="B49" s="184" t="str">
        <f>IF(C49=Charge!$M$1,Charge!$J$1,IF(C49=Charge!$M$23,Charge!$J$23,IF(C49=Charge!$M$17,Charge!$J$17,IF(C49=Charge!$N$17,Charge!$J$17,Charge!$J$7))))</f>
        <v>G4</v>
      </c>
      <c r="C49" s="61" t="str">
        <f>VLOOKUP(A49,'1.Loading'!A:R,14,FALSE)</f>
        <v>BKK02</v>
      </c>
      <c r="D49" s="61" t="str">
        <f>VLOOKUP(A49,'1.Loading'!A:R,17,FALSE)</f>
        <v>HASLS22260902444</v>
      </c>
      <c r="E49" s="62" t="str">
        <f>VLOOKUP(D49,'2.Bookinglist'!A:CT,27,FALSE)</f>
        <v>CAPRICORN LOGISTICS CO., LTD.</v>
      </c>
      <c r="F49" s="62" t="str">
        <f>VLOOKUP(D49,'2.Bookinglist'!A:CT,28,FALSE)</f>
        <v>SWAN INDUSTRIES (THAILAND) LTD.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VNSGN</v>
      </c>
      <c r="J49" s="61">
        <f>VLOOKUP(D49,'2.Bookinglist'!A:CT,26,FALSE)</f>
        <v>0</v>
      </c>
      <c r="K49" s="61" t="str">
        <f>VLOOKUP(A49,'1.Loading'!A:R,5,FALSE)</f>
        <v>45GP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SWAL</v>
      </c>
      <c r="P49" s="61" t="str">
        <f>VLOOKUP(A49,'1.Loading'!A:R,4,FALSE)</f>
        <v>2609N</v>
      </c>
      <c r="Q49" s="61" t="str">
        <f>VLOOKUP(D49,'2.Bookinglist'!A:CT,12,FALSE)</f>
        <v>KST</v>
      </c>
      <c r="R49" s="60" t="str">
        <f>IF(LEFT(K49,2)="22","20'","40'")</f>
        <v>40'</v>
      </c>
      <c r="S49" s="185" t="n"/>
      <c r="T49" s="61" t="str">
        <f>VLOOKUP(A49,'1.Loading'!A:R,2,FALSE)</f>
        <v>2026-10-22</v>
      </c>
      <c r="U49" s="63">
        <f>T49-S49</f>
        <v>46317</v>
      </c>
      <c r="V49" s="186" t="n"/>
      <c r="W49" s="61" t="str">
        <f>VLOOKUP(A49,'3.GateMove'!A:D,4,FALSE)</f>
        <v>2026-10-17</v>
      </c>
      <c r="X49" s="63">
        <f>((T49-W49)+1)</f>
        <v>6</v>
      </c>
      <c r="Y49" s="64">
        <f>IF(AND(OR(C49="BKK01",C49="BKK04"),L49="CFS/CY"),0,IF(M49="DG",1,IF(LEFT(C49,3)="LCH",7,IF(C49="BKK02",5,3))))</f>
        <v>5</v>
      </c>
      <c r="Z49" s="63">
        <f>IF(IF(AND(AC49="TML",AB49&gt;0),((T49-W49)+1)-AB49,((T49-W49)+1)-Y49)&gt;0,IF(AND(AC49="TML",AB49&gt;0),((T49-W49)+1)-AB49,((T49-W49)+1)-Y49),0)</f>
        <v>1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100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46318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100</v>
      </c>
      <c r="AJ49" s="188" t="n"/>
      <c r="AK49" s="62" t="str">
        <f>VLOOKUP(D49,'2.Bookinglist'!A:CT,40,FALSE)</f>
        <v>Nguyen Xuan Toan</v>
      </c>
      <c r="AL49" s="60" t="str">
        <f>VLOOKUP(D49,'2.Bookinglist'!A:CW,101,FALSE)</f>
        <v>2026-10-19</v>
      </c>
      <c r="AM49" s="60" t="str">
        <f>VLOOKUP(D49,'2.Bookinglist'!A:BK,63,FALSE)</f>
        <v>BKK27</v>
      </c>
      <c r="AN49" s="62" t="str">
        <f>VLOOKUP(D49,'2.Bookinglist'!A:AZ,52,FALSE)</f>
        <v>Pickup : 2026-10-14, Return : 2026-10-15 </v>
      </c>
      <c r="AO49" s="62">
        <f>VLOOKUP(D49,'2.Bookinglist'!A:CY,103,FALSE)</f>
        <v>0</v>
      </c>
    </row>
    <row r="50" ht="12.95" customHeight="1">
      <c r="A50" s="96" t="inlineStr">
        <is>
          <t>SKLU0409454</t>
        </is>
      </c>
      <c r="B50" s="184" t="str">
        <f>IF(C50=Charge!$M$1,Charge!$J$1,IF(C50=Charge!$M$23,Charge!$J$23,IF(C50=Charge!$M$17,Charge!$J$17,IF(C50=Charge!$N$17,Charge!$J$17,Charge!$J$7))))</f>
        <v>G4</v>
      </c>
      <c r="C50" s="61" t="str">
        <f>VLOOKUP(A50,'1.Loading'!A:R,14,FALSE)</f>
        <v>BKK02</v>
      </c>
      <c r="D50" s="61" t="str">
        <f>VLOOKUP(A50,'1.Loading'!A:R,17,FALSE)</f>
        <v>HASLS22260801961</v>
      </c>
      <c r="E50" s="62" t="str">
        <f>VLOOKUP(D50,'2.Bookinglist'!A:CT,27,FALSE)</f>
        <v>SCGJWD LOGISTICS PUBLIC COMPANY LIMITED</v>
      </c>
      <c r="F50" s="62" t="str">
        <f>VLOOKUP(D50,'2.Bookinglist'!A:CT,28,FALSE)</f>
        <v>SCG INTERNATIONAL CORPORATION CO., LTD.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VNSGN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SWAL</v>
      </c>
      <c r="P50" s="61" t="str">
        <f>VLOOKUP(A50,'1.Loading'!A:R,4,FALSE)</f>
        <v>2609N</v>
      </c>
      <c r="Q50" s="61" t="str">
        <f>VLOOKUP(D50,'2.Bookinglist'!A:CT,12,FALSE)</f>
        <v>KST</v>
      </c>
      <c r="R50" s="60" t="str">
        <f>IF(LEFT(K50,2)="22","20'","40'")</f>
        <v>20'</v>
      </c>
      <c r="S50" s="185" t="n"/>
      <c r="T50" s="61" t="str">
        <f>VLOOKUP(A50,'1.Loading'!A:R,2,FALSE)</f>
        <v>2026-10-22</v>
      </c>
      <c r="U50" s="63">
        <f>T50-S50</f>
        <v>46317</v>
      </c>
      <c r="V50" s="186" t="n"/>
      <c r="W50" s="61" t="str">
        <f>VLOOKUP(A50,'3.GateMove'!A:D,4,FALSE)</f>
        <v>2026-10-15</v>
      </c>
      <c r="X50" s="63">
        <f>((T50-W50)+1)</f>
        <v>8</v>
      </c>
      <c r="Y50" s="64">
        <f>IF(AND(OR(C50="BKK01",C50="BKK04"),L50="CFS/CY"),0,IF(M50="DG",1,IF(LEFT(C50,3)="LCH",7,IF(C50="BKK02",5,3))))</f>
        <v>5</v>
      </c>
      <c r="Z50" s="63">
        <f>IF(IF(AND(AC50="TML",AB50&gt;0),((T50-W50)+1)-AB50,((T50-W50)+1)-Y50)&gt;0,IF(AND(AC50="TML",AB50&gt;0),((T50-W50)+1)-AB50,((T50-W50)+1)-Y50),0)</f>
        <v>3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150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46318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150</v>
      </c>
      <c r="AJ50" s="188" t="n"/>
      <c r="AK50" s="62" t="str">
        <f>VLOOKUP(D50,'2.Bookinglist'!A:CT,40,FALSE)</f>
        <v>Kanokporn</v>
      </c>
      <c r="AL50" s="60" t="str">
        <f>VLOOKUP(D50,'2.Bookinglist'!A:CW,101,FALSE)</f>
        <v>2026-10-19</v>
      </c>
      <c r="AM50" s="60" t="str">
        <f>VLOOKUP(D50,'2.Bookinglist'!A:BK,63,FALSE)</f>
        <v>BKK25</v>
      </c>
      <c r="AN50" s="62" t="str">
        <f>VLOOKUP(D50,'2.Bookinglist'!A:AZ,52,FALSE)</f>
        <v>CY-RTN : 12-15/10/2026  (26IHWCL77)  </v>
      </c>
      <c r="AO50" s="62">
        <f>VLOOKUP(D50,'2.Bookinglist'!A:CY,103,FALSE)</f>
        <v>0</v>
      </c>
    </row>
    <row r="51" ht="12.95" customHeight="1">
      <c r="A51" s="96" t="inlineStr">
        <is>
          <t>SKLU0563412</t>
        </is>
      </c>
      <c r="B51" s="184" t="str">
        <f>IF(C51=Charge!$M$1,Charge!$J$1,IF(C51=Charge!$M$23,Charge!$J$23,IF(C51=Charge!$M$17,Charge!$J$17,IF(C51=Charge!$N$17,Charge!$J$17,Charge!$J$7))))</f>
        <v>G4</v>
      </c>
      <c r="C51" s="61" t="str">
        <f>VLOOKUP(A51,'1.Loading'!A:R,14,FALSE)</f>
        <v>BKK02</v>
      </c>
      <c r="D51" s="61" t="str">
        <f>VLOOKUP(A51,'1.Loading'!A:R,17,FALSE)</f>
        <v>HASLS22260902497</v>
      </c>
      <c r="E51" s="62" t="str">
        <f>VLOOKUP(D51,'2.Bookinglist'!A:CT,27,FALSE)</f>
        <v>PACIFIC STAR ALLIANCE CO., LTD.</v>
      </c>
      <c r="F51" s="62" t="str">
        <f>VLOOKUP(D51,'2.Bookinglist'!A:CT,28,FALSE)</f>
        <v>WIN CHANCE INDUSTRIES CO.,LTD.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VNSGN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SWAL</v>
      </c>
      <c r="P51" s="61" t="str">
        <f>VLOOKUP(A51,'1.Loading'!A:R,4,FALSE)</f>
        <v>2609N</v>
      </c>
      <c r="Q51" s="61" t="str">
        <f>VLOOKUP(D51,'2.Bookinglist'!A:CT,12,FALSE)</f>
        <v>KST</v>
      </c>
      <c r="R51" s="60" t="str">
        <f>IF(LEFT(K51,2)="22","20'","40'")</f>
        <v>20'</v>
      </c>
      <c r="S51" s="185" t="n"/>
      <c r="T51" s="61" t="str">
        <f>VLOOKUP(A51,'1.Loading'!A:R,2,FALSE)</f>
        <v>2026-10-22</v>
      </c>
      <c r="U51" s="63">
        <f>T51-S51</f>
        <v>46317</v>
      </c>
      <c r="V51" s="186" t="n"/>
      <c r="W51" s="61" t="str">
        <f>VLOOKUP(A51,'3.GateMove'!A:D,4,FALSE)</f>
        <v>2026-10-16</v>
      </c>
      <c r="X51" s="63">
        <f>((T51-W51)+1)</f>
        <v>7</v>
      </c>
      <c r="Y51" s="64">
        <f>IF(AND(OR(C51="BKK01",C51="BKK04"),L51="CFS/CY"),0,IF(M51="DG",1,IF(LEFT(C51,3)="LCH",7,IF(C51="BKK02",5,3))))</f>
        <v>5</v>
      </c>
      <c r="Z51" s="63">
        <f>IF(IF(AND(AC51="TML",AB51&gt;0),((T51-W51)+1)-AB51,((T51-W51)+1)-Y51)&gt;0,IF(AND(AC51="TML",AB51&gt;0),((T51-W51)+1)-AB51,((T51-W51)+1)-Y51),0)</f>
        <v>2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100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46318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100</v>
      </c>
      <c r="AJ51" s="188" t="n"/>
      <c r="AK51" s="62" t="str">
        <f>VLOOKUP(D51,'2.Bookinglist'!A:CT,40,FALSE)</f>
        <v>Kanokporn</v>
      </c>
      <c r="AL51" s="60" t="str">
        <f>VLOOKUP(D51,'2.Bookinglist'!A:CW,101,FALSE)</f>
        <v>2026-10-19</v>
      </c>
      <c r="AM51" s="60" t="str">
        <f>VLOOKUP(D51,'2.Bookinglist'!A:BK,63,FALSE)</f>
        <v>BKK27</v>
      </c>
      <c r="AN51" s="62" t="str">
        <f>VLOOKUP(D51,'2.Bookinglist'!A:AZ,52,FALSE)</f>
        <v>Pickup : 2026-10-16, Return : 2026-10-16</v>
      </c>
      <c r="AO51" s="62">
        <f>VLOOKUP(D51,'2.Bookinglist'!A:CY,103,FALSE)</f>
        <v>0</v>
      </c>
    </row>
    <row r="52" ht="12.95" customHeight="1">
      <c r="A52" s="96" t="inlineStr">
        <is>
          <t>SKLU1439598</t>
        </is>
      </c>
      <c r="B52" s="184" t="str">
        <f>IF(C52=Charge!$M$1,Charge!$J$1,IF(C52=Charge!$M$23,Charge!$J$23,IF(C52=Charge!$M$17,Charge!$J$17,IF(C52=Charge!$N$17,Charge!$J$17,Charge!$J$7))))</f>
        <v>G4</v>
      </c>
      <c r="C52" s="61" t="str">
        <f>VLOOKUP(A52,'1.Loading'!A:R,14,FALSE)</f>
        <v>BKK02</v>
      </c>
      <c r="D52" s="61" t="str">
        <f>VLOOKUP(A52,'1.Loading'!A:R,17,FALSE)</f>
        <v>HASLS22260801961</v>
      </c>
      <c r="E52" s="62" t="str">
        <f>VLOOKUP(D52,'2.Bookinglist'!A:CT,27,FALSE)</f>
        <v>SCGJWD LOGISTICS PUBLIC COMPANY LIMITED</v>
      </c>
      <c r="F52" s="62" t="str">
        <f>VLOOKUP(D52,'2.Bookinglist'!A:CT,28,FALSE)</f>
        <v>SCG INTERNATIONAL CORPORATION CO., LTD.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VNSGN</v>
      </c>
      <c r="J52" s="61">
        <f>VLOOKUP(D52,'2.Bookinglist'!A:CT,26,FALSE)</f>
        <v>0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SWAL</v>
      </c>
      <c r="P52" s="61" t="str">
        <f>VLOOKUP(A52,'1.Loading'!A:R,4,FALSE)</f>
        <v>2609N</v>
      </c>
      <c r="Q52" s="61" t="str">
        <f>VLOOKUP(D52,'2.Bookinglist'!A:CT,12,FALSE)</f>
        <v>KST</v>
      </c>
      <c r="R52" s="60" t="str">
        <f>IF(LEFT(K52,2)="22","20'","40'")</f>
        <v>20'</v>
      </c>
      <c r="S52" s="185" t="n"/>
      <c r="T52" s="61" t="str">
        <f>VLOOKUP(A52,'1.Loading'!A:R,2,FALSE)</f>
        <v>2026-10-22</v>
      </c>
      <c r="U52" s="63">
        <f>T52-S52</f>
        <v>46317</v>
      </c>
      <c r="V52" s="186" t="n"/>
      <c r="W52" s="61" t="str">
        <f>VLOOKUP(A52,'3.GateMove'!A:D,4,FALSE)</f>
        <v>2026-10-15</v>
      </c>
      <c r="X52" s="63">
        <f>((T52-W52)+1)</f>
        <v>8</v>
      </c>
      <c r="Y52" s="64">
        <f>IF(AND(OR(C52="BKK01",C52="BKK04"),L52="CFS/CY"),0,IF(M52="DG",1,IF(LEFT(C52,3)="LCH",7,IF(C52="BKK02",5,3))))</f>
        <v>5</v>
      </c>
      <c r="Z52" s="63">
        <f>IF(IF(AND(AC52="TML",AB52&gt;0),((T52-W52)+1)-AB52,((T52-W52)+1)-Y52)&gt;0,IF(AND(AC52="TML",AB52&gt;0),((T52-W52)+1)-AB52,((T52-W52)+1)-Y52),0)</f>
        <v>3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150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46318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150</v>
      </c>
      <c r="AJ52" s="188" t="n"/>
      <c r="AK52" s="62" t="str">
        <f>VLOOKUP(D52,'2.Bookinglist'!A:CT,40,FALSE)</f>
        <v>Kanokporn</v>
      </c>
      <c r="AL52" s="60" t="str">
        <f>VLOOKUP(D52,'2.Bookinglist'!A:CW,101,FALSE)</f>
        <v>2026-10-19</v>
      </c>
      <c r="AM52" s="60" t="str">
        <f>VLOOKUP(D52,'2.Bookinglist'!A:BK,63,FALSE)</f>
        <v>BKK25</v>
      </c>
      <c r="AN52" s="62" t="str">
        <f>VLOOKUP(D52,'2.Bookinglist'!A:AZ,52,FALSE)</f>
        <v>CY-RTN : 12-15/10/2026  (26IHWCL77)  </v>
      </c>
      <c r="AO52" s="62">
        <f>VLOOKUP(D52,'2.Bookinglist'!A:CY,103,FALSE)</f>
        <v>0</v>
      </c>
    </row>
    <row r="53" ht="12.95" customHeight="1">
      <c r="A53" s="96" t="inlineStr">
        <is>
          <t>SKLU1443387</t>
        </is>
      </c>
      <c r="B53" s="184" t="str">
        <f>IF(C53=Charge!$M$1,Charge!$J$1,IF(C53=Charge!$M$23,Charge!$J$23,IF(C53=Charge!$M$17,Charge!$J$17,IF(C53=Charge!$N$17,Charge!$J$17,Charge!$J$7))))</f>
        <v>G4</v>
      </c>
      <c r="C53" s="61" t="str">
        <f>VLOOKUP(A53,'1.Loading'!A:R,14,FALSE)</f>
        <v>BKK02</v>
      </c>
      <c r="D53" s="61" t="str">
        <f>VLOOKUP(A53,'1.Loading'!A:R,17,FALSE)</f>
        <v>HASLS22260801961</v>
      </c>
      <c r="E53" s="62" t="str">
        <f>VLOOKUP(D53,'2.Bookinglist'!A:CT,27,FALSE)</f>
        <v>SCGJWD LOGISTICS PUBLIC COMPANY LIMITED</v>
      </c>
      <c r="F53" s="62" t="str">
        <f>VLOOKUP(D53,'2.Bookinglist'!A:CT,28,FALSE)</f>
        <v>SCG INTERNATIONAL CORPORATION CO., LTD.</v>
      </c>
      <c r="G53" s="60">
        <f>VLOOKUP(D53,'2.Bookinglist'!A:E,5,FALSE)</f>
        <v>0</v>
      </c>
      <c r="H53" s="61" t="str">
        <f>VLOOKUP(D53,'2.Bookinglist'!A:CT,15,FALSE)</f>
        <v>THBKK</v>
      </c>
      <c r="I53" s="61" t="str">
        <f>VLOOKUP(D53,'2.Bookinglist'!A:CT,19,FALSE)</f>
        <v>VNSGN</v>
      </c>
      <c r="J53" s="61">
        <f>VLOOKUP(D53,'2.Bookinglist'!A:CT,26,FALSE)</f>
        <v>0</v>
      </c>
      <c r="K53" s="61" t="str">
        <f>VLOOKUP(A53,'1.Loading'!A:R,5,FALSE)</f>
        <v>22GP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SWAL</v>
      </c>
      <c r="P53" s="61" t="str">
        <f>VLOOKUP(A53,'1.Loading'!A:R,4,FALSE)</f>
        <v>2609N</v>
      </c>
      <c r="Q53" s="61" t="str">
        <f>VLOOKUP(D53,'2.Bookinglist'!A:CT,12,FALSE)</f>
        <v>KST</v>
      </c>
      <c r="R53" s="60" t="str">
        <f>IF(LEFT(K53,2)="22","20'","40'")</f>
        <v>20'</v>
      </c>
      <c r="S53" s="185" t="n"/>
      <c r="T53" s="61" t="str">
        <f>VLOOKUP(A53,'1.Loading'!A:R,2,FALSE)</f>
        <v>2026-10-22</v>
      </c>
      <c r="U53" s="63">
        <f>T53-S53</f>
        <v>46317</v>
      </c>
      <c r="V53" s="186" t="n"/>
      <c r="W53" s="61" t="str">
        <f>VLOOKUP(A53,'3.GateMove'!A:D,4,FALSE)</f>
        <v>2026-10-15</v>
      </c>
      <c r="X53" s="63">
        <f>((T53-W53)+1)</f>
        <v>8</v>
      </c>
      <c r="Y53" s="64">
        <f>IF(AND(OR(C53="BKK01",C53="BKK04"),L53="CFS/CY"),0,IF(M53="DG",1,IF(LEFT(C53,3)="LCH",7,IF(C53="BKK02",5,3))))</f>
        <v>5</v>
      </c>
      <c r="Z53" s="63">
        <f>IF(IF(AND(AC53="TML",AB53&gt;0),((T53-W53)+1)-AB53,((T53-W53)+1)-Y53)&gt;0,IF(AND(AC53="TML",AB53&gt;0),((T53-W53)+1)-AB53,((T53-W53)+1)-Y53),0)</f>
        <v>3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150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46318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150</v>
      </c>
      <c r="AJ53" s="188" t="n"/>
      <c r="AK53" s="62" t="str">
        <f>VLOOKUP(D53,'2.Bookinglist'!A:CT,40,FALSE)</f>
        <v>Kanokporn</v>
      </c>
      <c r="AL53" s="60" t="str">
        <f>VLOOKUP(D53,'2.Bookinglist'!A:CW,101,FALSE)</f>
        <v>2026-10-19</v>
      </c>
      <c r="AM53" s="60" t="str">
        <f>VLOOKUP(D53,'2.Bookinglist'!A:BK,63,FALSE)</f>
        <v>BKK25</v>
      </c>
      <c r="AN53" s="62" t="str">
        <f>VLOOKUP(D53,'2.Bookinglist'!A:AZ,52,FALSE)</f>
        <v>CY-RTN : 12-15/10/2026  (26IHWCL77)  </v>
      </c>
      <c r="AO53" s="62">
        <f>VLOOKUP(D53,'2.Bookinglist'!A:CY,103,FALSE)</f>
        <v>0</v>
      </c>
    </row>
    <row r="54" ht="12.95" customHeight="1">
      <c r="A54" s="96" t="inlineStr">
        <is>
          <t>SKLU1565359</t>
        </is>
      </c>
      <c r="B54" s="184" t="str">
        <f>IF(C54=Charge!$M$1,Charge!$J$1,IF(C54=Charge!$M$23,Charge!$J$23,IF(C54=Charge!$M$17,Charge!$J$17,IF(C54=Charge!$N$17,Charge!$J$17,Charge!$J$7))))</f>
        <v>G4</v>
      </c>
      <c r="C54" s="61" t="str">
        <f>VLOOKUP(A54,'1.Loading'!A:R,14,FALSE)</f>
        <v>BKK02</v>
      </c>
      <c r="D54" s="61" t="str">
        <f>VLOOKUP(A54,'1.Loading'!A:R,17,FALSE)</f>
        <v>HASLS22261000779</v>
      </c>
      <c r="E54" s="62" t="str">
        <f>VLOOKUP(D54,'2.Bookinglist'!A:CT,27,FALSE)</f>
        <v>TOSHIBA LOGISTICS (THAILAND) CO., LTD.</v>
      </c>
      <c r="F54" s="62" t="str">
        <f>VLOOKUP(D54,'2.Bookinglist'!A:CT,28,FALSE)</f>
        <v> CARRIER AIR CONDITIONING (THAILAND) CO.,LTD</v>
      </c>
      <c r="G54" s="60">
        <f>VLOOKUP(D54,'2.Bookinglist'!A:E,5,FALSE)</f>
        <v>0</v>
      </c>
      <c r="H54" s="61" t="str">
        <f>VLOOKUP(D54,'2.Bookinglist'!A:CT,15,FALSE)</f>
        <v>THBKK</v>
      </c>
      <c r="I54" s="61" t="str">
        <f>VLOOKUP(D54,'2.Bookinglist'!A:CT,19,FALSE)</f>
        <v>VNSGN</v>
      </c>
      <c r="J54" s="61">
        <f>VLOOKUP(D54,'2.Bookinglist'!A:CT,26,FALSE)</f>
        <v>0</v>
      </c>
      <c r="K54" s="61" t="str">
        <f>VLOOKUP(A54,'1.Loading'!A:R,5,FALSE)</f>
        <v>22GP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SWAL</v>
      </c>
      <c r="P54" s="61" t="str">
        <f>VLOOKUP(A54,'1.Loading'!A:R,4,FALSE)</f>
        <v>2609N</v>
      </c>
      <c r="Q54" s="61" t="str">
        <f>VLOOKUP(D54,'2.Bookinglist'!A:CT,12,FALSE)</f>
        <v>KST</v>
      </c>
      <c r="R54" s="60" t="str">
        <f>IF(LEFT(K54,2)="22","20'","40'")</f>
        <v>20'</v>
      </c>
      <c r="S54" s="185" t="n"/>
      <c r="T54" s="61" t="str">
        <f>VLOOKUP(A54,'1.Loading'!A:R,2,FALSE)</f>
        <v>2026-10-22</v>
      </c>
      <c r="U54" s="63">
        <f>T54-S54</f>
        <v>46317</v>
      </c>
      <c r="V54" s="186" t="n"/>
      <c r="W54" s="61" t="str">
        <f>VLOOKUP(A54,'3.GateMove'!A:D,4,FALSE)</f>
        <v>2026-10-16</v>
      </c>
      <c r="X54" s="63">
        <f>((T54-W54)+1)</f>
        <v>7</v>
      </c>
      <c r="Y54" s="64">
        <f>IF(AND(OR(C54="BKK01",C54="BKK04"),L54="CFS/CY"),0,IF(M54="DG",1,IF(LEFT(C54,3)="LCH",7,IF(C54="BKK02",5,3))))</f>
        <v>5</v>
      </c>
      <c r="Z54" s="63">
        <f>IF(IF(AND(AC54="TML",AB54&gt;0),((T54-W54)+1)-AB54,((T54-W54)+1)-Y54)&gt;0,IF(AND(AC54="TML",AB54&gt;0),((T54-W54)+1)-AB54,((T54-W54)+1)-Y54),0)</f>
        <v>2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100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46318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100</v>
      </c>
      <c r="AJ54" s="188" t="n"/>
      <c r="AK54" s="62" t="str">
        <f>VLOOKUP(D54,'2.Bookinglist'!A:CT,40,FALSE)</f>
        <v>Pattarapong Saengthong</v>
      </c>
      <c r="AL54" s="60" t="str">
        <f>VLOOKUP(D54,'2.Bookinglist'!A:CW,101,FALSE)</f>
        <v>2026-10-19</v>
      </c>
      <c r="AM54" s="60" t="str">
        <f>VLOOKUP(D54,'2.Bookinglist'!A:BK,63,FALSE)</f>
        <v>BKK27</v>
      </c>
      <c r="AN54" s="62" t="str">
        <f>VLOOKUP(D54,'2.Bookinglist'!A:AZ,52,FALSE)</f>
        <v>Pickup : 2026-10-14, Return : 2026-10-15</v>
      </c>
      <c r="AO54" s="62">
        <f>VLOOKUP(D54,'2.Bookinglist'!A:CY,103,FALSE)</f>
        <v>0</v>
      </c>
    </row>
    <row r="55" ht="12.95" customHeight="1">
      <c r="A55" s="96" t="inlineStr">
        <is>
          <t>SKLU1570735</t>
        </is>
      </c>
      <c r="B55" s="184" t="str">
        <f>IF(C55=Charge!$M$1,Charge!$J$1,IF(C55=Charge!$M$23,Charge!$J$23,IF(C55=Charge!$M$17,Charge!$J$17,IF(C55=Charge!$N$17,Charge!$J$17,Charge!$J$7))))</f>
        <v>G4</v>
      </c>
      <c r="C55" s="61" t="str">
        <f>VLOOKUP(A55,'1.Loading'!A:R,14,FALSE)</f>
        <v>BKK02</v>
      </c>
      <c r="D55" s="61" t="str">
        <f>VLOOKUP(A55,'1.Loading'!A:R,17,FALSE)</f>
        <v>HASLS22260801961</v>
      </c>
      <c r="E55" s="62" t="str">
        <f>VLOOKUP(D55,'2.Bookinglist'!A:CT,27,FALSE)</f>
        <v>SCGJWD LOGISTICS PUBLIC COMPANY LIMITED</v>
      </c>
      <c r="F55" s="62" t="str">
        <f>VLOOKUP(D55,'2.Bookinglist'!A:CT,28,FALSE)</f>
        <v>SCG INTERNATIONAL CORPORATION CO., LTD.</v>
      </c>
      <c r="G55" s="60">
        <f>VLOOKUP(D55,'2.Bookinglist'!A:E,5,FALSE)</f>
        <v>0</v>
      </c>
      <c r="H55" s="61" t="str">
        <f>VLOOKUP(D55,'2.Bookinglist'!A:CT,15,FALSE)</f>
        <v>THBKK</v>
      </c>
      <c r="I55" s="61" t="str">
        <f>VLOOKUP(D55,'2.Bookinglist'!A:CT,19,FALSE)</f>
        <v>VNSGN</v>
      </c>
      <c r="J55" s="61">
        <f>VLOOKUP(D55,'2.Bookinglist'!A:CT,26,FALSE)</f>
        <v>0</v>
      </c>
      <c r="K55" s="61" t="str">
        <f>VLOOKUP(A55,'1.Loading'!A:R,5,FALSE)</f>
        <v>22GP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SWAL</v>
      </c>
      <c r="P55" s="61" t="str">
        <f>VLOOKUP(A55,'1.Loading'!A:R,4,FALSE)</f>
        <v>2609N</v>
      </c>
      <c r="Q55" s="61" t="str">
        <f>VLOOKUP(D55,'2.Bookinglist'!A:CT,12,FALSE)</f>
        <v>KST</v>
      </c>
      <c r="R55" s="60" t="str">
        <f>IF(LEFT(K55,2)="22","20'","40'")</f>
        <v>20'</v>
      </c>
      <c r="S55" s="185" t="n"/>
      <c r="T55" s="61" t="str">
        <f>VLOOKUP(A55,'1.Loading'!A:R,2,FALSE)</f>
        <v>2026-10-22</v>
      </c>
      <c r="U55" s="63">
        <f>T55-S55</f>
        <v>46317</v>
      </c>
      <c r="V55" s="186" t="n"/>
      <c r="W55" s="61" t="str">
        <f>VLOOKUP(A55,'3.GateMove'!A:D,4,FALSE)</f>
        <v>2026-10-15</v>
      </c>
      <c r="X55" s="63">
        <f>((T55-W55)+1)</f>
        <v>8</v>
      </c>
      <c r="Y55" s="64">
        <f>IF(AND(OR(C55="BKK01",C55="BKK04"),L55="CFS/CY"),0,IF(M55="DG",1,IF(LEFT(C55,3)="LCH",7,IF(C55="BKK02",5,3))))</f>
        <v>5</v>
      </c>
      <c r="Z55" s="63">
        <f>IF(IF(AND(AC55="TML",AB55&gt;0),((T55-W55)+1)-AB55,((T55-W55)+1)-Y55)&gt;0,IF(AND(AC55="TML",AB55&gt;0),((T55-W55)+1)-AB55,((T55-W55)+1)-Y55),0)</f>
        <v>3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150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46318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150</v>
      </c>
      <c r="AJ55" s="188" t="n"/>
      <c r="AK55" s="62" t="str">
        <f>VLOOKUP(D55,'2.Bookinglist'!A:CT,40,FALSE)</f>
        <v>Kanokporn</v>
      </c>
      <c r="AL55" s="60" t="str">
        <f>VLOOKUP(D55,'2.Bookinglist'!A:CW,101,FALSE)</f>
        <v>2026-10-19</v>
      </c>
      <c r="AM55" s="60" t="str">
        <f>VLOOKUP(D55,'2.Bookinglist'!A:BK,63,FALSE)</f>
        <v>BKK25</v>
      </c>
      <c r="AN55" s="62" t="str">
        <f>VLOOKUP(D55,'2.Bookinglist'!A:AZ,52,FALSE)</f>
        <v>CY-RTN : 12-15/10/2026  (26IHWCL77)  </v>
      </c>
      <c r="AO55" s="62">
        <f>VLOOKUP(D55,'2.Bookinglist'!A:CY,103,FALSE)</f>
        <v>0</v>
      </c>
    </row>
    <row r="56" ht="12.95" customHeight="1">
      <c r="A56" s="96" t="inlineStr">
        <is>
          <t>SKLU1650050</t>
        </is>
      </c>
      <c r="B56" s="184" t="str">
        <f>IF(C56=Charge!$M$1,Charge!$J$1,IF(C56=Charge!$M$23,Charge!$J$23,IF(C56=Charge!$M$17,Charge!$J$17,IF(C56=Charge!$N$17,Charge!$J$17,Charge!$J$7))))</f>
        <v>G4</v>
      </c>
      <c r="C56" s="61" t="str">
        <f>VLOOKUP(A56,'1.Loading'!A:R,14,FALSE)</f>
        <v>BKK02</v>
      </c>
      <c r="D56" s="61" t="str">
        <f>VLOOKUP(A56,'1.Loading'!A:R,17,FALSE)</f>
        <v>HASLS22260801961</v>
      </c>
      <c r="E56" s="62" t="str">
        <f>VLOOKUP(D56,'2.Bookinglist'!A:CT,27,FALSE)</f>
        <v>SCGJWD LOGISTICS PUBLIC COMPANY LIMITED</v>
      </c>
      <c r="F56" s="62" t="str">
        <f>VLOOKUP(D56,'2.Bookinglist'!A:CT,28,FALSE)</f>
        <v>SCG INTERNATIONAL CORPORATION CO., LTD.</v>
      </c>
      <c r="G56" s="60">
        <f>VLOOKUP(D56,'2.Bookinglist'!A:E,5,FALSE)</f>
        <v>0</v>
      </c>
      <c r="H56" s="61" t="str">
        <f>VLOOKUP(D56,'2.Bookinglist'!A:CT,15,FALSE)</f>
        <v>THBKK</v>
      </c>
      <c r="I56" s="61" t="str">
        <f>VLOOKUP(D56,'2.Bookinglist'!A:CT,19,FALSE)</f>
        <v>VNSGN</v>
      </c>
      <c r="J56" s="61">
        <f>VLOOKUP(D56,'2.Bookinglist'!A:CT,26,FALSE)</f>
        <v>0</v>
      </c>
      <c r="K56" s="61" t="str">
        <f>VLOOKUP(A56,'1.Loading'!A:R,5,FALSE)</f>
        <v>22GP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SWAL</v>
      </c>
      <c r="P56" s="61" t="str">
        <f>VLOOKUP(A56,'1.Loading'!A:R,4,FALSE)</f>
        <v>2609N</v>
      </c>
      <c r="Q56" s="61" t="str">
        <f>VLOOKUP(D56,'2.Bookinglist'!A:CT,12,FALSE)</f>
        <v>KST</v>
      </c>
      <c r="R56" s="60" t="str">
        <f>IF(LEFT(K56,2)="22","20'","40'")</f>
        <v>20'</v>
      </c>
      <c r="S56" s="185" t="n"/>
      <c r="T56" s="61" t="str">
        <f>VLOOKUP(A56,'1.Loading'!A:R,2,FALSE)</f>
        <v>2026-10-22</v>
      </c>
      <c r="U56" s="63">
        <f>T56-S56</f>
        <v>46317</v>
      </c>
      <c r="V56" s="186" t="n"/>
      <c r="W56" s="61" t="str">
        <f>VLOOKUP(A56,'3.GateMove'!A:D,4,FALSE)</f>
        <v>2026-10-15</v>
      </c>
      <c r="X56" s="63">
        <f>((T56-W56)+1)</f>
        <v>8</v>
      </c>
      <c r="Y56" s="64">
        <f>IF(AND(OR(C56="BKK01",C56="BKK04"),L56="CFS/CY"),0,IF(M56="DG",1,IF(LEFT(C56,3)="LCH",7,IF(C56="BKK02",5,3))))</f>
        <v>5</v>
      </c>
      <c r="Z56" s="63">
        <f>IF(IF(AND(AC56="TML",AB56&gt;0),((T56-W56)+1)-AB56,((T56-W56)+1)-Y56)&gt;0,IF(AND(AC56="TML",AB56&gt;0),((T56-W56)+1)-AB56,((T56-W56)+1)-Y56),0)</f>
        <v>3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150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46318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150</v>
      </c>
      <c r="AJ56" s="188" t="n"/>
      <c r="AK56" s="62" t="str">
        <f>VLOOKUP(D56,'2.Bookinglist'!A:CT,40,FALSE)</f>
        <v>Kanokporn</v>
      </c>
      <c r="AL56" s="60" t="str">
        <f>VLOOKUP(D56,'2.Bookinglist'!A:CW,101,FALSE)</f>
        <v>2026-10-19</v>
      </c>
      <c r="AM56" s="60" t="str">
        <f>VLOOKUP(D56,'2.Bookinglist'!A:BK,63,FALSE)</f>
        <v>BKK25</v>
      </c>
      <c r="AN56" s="62" t="str">
        <f>VLOOKUP(D56,'2.Bookinglist'!A:AZ,52,FALSE)</f>
        <v>CY-RTN : 12-15/10/2026  (26IHWCL77)  </v>
      </c>
      <c r="AO56" s="62">
        <f>VLOOKUP(D56,'2.Bookinglist'!A:CY,103,FALSE)</f>
        <v>0</v>
      </c>
    </row>
    <row r="57" ht="12.95" customHeight="1">
      <c r="A57" s="96" t="inlineStr">
        <is>
          <t>SKLU1667704</t>
        </is>
      </c>
      <c r="B57" s="184" t="str">
        <f>IF(C57=Charge!$M$1,Charge!$J$1,IF(C57=Charge!$M$23,Charge!$J$23,IF(C57=Charge!$M$17,Charge!$J$17,IF(C57=Charge!$N$17,Charge!$J$17,Charge!$J$7))))</f>
        <v>G4</v>
      </c>
      <c r="C57" s="61" t="str">
        <f>VLOOKUP(A57,'1.Loading'!A:R,14,FALSE)</f>
        <v>BKK02</v>
      </c>
      <c r="D57" s="61" t="str">
        <f>VLOOKUP(A57,'1.Loading'!A:R,17,FALSE)</f>
        <v>HASLS22260801065</v>
      </c>
      <c r="E57" s="62" t="str">
        <f>VLOOKUP(D57,'2.Bookinglist'!A:CT,27,FALSE)</f>
        <v>KORCHINA FREIGHT (THAILAND) CO., LTD.</v>
      </c>
      <c r="F57" s="62" t="str">
        <f>VLOOKUP(D57,'2.Bookinglist'!A:CT,28,FALSE)</f>
        <v>RIVER KWAI INTERNATIONAL FOOD INDUSTRY CO., LTD.</v>
      </c>
      <c r="G57" s="60">
        <f>VLOOKUP(D57,'2.Bookinglist'!A:E,5,FALSE)</f>
        <v>0</v>
      </c>
      <c r="H57" s="61" t="str">
        <f>VLOOKUP(D57,'2.Bookinglist'!A:CT,15,FALSE)</f>
        <v>THBKK</v>
      </c>
      <c r="I57" s="61" t="str">
        <f>VLOOKUP(D57,'2.Bookinglist'!A:CT,19,FALSE)</f>
        <v>KRINC</v>
      </c>
      <c r="J57" s="61">
        <f>VLOOKUP(D57,'2.Bookinglist'!A:CT,26,FALSE)</f>
        <v>0</v>
      </c>
      <c r="K57" s="61" t="str">
        <f>VLOOKUP(A57,'1.Loading'!A:R,5,FALSE)</f>
        <v>22GP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SWAL</v>
      </c>
      <c r="P57" s="61" t="str">
        <f>VLOOKUP(A57,'1.Loading'!A:R,4,FALSE)</f>
        <v>2609N</v>
      </c>
      <c r="Q57" s="61" t="str">
        <f>VLOOKUP(D57,'2.Bookinglist'!A:CT,12,FALSE)</f>
        <v>KST</v>
      </c>
      <c r="R57" s="60" t="str">
        <f>IF(LEFT(K57,2)="22","20'","40'")</f>
        <v>20'</v>
      </c>
      <c r="S57" s="185" t="n"/>
      <c r="T57" s="61" t="str">
        <f>VLOOKUP(A57,'1.Loading'!A:R,2,FALSE)</f>
        <v>2026-10-22</v>
      </c>
      <c r="U57" s="63">
        <f>T57-S57</f>
        <v>46317</v>
      </c>
      <c r="V57" s="186" t="n"/>
      <c r="W57" s="61" t="str">
        <f>VLOOKUP(A57,'3.GateMove'!A:D,4,FALSE)</f>
        <v>2026-10-10</v>
      </c>
      <c r="X57" s="63">
        <f>((T57-W57)+1)</f>
        <v>13</v>
      </c>
      <c r="Y57" s="64">
        <f>IF(AND(OR(C57="BKK01",C57="BKK04"),L57="CFS/CY"),0,IF(M57="DG",1,IF(LEFT(C57,3)="LCH",7,IF(C57="BKK02",5,3))))</f>
        <v>5</v>
      </c>
      <c r="Z57" s="63">
        <f>IF(IF(AND(AC57="TML",AB57&gt;0),((T57-W57)+1)-AB57,((T57-W57)+1)-Y57)&gt;0,IF(AND(AC57="TML",AB57&gt;0),((T57-W57)+1)-AB57,((T57-W57)+1)-Y57),0)</f>
        <v>8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400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46318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400</v>
      </c>
      <c r="AJ57" s="188" t="n"/>
      <c r="AK57" s="62" t="str">
        <f>VLOOKUP(D57,'2.Bookinglist'!A:CT,40,FALSE)</f>
        <v>Pattarapong Saengthong</v>
      </c>
      <c r="AL57" s="60" t="str">
        <f>VLOOKUP(D57,'2.Bookinglist'!A:CW,101,FALSE)</f>
        <v>2026-10-20</v>
      </c>
      <c r="AM57" s="60" t="str">
        <f>VLOOKUP(D57,'2.Bookinglist'!A:BK,63,FALSE)</f>
        <v>BKK27</v>
      </c>
      <c r="AN57" s="62" t="str">
        <f>VLOOKUP(D57,'2.Bookinglist'!A:AZ,52,FALSE)</f>
        <v>Pickup : 2026-10-07, Return : 2026-10-09</v>
      </c>
      <c r="AO57" s="62">
        <f>VLOOKUP(D57,'2.Bookinglist'!A:CY,103,FALSE)</f>
        <v>0</v>
      </c>
    </row>
    <row r="58" ht="12.95" customHeight="1">
      <c r="A58" s="96" t="inlineStr">
        <is>
          <t>SKLU1904956</t>
        </is>
      </c>
      <c r="B58" s="184" t="str">
        <f>IF(C58=Charge!$M$1,Charge!$J$1,IF(C58=Charge!$M$23,Charge!$J$23,IF(C58=Charge!$M$17,Charge!$J$17,IF(C58=Charge!$N$17,Charge!$J$17,Charge!$J$7))))</f>
        <v>G4</v>
      </c>
      <c r="C58" s="61" t="str">
        <f>VLOOKUP(A58,'1.Loading'!A:R,14,FALSE)</f>
        <v>BKK02</v>
      </c>
      <c r="D58" s="61" t="str">
        <f>VLOOKUP(A58,'1.Loading'!A:R,17,FALSE)</f>
        <v>HASLS22260902347</v>
      </c>
      <c r="E58" s="62" t="str">
        <f>VLOOKUP(D58,'2.Bookinglist'!A:CT,27,FALSE)</f>
        <v>DIMERCO EXPRESS (THAILAND) CO., LTD.</v>
      </c>
      <c r="F58" s="62" t="str">
        <f>VLOOKUP(D58,'2.Bookinglist'!A:CT,28,FALSE)</f>
        <v>EVEREST TEXTILE (THAILAND) CO., LTD.</v>
      </c>
      <c r="G58" s="60">
        <f>VLOOKUP(D58,'2.Bookinglist'!A:E,5,FALSE)</f>
        <v>0</v>
      </c>
      <c r="H58" s="61" t="str">
        <f>VLOOKUP(D58,'2.Bookinglist'!A:CT,15,FALSE)</f>
        <v>THBKK</v>
      </c>
      <c r="I58" s="61" t="str">
        <f>VLOOKUP(D58,'2.Bookinglist'!A:CT,19,FALSE)</f>
        <v>VNSGN</v>
      </c>
      <c r="J58" s="61">
        <f>VLOOKUP(D58,'2.Bookinglist'!A:CT,26,FALSE)</f>
        <v>0</v>
      </c>
      <c r="K58" s="61" t="str">
        <f>VLOOKUP(A58,'1.Loading'!A:R,5,FALSE)</f>
        <v>22GP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SWAL</v>
      </c>
      <c r="P58" s="61" t="str">
        <f>VLOOKUP(A58,'1.Loading'!A:R,4,FALSE)</f>
        <v>2609N</v>
      </c>
      <c r="Q58" s="61" t="str">
        <f>VLOOKUP(D58,'2.Bookinglist'!A:CT,12,FALSE)</f>
        <v>KST</v>
      </c>
      <c r="R58" s="60" t="str">
        <f>IF(LEFT(K58,2)="22","20'","40'")</f>
        <v>20'</v>
      </c>
      <c r="S58" s="185" t="n"/>
      <c r="T58" s="61" t="str">
        <f>VLOOKUP(A58,'1.Loading'!A:R,2,FALSE)</f>
        <v>2026-10-22</v>
      </c>
      <c r="U58" s="63">
        <f>T58-S58</f>
        <v>46317</v>
      </c>
      <c r="V58" s="186" t="n"/>
      <c r="W58" s="61" t="str">
        <f>VLOOKUP(A58,'3.GateMove'!A:D,4,FALSE)</f>
        <v>2026-10-16</v>
      </c>
      <c r="X58" s="63">
        <f>((T58-W58)+1)</f>
        <v>7</v>
      </c>
      <c r="Y58" s="64">
        <f>IF(AND(OR(C58="BKK01",C58="BKK04"),L58="CFS/CY"),0,IF(M58="DG",1,IF(LEFT(C58,3)="LCH",7,IF(C58="BKK02",5,3))))</f>
        <v>5</v>
      </c>
      <c r="Z58" s="63">
        <f>IF(IF(AND(AC58="TML",AB58&gt;0),((T58-W58)+1)-AB58,((T58-W58)+1)-Y58)&gt;0,IF(AND(AC58="TML",AB58&gt;0),((T58-W58)+1)-AB58,((T58-W58)+1)-Y58),0)</f>
        <v>2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100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46318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100</v>
      </c>
      <c r="AJ58" s="188" t="n"/>
      <c r="AK58" s="62" t="str">
        <f>VLOOKUP(D58,'2.Bookinglist'!A:CT,40,FALSE)</f>
        <v>Nustsireerach</v>
      </c>
      <c r="AL58" s="60" t="str">
        <f>VLOOKUP(D58,'2.Bookinglist'!A:CW,101,FALSE)</f>
        <v>2026-10-20</v>
      </c>
      <c r="AM58" s="60" t="str">
        <f>VLOOKUP(D58,'2.Bookinglist'!A:BK,63,FALSE)</f>
        <v>BKK27</v>
      </c>
      <c r="AN58" s="62" t="str">
        <f>VLOOKUP(D58,'2.Bookinglist'!A:AZ,52,FALSE)</f>
        <v>Pickup : 2026-10-15, Return : 2026-10-16 </v>
      </c>
      <c r="AO58" s="62">
        <f>VLOOKUP(D58,'2.Bookinglist'!A:CY,103,FALSE)</f>
        <v>0</v>
      </c>
    </row>
    <row r="59" ht="12.95" customHeight="1">
      <c r="A59" s="96" t="inlineStr">
        <is>
          <t>SKLU2018839</t>
        </is>
      </c>
      <c r="B59" s="184" t="str">
        <f>IF(C59=Charge!$M$1,Charge!$J$1,IF(C59=Charge!$M$23,Charge!$J$23,IF(C59=Charge!$M$17,Charge!$J$17,IF(C59=Charge!$N$17,Charge!$J$17,Charge!$J$7))))</f>
        <v>G4</v>
      </c>
      <c r="C59" s="61" t="str">
        <f>VLOOKUP(A59,'1.Loading'!A:R,14,FALSE)</f>
        <v>BKK02</v>
      </c>
      <c r="D59" s="61" t="str">
        <f>VLOOKUP(A59,'1.Loading'!A:R,17,FALSE)</f>
        <v>HASLS22260902611</v>
      </c>
      <c r="E59" s="62" t="str">
        <f>VLOOKUP(D59,'2.Bookinglist'!A:CT,27,FALSE)</f>
        <v>CELESTIAL XPRESS LOGISTICS (THAILAND) CO., LTD.</v>
      </c>
      <c r="F59" s="62" t="str">
        <f>VLOOKUP(D59,'2.Bookinglist'!A:CT,28,FALSE)</f>
        <v>UNICORD PUBLIC COMPANY LIMITED</v>
      </c>
      <c r="G59" s="60">
        <f>VLOOKUP(D59,'2.Bookinglist'!A:E,5,FALSE)</f>
        <v>0</v>
      </c>
      <c r="H59" s="61" t="str">
        <f>VLOOKUP(D59,'2.Bookinglist'!A:CT,15,FALSE)</f>
        <v>THBKK</v>
      </c>
      <c r="I59" s="61" t="str">
        <f>VLOOKUP(D59,'2.Bookinglist'!A:CT,19,FALSE)</f>
        <v>KRINC</v>
      </c>
      <c r="J59" s="61">
        <f>VLOOKUP(D59,'2.Bookinglist'!A:CT,26,FALSE)</f>
        <v>0</v>
      </c>
      <c r="K59" s="61" t="str">
        <f>VLOOKUP(A59,'1.Loading'!A:R,5,FALSE)</f>
        <v>22GP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SWAL</v>
      </c>
      <c r="P59" s="61" t="str">
        <f>VLOOKUP(A59,'1.Loading'!A:R,4,FALSE)</f>
        <v>2609N</v>
      </c>
      <c r="Q59" s="61" t="str">
        <f>VLOOKUP(D59,'2.Bookinglist'!A:CT,12,FALSE)</f>
        <v>KST</v>
      </c>
      <c r="R59" s="60" t="str">
        <f>IF(LEFT(K59,2)="22","20'","40'")</f>
        <v>20'</v>
      </c>
      <c r="S59" s="185" t="n"/>
      <c r="T59" s="61" t="str">
        <f>VLOOKUP(A59,'1.Loading'!A:R,2,FALSE)</f>
        <v>2026-10-22</v>
      </c>
      <c r="U59" s="63">
        <f>T59-S59</f>
        <v>46317</v>
      </c>
      <c r="V59" s="186" t="n"/>
      <c r="W59" s="61" t="str">
        <f>VLOOKUP(A59,'3.GateMove'!A:D,4,FALSE)</f>
        <v>2026-10-18</v>
      </c>
      <c r="X59" s="63">
        <f>((T59-W59)+1)</f>
        <v>5</v>
      </c>
      <c r="Y59" s="64">
        <f>IF(AND(OR(C59="BKK01",C59="BKK04"),L59="CFS/CY"),0,IF(M59="DG",1,IF(LEFT(C59,3)="LCH",7,IF(C59="BKK02",5,3))))</f>
        <v>5</v>
      </c>
      <c r="Z59" s="63">
        <f>IF(IF(AND(AC59="TML",AB59&gt;0),((T59-W59)+1)-AB59,((T59-W59)+1)-Y59)&gt;0,IF(AND(AC59="TML",AB59&gt;0),((T59-W59)+1)-AB59,((T59-W59)+1)-Y59),0)</f>
        <v>0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46318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0</v>
      </c>
      <c r="AJ59" s="188" t="n"/>
      <c r="AK59" s="62" t="str">
        <f>VLOOKUP(D59,'2.Bookinglist'!A:CT,40,FALSE)</f>
        <v>Nustsireerach</v>
      </c>
      <c r="AL59" s="60" t="str">
        <f>VLOOKUP(D59,'2.Bookinglist'!A:CW,101,FALSE)</f>
        <v>2026-10-20</v>
      </c>
      <c r="AM59" s="60" t="str">
        <f>VLOOKUP(D59,'2.Bookinglist'!A:BK,63,FALSE)</f>
        <v>BKK27</v>
      </c>
      <c r="AN59" s="62" t="str">
        <f>VLOOKUP(D59,'2.Bookinglist'!A:AZ,52,FALSE)</f>
        <v>Pickup : 2026-10-15, Return : 2026-10-17
extend closing time to 18/10/26 @18.00 </v>
      </c>
      <c r="AO59" s="62">
        <f>VLOOKUP(D59,'2.Bookinglist'!A:CY,103,FALSE)</f>
        <v>0</v>
      </c>
    </row>
    <row r="60" ht="12.95" customHeight="1">
      <c r="A60" s="96" t="inlineStr">
        <is>
          <t>SKLU2028396</t>
        </is>
      </c>
      <c r="B60" s="184" t="str">
        <f>IF(C60=Charge!$M$1,Charge!$J$1,IF(C60=Charge!$M$23,Charge!$J$23,IF(C60=Charge!$M$17,Charge!$J$17,IF(C60=Charge!$N$17,Charge!$J$17,Charge!$J$7))))</f>
        <v>G4</v>
      </c>
      <c r="C60" s="61" t="str">
        <f>VLOOKUP(A60,'1.Loading'!A:R,14,FALSE)</f>
        <v>BKK02</v>
      </c>
      <c r="D60" s="61" t="str">
        <f>VLOOKUP(A60,'1.Loading'!A:R,17,FALSE)</f>
        <v>HASLS22260902006</v>
      </c>
      <c r="E60" s="62" t="str">
        <f>VLOOKUP(D60,'2.Bookinglist'!A:CT,27,FALSE)</f>
        <v>PRIME LOGISTICS INTERNATIONAL CO., LTD.</v>
      </c>
      <c r="F60" s="62" t="str">
        <f>VLOOKUP(D60,'2.Bookinglist'!A:CT,28,FALSE)</f>
        <v>ROYAL CAN INDUSTRIES CO., LTD.</v>
      </c>
      <c r="G60" s="60">
        <f>VLOOKUP(D60,'2.Bookinglist'!A:E,5,FALSE)</f>
        <v>0</v>
      </c>
      <c r="H60" s="61" t="str">
        <f>VLOOKUP(D60,'2.Bookinglist'!A:CT,15,FALSE)</f>
        <v>THBKK</v>
      </c>
      <c r="I60" s="61" t="str">
        <f>VLOOKUP(D60,'2.Bookinglist'!A:CT,19,FALSE)</f>
        <v>VNSGN</v>
      </c>
      <c r="J60" s="61">
        <f>VLOOKUP(D60,'2.Bookinglist'!A:CT,26,FALSE)</f>
        <v>0</v>
      </c>
      <c r="K60" s="61" t="str">
        <f>VLOOKUP(A60,'1.Loading'!A:R,5,FALSE)</f>
        <v>22GP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SWAL</v>
      </c>
      <c r="P60" s="61" t="str">
        <f>VLOOKUP(A60,'1.Loading'!A:R,4,FALSE)</f>
        <v>2609N</v>
      </c>
      <c r="Q60" s="61" t="str">
        <f>VLOOKUP(D60,'2.Bookinglist'!A:CT,12,FALSE)</f>
        <v>KST</v>
      </c>
      <c r="R60" s="60" t="str">
        <f>IF(LEFT(K60,2)="22","20'","40'")</f>
        <v>20'</v>
      </c>
      <c r="S60" s="185" t="n"/>
      <c r="T60" s="61" t="str">
        <f>VLOOKUP(A60,'1.Loading'!A:R,2,FALSE)</f>
        <v>2026-10-22</v>
      </c>
      <c r="U60" s="63">
        <f>T60-S60</f>
        <v>46317</v>
      </c>
      <c r="V60" s="186" t="n"/>
      <c r="W60" s="61" t="str">
        <f>VLOOKUP(A60,'3.GateMove'!A:D,4,FALSE)</f>
        <v>2026-10-16</v>
      </c>
      <c r="X60" s="63">
        <f>((T60-W60)+1)</f>
        <v>7</v>
      </c>
      <c r="Y60" s="64">
        <f>IF(AND(OR(C60="BKK01",C60="BKK04"),L60="CFS/CY"),0,IF(M60="DG",1,IF(LEFT(C60,3)="LCH",7,IF(C60="BKK02",5,3))))</f>
        <v>5</v>
      </c>
      <c r="Z60" s="63">
        <f>IF(IF(AND(AC60="TML",AB60&gt;0),((T60-W60)+1)-AB60,((T60-W60)+1)-Y60)&gt;0,IF(AND(AC60="TML",AB60&gt;0),((T60-W60)+1)-AB60,((T60-W60)+1)-Y60),0)</f>
        <v>2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100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46318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100</v>
      </c>
      <c r="AJ60" s="188" t="n"/>
      <c r="AK60" s="62" t="str">
        <f>VLOOKUP(D60,'2.Bookinglist'!A:CT,40,FALSE)</f>
        <v>Nannaapust Sukporntaweewat</v>
      </c>
      <c r="AL60" s="60" t="str">
        <f>VLOOKUP(D60,'2.Bookinglist'!A:CW,101,FALSE)</f>
        <v>2026-10-19</v>
      </c>
      <c r="AM60" s="60" t="str">
        <f>VLOOKUP(D60,'2.Bookinglist'!A:BK,63,FALSE)</f>
        <v>BKK27</v>
      </c>
      <c r="AN60" s="62" t="str">
        <f>VLOOKUP(D60,'2.Bookinglist'!A:AZ,52,FALSE)</f>
        <v>Pickup : 2026-10-14, Return : 2026-10-15</v>
      </c>
      <c r="AO60" s="62">
        <f>VLOOKUP(D60,'2.Bookinglist'!A:CY,103,FALSE)</f>
        <v>0</v>
      </c>
    </row>
    <row r="61" ht="12.95" customHeight="1">
      <c r="A61" s="96" t="inlineStr">
        <is>
          <t>SKLU2308592</t>
        </is>
      </c>
      <c r="B61" s="184" t="str">
        <f>IF(C61=Charge!$M$1,Charge!$J$1,IF(C61=Charge!$M$23,Charge!$J$23,IF(C61=Charge!$M$17,Charge!$J$17,IF(C61=Charge!$N$17,Charge!$J$17,Charge!$J$7))))</f>
        <v>G4</v>
      </c>
      <c r="C61" s="61" t="str">
        <f>VLOOKUP(A61,'1.Loading'!A:R,14,FALSE)</f>
        <v>BKK02</v>
      </c>
      <c r="D61" s="61" t="str">
        <f>VLOOKUP(A61,'1.Loading'!A:R,17,FALSE)</f>
        <v>HASLS22260902836</v>
      </c>
      <c r="E61" s="62" t="str">
        <f>VLOOKUP(D61,'2.Bookinglist'!A:CT,27,FALSE)</f>
        <v>TRUE MARINE CO., LTD.</v>
      </c>
      <c r="F61" s="62" t="str">
        <f>VLOOKUP(D61,'2.Bookinglist'!A:CT,28,FALSE)</f>
        <v>O.S.WAX TRADING CO., LTD.</v>
      </c>
      <c r="G61" s="60">
        <f>VLOOKUP(D61,'2.Bookinglist'!A:E,5,FALSE)</f>
        <v>0</v>
      </c>
      <c r="H61" s="61" t="str">
        <f>VLOOKUP(D61,'2.Bookinglist'!A:CT,15,FALSE)</f>
        <v>THBKK</v>
      </c>
      <c r="I61" s="61" t="str">
        <f>VLOOKUP(D61,'2.Bookinglist'!A:CT,19,FALSE)</f>
        <v>VNSGN</v>
      </c>
      <c r="J61" s="61">
        <f>VLOOKUP(D61,'2.Bookinglist'!A:CT,26,FALSE)</f>
        <v>0</v>
      </c>
      <c r="K61" s="61" t="str">
        <f>VLOOKUP(A61,'1.Loading'!A:R,5,FALSE)</f>
        <v>22GP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SWAL</v>
      </c>
      <c r="P61" s="61" t="str">
        <f>VLOOKUP(A61,'1.Loading'!A:R,4,FALSE)</f>
        <v>2609N</v>
      </c>
      <c r="Q61" s="61" t="str">
        <f>VLOOKUP(D61,'2.Bookinglist'!A:CT,12,FALSE)</f>
        <v>KST</v>
      </c>
      <c r="R61" s="60" t="str">
        <f>IF(LEFT(K61,2)="22","20'","40'")</f>
        <v>20'</v>
      </c>
      <c r="S61" s="185" t="n"/>
      <c r="T61" s="61" t="str">
        <f>VLOOKUP(A61,'1.Loading'!A:R,2,FALSE)</f>
        <v>2026-10-22</v>
      </c>
      <c r="U61" s="63">
        <f>T61-S61</f>
        <v>46317</v>
      </c>
      <c r="V61" s="186" t="n"/>
      <c r="W61" s="61" t="str">
        <f>VLOOKUP(A61,'3.GateMove'!A:D,4,FALSE)</f>
        <v>2026-10-12</v>
      </c>
      <c r="X61" s="63">
        <f>((T61-W61)+1)</f>
        <v>11</v>
      </c>
      <c r="Y61" s="64">
        <f>IF(AND(OR(C61="BKK01",C61="BKK04"),L61="CFS/CY"),0,IF(M61="DG",1,IF(LEFT(C61,3)="LCH",7,IF(C61="BKK02",5,3))))</f>
        <v>5</v>
      </c>
      <c r="Z61" s="63">
        <f>IF(IF(AND(AC61="TML",AB61&gt;0),((T61-W61)+1)-AB61,((T61-W61)+1)-Y61)&gt;0,IF(AND(AC61="TML",AB61&gt;0),((T61-W61)+1)-AB61,((T61-W61)+1)-Y61),0)</f>
        <v>6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300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46318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300</v>
      </c>
      <c r="AJ61" s="188" t="n"/>
      <c r="AK61" s="62" t="str">
        <f>VLOOKUP(D61,'2.Bookinglist'!A:CT,40,FALSE)</f>
        <v>Nannaapust Sukporntaweewat</v>
      </c>
      <c r="AL61" s="60" t="str">
        <f>VLOOKUP(D61,'2.Bookinglist'!A:CW,101,FALSE)</f>
        <v>2026-10-21</v>
      </c>
      <c r="AM61" s="60" t="str">
        <f>VLOOKUP(D61,'2.Bookinglist'!A:BK,63,FALSE)</f>
        <v>BKK27</v>
      </c>
      <c r="AN61" s="62" t="str">
        <f>VLOOKUP(D61,'2.Bookinglist'!A:AZ,52,FALSE)</f>
        <v>APPROVAL BY MR.SANGJUN KIM DD.19/10/2026 ** FLEXIBAG ON DECK**
Pickup : 2026-10-10, Return : 2026-10-12</v>
      </c>
      <c r="AO61" s="62" t="str">
        <f>VLOOKUP(D61,'2.Bookinglist'!A:CY,103,FALSE)</f>
        <v>ROLL OVER FORM PREVIOUS VSL SWAL 2609N BY ALLOCATION TEAM MS.TARN APRPOVED COST IS UNDER HA DD.15/10</v>
      </c>
    </row>
    <row r="62" ht="12.95" customHeight="1">
      <c r="A62" s="96" t="inlineStr">
        <is>
          <t>SKLU2349755</t>
        </is>
      </c>
      <c r="B62" s="184" t="str">
        <f>IF(C62=Charge!$M$1,Charge!$J$1,IF(C62=Charge!$M$23,Charge!$J$23,IF(C62=Charge!$M$17,Charge!$J$17,IF(C62=Charge!$N$17,Charge!$J$17,Charge!$J$7))))</f>
        <v>G4</v>
      </c>
      <c r="C62" s="61" t="str">
        <f>VLOOKUP(A62,'1.Loading'!A:R,14,FALSE)</f>
        <v>BKK02</v>
      </c>
      <c r="D62" s="61" t="str">
        <f>VLOOKUP(A62,'1.Loading'!A:R,17,FALSE)</f>
        <v>HASLS22260801065</v>
      </c>
      <c r="E62" s="62" t="str">
        <f>VLOOKUP(D62,'2.Bookinglist'!A:CT,27,FALSE)</f>
        <v>KORCHINA FREIGHT (THAILAND) CO., LTD.</v>
      </c>
      <c r="F62" s="62" t="str">
        <f>VLOOKUP(D62,'2.Bookinglist'!A:CT,28,FALSE)</f>
        <v>RIVER KWAI INTERNATIONAL FOOD INDUSTRY CO., LTD.</v>
      </c>
      <c r="G62" s="60">
        <f>VLOOKUP(D62,'2.Bookinglist'!A:E,5,FALSE)</f>
        <v>0</v>
      </c>
      <c r="H62" s="61" t="str">
        <f>VLOOKUP(D62,'2.Bookinglist'!A:CT,15,FALSE)</f>
        <v>THBKK</v>
      </c>
      <c r="I62" s="61" t="str">
        <f>VLOOKUP(D62,'2.Bookinglist'!A:CT,19,FALSE)</f>
        <v>KRINC</v>
      </c>
      <c r="J62" s="61">
        <f>VLOOKUP(D62,'2.Bookinglist'!A:CT,26,FALSE)</f>
        <v>0</v>
      </c>
      <c r="K62" s="61" t="str">
        <f>VLOOKUP(A62,'1.Loading'!A:R,5,FALSE)</f>
        <v>22GP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SWAL</v>
      </c>
      <c r="P62" s="61" t="str">
        <f>VLOOKUP(A62,'1.Loading'!A:R,4,FALSE)</f>
        <v>2609N</v>
      </c>
      <c r="Q62" s="61" t="str">
        <f>VLOOKUP(D62,'2.Bookinglist'!A:CT,12,FALSE)</f>
        <v>KST</v>
      </c>
      <c r="R62" s="60" t="str">
        <f>IF(LEFT(K62,2)="22","20'","40'")</f>
        <v>20'</v>
      </c>
      <c r="S62" s="185" t="n"/>
      <c r="T62" s="61" t="str">
        <f>VLOOKUP(A62,'1.Loading'!A:R,2,FALSE)</f>
        <v>2026-10-22</v>
      </c>
      <c r="U62" s="63">
        <f>T62-S62</f>
        <v>46317</v>
      </c>
      <c r="V62" s="186" t="n"/>
      <c r="W62" s="61" t="str">
        <f>VLOOKUP(A62,'3.GateMove'!A:D,4,FALSE)</f>
        <v>2026-10-10</v>
      </c>
      <c r="X62" s="63">
        <f>((T62-W62)+1)</f>
        <v>13</v>
      </c>
      <c r="Y62" s="64">
        <f>IF(AND(OR(C62="BKK01",C62="BKK04"),L62="CFS/CY"),0,IF(M62="DG",1,IF(LEFT(C62,3)="LCH",7,IF(C62="BKK02",5,3))))</f>
        <v>5</v>
      </c>
      <c r="Z62" s="63">
        <f>IF(IF(AND(AC62="TML",AB62&gt;0),((T62-W62)+1)-AB62,((T62-W62)+1)-Y62)&gt;0,IF(AND(AC62="TML",AB62&gt;0),((T62-W62)+1)-AB62,((T62-W62)+1)-Y62),0)</f>
        <v>8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400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46318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400</v>
      </c>
      <c r="AJ62" s="188" t="n"/>
      <c r="AK62" s="62" t="str">
        <f>VLOOKUP(D62,'2.Bookinglist'!A:CT,40,FALSE)</f>
        <v>Pattarapong Saengthong</v>
      </c>
      <c r="AL62" s="60" t="str">
        <f>VLOOKUP(D62,'2.Bookinglist'!A:CW,101,FALSE)</f>
        <v>2026-10-20</v>
      </c>
      <c r="AM62" s="60" t="str">
        <f>VLOOKUP(D62,'2.Bookinglist'!A:BK,63,FALSE)</f>
        <v>BKK27</v>
      </c>
      <c r="AN62" s="62" t="str">
        <f>VLOOKUP(D62,'2.Bookinglist'!A:AZ,52,FALSE)</f>
        <v>Pickup : 2026-10-07, Return : 2026-10-09</v>
      </c>
      <c r="AO62" s="62">
        <f>VLOOKUP(D62,'2.Bookinglist'!A:CY,103,FALSE)</f>
        <v>0</v>
      </c>
    </row>
    <row r="63" ht="12.95" customHeight="1">
      <c r="A63" s="96" t="inlineStr">
        <is>
          <t>SKLU2408164</t>
        </is>
      </c>
      <c r="B63" s="184" t="str">
        <f>IF(C63=Charge!$M$1,Charge!$J$1,IF(C63=Charge!$M$23,Charge!$J$23,IF(C63=Charge!$M$17,Charge!$J$17,IF(C63=Charge!$N$17,Charge!$J$17,Charge!$J$7))))</f>
        <v>G4</v>
      </c>
      <c r="C63" s="61" t="str">
        <f>VLOOKUP(A63,'1.Loading'!A:R,14,FALSE)</f>
        <v>BKK02</v>
      </c>
      <c r="D63" s="61" t="str">
        <f>VLOOKUP(A63,'1.Loading'!A:R,17,FALSE)</f>
        <v>HASLS22260900541</v>
      </c>
      <c r="E63" s="62" t="str">
        <f>VLOOKUP(D63,'2.Bookinglist'!A:CT,27,FALSE)</f>
        <v>MERCURIAL LOGISTICS  CO.,LTD</v>
      </c>
      <c r="F63" s="62" t="str">
        <f>VLOOKUP(D63,'2.Bookinglist'!A:CT,28,FALSE)</f>
        <v>UENO FINE CHEMICALS INDUSTRY (THAILAND) LTD.</v>
      </c>
      <c r="G63" s="60">
        <f>VLOOKUP(D63,'2.Bookinglist'!A:E,5,FALSE)</f>
        <v>0</v>
      </c>
      <c r="H63" s="61" t="str">
        <f>VLOOKUP(D63,'2.Bookinglist'!A:CT,15,FALSE)</f>
        <v>THBKK</v>
      </c>
      <c r="I63" s="61" t="str">
        <f>VLOOKUP(D63,'2.Bookinglist'!A:CT,19,FALSE)</f>
        <v>VNSGN</v>
      </c>
      <c r="J63" s="61">
        <f>VLOOKUP(D63,'2.Bookinglist'!A:CT,26,FALSE)</f>
        <v>0</v>
      </c>
      <c r="K63" s="61" t="str">
        <f>VLOOKUP(A63,'1.Loading'!A:R,5,FALSE)</f>
        <v>22GP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SWAL</v>
      </c>
      <c r="P63" s="61" t="str">
        <f>VLOOKUP(A63,'1.Loading'!A:R,4,FALSE)</f>
        <v>2609N</v>
      </c>
      <c r="Q63" s="61" t="str">
        <f>VLOOKUP(D63,'2.Bookinglist'!A:CT,12,FALSE)</f>
        <v>KST</v>
      </c>
      <c r="R63" s="60" t="str">
        <f>IF(LEFT(K63,2)="22","20'","40'")</f>
        <v>20'</v>
      </c>
      <c r="S63" s="185" t="n"/>
      <c r="T63" s="61" t="str">
        <f>VLOOKUP(A63,'1.Loading'!A:R,2,FALSE)</f>
        <v>2026-10-22</v>
      </c>
      <c r="U63" s="63">
        <f>T63-S63</f>
        <v>46317</v>
      </c>
      <c r="V63" s="186" t="n"/>
      <c r="W63" s="61" t="str">
        <f>VLOOKUP(A63,'3.GateMove'!A:D,4,FALSE)</f>
        <v>2026-10-12</v>
      </c>
      <c r="X63" s="63">
        <f>((T63-W63)+1)</f>
        <v>11</v>
      </c>
      <c r="Y63" s="64">
        <f>IF(AND(OR(C63="BKK01",C63="BKK04"),L63="CFS/CY"),0,IF(M63="DG",1,IF(LEFT(C63,3)="LCH",7,IF(C63="BKK02",5,3))))</f>
        <v>5</v>
      </c>
      <c r="Z63" s="63">
        <f>IF(IF(AND(AC63="TML",AB63&gt;0),((T63-W63)+1)-AB63,((T63-W63)+1)-Y63)&gt;0,IF(AND(AC63="TML",AB63&gt;0),((T63-W63)+1)-AB63,((T63-W63)+1)-Y63),0)</f>
        <v>6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300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46318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300</v>
      </c>
      <c r="AJ63" s="188" t="n"/>
      <c r="AK63" s="62" t="str">
        <f>VLOOKUP(D63,'2.Bookinglist'!A:CT,40,FALSE)</f>
        <v>Nannaapust Sukporntaweewat</v>
      </c>
      <c r="AL63" s="60" t="str">
        <f>VLOOKUP(D63,'2.Bookinglist'!A:CW,101,FALSE)</f>
        <v>2026-10-20</v>
      </c>
      <c r="AM63" s="60" t="str">
        <f>VLOOKUP(D63,'2.Bookinglist'!A:BK,63,FALSE)</f>
        <v>BKK25</v>
      </c>
      <c r="AN63" s="62" t="str">
        <f>VLOOKUP(D63,'2.Bookinglist'!A:AZ,52,FALSE)</f>
        <v>Pickup : 2026-09-08, Return : 2026-09-09</v>
      </c>
      <c r="AO63" s="62" t="str">
        <f>VLOOKUP(D63,'2.Bookinglist'!A:CY,103,FALSE)</f>
        <v>ROLL OVER FROM PREIVOUS VSL PGPO 2612N BY ALLOCATION TEAM MS,TARN APPROVED COST IS UNDER HA DD.13/10</v>
      </c>
    </row>
    <row r="64" ht="12.95" customHeight="1">
      <c r="A64" s="96" t="inlineStr">
        <is>
          <t>SKLU2409710</t>
        </is>
      </c>
      <c r="B64" s="184" t="str">
        <f>IF(C64=Charge!$M$1,Charge!$J$1,IF(C64=Charge!$M$23,Charge!$J$23,IF(C64=Charge!$M$17,Charge!$J$17,IF(C64=Charge!$N$17,Charge!$J$17,Charge!$J$7))))</f>
        <v>G4</v>
      </c>
      <c r="C64" s="61" t="str">
        <f>VLOOKUP(A64,'1.Loading'!A:R,14,FALSE)</f>
        <v>BKK02</v>
      </c>
      <c r="D64" s="61" t="str">
        <f>VLOOKUP(A64,'1.Loading'!A:R,17,FALSE)</f>
        <v>HASLS22260901654</v>
      </c>
      <c r="E64" s="62" t="str">
        <f>VLOOKUP(D64,'2.Bookinglist'!A:CT,27,FALSE)</f>
        <v>EXPEDITORS (THAILAND) LTD.</v>
      </c>
      <c r="F64" s="62" t="str">
        <f>VLOOKUP(D64,'2.Bookinglist'!A:CT,28,FALSE)</f>
        <v>MINERAL RESOURCES DEVELOPMENT CO., LTD.</v>
      </c>
      <c r="G64" s="60">
        <f>VLOOKUP(D64,'2.Bookinglist'!A:E,5,FALSE)</f>
        <v>0</v>
      </c>
      <c r="H64" s="61" t="str">
        <f>VLOOKUP(D64,'2.Bookinglist'!A:CT,15,FALSE)</f>
        <v>THBKK</v>
      </c>
      <c r="I64" s="61" t="str">
        <f>VLOOKUP(D64,'2.Bookinglist'!A:CT,19,FALSE)</f>
        <v>VNSGN</v>
      </c>
      <c r="J64" s="61">
        <f>VLOOKUP(D64,'2.Bookinglist'!A:CT,26,FALSE)</f>
        <v>0</v>
      </c>
      <c r="K64" s="61" t="str">
        <f>VLOOKUP(A64,'1.Loading'!A:R,5,FALSE)</f>
        <v>22GP</v>
      </c>
      <c r="L64" s="60" t="str">
        <f>VLOOKUP(D64,'2.Bookinglist'!A:CT,85,FALSE)</f>
        <v>CFS/CY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SWAL</v>
      </c>
      <c r="P64" s="61" t="str">
        <f>VLOOKUP(A64,'1.Loading'!A:R,4,FALSE)</f>
        <v>2609N</v>
      </c>
      <c r="Q64" s="61" t="str">
        <f>VLOOKUP(D64,'2.Bookinglist'!A:CT,12,FALSE)</f>
        <v>KST</v>
      </c>
      <c r="R64" s="60" t="str">
        <f>IF(LEFT(K64,2)="22","20'","40'")</f>
        <v>20'</v>
      </c>
      <c r="S64" s="185" t="n"/>
      <c r="T64" s="61" t="str">
        <f>VLOOKUP(A64,'1.Loading'!A:R,2,FALSE)</f>
        <v>2026-10-22</v>
      </c>
      <c r="U64" s="63">
        <f>T64-S64</f>
        <v>46317</v>
      </c>
      <c r="V64" s="186" t="n"/>
      <c r="W64" s="61" t="str">
        <f>VLOOKUP(A64,'3.GateMove'!A:D,4,FALSE)</f>
        <v>2026-10-15</v>
      </c>
      <c r="X64" s="63">
        <f>((T64-W64)+1)</f>
        <v>8</v>
      </c>
      <c r="Y64" s="64">
        <f>IF(AND(OR(C64="BKK01",C64="BKK04"),L64="CFS/CY"),0,IF(M64="DG",1,IF(LEFT(C64,3)="LCH",7,IF(C64="BKK02",5,3))))</f>
        <v>5</v>
      </c>
      <c r="Z64" s="63">
        <f>IF(IF(AND(AC64="TML",AB64&gt;0),((T64-W64)+1)-AB64,((T64-W64)+1)-Y64)&gt;0,IF(AND(AC64="TML",AB64&gt;0),((T64-W64)+1)-AB64,((T64-W64)+1)-Y64),0)</f>
        <v>3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150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46318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150</v>
      </c>
      <c r="AJ64" s="188" t="n"/>
      <c r="AK64" s="62" t="str">
        <f>VLOOKUP(D64,'2.Bookinglist'!A:CT,40,FALSE)</f>
        <v>Kanokporn</v>
      </c>
      <c r="AL64" s="60" t="str">
        <f>VLOOKUP(D64,'2.Bookinglist'!A:CW,101,FALSE)</f>
        <v>2026-10-19</v>
      </c>
      <c r="AM64" s="60" t="str">
        <f>VLOOKUP(D64,'2.Bookinglist'!A:BK,63,FALSE)</f>
        <v>BKK02</v>
      </c>
      <c r="AN64" s="62" t="str">
        <f>VLOOKUP(D64,'2.Bookinglist'!A:AZ,52,FALSE)</f>
        <v>STUFFING CARGO @UNITHAI DD.15/10/26 CLS TIME CFS DD.16/10/26 - 17:00HRS.
</v>
      </c>
      <c r="AO64" s="62">
        <f>VLOOKUP(D64,'2.Bookinglist'!A:CY,103,FALSE)</f>
        <v>0</v>
      </c>
    </row>
    <row r="65" ht="12.95" customHeight="1">
      <c r="A65" s="96" t="inlineStr">
        <is>
          <t>SKLU2488642</t>
        </is>
      </c>
      <c r="B65" s="184" t="str">
        <f>IF(C65=Charge!$M$1,Charge!$J$1,IF(C65=Charge!$M$23,Charge!$J$23,IF(C65=Charge!$M$17,Charge!$J$17,IF(C65=Charge!$N$17,Charge!$J$17,Charge!$J$7))))</f>
        <v>G4</v>
      </c>
      <c r="C65" s="61" t="str">
        <f>VLOOKUP(A65,'1.Loading'!A:R,14,FALSE)</f>
        <v>BKK02</v>
      </c>
      <c r="D65" s="61" t="str">
        <f>VLOOKUP(A65,'1.Loading'!A:R,17,FALSE)</f>
        <v>HASLS22261001072</v>
      </c>
      <c r="E65" s="62" t="str">
        <f>VLOOKUP(D65,'2.Bookinglist'!A:CT,27,FALSE)</f>
        <v>MAC-NELS SHIPPING (THAILAND) LTD.</v>
      </c>
      <c r="F65" s="62" t="str">
        <f>VLOOKUP(D65,'2.Bookinglist'!A:CT,28,FALSE)</f>
        <v>HASHIRU</v>
      </c>
      <c r="G65" s="60">
        <f>VLOOKUP(D65,'2.Bookinglist'!A:E,5,FALSE)</f>
        <v>0</v>
      </c>
      <c r="H65" s="61" t="str">
        <f>VLOOKUP(D65,'2.Bookinglist'!A:CT,15,FALSE)</f>
        <v>THBKK</v>
      </c>
      <c r="I65" s="61" t="str">
        <f>VLOOKUP(D65,'2.Bookinglist'!A:CT,19,FALSE)</f>
        <v>KRINC</v>
      </c>
      <c r="J65" s="61">
        <f>VLOOKUP(D65,'2.Bookinglist'!A:CT,26,FALSE)</f>
        <v>0</v>
      </c>
      <c r="K65" s="61" t="str">
        <f>VLOOKUP(A65,'1.Loading'!A:R,5,FALSE)</f>
        <v>22GP</v>
      </c>
      <c r="L65" s="60" t="str">
        <f>VLOOKUP(D65,'2.Bookinglist'!A:CT,85,FALSE)</f>
        <v>CFS/CY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SWAL</v>
      </c>
      <c r="P65" s="61" t="str">
        <f>VLOOKUP(A65,'1.Loading'!A:R,4,FALSE)</f>
        <v>2609N</v>
      </c>
      <c r="Q65" s="61" t="str">
        <f>VLOOKUP(D65,'2.Bookinglist'!A:CT,12,FALSE)</f>
        <v>KST</v>
      </c>
      <c r="R65" s="60" t="str">
        <f>IF(LEFT(K65,2)="22","20'","40'")</f>
        <v>20'</v>
      </c>
      <c r="S65" s="185" t="n"/>
      <c r="T65" s="61" t="str">
        <f>VLOOKUP(A65,'1.Loading'!A:R,2,FALSE)</f>
        <v>2026-10-22</v>
      </c>
      <c r="U65" s="63">
        <f>T65-S65</f>
        <v>46317</v>
      </c>
      <c r="V65" s="186" t="n"/>
      <c r="W65" s="61" t="str">
        <f>VLOOKUP(A65,'3.GateMove'!A:D,4,FALSE)</f>
        <v>2026-10-16</v>
      </c>
      <c r="X65" s="63">
        <f>((T65-W65)+1)</f>
        <v>7</v>
      </c>
      <c r="Y65" s="64">
        <f>IF(AND(OR(C65="BKK01",C65="BKK04"),L65="CFS/CY"),0,IF(M65="DG",1,IF(LEFT(C65,3)="LCH",7,IF(C65="BKK02",5,3))))</f>
        <v>5</v>
      </c>
      <c r="Z65" s="63">
        <f>IF(IF(AND(AC65="TML",AB65&gt;0),((T65-W65)+1)-AB65,((T65-W65)+1)-Y65)&gt;0,IF(AND(AC65="TML",AB65&gt;0),((T65-W65)+1)-AB65,((T65-W65)+1)-Y65),0)</f>
        <v>2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100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46318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100</v>
      </c>
      <c r="AJ65" s="188" t="n"/>
      <c r="AK65" s="62" t="str">
        <f>VLOOKUP(D65,'2.Bookinglist'!A:CT,40,FALSE)</f>
        <v>Vilaiporn</v>
      </c>
      <c r="AL65" s="60" t="str">
        <f>VLOOKUP(D65,'2.Bookinglist'!A:CW,101,FALSE)</f>
        <v>2026-10-20</v>
      </c>
      <c r="AM65" s="60" t="str">
        <f>VLOOKUP(D65,'2.Bookinglist'!A:BK,63,FALSE)</f>
        <v>BKK02</v>
      </c>
      <c r="AN65" s="62" t="str">
        <f>VLOOKUP(D65,'2.Bookinglist'!A:AZ,52,FALSE)</f>
        <v>STUFFING AT UNITHAI DD.16/10/2026
CLS TIME DD.19/10/2026 @ 17.00 
NEED CLEAN AND GOOD CONTAINER , NO SMELL AND NO RUSTY</v>
      </c>
      <c r="AO65" s="62">
        <f>VLOOKUP(D65,'2.Bookinglist'!A:CY,103,FALSE)</f>
        <v>0</v>
      </c>
    </row>
    <row r="66" ht="12.95" customHeight="1">
      <c r="A66" s="96" t="inlineStr">
        <is>
          <t>SKLU3504199</t>
        </is>
      </c>
      <c r="B66" s="184" t="str">
        <f>IF(C66=Charge!$M$1,Charge!$J$1,IF(C66=Charge!$M$23,Charge!$J$23,IF(C66=Charge!$M$17,Charge!$J$17,IF(C66=Charge!$N$17,Charge!$J$17,Charge!$J$7))))</f>
        <v>G4</v>
      </c>
      <c r="C66" s="61" t="str">
        <f>VLOOKUP(A66,'1.Loading'!A:R,14,FALSE)</f>
        <v>BKK02</v>
      </c>
      <c r="D66" s="61" t="str">
        <f>VLOOKUP(A66,'1.Loading'!A:R,17,FALSE)</f>
        <v>HASLS22260801961</v>
      </c>
      <c r="E66" s="62" t="str">
        <f>VLOOKUP(D66,'2.Bookinglist'!A:CT,27,FALSE)</f>
        <v>SCGJWD LOGISTICS PUBLIC COMPANY LIMITED</v>
      </c>
      <c r="F66" s="62" t="str">
        <f>VLOOKUP(D66,'2.Bookinglist'!A:CT,28,FALSE)</f>
        <v>SCG INTERNATIONAL CORPORATION CO., LTD.</v>
      </c>
      <c r="G66" s="60">
        <f>VLOOKUP(D66,'2.Bookinglist'!A:E,5,FALSE)</f>
        <v>0</v>
      </c>
      <c r="H66" s="61" t="str">
        <f>VLOOKUP(D66,'2.Bookinglist'!A:CT,15,FALSE)</f>
        <v>THBKK</v>
      </c>
      <c r="I66" s="61" t="str">
        <f>VLOOKUP(D66,'2.Bookinglist'!A:CT,19,FALSE)</f>
        <v>VNSGN</v>
      </c>
      <c r="J66" s="61">
        <f>VLOOKUP(D66,'2.Bookinglist'!A:CT,26,FALSE)</f>
        <v>0</v>
      </c>
      <c r="K66" s="61" t="str">
        <f>VLOOKUP(A66,'1.Loading'!A:R,5,FALSE)</f>
        <v>22GP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/>
      </c>
      <c r="O66" s="61" t="str">
        <f>VLOOKUP(A66,'1.Loading'!A:R,3,FALSE)</f>
        <v>SWAL</v>
      </c>
      <c r="P66" s="61" t="str">
        <f>VLOOKUP(A66,'1.Loading'!A:R,4,FALSE)</f>
        <v>2609N</v>
      </c>
      <c r="Q66" s="61" t="str">
        <f>VLOOKUP(D66,'2.Bookinglist'!A:CT,12,FALSE)</f>
        <v>KST</v>
      </c>
      <c r="R66" s="60" t="str">
        <f>IF(LEFT(K66,2)="22","20'","40'")</f>
        <v>20'</v>
      </c>
      <c r="S66" s="185" t="n"/>
      <c r="T66" s="61" t="str">
        <f>VLOOKUP(A66,'1.Loading'!A:R,2,FALSE)</f>
        <v>2026-10-22</v>
      </c>
      <c r="U66" s="63">
        <f>T66-S66</f>
        <v>46317</v>
      </c>
      <c r="V66" s="186" t="n"/>
      <c r="W66" s="61" t="str">
        <f>VLOOKUP(A66,'3.GateMove'!A:D,4,FALSE)</f>
        <v>2026-10-15</v>
      </c>
      <c r="X66" s="63">
        <f>((T66-W66)+1)</f>
        <v>8</v>
      </c>
      <c r="Y66" s="64">
        <f>IF(AND(OR(C66="BKK01",C66="BKK04"),L66="CFS/CY"),0,IF(M66="DG",1,IF(LEFT(C66,3)="LCH",7,IF(C66="BKK02",5,3))))</f>
        <v>5</v>
      </c>
      <c r="Z66" s="63">
        <f>IF(IF(AND(AC66="TML",AB66&gt;0),((T66-W66)+1)-AB66,((T66-W66)+1)-Y66)&gt;0,IF(AND(AC66="TML",AB66&gt;0),((T66-W66)+1)-AB66,((T66-W66)+1)-Y66),0)</f>
        <v>3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150</v>
      </c>
      <c r="AB66" s="184" t="n"/>
      <c r="AC66" s="184" t="n"/>
      <c r="AD66" s="60">
        <f>IF(M66="DG",3,IF(N66="RF",3,5))+IF(AND(LEFT(C66,3)="BKK",N66="RF",Q66="KTS"),1,0)+IF(Q66="KHS",1,0)</f>
        <v>5</v>
      </c>
      <c r="AE66" s="63">
        <f>(T66-V66)+1</f>
        <v>46318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150</v>
      </c>
      <c r="AJ66" s="188" t="n"/>
      <c r="AK66" s="62" t="str">
        <f>VLOOKUP(D66,'2.Bookinglist'!A:CT,40,FALSE)</f>
        <v>Kanokporn</v>
      </c>
      <c r="AL66" s="60" t="str">
        <f>VLOOKUP(D66,'2.Bookinglist'!A:CW,101,FALSE)</f>
        <v>2026-10-19</v>
      </c>
      <c r="AM66" s="60" t="str">
        <f>VLOOKUP(D66,'2.Bookinglist'!A:BK,63,FALSE)</f>
        <v>BKK25</v>
      </c>
      <c r="AN66" s="62" t="str">
        <f>VLOOKUP(D66,'2.Bookinglist'!A:AZ,52,FALSE)</f>
        <v>CY-RTN : 12-15/10/2026  (26IHWCL77)  </v>
      </c>
      <c r="AO66" s="62">
        <f>VLOOKUP(D66,'2.Bookinglist'!A:CY,103,FALSE)</f>
        <v>0</v>
      </c>
    </row>
    <row r="67" ht="12.95" customHeight="1">
      <c r="A67" s="96" t="inlineStr">
        <is>
          <t>SKLU3516190</t>
        </is>
      </c>
      <c r="B67" s="184" t="str">
        <f>IF(C67=Charge!$M$1,Charge!$J$1,IF(C67=Charge!$M$23,Charge!$J$23,IF(C67=Charge!$M$17,Charge!$J$17,IF(C67=Charge!$N$17,Charge!$J$17,Charge!$J$7))))</f>
        <v>G4</v>
      </c>
      <c r="C67" s="61" t="str">
        <f>VLOOKUP(A67,'1.Loading'!A:R,14,FALSE)</f>
        <v>BKK02</v>
      </c>
      <c r="D67" s="61" t="str">
        <f>VLOOKUP(A67,'1.Loading'!A:R,17,FALSE)</f>
        <v>HASLS22260801065</v>
      </c>
      <c r="E67" s="62" t="str">
        <f>VLOOKUP(D67,'2.Bookinglist'!A:CT,27,FALSE)</f>
        <v>KORCHINA FREIGHT (THAILAND) CO., LTD.</v>
      </c>
      <c r="F67" s="62" t="str">
        <f>VLOOKUP(D67,'2.Bookinglist'!A:CT,28,FALSE)</f>
        <v>RIVER KWAI INTERNATIONAL FOOD INDUSTRY CO., LTD.</v>
      </c>
      <c r="G67" s="60">
        <f>VLOOKUP(D67,'2.Bookinglist'!A:E,5,FALSE)</f>
        <v>0</v>
      </c>
      <c r="H67" s="61" t="str">
        <f>VLOOKUP(D67,'2.Bookinglist'!A:CT,15,FALSE)</f>
        <v>THBKK</v>
      </c>
      <c r="I67" s="61" t="str">
        <f>VLOOKUP(D67,'2.Bookinglist'!A:CT,19,FALSE)</f>
        <v>KRINC</v>
      </c>
      <c r="J67" s="61">
        <f>VLOOKUP(D67,'2.Bookinglist'!A:CT,26,FALSE)</f>
        <v>0</v>
      </c>
      <c r="K67" s="61" t="str">
        <f>VLOOKUP(A67,'1.Loading'!A:R,5,FALSE)</f>
        <v>22GP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SWAL</v>
      </c>
      <c r="P67" s="61" t="str">
        <f>VLOOKUP(A67,'1.Loading'!A:R,4,FALSE)</f>
        <v>2609N</v>
      </c>
      <c r="Q67" s="61" t="str">
        <f>VLOOKUP(D67,'2.Bookinglist'!A:CT,12,FALSE)</f>
        <v>KST</v>
      </c>
      <c r="R67" s="60" t="str">
        <f>IF(LEFT(K67,2)="22","20'","40'")</f>
        <v>20'</v>
      </c>
      <c r="S67" s="185" t="n"/>
      <c r="T67" s="61" t="str">
        <f>VLOOKUP(A67,'1.Loading'!A:R,2,FALSE)</f>
        <v>2026-10-22</v>
      </c>
      <c r="U67" s="63">
        <f>T67-S67</f>
        <v>46317</v>
      </c>
      <c r="V67" s="186" t="n"/>
      <c r="W67" s="61" t="str">
        <f>VLOOKUP(A67,'3.GateMove'!A:D,4,FALSE)</f>
        <v>2026-10-10</v>
      </c>
      <c r="X67" s="63">
        <f>((T67-W67)+1)</f>
        <v>13</v>
      </c>
      <c r="Y67" s="64">
        <f>IF(AND(OR(C67="BKK01",C67="BKK04"),L67="CFS/CY"),0,IF(M67="DG",1,IF(LEFT(C67,3)="LCH",7,IF(C67="BKK02",5,3))))</f>
        <v>5</v>
      </c>
      <c r="Z67" s="63">
        <f>IF(IF(AND(AC67="TML",AB67&gt;0),((T67-W67)+1)-AB67,((T67-W67)+1)-Y67)&gt;0,IF(AND(AC67="TML",AB67&gt;0),((T67-W67)+1)-AB67,((T67-W67)+1)-Y67),0)</f>
        <v>8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400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46318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400</v>
      </c>
      <c r="AJ67" s="188" t="n"/>
      <c r="AK67" s="62" t="str">
        <f>VLOOKUP(D67,'2.Bookinglist'!A:CT,40,FALSE)</f>
        <v>Pattarapong Saengthong</v>
      </c>
      <c r="AL67" s="60" t="str">
        <f>VLOOKUP(D67,'2.Bookinglist'!A:CW,101,FALSE)</f>
        <v>2026-10-20</v>
      </c>
      <c r="AM67" s="60" t="str">
        <f>VLOOKUP(D67,'2.Bookinglist'!A:BK,63,FALSE)</f>
        <v>BKK27</v>
      </c>
      <c r="AN67" s="62" t="str">
        <f>VLOOKUP(D67,'2.Bookinglist'!A:AZ,52,FALSE)</f>
        <v>Pickup : 2026-10-07, Return : 2026-10-09</v>
      </c>
      <c r="AO67" s="62">
        <f>VLOOKUP(D67,'2.Bookinglist'!A:CY,103,FALSE)</f>
        <v>0</v>
      </c>
    </row>
    <row r="68" ht="12.95" customHeight="1">
      <c r="A68" s="96" t="inlineStr">
        <is>
          <t>TCLU3315925</t>
        </is>
      </c>
      <c r="B68" s="184" t="str">
        <f>IF(C68=Charge!$M$1,Charge!$J$1,IF(C68=Charge!$M$23,Charge!$J$23,IF(C68=Charge!$M$17,Charge!$J$17,IF(C68=Charge!$N$17,Charge!$J$17,Charge!$J$7))))</f>
        <v>G4</v>
      </c>
      <c r="C68" s="61" t="str">
        <f>VLOOKUP(A68,'1.Loading'!A:R,14,FALSE)</f>
        <v>BKK02</v>
      </c>
      <c r="D68" s="61" t="str">
        <f>VLOOKUP(A68,'1.Loading'!A:R,17,FALSE)</f>
        <v>HASLS22260801961</v>
      </c>
      <c r="E68" s="62" t="str">
        <f>VLOOKUP(D68,'2.Bookinglist'!A:CT,27,FALSE)</f>
        <v>SCGJWD LOGISTICS PUBLIC COMPANY LIMITED</v>
      </c>
      <c r="F68" s="62" t="str">
        <f>VLOOKUP(D68,'2.Bookinglist'!A:CT,28,FALSE)</f>
        <v>SCG INTERNATIONAL CORPORATION CO., LTD.</v>
      </c>
      <c r="G68" s="60">
        <f>VLOOKUP(D68,'2.Bookinglist'!A:E,5,FALSE)</f>
        <v>0</v>
      </c>
      <c r="H68" s="61" t="str">
        <f>VLOOKUP(D68,'2.Bookinglist'!A:CT,15,FALSE)</f>
        <v>THBKK</v>
      </c>
      <c r="I68" s="61" t="str">
        <f>VLOOKUP(D68,'2.Bookinglist'!A:CT,19,FALSE)</f>
        <v>VNSGN</v>
      </c>
      <c r="J68" s="61">
        <f>VLOOKUP(D68,'2.Bookinglist'!A:CT,26,FALSE)</f>
        <v>0</v>
      </c>
      <c r="K68" s="61" t="str">
        <f>VLOOKUP(A68,'1.Loading'!A:R,5,FALSE)</f>
        <v>22GP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SWAL</v>
      </c>
      <c r="P68" s="61" t="str">
        <f>VLOOKUP(A68,'1.Loading'!A:R,4,FALSE)</f>
        <v>2609N</v>
      </c>
      <c r="Q68" s="61" t="str">
        <f>VLOOKUP(D68,'2.Bookinglist'!A:CT,12,FALSE)</f>
        <v>KST</v>
      </c>
      <c r="R68" s="60" t="str">
        <f>IF(LEFT(K68,2)="22","20'","40'")</f>
        <v>20'</v>
      </c>
      <c r="S68" s="185" t="n"/>
      <c r="T68" s="61" t="str">
        <f>VLOOKUP(A68,'1.Loading'!A:R,2,FALSE)</f>
        <v>2026-10-22</v>
      </c>
      <c r="U68" s="63">
        <f>T68-S68</f>
        <v>46317</v>
      </c>
      <c r="V68" s="186" t="n"/>
      <c r="W68" s="61" t="str">
        <f>VLOOKUP(A68,'3.GateMove'!A:D,4,FALSE)</f>
        <v>2026-10-15</v>
      </c>
      <c r="X68" s="63">
        <f>((T68-W68)+1)</f>
        <v>8</v>
      </c>
      <c r="Y68" s="64">
        <f>IF(AND(OR(C68="BKK01",C68="BKK04"),L68="CFS/CY"),0,IF(M68="DG",1,IF(LEFT(C68,3)="LCH",7,IF(C68="BKK02",5,3))))</f>
        <v>5</v>
      </c>
      <c r="Z68" s="63">
        <f>IF(IF(AND(AC68="TML",AB68&gt;0),((T68-W68)+1)-AB68,((T68-W68)+1)-Y68)&gt;0,IF(AND(AC68="TML",AB68&gt;0),((T68-W68)+1)-AB68,((T68-W68)+1)-Y68),0)</f>
        <v>3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150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46318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150</v>
      </c>
      <c r="AJ68" s="188" t="n"/>
      <c r="AK68" s="62" t="str">
        <f>VLOOKUP(D68,'2.Bookinglist'!A:CT,40,FALSE)</f>
        <v>Kanokporn</v>
      </c>
      <c r="AL68" s="60" t="str">
        <f>VLOOKUP(D68,'2.Bookinglist'!A:CW,101,FALSE)</f>
        <v>2026-10-19</v>
      </c>
      <c r="AM68" s="60" t="str">
        <f>VLOOKUP(D68,'2.Bookinglist'!A:BK,63,FALSE)</f>
        <v>BKK25</v>
      </c>
      <c r="AN68" s="62" t="str">
        <f>VLOOKUP(D68,'2.Bookinglist'!A:AZ,52,FALSE)</f>
        <v>CY-RTN : 12-15/10/2026  (26IHWCL77)  </v>
      </c>
      <c r="AO68" s="62">
        <f>VLOOKUP(D68,'2.Bookinglist'!A:CY,103,FALSE)</f>
        <v>0</v>
      </c>
    </row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2026-10-23T04:20:55Z</dcterms:modified>
  <cp:lastModifiedBy>office4</cp:lastModifiedBy>
  <cp:lastPrinted>2019-11-19T03:03:39Z</cp:lastPrinted>
</cp:coreProperties>
</file>