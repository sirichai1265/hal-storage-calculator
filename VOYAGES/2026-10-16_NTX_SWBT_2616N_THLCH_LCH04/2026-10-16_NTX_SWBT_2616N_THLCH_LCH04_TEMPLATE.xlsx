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4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BEAU2348311</t>
        </is>
      </c>
      <c r="B2" s="161" t="inlineStr">
        <is>
          <t>2026-10-16</t>
        </is>
      </c>
      <c r="C2" s="96" t="inlineStr">
        <is>
          <t>SWBT</t>
        </is>
      </c>
      <c r="D2" s="96" t="inlineStr">
        <is>
          <t>2616N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HASLS22261000769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NTX</t>
        </is>
      </c>
      <c r="U2" s="97" t="n"/>
      <c r="V2" s="96" t="inlineStr">
        <is>
          <t>TSN15L03</t>
        </is>
      </c>
      <c r="W2" s="96" t="inlineStr">
        <is>
          <t>WORLDNET EXPRESS CO.,LTD.</t>
        </is>
      </c>
      <c r="X2" s="96" t="inlineStr">
        <is>
          <t>VED</t>
        </is>
      </c>
      <c r="Y2" s="96" t="inlineStr">
        <is>
          <t>ASAP INTERNATIONAL CO., LTD.</t>
        </is>
      </c>
      <c r="Z2" s="96" t="inlineStr">
        <is>
          <t>ASAP INTERNATIONAL CO.,LTD</t>
        </is>
      </c>
      <c r="AA2" s="97" t="n">
        <v>6462.5</v>
      </c>
      <c r="AB2" s="96" t="inlineStr">
        <is>
          <t>LCH04</t>
        </is>
      </c>
      <c r="AC2" s="96" t="inlineStr">
        <is>
          <t>SGN03</t>
        </is>
      </c>
    </row>
    <row r="3" ht="12" customHeight="1">
      <c r="A3" s="96" t="inlineStr">
        <is>
          <t>CXDU2305360</t>
        </is>
      </c>
      <c r="B3" s="161" t="inlineStr">
        <is>
          <t>2026-10-16</t>
        </is>
      </c>
      <c r="C3" s="96" t="inlineStr">
        <is>
          <t>SWBT</t>
        </is>
      </c>
      <c r="D3" s="96" t="inlineStr">
        <is>
          <t>2616N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KRPUS</t>
        </is>
      </c>
      <c r="J3" s="96" t="inlineStr">
        <is>
          <t>JPUKB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HASLS22260901495</t>
        </is>
      </c>
      <c r="R3" s="96" t="inlineStr">
        <is>
          <t>Y</t>
        </is>
      </c>
      <c r="S3" s="96" t="inlineStr">
        <is>
          <t>N</t>
        </is>
      </c>
      <c r="T3" s="96" t="inlineStr">
        <is>
          <t>NTX</t>
        </is>
      </c>
      <c r="U3" s="97" t="n"/>
      <c r="V3" s="96" t="inlineStr">
        <is>
          <t>SHA16L01</t>
        </is>
      </c>
      <c r="W3" s="96" t="inlineStr">
        <is>
          <t>PTT GLOBAL CHEMICAL PUBLIC COMPANY</t>
        </is>
      </c>
      <c r="X3" s="96" t="inlineStr">
        <is>
          <t>VED</t>
        </is>
      </c>
      <c r="Y3" s="96" t="inlineStr">
        <is>
          <t>MITSUBISHI CORPORATION PLASTICS LTD</t>
        </is>
      </c>
      <c r="Z3" s="96" t="inlineStr">
        <is>
          <t>MITSUBISHI CORPORATION PLASTICS LTD</t>
        </is>
      </c>
      <c r="AA3" s="97" t="n">
        <v>19276.8</v>
      </c>
      <c r="AB3" s="96" t="inlineStr">
        <is>
          <t>LCH04</t>
        </is>
      </c>
      <c r="AC3" s="96" t="inlineStr">
        <is>
          <t>UKB06</t>
        </is>
      </c>
    </row>
    <row r="4" ht="12" customHeight="1">
      <c r="A4" s="96" t="inlineStr">
        <is>
          <t>SKHU6336470</t>
        </is>
      </c>
      <c r="B4" s="161" t="inlineStr">
        <is>
          <t>2026-10-16</t>
        </is>
      </c>
      <c r="C4" s="96" t="inlineStr">
        <is>
          <t>SWBT</t>
        </is>
      </c>
      <c r="D4" s="96" t="inlineStr">
        <is>
          <t>2616N</t>
        </is>
      </c>
      <c r="E4" s="96" t="inlineStr">
        <is>
          <t>45GP</t>
        </is>
      </c>
      <c r="F4" s="96" t="inlineStr">
        <is>
          <t>SD</t>
        </is>
      </c>
      <c r="G4" s="96" t="n"/>
      <c r="H4" s="96" t="inlineStr">
        <is>
          <t>THLCH</t>
        </is>
      </c>
      <c r="I4" s="96" t="inlineStr">
        <is>
          <t>KRPTK</t>
        </is>
      </c>
      <c r="J4" s="96" t="inlineStr">
        <is>
          <t>KRPTK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HASLS22260901579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NTX</t>
        </is>
      </c>
      <c r="U4" s="97" t="n"/>
      <c r="V4" s="96" t="inlineStr">
        <is>
          <t>K0120023</t>
        </is>
      </c>
      <c r="W4" s="96" t="inlineStr">
        <is>
          <t>THAI SAMSUNG ELECTRONICS CO., LTD.</t>
        </is>
      </c>
      <c r="X4" s="96" t="inlineStr">
        <is>
          <t>VFD</t>
        </is>
      </c>
      <c r="Y4" s="96" t="inlineStr">
        <is>
          <t>SAMSUNG ELECTRONICS CO.,LTD</t>
        </is>
      </c>
      <c r="Z4" s="96" t="inlineStr">
        <is>
          <t>SAMSUNG ELECTRONICS CO.,LTD</t>
        </is>
      </c>
      <c r="AA4" s="97" t="n">
        <v>3958.5</v>
      </c>
      <c r="AB4" s="96" t="inlineStr">
        <is>
          <t>LCH04</t>
        </is>
      </c>
      <c r="AC4" s="96" t="inlineStr">
        <is>
          <t>PTK02</t>
        </is>
      </c>
    </row>
    <row r="5" ht="12" customHeight="1">
      <c r="A5" s="96" t="inlineStr">
        <is>
          <t>SKHU6406881</t>
        </is>
      </c>
      <c r="B5" s="161" t="inlineStr">
        <is>
          <t>2026-10-16</t>
        </is>
      </c>
      <c r="C5" s="96" t="inlineStr">
        <is>
          <t>SWBT</t>
        </is>
      </c>
      <c r="D5" s="96" t="inlineStr">
        <is>
          <t>2616N</t>
        </is>
      </c>
      <c r="E5" s="96" t="inlineStr">
        <is>
          <t>45GP</t>
        </is>
      </c>
      <c r="F5" s="96" t="inlineStr">
        <is>
          <t>SD</t>
        </is>
      </c>
      <c r="G5" s="96" t="n"/>
      <c r="H5" s="96" t="inlineStr">
        <is>
          <t>THLCH</t>
        </is>
      </c>
      <c r="I5" s="96" t="inlineStr">
        <is>
          <t>KRPTK</t>
        </is>
      </c>
      <c r="J5" s="96" t="inlineStr">
        <is>
          <t>KRPTK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HASLS22260901579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NTX</t>
        </is>
      </c>
      <c r="U5" s="97" t="n"/>
      <c r="V5" s="96" t="inlineStr">
        <is>
          <t>K0120023</t>
        </is>
      </c>
      <c r="W5" s="96" t="inlineStr">
        <is>
          <t>THAI SAMSUNG ELECTRONICS CO., LTD.</t>
        </is>
      </c>
      <c r="X5" s="96" t="inlineStr">
        <is>
          <t>VED</t>
        </is>
      </c>
      <c r="Y5" s="96" t="inlineStr">
        <is>
          <t>SAMSUNG ELECTRONICS CO.,LTD</t>
        </is>
      </c>
      <c r="Z5" s="96" t="inlineStr">
        <is>
          <t>SAMSUNG ELECTRONICS CO.,LTD</t>
        </is>
      </c>
      <c r="AA5" s="97" t="n">
        <v>3958.5</v>
      </c>
      <c r="AB5" s="96" t="inlineStr">
        <is>
          <t>LCH04</t>
        </is>
      </c>
      <c r="AC5" s="96" t="inlineStr">
        <is>
          <t>PTK02</t>
        </is>
      </c>
    </row>
    <row r="6" ht="12" customHeight="1">
      <c r="A6" s="96" t="inlineStr">
        <is>
          <t>SKHU6556876</t>
        </is>
      </c>
      <c r="B6" s="161" t="inlineStr">
        <is>
          <t>2026-10-16</t>
        </is>
      </c>
      <c r="C6" s="96" t="inlineStr">
        <is>
          <t>SWBT</t>
        </is>
      </c>
      <c r="D6" s="96" t="inlineStr">
        <is>
          <t>2616N</t>
        </is>
      </c>
      <c r="E6" s="96" t="inlineStr">
        <is>
          <t>45GP</t>
        </is>
      </c>
      <c r="F6" s="96" t="inlineStr">
        <is>
          <t>SD</t>
        </is>
      </c>
      <c r="G6" s="96" t="n"/>
      <c r="H6" s="96" t="inlineStr">
        <is>
          <t>THLCH</t>
        </is>
      </c>
      <c r="I6" s="96" t="inlineStr">
        <is>
          <t>KRPTK</t>
        </is>
      </c>
      <c r="J6" s="96" t="inlineStr">
        <is>
          <t>KRPTK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HASLS22260901579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NTX</t>
        </is>
      </c>
      <c r="U6" s="97" t="n"/>
      <c r="V6" s="96" t="inlineStr">
        <is>
          <t>K0120023</t>
        </is>
      </c>
      <c r="W6" s="96" t="inlineStr">
        <is>
          <t>THAI SAMSUNG ELECTRONICS CO., LTD.</t>
        </is>
      </c>
      <c r="X6" s="96" t="inlineStr">
        <is>
          <t>VED</t>
        </is>
      </c>
      <c r="Y6" s="96" t="inlineStr">
        <is>
          <t>SAMSUNG ELECTRONICS CO.,LTD</t>
        </is>
      </c>
      <c r="Z6" s="96" t="inlineStr">
        <is>
          <t>SAMSUNG ELECTRONICS CO.,LTD</t>
        </is>
      </c>
      <c r="AA6" s="97" t="n">
        <v>3958.5</v>
      </c>
      <c r="AB6" s="96" t="inlineStr">
        <is>
          <t>LCH04</t>
        </is>
      </c>
      <c r="AC6" s="96" t="inlineStr">
        <is>
          <t>PTK02</t>
        </is>
      </c>
    </row>
    <row r="7" ht="12" customHeight="1">
      <c r="A7" s="96" t="inlineStr">
        <is>
          <t>SKHU9208848</t>
        </is>
      </c>
      <c r="B7" s="161" t="inlineStr">
        <is>
          <t>2026-10-16</t>
        </is>
      </c>
      <c r="C7" s="96" t="inlineStr">
        <is>
          <t>SWBT</t>
        </is>
      </c>
      <c r="D7" s="96" t="inlineStr">
        <is>
          <t>2616N</t>
        </is>
      </c>
      <c r="E7" s="96" t="inlineStr">
        <is>
          <t>45GP</t>
        </is>
      </c>
      <c r="F7" s="96" t="inlineStr">
        <is>
          <t>SD</t>
        </is>
      </c>
      <c r="G7" s="96" t="n"/>
      <c r="H7" s="96" t="inlineStr">
        <is>
          <t>THLCH</t>
        </is>
      </c>
      <c r="I7" s="96" t="inlineStr">
        <is>
          <t>KRPTK</t>
        </is>
      </c>
      <c r="J7" s="96" t="inlineStr">
        <is>
          <t>KRPTK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HASLS22260901462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NTX</t>
        </is>
      </c>
      <c r="U7" s="97" t="n"/>
      <c r="V7" s="96" t="inlineStr">
        <is>
          <t>K0120023</t>
        </is>
      </c>
      <c r="W7" s="96" t="inlineStr">
        <is>
          <t>TPV TECHNOLOGY (THAILAND) CO.,LTD</t>
        </is>
      </c>
      <c r="X7" s="96" t="inlineStr">
        <is>
          <t>ONL</t>
        </is>
      </c>
      <c r="Y7" s="96" t="inlineStr">
        <is>
          <t>SAMSUNG ELECTRONICS CO.,LTD</t>
        </is>
      </c>
      <c r="Z7" s="96" t="inlineStr">
        <is>
          <t>SAMSUNG ELECTRONICS CO.,LTD</t>
        </is>
      </c>
      <c r="AA7" s="97" t="n">
        <v>4856.458</v>
      </c>
      <c r="AB7" s="96" t="inlineStr">
        <is>
          <t>LCH04</t>
        </is>
      </c>
      <c r="AC7" s="96" t="inlineStr">
        <is>
          <t>PTK02</t>
        </is>
      </c>
    </row>
    <row r="8" ht="12" customHeight="1">
      <c r="A8" s="96" t="inlineStr">
        <is>
          <t>SKHU9942949</t>
        </is>
      </c>
      <c r="B8" s="161" t="inlineStr">
        <is>
          <t>2026-10-16</t>
        </is>
      </c>
      <c r="C8" s="96" t="inlineStr">
        <is>
          <t>SWBT</t>
        </is>
      </c>
      <c r="D8" s="96" t="inlineStr">
        <is>
          <t>2616N</t>
        </is>
      </c>
      <c r="E8" s="96" t="inlineStr">
        <is>
          <t>45GP</t>
        </is>
      </c>
      <c r="F8" s="96" t="inlineStr">
        <is>
          <t>SD</t>
        </is>
      </c>
      <c r="G8" s="96" t="n"/>
      <c r="H8" s="96" t="inlineStr">
        <is>
          <t>THLCH</t>
        </is>
      </c>
      <c r="I8" s="96" t="inlineStr">
        <is>
          <t>KRPTK</t>
        </is>
      </c>
      <c r="J8" s="96" t="inlineStr">
        <is>
          <t>KRPTK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HASLS22260901462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NTX</t>
        </is>
      </c>
      <c r="U8" s="97" t="n"/>
      <c r="V8" s="96" t="inlineStr">
        <is>
          <t>K0120023</t>
        </is>
      </c>
      <c r="W8" s="96" t="inlineStr">
        <is>
          <t>TPV TECHNOLOGY (THAILAND) CO.,LTD</t>
        </is>
      </c>
      <c r="X8" s="96" t="inlineStr">
        <is>
          <t>VFD</t>
        </is>
      </c>
      <c r="Y8" s="96" t="inlineStr">
        <is>
          <t>SAMSUNG ELECTRONICS CO.,LTD</t>
        </is>
      </c>
      <c r="Z8" s="96" t="inlineStr">
        <is>
          <t>SAMSUNG ELECTRONICS CO.,LTD</t>
        </is>
      </c>
      <c r="AA8" s="97" t="n">
        <v>7670</v>
      </c>
      <c r="AB8" s="96" t="inlineStr">
        <is>
          <t>LCH04</t>
        </is>
      </c>
      <c r="AC8" s="96" t="inlineStr">
        <is>
          <t>PTK02</t>
        </is>
      </c>
    </row>
    <row r="9" ht="12" customHeight="1">
      <c r="A9" s="96" t="inlineStr">
        <is>
          <t>SKHU9511540</t>
        </is>
      </c>
      <c r="B9" s="161" t="inlineStr">
        <is>
          <t>2026-10-16</t>
        </is>
      </c>
      <c r="C9" s="96" t="inlineStr">
        <is>
          <t>SWBT</t>
        </is>
      </c>
      <c r="D9" s="96" t="inlineStr">
        <is>
          <t>2616N</t>
        </is>
      </c>
      <c r="E9" s="96" t="inlineStr">
        <is>
          <t>45GP</t>
        </is>
      </c>
      <c r="F9" s="96" t="inlineStr">
        <is>
          <t>SD</t>
        </is>
      </c>
      <c r="G9" s="96" t="n"/>
      <c r="H9" s="96" t="inlineStr">
        <is>
          <t>THLCH</t>
        </is>
      </c>
      <c r="I9" s="96" t="inlineStr">
        <is>
          <t>KRPTK</t>
        </is>
      </c>
      <c r="J9" s="96" t="inlineStr">
        <is>
          <t>KRPTK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HASLS22260901579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NTX</t>
        </is>
      </c>
      <c r="U9" s="97" t="n"/>
      <c r="V9" s="96" t="inlineStr">
        <is>
          <t>K0120023</t>
        </is>
      </c>
      <c r="W9" s="96" t="inlineStr">
        <is>
          <t>THAI SAMSUNG ELECTRONICS CO., LTD.</t>
        </is>
      </c>
      <c r="X9" s="96" t="inlineStr">
        <is>
          <t>VED</t>
        </is>
      </c>
      <c r="Y9" s="96" t="inlineStr">
        <is>
          <t>SAMSUNG ELECTRONICS CO.,LTD</t>
        </is>
      </c>
      <c r="Z9" s="96" t="inlineStr">
        <is>
          <t>SAMSUNG ELECTRONICS CO.,LTD</t>
        </is>
      </c>
      <c r="AA9" s="97" t="n">
        <v>3958.5</v>
      </c>
      <c r="AB9" s="96" t="inlineStr">
        <is>
          <t>LCH04</t>
        </is>
      </c>
      <c r="AC9" s="96" t="inlineStr">
        <is>
          <t>PTK02</t>
        </is>
      </c>
    </row>
    <row r="10" ht="12" customHeight="1">
      <c r="A10" s="96" t="inlineStr">
        <is>
          <t>SKHU9614169</t>
        </is>
      </c>
      <c r="B10" s="161" t="inlineStr">
        <is>
          <t>2026-10-16</t>
        </is>
      </c>
      <c r="C10" s="96" t="inlineStr">
        <is>
          <t>SWBT</t>
        </is>
      </c>
      <c r="D10" s="96" t="inlineStr">
        <is>
          <t>2616N</t>
        </is>
      </c>
      <c r="E10" s="96" t="inlineStr">
        <is>
          <t>45GP</t>
        </is>
      </c>
      <c r="F10" s="96" t="inlineStr">
        <is>
          <t>SD</t>
        </is>
      </c>
      <c r="G10" s="96" t="n"/>
      <c r="H10" s="96" t="inlineStr">
        <is>
          <t>THLCH</t>
        </is>
      </c>
      <c r="I10" s="96" t="inlineStr">
        <is>
          <t>KRPTK</t>
        </is>
      </c>
      <c r="J10" s="96" t="inlineStr">
        <is>
          <t>KRPTK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HASLS22260901579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NTX</t>
        </is>
      </c>
      <c r="U10" s="97" t="n"/>
      <c r="V10" s="96" t="inlineStr">
        <is>
          <t>K0120023</t>
        </is>
      </c>
      <c r="W10" s="96" t="inlineStr">
        <is>
          <t>THAI SAMSUNG ELECTRONICS CO., LTD.</t>
        </is>
      </c>
      <c r="X10" s="96" t="inlineStr">
        <is>
          <t>ONL</t>
        </is>
      </c>
      <c r="Y10" s="96" t="inlineStr">
        <is>
          <t>SAMSUNG ELECTRONICS CO.,LTD</t>
        </is>
      </c>
      <c r="Z10" s="96" t="inlineStr">
        <is>
          <t>SAMSUNG ELECTRONICS CO.,LTD</t>
        </is>
      </c>
      <c r="AA10" s="97" t="n">
        <v>3958.5</v>
      </c>
      <c r="AB10" s="96" t="inlineStr">
        <is>
          <t>LCH04</t>
        </is>
      </c>
      <c r="AC10" s="96" t="inlineStr">
        <is>
          <t>PTK02</t>
        </is>
      </c>
    </row>
    <row r="11" ht="12" customHeight="1">
      <c r="A11" s="96" t="inlineStr">
        <is>
          <t>SKHU9904300</t>
        </is>
      </c>
      <c r="B11" s="161" t="inlineStr">
        <is>
          <t>2026-10-16</t>
        </is>
      </c>
      <c r="C11" s="96" t="inlineStr">
        <is>
          <t>SWBT</t>
        </is>
      </c>
      <c r="D11" s="96" t="inlineStr">
        <is>
          <t>2616N</t>
        </is>
      </c>
      <c r="E11" s="96" t="inlineStr">
        <is>
          <t>45GP</t>
        </is>
      </c>
      <c r="F11" s="96" t="inlineStr">
        <is>
          <t>SD</t>
        </is>
      </c>
      <c r="G11" s="96" t="n"/>
      <c r="H11" s="96" t="inlineStr">
        <is>
          <t>THLCH</t>
        </is>
      </c>
      <c r="I11" s="96" t="inlineStr">
        <is>
          <t>KRPTK</t>
        </is>
      </c>
      <c r="J11" s="96" t="inlineStr">
        <is>
          <t>KRPTK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HASLS22260901579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NTX</t>
        </is>
      </c>
      <c r="U11" s="97" t="n"/>
      <c r="V11" s="96" t="inlineStr">
        <is>
          <t>K0120023</t>
        </is>
      </c>
      <c r="W11" s="96" t="inlineStr">
        <is>
          <t>THAI SAMSUNG ELECTRONICS CO., LTD.</t>
        </is>
      </c>
      <c r="X11" s="96" t="inlineStr">
        <is>
          <t>VED</t>
        </is>
      </c>
      <c r="Y11" s="96" t="inlineStr">
        <is>
          <t>SAMSUNG ELECTRONICS CO.,LTD</t>
        </is>
      </c>
      <c r="Z11" s="96" t="inlineStr">
        <is>
          <t>SAMSUNG ELECTRONICS CO.,LTD</t>
        </is>
      </c>
      <c r="AA11" s="97" t="n">
        <v>3958.5</v>
      </c>
      <c r="AB11" s="96" t="inlineStr">
        <is>
          <t>LCH04</t>
        </is>
      </c>
      <c r="AC11" s="96" t="inlineStr">
        <is>
          <t>PTK02</t>
        </is>
      </c>
    </row>
    <row r="12" ht="12" customHeight="1">
      <c r="A12" s="96" t="inlineStr">
        <is>
          <t>SKHU6314790</t>
        </is>
      </c>
      <c r="B12" s="161" t="inlineStr">
        <is>
          <t>2026-10-16</t>
        </is>
      </c>
      <c r="C12" s="96" t="inlineStr">
        <is>
          <t>SWBT</t>
        </is>
      </c>
      <c r="D12" s="96" t="inlineStr">
        <is>
          <t>2616N</t>
        </is>
      </c>
      <c r="E12" s="96" t="inlineStr">
        <is>
          <t>45GP</t>
        </is>
      </c>
      <c r="F12" s="96" t="inlineStr">
        <is>
          <t>SD</t>
        </is>
      </c>
      <c r="G12" s="96" t="n"/>
      <c r="H12" s="96" t="inlineStr">
        <is>
          <t>THLCH</t>
        </is>
      </c>
      <c r="I12" s="96" t="inlineStr">
        <is>
          <t>KRPTK</t>
        </is>
      </c>
      <c r="J12" s="96" t="inlineStr">
        <is>
          <t>KRPTK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HASLS22260901872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NTX</t>
        </is>
      </c>
      <c r="U12" s="97" t="n"/>
      <c r="V12" s="96" t="inlineStr">
        <is>
          <t>K0120023</t>
        </is>
      </c>
      <c r="W12" s="96" t="inlineStr">
        <is>
          <t>THAI SAMSUNG ELECTRONICS CO., LTD.</t>
        </is>
      </c>
      <c r="X12" s="96" t="inlineStr">
        <is>
          <t>VFD</t>
        </is>
      </c>
      <c r="Y12" s="96" t="inlineStr">
        <is>
          <t>SAMSUNG ELECTRONICS CO.,LTD</t>
        </is>
      </c>
      <c r="Z12" s="96" t="inlineStr">
        <is>
          <t>SAMSUNG ELECTRONICS CO.,LTD</t>
        </is>
      </c>
      <c r="AA12" s="97" t="n">
        <v>5566</v>
      </c>
      <c r="AB12" s="96" t="inlineStr">
        <is>
          <t>LCH04</t>
        </is>
      </c>
      <c r="AC12" s="96" t="inlineStr">
        <is>
          <t>PTK02</t>
        </is>
      </c>
    </row>
    <row r="13" ht="12" customHeight="1">
      <c r="A13" s="96" t="inlineStr">
        <is>
          <t>SKHU6418476</t>
        </is>
      </c>
      <c r="B13" s="161" t="inlineStr">
        <is>
          <t>2026-10-16</t>
        </is>
      </c>
      <c r="C13" s="96" t="inlineStr">
        <is>
          <t>SWBT</t>
        </is>
      </c>
      <c r="D13" s="96" t="inlineStr">
        <is>
          <t>2616N</t>
        </is>
      </c>
      <c r="E13" s="96" t="inlineStr">
        <is>
          <t>45GP</t>
        </is>
      </c>
      <c r="F13" s="96" t="inlineStr">
        <is>
          <t>SD</t>
        </is>
      </c>
      <c r="G13" s="96" t="n"/>
      <c r="H13" s="96" t="inlineStr">
        <is>
          <t>THLCH</t>
        </is>
      </c>
      <c r="I13" s="96" t="inlineStr">
        <is>
          <t>KRPTK</t>
        </is>
      </c>
      <c r="J13" s="96" t="inlineStr">
        <is>
          <t>KRPTK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HASLS22260901872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NTX</t>
        </is>
      </c>
      <c r="U13" s="97" t="n"/>
      <c r="V13" s="96" t="inlineStr">
        <is>
          <t>K0120023</t>
        </is>
      </c>
      <c r="W13" s="96" t="inlineStr">
        <is>
          <t>THAI SAMSUNG ELECTRONICS CO., LTD.</t>
        </is>
      </c>
      <c r="X13" s="96" t="inlineStr">
        <is>
          <t>VED</t>
        </is>
      </c>
      <c r="Y13" s="96" t="inlineStr">
        <is>
          <t>SAMSUNG ELECTRONICS CO.,LTD</t>
        </is>
      </c>
      <c r="Z13" s="96" t="inlineStr">
        <is>
          <t>SAMSUNG ELECTRONICS CO.,LTD</t>
        </is>
      </c>
      <c r="AA13" s="97" t="n">
        <v>3958.5</v>
      </c>
      <c r="AB13" s="96" t="inlineStr">
        <is>
          <t>LCH04</t>
        </is>
      </c>
      <c r="AC13" s="96" t="inlineStr">
        <is>
          <t>PTK02</t>
        </is>
      </c>
    </row>
    <row r="14" ht="12" customHeight="1">
      <c r="A14" s="96" t="inlineStr">
        <is>
          <t>SKHU9944520</t>
        </is>
      </c>
      <c r="B14" s="161" t="inlineStr">
        <is>
          <t>2026-10-16</t>
        </is>
      </c>
      <c r="C14" s="96" t="inlineStr">
        <is>
          <t>SWBT</t>
        </is>
      </c>
      <c r="D14" s="96" t="inlineStr">
        <is>
          <t>2616N</t>
        </is>
      </c>
      <c r="E14" s="96" t="inlineStr">
        <is>
          <t>45GP</t>
        </is>
      </c>
      <c r="F14" s="96" t="inlineStr">
        <is>
          <t>SD</t>
        </is>
      </c>
      <c r="G14" s="96" t="n"/>
      <c r="H14" s="96" t="inlineStr">
        <is>
          <t>THLCH</t>
        </is>
      </c>
      <c r="I14" s="96" t="inlineStr">
        <is>
          <t>KRPTK</t>
        </is>
      </c>
      <c r="J14" s="96" t="inlineStr">
        <is>
          <t>KRPTK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HASLS22260901579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NTX</t>
        </is>
      </c>
      <c r="U14" s="97" t="n"/>
      <c r="V14" s="96" t="inlineStr">
        <is>
          <t>K0120023</t>
        </is>
      </c>
      <c r="W14" s="96" t="inlineStr">
        <is>
          <t>THAI SAMSUNG ELECTRONICS CO., LTD.</t>
        </is>
      </c>
      <c r="X14" s="96" t="inlineStr">
        <is>
          <t>VED</t>
        </is>
      </c>
      <c r="Y14" s="96" t="inlineStr">
        <is>
          <t>SAMSUNG ELECTRONICS CO.,LTD</t>
        </is>
      </c>
      <c r="Z14" s="96" t="inlineStr">
        <is>
          <t>SAMSUNG ELECTRONICS CO.,LTD</t>
        </is>
      </c>
      <c r="AA14" s="97" t="n">
        <v>3958.5</v>
      </c>
      <c r="AB14" s="96" t="inlineStr">
        <is>
          <t>LCH04</t>
        </is>
      </c>
      <c r="AC14" s="96" t="inlineStr">
        <is>
          <t>PTK02</t>
        </is>
      </c>
    </row>
    <row r="15" ht="12" customHeight="1">
      <c r="A15" s="96" t="inlineStr">
        <is>
          <t>SKHU6435426</t>
        </is>
      </c>
      <c r="B15" s="161" t="inlineStr">
        <is>
          <t>2026-10-16</t>
        </is>
      </c>
      <c r="C15" s="96" t="inlineStr">
        <is>
          <t>SWBT</t>
        </is>
      </c>
      <c r="D15" s="96" t="inlineStr">
        <is>
          <t>2616N</t>
        </is>
      </c>
      <c r="E15" s="96" t="inlineStr">
        <is>
          <t>45GP</t>
        </is>
      </c>
      <c r="F15" s="96" t="inlineStr">
        <is>
          <t>SD</t>
        </is>
      </c>
      <c r="G15" s="96" t="n"/>
      <c r="H15" s="96" t="inlineStr">
        <is>
          <t>THLCH</t>
        </is>
      </c>
      <c r="I15" s="96" t="inlineStr">
        <is>
          <t>KRPTK</t>
        </is>
      </c>
      <c r="J15" s="96" t="inlineStr">
        <is>
          <t>KRPTK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HASLS22260901872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NTX</t>
        </is>
      </c>
      <c r="U15" s="97" t="n"/>
      <c r="V15" s="96" t="inlineStr">
        <is>
          <t>K0120023</t>
        </is>
      </c>
      <c r="W15" s="96" t="inlineStr">
        <is>
          <t>THAI SAMSUNG ELECTRONICS CO., LTD.</t>
        </is>
      </c>
      <c r="X15" s="96" t="inlineStr">
        <is>
          <t>ONL</t>
        </is>
      </c>
      <c r="Y15" s="96" t="inlineStr">
        <is>
          <t>SAMSUNG ELECTRONICS CO.,LTD</t>
        </is>
      </c>
      <c r="Z15" s="96" t="inlineStr">
        <is>
          <t>SAMSUNG ELECTRONICS CO.,LTD</t>
        </is>
      </c>
      <c r="AA15" s="97" t="n">
        <v>4197.5</v>
      </c>
      <c r="AB15" s="96" t="inlineStr">
        <is>
          <t>LCH04</t>
        </is>
      </c>
      <c r="AC15" s="96" t="inlineStr">
        <is>
          <t>PTK02</t>
        </is>
      </c>
    </row>
    <row r="16" ht="12" customHeight="1">
      <c r="A16" s="96" t="inlineStr">
        <is>
          <t>SKHU6622828</t>
        </is>
      </c>
      <c r="B16" s="161" t="inlineStr">
        <is>
          <t>2026-10-16</t>
        </is>
      </c>
      <c r="C16" s="96" t="inlineStr">
        <is>
          <t>SWBT</t>
        </is>
      </c>
      <c r="D16" s="96" t="inlineStr">
        <is>
          <t>2616N</t>
        </is>
      </c>
      <c r="E16" s="96" t="inlineStr">
        <is>
          <t>45GP</t>
        </is>
      </c>
      <c r="F16" s="96" t="inlineStr">
        <is>
          <t>SD</t>
        </is>
      </c>
      <c r="G16" s="96" t="n"/>
      <c r="H16" s="96" t="inlineStr">
        <is>
          <t>THLCH</t>
        </is>
      </c>
      <c r="I16" s="96" t="inlineStr">
        <is>
          <t>KRPTK</t>
        </is>
      </c>
      <c r="J16" s="96" t="inlineStr">
        <is>
          <t>KRPTK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HASLS22260901872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NTX</t>
        </is>
      </c>
      <c r="U16" s="97" t="n"/>
      <c r="V16" s="96" t="inlineStr">
        <is>
          <t>K0120023</t>
        </is>
      </c>
      <c r="W16" s="96" t="inlineStr">
        <is>
          <t>THAI SAMSUNG ELECTRONICS CO., LTD.</t>
        </is>
      </c>
      <c r="X16" s="96" t="inlineStr">
        <is>
          <t>VFD</t>
        </is>
      </c>
      <c r="Y16" s="96" t="inlineStr">
        <is>
          <t>SAMSUNG ELECTRONICS CO.,LTD</t>
        </is>
      </c>
      <c r="Z16" s="96" t="inlineStr">
        <is>
          <t>SAMSUNG ELECTRONICS CO.,LTD</t>
        </is>
      </c>
      <c r="AA16" s="97" t="n">
        <v>5566</v>
      </c>
      <c r="AB16" s="96" t="inlineStr">
        <is>
          <t>LCH04</t>
        </is>
      </c>
      <c r="AC16" s="96" t="inlineStr">
        <is>
          <t>PTK02</t>
        </is>
      </c>
    </row>
    <row r="17" ht="12" customHeight="1">
      <c r="A17" s="96" t="inlineStr">
        <is>
          <t>SKHU9959480</t>
        </is>
      </c>
      <c r="B17" s="161" t="inlineStr">
        <is>
          <t>2026-10-16</t>
        </is>
      </c>
      <c r="C17" s="96" t="inlineStr">
        <is>
          <t>SWBT</t>
        </is>
      </c>
      <c r="D17" s="96" t="inlineStr">
        <is>
          <t>2616N</t>
        </is>
      </c>
      <c r="E17" s="96" t="inlineStr">
        <is>
          <t>45GP</t>
        </is>
      </c>
      <c r="F17" s="96" t="inlineStr">
        <is>
          <t>SD</t>
        </is>
      </c>
      <c r="G17" s="96" t="n"/>
      <c r="H17" s="96" t="inlineStr">
        <is>
          <t>THLCH</t>
        </is>
      </c>
      <c r="I17" s="96" t="inlineStr">
        <is>
          <t>KRPTK</t>
        </is>
      </c>
      <c r="J17" s="96" t="inlineStr">
        <is>
          <t>KRPTK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HASLS22260901872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NTX</t>
        </is>
      </c>
      <c r="U17" s="97" t="n"/>
      <c r="V17" s="96" t="inlineStr">
        <is>
          <t>K0120023</t>
        </is>
      </c>
      <c r="W17" s="96" t="inlineStr">
        <is>
          <t>THAI SAMSUNG ELECTRONICS CO., LTD.</t>
        </is>
      </c>
      <c r="X17" s="96" t="inlineStr">
        <is>
          <t>VFD</t>
        </is>
      </c>
      <c r="Y17" s="96" t="inlineStr">
        <is>
          <t>SAMSUNG ELECTRONICS CO.,LTD</t>
        </is>
      </c>
      <c r="Z17" s="96" t="inlineStr">
        <is>
          <t>SAMSUNG ELECTRONICS CO.,LTD</t>
        </is>
      </c>
      <c r="AA17" s="97" t="n">
        <v>4197.5</v>
      </c>
      <c r="AB17" s="96" t="inlineStr">
        <is>
          <t>LCH04</t>
        </is>
      </c>
      <c r="AC17" s="96" t="inlineStr">
        <is>
          <t>PTK02</t>
        </is>
      </c>
    </row>
    <row r="18" ht="12" customHeight="1">
      <c r="A18" s="96" t="inlineStr">
        <is>
          <t>SKHU9967818</t>
        </is>
      </c>
      <c r="B18" s="161" t="inlineStr">
        <is>
          <t>2026-10-16</t>
        </is>
      </c>
      <c r="C18" s="96" t="inlineStr">
        <is>
          <t>SWBT</t>
        </is>
      </c>
      <c r="D18" s="96" t="inlineStr">
        <is>
          <t>2616N</t>
        </is>
      </c>
      <c r="E18" s="96" t="inlineStr">
        <is>
          <t>45GP</t>
        </is>
      </c>
      <c r="F18" s="96" t="inlineStr">
        <is>
          <t>SD</t>
        </is>
      </c>
      <c r="G18" s="96" t="n"/>
      <c r="H18" s="96" t="inlineStr">
        <is>
          <t>THLCH</t>
        </is>
      </c>
      <c r="I18" s="96" t="inlineStr">
        <is>
          <t>KRPTK</t>
        </is>
      </c>
      <c r="J18" s="96" t="inlineStr">
        <is>
          <t>KRPTK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HASLS22260901872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NTX</t>
        </is>
      </c>
      <c r="U18" s="97" t="n"/>
      <c r="V18" s="96" t="inlineStr">
        <is>
          <t>K0120023</t>
        </is>
      </c>
      <c r="W18" s="96" t="inlineStr">
        <is>
          <t>THAI SAMSUNG ELECTRONICS CO., LTD.</t>
        </is>
      </c>
      <c r="X18" s="96" t="inlineStr">
        <is>
          <t>VFD</t>
        </is>
      </c>
      <c r="Y18" s="96" t="inlineStr">
        <is>
          <t>SAMSUNG ELECTRONICS CO.,LTD</t>
        </is>
      </c>
      <c r="Z18" s="96" t="inlineStr">
        <is>
          <t>SAMSUNG ELECTRONICS CO.,LTD</t>
        </is>
      </c>
      <c r="AA18" s="97" t="n">
        <v>4197.5</v>
      </c>
      <c r="AB18" s="96" t="inlineStr">
        <is>
          <t>LCH04</t>
        </is>
      </c>
      <c r="AC18" s="96" t="inlineStr">
        <is>
          <t>PTK02</t>
        </is>
      </c>
    </row>
    <row r="19" ht="12" customHeight="1">
      <c r="A19" s="96" t="inlineStr">
        <is>
          <t>SKHU9520500</t>
        </is>
      </c>
      <c r="B19" s="161" t="inlineStr">
        <is>
          <t>2026-10-16</t>
        </is>
      </c>
      <c r="C19" s="96" t="inlineStr">
        <is>
          <t>SWBT</t>
        </is>
      </c>
      <c r="D19" s="96" t="inlineStr">
        <is>
          <t>2616N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KRINC</t>
        </is>
      </c>
      <c r="J19" s="96" t="inlineStr">
        <is>
          <t>KRINC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HASLS22260902169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NTX</t>
        </is>
      </c>
      <c r="U19" s="97" t="n"/>
      <c r="V19" s="96" t="inlineStr">
        <is>
          <t>K0120023</t>
        </is>
      </c>
      <c r="W19" s="96" t="inlineStr">
        <is>
          <t>H &amp; FRIENDS GTL (THAILAND) CO.,LTD.</t>
        </is>
      </c>
      <c r="X19" s="96" t="inlineStr">
        <is>
          <t>ONL</t>
        </is>
      </c>
      <c r="Y19" s="96" t="inlineStr">
        <is>
          <t>KWAY LOGIS CO.,LTD.</t>
        </is>
      </c>
      <c r="Z19" s="96" t="inlineStr">
        <is>
          <t>KWAY LOGIS CO.,LTD.</t>
        </is>
      </c>
      <c r="AA19" s="97" t="n">
        <v>11916.09</v>
      </c>
      <c r="AB19" s="96" t="inlineStr">
        <is>
          <t>LCH04</t>
        </is>
      </c>
      <c r="AC19" s="96" t="inlineStr">
        <is>
          <t>INC07</t>
        </is>
      </c>
    </row>
    <row r="20" ht="12" customHeight="1">
      <c r="A20" s="96" t="inlineStr">
        <is>
          <t>SKHU6528004</t>
        </is>
      </c>
      <c r="B20" s="161" t="inlineStr">
        <is>
          <t>2026-10-16</t>
        </is>
      </c>
      <c r="C20" s="96" t="inlineStr">
        <is>
          <t>SWBT</t>
        </is>
      </c>
      <c r="D20" s="96" t="inlineStr">
        <is>
          <t>2616N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HASLS22261000563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NTX</t>
        </is>
      </c>
      <c r="U20" s="97" t="n"/>
      <c r="V20" s="96" t="inlineStr">
        <is>
          <t>K0120023</t>
        </is>
      </c>
      <c r="W20" s="96" t="inlineStr">
        <is>
          <t>ROYAL SUVARNABHUMI LOGISTIC</t>
        </is>
      </c>
      <c r="X20" s="96" t="inlineStr">
        <is>
          <t>VFD</t>
        </is>
      </c>
      <c r="Y20" s="96" t="inlineStr">
        <is>
          <t>VIETRANS INT'L FREIGHT FORWARDER .,</t>
        </is>
      </c>
      <c r="Z20" s="96" t="inlineStr">
        <is>
          <t>VIETRANS INT'L FREIGHT FORWARDER</t>
        </is>
      </c>
      <c r="AA20" s="97" t="n">
        <v>10554.26</v>
      </c>
      <c r="AB20" s="96" t="inlineStr">
        <is>
          <t>LCH04</t>
        </is>
      </c>
      <c r="AC20" s="96" t="inlineStr">
        <is>
          <t>SGN03</t>
        </is>
      </c>
    </row>
    <row r="21" ht="12" customHeight="1">
      <c r="A21" s="96" t="inlineStr">
        <is>
          <t>SKRU9601449</t>
        </is>
      </c>
      <c r="B21" s="161" t="inlineStr">
        <is>
          <t>2026-10-16</t>
        </is>
      </c>
      <c r="C21" s="96" t="inlineStr">
        <is>
          <t>SWBT</t>
        </is>
      </c>
      <c r="D21" s="96" t="inlineStr">
        <is>
          <t>2616N</t>
        </is>
      </c>
      <c r="E21" s="96" t="inlineStr">
        <is>
          <t>45RE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KRPTK</t>
        </is>
      </c>
      <c r="J21" s="96" t="inlineStr">
        <is>
          <t>KRPTK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HASLS22260901235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NTX</t>
        </is>
      </c>
      <c r="U21" s="97" t="n"/>
      <c r="V21" s="96" t="inlineStr">
        <is>
          <t>K0120025</t>
        </is>
      </c>
      <c r="W21" s="96" t="inlineStr">
        <is>
          <t>SAHA FARMS INTERNATIONAL CO.,LTD.</t>
        </is>
      </c>
      <c r="X21" s="96" t="inlineStr">
        <is>
          <t>VFD</t>
        </is>
      </c>
      <c r="Y21" s="96" t="inlineStr">
        <is>
          <t>SASE CO.,LTD.</t>
        </is>
      </c>
      <c r="Z21" s="96" t="inlineStr">
        <is>
          <t>SASE CO.,LTD.</t>
        </is>
      </c>
      <c r="AA21" s="97" t="n">
        <v>19152</v>
      </c>
      <c r="AB21" s="96" t="inlineStr">
        <is>
          <t>LCH04</t>
        </is>
      </c>
      <c r="AC21" s="96" t="inlineStr">
        <is>
          <t>PTK02</t>
        </is>
      </c>
    </row>
    <row r="22" ht="12" customHeight="1">
      <c r="A22" s="96" t="inlineStr">
        <is>
          <t>SKLU2418835</t>
        </is>
      </c>
      <c r="B22" s="161" t="inlineStr">
        <is>
          <t>2026-10-16</t>
        </is>
      </c>
      <c r="C22" s="96" t="inlineStr">
        <is>
          <t>SWBT</t>
        </is>
      </c>
      <c r="D22" s="96" t="inlineStr">
        <is>
          <t>2616N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HASLS22260901330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NTX</t>
        </is>
      </c>
      <c r="U22" s="97" t="n"/>
      <c r="V22" s="96" t="inlineStr">
        <is>
          <t>K0120021</t>
        </is>
      </c>
      <c r="W22" s="96" t="inlineStr">
        <is>
          <t>PTT GLOBAL CHEMICAL PUBLIC COMPANY</t>
        </is>
      </c>
      <c r="X22" s="96" t="inlineStr">
        <is>
          <t>VFD</t>
        </is>
      </c>
      <c r="Y22" s="96" t="inlineStr">
        <is>
          <t>GC MARKETING SOLUTIONS VIETNAM</t>
        </is>
      </c>
      <c r="Z22" s="96" t="inlineStr">
        <is>
          <t>GC MARKETING SOLUTIONS VIETNAM</t>
        </is>
      </c>
      <c r="AA22" s="97" t="n">
        <v>18072</v>
      </c>
      <c r="AB22" s="96" t="inlineStr">
        <is>
          <t>LCH04</t>
        </is>
      </c>
      <c r="AC22" s="96" t="inlineStr">
        <is>
          <t>SGN03</t>
        </is>
      </c>
    </row>
    <row r="23" ht="12" customHeight="1">
      <c r="A23" s="96" t="inlineStr">
        <is>
          <t>SKLU0581165</t>
        </is>
      </c>
      <c r="B23" s="161" t="inlineStr">
        <is>
          <t>2026-10-16</t>
        </is>
      </c>
      <c r="C23" s="96" t="inlineStr">
        <is>
          <t>SWBT</t>
        </is>
      </c>
      <c r="D23" s="96" t="inlineStr">
        <is>
          <t>2616N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HASLS22260901330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NTX</t>
        </is>
      </c>
      <c r="U23" s="97" t="n"/>
      <c r="V23" s="96" t="inlineStr">
        <is>
          <t>K0120021</t>
        </is>
      </c>
      <c r="W23" s="96" t="inlineStr">
        <is>
          <t>PTT GLOBAL CHEMICAL PUBLIC COMPANY</t>
        </is>
      </c>
      <c r="X23" s="96" t="inlineStr">
        <is>
          <t>VFD</t>
        </is>
      </c>
      <c r="Y23" s="96" t="inlineStr">
        <is>
          <t>GC MARKETING SOLUTIONS VIETNAM</t>
        </is>
      </c>
      <c r="Z23" s="96" t="inlineStr">
        <is>
          <t>GC MARKETING SOLUTIONS VIETNAM</t>
        </is>
      </c>
      <c r="AA23" s="97" t="n">
        <v>18072</v>
      </c>
      <c r="AB23" s="96" t="inlineStr">
        <is>
          <t>LCH04</t>
        </is>
      </c>
      <c r="AC23" s="96" t="inlineStr">
        <is>
          <t>SGN03</t>
        </is>
      </c>
    </row>
    <row r="24" ht="12" customHeight="1">
      <c r="A24" s="96" t="inlineStr">
        <is>
          <t>SKLU2025036</t>
        </is>
      </c>
      <c r="B24" s="161" t="inlineStr">
        <is>
          <t>2026-10-16</t>
        </is>
      </c>
      <c r="C24" s="96" t="inlineStr">
        <is>
          <t>SWBT</t>
        </is>
      </c>
      <c r="D24" s="96" t="inlineStr">
        <is>
          <t>2616N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KRPUS</t>
        </is>
      </c>
      <c r="J24" s="96" t="inlineStr">
        <is>
          <t>JPUKB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HASLS22260901495</t>
        </is>
      </c>
      <c r="R24" s="96" t="inlineStr">
        <is>
          <t>Y</t>
        </is>
      </c>
      <c r="S24" s="96" t="inlineStr">
        <is>
          <t>N</t>
        </is>
      </c>
      <c r="T24" s="96" t="inlineStr">
        <is>
          <t>NTX</t>
        </is>
      </c>
      <c r="U24" s="97" t="n"/>
      <c r="V24" s="96" t="inlineStr">
        <is>
          <t>K0120021</t>
        </is>
      </c>
      <c r="W24" s="96" t="inlineStr">
        <is>
          <t>PTT GLOBAL CHEMICAL PUBLIC COMPANY</t>
        </is>
      </c>
      <c r="X24" s="96" t="inlineStr">
        <is>
          <t>VED</t>
        </is>
      </c>
      <c r="Y24" s="96" t="inlineStr">
        <is>
          <t>MITSUBISHI CORPORATION PLASTICS LTD</t>
        </is>
      </c>
      <c r="Z24" s="96" t="inlineStr">
        <is>
          <t>MITSUBISHI CORPORATION PLASTICS LTD</t>
        </is>
      </c>
      <c r="AA24" s="97" t="n">
        <v>19276.8</v>
      </c>
      <c r="AB24" s="96" t="inlineStr">
        <is>
          <t>LCH04</t>
        </is>
      </c>
      <c r="AC24" s="96" t="inlineStr">
        <is>
          <t>UKB06</t>
        </is>
      </c>
    </row>
    <row r="25" ht="12" customHeight="1">
      <c r="A25" s="96" t="inlineStr">
        <is>
          <t>SKLU2056090</t>
        </is>
      </c>
      <c r="B25" s="161" t="inlineStr">
        <is>
          <t>2026-10-16</t>
        </is>
      </c>
      <c r="C25" s="96" t="inlineStr">
        <is>
          <t>SWBT</t>
        </is>
      </c>
      <c r="D25" s="96" t="inlineStr">
        <is>
          <t>2616N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KRPUS</t>
        </is>
      </c>
      <c r="J25" s="96" t="inlineStr">
        <is>
          <t>JPUKB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HASLS22260901495</t>
        </is>
      </c>
      <c r="R25" s="96" t="inlineStr">
        <is>
          <t>Y</t>
        </is>
      </c>
      <c r="S25" s="96" t="inlineStr">
        <is>
          <t>N</t>
        </is>
      </c>
      <c r="T25" s="96" t="inlineStr">
        <is>
          <t>NTX</t>
        </is>
      </c>
      <c r="U25" s="97" t="n"/>
      <c r="V25" s="96" t="inlineStr">
        <is>
          <t>K0120021</t>
        </is>
      </c>
      <c r="W25" s="96" t="inlineStr">
        <is>
          <t>PTT GLOBAL CHEMICAL PUBLIC COMPANY</t>
        </is>
      </c>
      <c r="X25" s="96" t="inlineStr">
        <is>
          <t>VED</t>
        </is>
      </c>
      <c r="Y25" s="96" t="inlineStr">
        <is>
          <t>MITSUBISHI CORPORATION PLASTICS LTD</t>
        </is>
      </c>
      <c r="Z25" s="96" t="inlineStr">
        <is>
          <t>MITSUBISHI CORPORATION PLASTICS LTD</t>
        </is>
      </c>
      <c r="AA25" s="97" t="n">
        <v>19276.8</v>
      </c>
      <c r="AB25" s="96" t="inlineStr">
        <is>
          <t>LCH04</t>
        </is>
      </c>
      <c r="AC25" s="96" t="inlineStr">
        <is>
          <t>UKB06</t>
        </is>
      </c>
    </row>
    <row r="26" ht="12" customHeight="1">
      <c r="A26" s="96" t="inlineStr">
        <is>
          <t>SKLU2127547</t>
        </is>
      </c>
      <c r="B26" s="161" t="inlineStr">
        <is>
          <t>2026-10-16</t>
        </is>
      </c>
      <c r="C26" s="96" t="inlineStr">
        <is>
          <t>SWBT</t>
        </is>
      </c>
      <c r="D26" s="96" t="inlineStr">
        <is>
          <t>2616N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JPUKB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HASLS22260901495</t>
        </is>
      </c>
      <c r="R26" s="96" t="inlineStr">
        <is>
          <t>Y</t>
        </is>
      </c>
      <c r="S26" s="96" t="inlineStr">
        <is>
          <t>N</t>
        </is>
      </c>
      <c r="T26" s="96" t="inlineStr">
        <is>
          <t>NTX</t>
        </is>
      </c>
      <c r="U26" s="97" t="n"/>
      <c r="V26" s="96" t="inlineStr">
        <is>
          <t>K0120021</t>
        </is>
      </c>
      <c r="W26" s="96" t="inlineStr">
        <is>
          <t>PTT GLOBAL CHEMICAL PUBLIC COMPANY</t>
        </is>
      </c>
      <c r="X26" s="96" t="inlineStr">
        <is>
          <t>VED</t>
        </is>
      </c>
      <c r="Y26" s="96" t="inlineStr">
        <is>
          <t>MITSUBISHI CORPORATION PLASTICS LTD</t>
        </is>
      </c>
      <c r="Z26" s="96" t="inlineStr">
        <is>
          <t>MITSUBISHI CORPORATION PLASTICS LTD</t>
        </is>
      </c>
      <c r="AA26" s="97" t="n">
        <v>19276.8</v>
      </c>
      <c r="AB26" s="96" t="inlineStr">
        <is>
          <t>LCH04</t>
        </is>
      </c>
      <c r="AC26" s="96" t="inlineStr">
        <is>
          <t>UKB06</t>
        </is>
      </c>
    </row>
    <row r="27" ht="12" customHeight="1">
      <c r="A27" s="96" t="inlineStr">
        <is>
          <t>SKLU2336784</t>
        </is>
      </c>
      <c r="B27" s="161" t="inlineStr">
        <is>
          <t>2026-10-16</t>
        </is>
      </c>
      <c r="C27" s="96" t="inlineStr">
        <is>
          <t>SWBT</t>
        </is>
      </c>
      <c r="D27" s="96" t="inlineStr">
        <is>
          <t>2616N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KRPUS</t>
        </is>
      </c>
      <c r="J27" s="96" t="inlineStr">
        <is>
          <t>JPUKB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HASLS22260901495</t>
        </is>
      </c>
      <c r="R27" s="96" t="inlineStr">
        <is>
          <t>Y</t>
        </is>
      </c>
      <c r="S27" s="96" t="inlineStr">
        <is>
          <t>N</t>
        </is>
      </c>
      <c r="T27" s="96" t="inlineStr">
        <is>
          <t>NTX</t>
        </is>
      </c>
      <c r="U27" s="97" t="n"/>
      <c r="V27" s="96" t="inlineStr">
        <is>
          <t>K0120021</t>
        </is>
      </c>
      <c r="W27" s="96" t="inlineStr">
        <is>
          <t>PTT GLOBAL CHEMICAL PUBLIC COMPANY</t>
        </is>
      </c>
      <c r="X27" s="96" t="inlineStr">
        <is>
          <t>VED</t>
        </is>
      </c>
      <c r="Y27" s="96" t="inlineStr">
        <is>
          <t>MITSUBISHI CORPORATION PLASTICS LTD</t>
        </is>
      </c>
      <c r="Z27" s="96" t="inlineStr">
        <is>
          <t>MITSUBISHI CORPORATION PLASTICS LTD</t>
        </is>
      </c>
      <c r="AA27" s="97" t="n">
        <v>19276.8</v>
      </c>
      <c r="AB27" s="96" t="inlineStr">
        <is>
          <t>LCH04</t>
        </is>
      </c>
      <c r="AC27" s="96" t="inlineStr">
        <is>
          <t>UKB06</t>
        </is>
      </c>
    </row>
    <row r="28" ht="12" customHeight="1">
      <c r="A28" s="96" t="inlineStr">
        <is>
          <t>SKLU2361149</t>
        </is>
      </c>
      <c r="B28" s="161" t="inlineStr">
        <is>
          <t>2026-10-16</t>
        </is>
      </c>
      <c r="C28" s="96" t="inlineStr">
        <is>
          <t>SWBT</t>
        </is>
      </c>
      <c r="D28" s="96" t="inlineStr">
        <is>
          <t>2616N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KRPUS</t>
        </is>
      </c>
      <c r="J28" s="96" t="inlineStr">
        <is>
          <t>JPUKB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HASLS22260901495</t>
        </is>
      </c>
      <c r="R28" s="96" t="inlineStr">
        <is>
          <t>Y</t>
        </is>
      </c>
      <c r="S28" s="96" t="inlineStr">
        <is>
          <t>N</t>
        </is>
      </c>
      <c r="T28" s="96" t="inlineStr">
        <is>
          <t>NTX</t>
        </is>
      </c>
      <c r="U28" s="97" t="n"/>
      <c r="V28" s="96" t="inlineStr">
        <is>
          <t>K0120021</t>
        </is>
      </c>
      <c r="W28" s="96" t="inlineStr">
        <is>
          <t>PTT GLOBAL CHEMICAL PUBLIC COMPANY</t>
        </is>
      </c>
      <c r="X28" s="96" t="inlineStr">
        <is>
          <t>VED</t>
        </is>
      </c>
      <c r="Y28" s="96" t="inlineStr">
        <is>
          <t>MITSUBISHI CORPORATION PLASTICS LTD</t>
        </is>
      </c>
      <c r="Z28" s="96" t="inlineStr">
        <is>
          <t>MITSUBISHI CORPORATION PLASTICS LTD</t>
        </is>
      </c>
      <c r="AA28" s="97" t="n">
        <v>19276.8</v>
      </c>
      <c r="AB28" s="96" t="inlineStr">
        <is>
          <t>LCH04</t>
        </is>
      </c>
      <c r="AC28" s="96" t="inlineStr">
        <is>
          <t>UKB06</t>
        </is>
      </c>
    </row>
    <row r="29" ht="12" customHeight="1">
      <c r="A29" s="96" t="inlineStr">
        <is>
          <t>SKLU2470617</t>
        </is>
      </c>
      <c r="B29" s="161" t="inlineStr">
        <is>
          <t>2026-10-16</t>
        </is>
      </c>
      <c r="C29" s="96" t="inlineStr">
        <is>
          <t>SWBT</t>
        </is>
      </c>
      <c r="D29" s="96" t="inlineStr">
        <is>
          <t>2616N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KRPUS</t>
        </is>
      </c>
      <c r="J29" s="96" t="inlineStr">
        <is>
          <t>JPUKB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HASLS22260901495</t>
        </is>
      </c>
      <c r="R29" s="96" t="inlineStr">
        <is>
          <t>Y</t>
        </is>
      </c>
      <c r="S29" s="96" t="inlineStr">
        <is>
          <t>N</t>
        </is>
      </c>
      <c r="T29" s="96" t="inlineStr">
        <is>
          <t>NTX</t>
        </is>
      </c>
      <c r="U29" s="97" t="n"/>
      <c r="V29" s="96" t="inlineStr">
        <is>
          <t>K0120021</t>
        </is>
      </c>
      <c r="W29" s="96" t="inlineStr">
        <is>
          <t>PTT GLOBAL CHEMICAL PUBLIC COMPANY</t>
        </is>
      </c>
      <c r="X29" s="96" t="inlineStr">
        <is>
          <t>VED</t>
        </is>
      </c>
      <c r="Y29" s="96" t="inlineStr">
        <is>
          <t>MITSUBISHI CORPORATION PLASTICS LTD</t>
        </is>
      </c>
      <c r="Z29" s="96" t="inlineStr">
        <is>
          <t>MITSUBISHI CORPORATION PLASTICS LTD</t>
        </is>
      </c>
      <c r="AA29" s="97" t="n">
        <v>19276.8</v>
      </c>
      <c r="AB29" s="96" t="inlineStr">
        <is>
          <t>LCH04</t>
        </is>
      </c>
      <c r="AC29" s="96" t="inlineStr">
        <is>
          <t>UKB06</t>
        </is>
      </c>
    </row>
    <row r="30" ht="12" customHeight="1">
      <c r="A30" s="96" t="inlineStr">
        <is>
          <t>SKLU2491158</t>
        </is>
      </c>
      <c r="B30" s="161" t="inlineStr">
        <is>
          <t>2026-10-16</t>
        </is>
      </c>
      <c r="C30" s="96" t="inlineStr">
        <is>
          <t>SWBT</t>
        </is>
      </c>
      <c r="D30" s="96" t="inlineStr">
        <is>
          <t>2616N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KRPUS</t>
        </is>
      </c>
      <c r="J30" s="96" t="inlineStr">
        <is>
          <t>JPUKB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HASLS22260901495</t>
        </is>
      </c>
      <c r="R30" s="96" t="inlineStr">
        <is>
          <t>Y</t>
        </is>
      </c>
      <c r="S30" s="96" t="inlineStr">
        <is>
          <t>N</t>
        </is>
      </c>
      <c r="T30" s="96" t="inlineStr">
        <is>
          <t>NTX</t>
        </is>
      </c>
      <c r="U30" s="97" t="n"/>
      <c r="V30" s="96" t="inlineStr">
        <is>
          <t>K0120021</t>
        </is>
      </c>
      <c r="W30" s="96" t="inlineStr">
        <is>
          <t>PTT GLOBAL CHEMICAL PUBLIC COMPANY</t>
        </is>
      </c>
      <c r="X30" s="96" t="inlineStr">
        <is>
          <t>VED</t>
        </is>
      </c>
      <c r="Y30" s="96" t="inlineStr">
        <is>
          <t>MITSUBISHI CORPORATION PLASTICS LTD</t>
        </is>
      </c>
      <c r="Z30" s="96" t="inlineStr">
        <is>
          <t>MITSUBISHI CORPORATION PLASTICS LTD</t>
        </is>
      </c>
      <c r="AA30" s="97" t="n">
        <v>19276.8</v>
      </c>
      <c r="AB30" s="96" t="inlineStr">
        <is>
          <t>LCH04</t>
        </is>
      </c>
      <c r="AC30" s="96" t="inlineStr">
        <is>
          <t>UKB06</t>
        </is>
      </c>
    </row>
    <row r="31" ht="12" customHeight="1">
      <c r="A31" s="96" t="inlineStr">
        <is>
          <t>SKLU1557327</t>
        </is>
      </c>
      <c r="B31" s="161" t="inlineStr">
        <is>
          <t>2026-10-16</t>
        </is>
      </c>
      <c r="C31" s="96" t="inlineStr">
        <is>
          <t>SWBT</t>
        </is>
      </c>
      <c r="D31" s="96" t="inlineStr">
        <is>
          <t>2616N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KRPUS</t>
        </is>
      </c>
      <c r="J31" s="96" t="inlineStr">
        <is>
          <t>JPUKB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HASLS22260901495</t>
        </is>
      </c>
      <c r="R31" s="96" t="inlineStr">
        <is>
          <t>Y</t>
        </is>
      </c>
      <c r="S31" s="96" t="inlineStr">
        <is>
          <t>N</t>
        </is>
      </c>
      <c r="T31" s="96" t="inlineStr">
        <is>
          <t>NTX</t>
        </is>
      </c>
      <c r="U31" s="97" t="n"/>
      <c r="V31" s="96" t="inlineStr">
        <is>
          <t>K0120021</t>
        </is>
      </c>
      <c r="W31" s="96" t="inlineStr">
        <is>
          <t>PTT GLOBAL CHEMICAL PUBLIC COMPANY</t>
        </is>
      </c>
      <c r="X31" s="96" t="inlineStr">
        <is>
          <t>VED</t>
        </is>
      </c>
      <c r="Y31" s="96" t="inlineStr">
        <is>
          <t>MITSUBISHI CORPORATION PLASTICS LTD</t>
        </is>
      </c>
      <c r="Z31" s="96" t="inlineStr">
        <is>
          <t>MITSUBISHI CORPORATION PLASTICS LTD</t>
        </is>
      </c>
      <c r="AA31" s="97" t="n">
        <v>19276.8</v>
      </c>
      <c r="AB31" s="96" t="inlineStr">
        <is>
          <t>LCH04</t>
        </is>
      </c>
      <c r="AC31" s="96" t="inlineStr">
        <is>
          <t>UKB06</t>
        </is>
      </c>
    </row>
    <row r="32" ht="12" customHeight="1">
      <c r="A32" s="96" t="inlineStr">
        <is>
          <t>SKLU1807318</t>
        </is>
      </c>
      <c r="B32" s="161" t="inlineStr">
        <is>
          <t>2026-10-16</t>
        </is>
      </c>
      <c r="C32" s="96" t="inlineStr">
        <is>
          <t>SWBT</t>
        </is>
      </c>
      <c r="D32" s="96" t="inlineStr">
        <is>
          <t>2616N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KRPUS</t>
        </is>
      </c>
      <c r="J32" s="96" t="inlineStr">
        <is>
          <t>JPUKB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HASLS22260901495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NTX</t>
        </is>
      </c>
      <c r="U32" s="97" t="n"/>
      <c r="V32" s="96" t="inlineStr">
        <is>
          <t>K0120021</t>
        </is>
      </c>
      <c r="W32" s="96" t="inlineStr">
        <is>
          <t>PTT GLOBAL CHEMICAL PUBLIC COMPANY</t>
        </is>
      </c>
      <c r="X32" s="96" t="inlineStr">
        <is>
          <t>VFD</t>
        </is>
      </c>
      <c r="Y32" s="96" t="inlineStr">
        <is>
          <t>MITSUBISHI CORPORATION PLASTICS LTD</t>
        </is>
      </c>
      <c r="Z32" s="96" t="inlineStr">
        <is>
          <t>MITSUBISHI CORPORATION PLASTICS LTD</t>
        </is>
      </c>
      <c r="AA32" s="97" t="n">
        <v>19276.8</v>
      </c>
      <c r="AB32" s="96" t="inlineStr">
        <is>
          <t>LCH04</t>
        </is>
      </c>
      <c r="AC32" s="96" t="inlineStr">
        <is>
          <t>UKB06</t>
        </is>
      </c>
    </row>
    <row r="33" ht="12" customHeight="1">
      <c r="A33" s="96" t="inlineStr">
        <is>
          <t>SKLU1549050</t>
        </is>
      </c>
      <c r="B33" s="161" t="inlineStr">
        <is>
          <t>2026-10-16</t>
        </is>
      </c>
      <c r="C33" s="96" t="inlineStr">
        <is>
          <t>SWBT</t>
        </is>
      </c>
      <c r="D33" s="96" t="inlineStr">
        <is>
          <t>2616N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KRPUS</t>
        </is>
      </c>
      <c r="J33" s="96" t="inlineStr">
        <is>
          <t>JPUKB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LCH04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HASLS22260901495</t>
        </is>
      </c>
      <c r="R33" s="96" t="inlineStr">
        <is>
          <t>Y</t>
        </is>
      </c>
      <c r="S33" s="96" t="inlineStr">
        <is>
          <t>N</t>
        </is>
      </c>
      <c r="T33" s="96" t="inlineStr">
        <is>
          <t>NTX</t>
        </is>
      </c>
      <c r="U33" s="97" t="n"/>
      <c r="V33" s="96" t="inlineStr">
        <is>
          <t>K0120021</t>
        </is>
      </c>
      <c r="W33" s="96" t="inlineStr">
        <is>
          <t>PTT GLOBAL CHEMICAL PUBLIC COMPANY</t>
        </is>
      </c>
      <c r="X33" s="96" t="inlineStr">
        <is>
          <t>VED</t>
        </is>
      </c>
      <c r="Y33" s="96" t="inlineStr">
        <is>
          <t>MITSUBISHI CORPORATION PLASTICS LTD</t>
        </is>
      </c>
      <c r="Z33" s="96" t="inlineStr">
        <is>
          <t>MITSUBISHI CORPORATION PLASTICS LTD</t>
        </is>
      </c>
      <c r="AA33" s="97" t="n">
        <v>19276.8</v>
      </c>
      <c r="AB33" s="96" t="inlineStr">
        <is>
          <t>LCH04</t>
        </is>
      </c>
      <c r="AC33" s="96" t="inlineStr">
        <is>
          <t>UKB06</t>
        </is>
      </c>
    </row>
    <row r="34" ht="12" customHeight="1">
      <c r="A34" s="96" t="inlineStr">
        <is>
          <t>SKLU1605596</t>
        </is>
      </c>
      <c r="B34" s="161" t="inlineStr">
        <is>
          <t>2026-10-16</t>
        </is>
      </c>
      <c r="C34" s="96" t="inlineStr">
        <is>
          <t>SWBT</t>
        </is>
      </c>
      <c r="D34" s="96" t="inlineStr">
        <is>
          <t>2616N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KRPUS</t>
        </is>
      </c>
      <c r="J34" s="96" t="inlineStr">
        <is>
          <t>JPTOS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LCH04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HASLS22260902208</t>
        </is>
      </c>
      <c r="R34" s="96" t="inlineStr">
        <is>
          <t>Y</t>
        </is>
      </c>
      <c r="S34" s="96" t="inlineStr">
        <is>
          <t>N</t>
        </is>
      </c>
      <c r="T34" s="96" t="inlineStr">
        <is>
          <t>NTX</t>
        </is>
      </c>
      <c r="U34" s="97" t="n"/>
      <c r="V34" s="96" t="inlineStr">
        <is>
          <t>K0120021</t>
        </is>
      </c>
      <c r="W34" s="96" t="inlineStr">
        <is>
          <t>SIAM POLYETHYLENE CO., LTD.</t>
        </is>
      </c>
      <c r="X34" s="96" t="inlineStr">
        <is>
          <t>VED</t>
        </is>
      </c>
      <c r="Y34" s="96" t="inlineStr">
        <is>
          <t>TOMOE ENGINEERING CO., LTD.</t>
        </is>
      </c>
      <c r="Z34" s="96" t="inlineStr">
        <is>
          <t>TOMOE ENGINEERING CO., LTD.</t>
        </is>
      </c>
      <c r="AA34" s="97" t="n">
        <v>12180</v>
      </c>
      <c r="AB34" s="96" t="inlineStr">
        <is>
          <t>LCH04</t>
        </is>
      </c>
      <c r="AC34" s="96" t="inlineStr">
        <is>
          <t>TOS01</t>
        </is>
      </c>
    </row>
    <row r="35" ht="12" customHeight="1">
      <c r="A35" s="96" t="inlineStr">
        <is>
          <t>SKLU1316130</t>
        </is>
      </c>
      <c r="B35" s="161" t="inlineStr">
        <is>
          <t>2026-10-16</t>
        </is>
      </c>
      <c r="C35" s="96" t="inlineStr">
        <is>
          <t>SWBT</t>
        </is>
      </c>
      <c r="D35" s="96" t="inlineStr">
        <is>
          <t>2616N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KRKAN</t>
        </is>
      </c>
      <c r="J35" s="96" t="inlineStr">
        <is>
          <t>KRKAN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LCH04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HASLS22260901430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NTX</t>
        </is>
      </c>
      <c r="U35" s="97" t="n"/>
      <c r="V35" s="96" t="inlineStr">
        <is>
          <t>K0120021</t>
        </is>
      </c>
      <c r="W35" s="96" t="inlineStr">
        <is>
          <t>PANAKOR LOGISTICS CO.,LTD</t>
        </is>
      </c>
      <c r="X35" s="96" t="inlineStr">
        <is>
          <t>VFD</t>
        </is>
      </c>
      <c r="Y35" s="96" t="inlineStr">
        <is>
          <t>CHUN JEE SHIPPING CO.,LTD.</t>
        </is>
      </c>
      <c r="Z35" s="96" t="inlineStr">
        <is>
          <t>CHUNJEE SHIPPING CO., LTD</t>
        </is>
      </c>
      <c r="AA35" s="97" t="n">
        <v>15808</v>
      </c>
      <c r="AB35" s="96" t="inlineStr">
        <is>
          <t>LCH04</t>
        </is>
      </c>
      <c r="AC35" s="96" t="inlineStr">
        <is>
          <t>KAN04</t>
        </is>
      </c>
    </row>
    <row r="36" ht="12" customHeight="1">
      <c r="A36" s="96" t="inlineStr">
        <is>
          <t>SKLU1431030</t>
        </is>
      </c>
      <c r="B36" s="161" t="inlineStr">
        <is>
          <t>2026-10-16</t>
        </is>
      </c>
      <c r="C36" s="96" t="inlineStr">
        <is>
          <t>SWBT</t>
        </is>
      </c>
      <c r="D36" s="96" t="inlineStr">
        <is>
          <t>2616N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KRKAN</t>
        </is>
      </c>
      <c r="J36" s="96" t="inlineStr">
        <is>
          <t>KRKAN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LCH04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HASLS22260901430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NTX</t>
        </is>
      </c>
      <c r="U36" s="97" t="n"/>
      <c r="V36" s="96" t="inlineStr">
        <is>
          <t>K0120021</t>
        </is>
      </c>
      <c r="W36" s="96" t="inlineStr">
        <is>
          <t>PANAKOR LOGISTICS CO.,LTD</t>
        </is>
      </c>
      <c r="X36" s="96" t="inlineStr">
        <is>
          <t>VFD</t>
        </is>
      </c>
      <c r="Y36" s="96" t="inlineStr">
        <is>
          <t>CHUN JEE SHIPPING CO.,LTD.</t>
        </is>
      </c>
      <c r="Z36" s="96" t="inlineStr">
        <is>
          <t>CHUNJEE SHIPPING CO., LTD</t>
        </is>
      </c>
      <c r="AA36" s="97" t="n">
        <v>15808</v>
      </c>
      <c r="AB36" s="96" t="inlineStr">
        <is>
          <t>LCH04</t>
        </is>
      </c>
      <c r="AC36" s="96" t="inlineStr">
        <is>
          <t>KAN04</t>
        </is>
      </c>
    </row>
    <row r="37" ht="12" customHeight="1">
      <c r="A37" s="96" t="inlineStr">
        <is>
          <t>SKLU1612445</t>
        </is>
      </c>
      <c r="B37" s="161" t="inlineStr">
        <is>
          <t>2026-10-16</t>
        </is>
      </c>
      <c r="C37" s="96" t="inlineStr">
        <is>
          <t>SWBT</t>
        </is>
      </c>
      <c r="D37" s="96" t="inlineStr">
        <is>
          <t>2616N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KRKAN</t>
        </is>
      </c>
      <c r="J37" s="96" t="inlineStr">
        <is>
          <t>KRKAN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LCH04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HASLS22260901430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NTX</t>
        </is>
      </c>
      <c r="U37" s="97" t="n"/>
      <c r="V37" s="96" t="inlineStr">
        <is>
          <t>K0120021</t>
        </is>
      </c>
      <c r="W37" s="96" t="inlineStr">
        <is>
          <t>PANAKOR LOGISTICS CO.,LTD</t>
        </is>
      </c>
      <c r="X37" s="96" t="inlineStr">
        <is>
          <t>VFD</t>
        </is>
      </c>
      <c r="Y37" s="96" t="inlineStr">
        <is>
          <t>CHUN JEE SHIPPING CO.,LTD.</t>
        </is>
      </c>
      <c r="Z37" s="96" t="inlineStr">
        <is>
          <t>CHUNJEE SHIPPING CO., LTD</t>
        </is>
      </c>
      <c r="AA37" s="97" t="n">
        <v>15808</v>
      </c>
      <c r="AB37" s="96" t="inlineStr">
        <is>
          <t>LCH04</t>
        </is>
      </c>
      <c r="AC37" s="96" t="inlineStr">
        <is>
          <t>KAN04</t>
        </is>
      </c>
    </row>
    <row r="38" ht="12" customHeight="1">
      <c r="A38" s="96" t="inlineStr">
        <is>
          <t>SKLU2022720</t>
        </is>
      </c>
      <c r="B38" s="161" t="inlineStr">
        <is>
          <t>2026-10-16</t>
        </is>
      </c>
      <c r="C38" s="96" t="inlineStr">
        <is>
          <t>SWBT</t>
        </is>
      </c>
      <c r="D38" s="96" t="inlineStr">
        <is>
          <t>2616N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JPUKB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LCH04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HASLS22260901495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NTX</t>
        </is>
      </c>
      <c r="U38" s="97" t="n"/>
      <c r="V38" s="96" t="inlineStr">
        <is>
          <t>K0120021</t>
        </is>
      </c>
      <c r="W38" s="96" t="inlineStr">
        <is>
          <t>PTT GLOBAL CHEMICAL PUBLIC COMPANY</t>
        </is>
      </c>
      <c r="X38" s="96" t="inlineStr">
        <is>
          <t>VED</t>
        </is>
      </c>
      <c r="Y38" s="96" t="inlineStr">
        <is>
          <t>MITSUBISHI CORPORATION PLASTICS LTD</t>
        </is>
      </c>
      <c r="Z38" s="96" t="inlineStr">
        <is>
          <t>MITSUBISHI CORPORATION PLASTICS LTD</t>
        </is>
      </c>
      <c r="AA38" s="97" t="n">
        <v>19276.8</v>
      </c>
      <c r="AB38" s="96" t="inlineStr">
        <is>
          <t>LCH04</t>
        </is>
      </c>
      <c r="AC38" s="96" t="inlineStr">
        <is>
          <t>UKB06</t>
        </is>
      </c>
    </row>
    <row r="39" ht="12" customHeight="1">
      <c r="A39" s="96" t="inlineStr">
        <is>
          <t>SKLU1437194</t>
        </is>
      </c>
      <c r="B39" s="161" t="inlineStr">
        <is>
          <t>2026-10-16</t>
        </is>
      </c>
      <c r="C39" s="96" t="inlineStr">
        <is>
          <t>SWBT</t>
        </is>
      </c>
      <c r="D39" s="96" t="inlineStr">
        <is>
          <t>2616N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KRPUS</t>
        </is>
      </c>
      <c r="J39" s="96" t="inlineStr">
        <is>
          <t>JPUKB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LCH04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HASLS22260901495</t>
        </is>
      </c>
      <c r="R39" s="96" t="inlineStr">
        <is>
          <t>Y</t>
        </is>
      </c>
      <c r="S39" s="96" t="inlineStr">
        <is>
          <t>N</t>
        </is>
      </c>
      <c r="T39" s="96" t="inlineStr">
        <is>
          <t>NTX</t>
        </is>
      </c>
      <c r="U39" s="97" t="n"/>
      <c r="V39" s="96" t="inlineStr">
        <is>
          <t>K0120021</t>
        </is>
      </c>
      <c r="W39" s="96" t="inlineStr">
        <is>
          <t>PTT GLOBAL CHEMICAL PUBLIC COMPANY</t>
        </is>
      </c>
      <c r="X39" s="96" t="inlineStr">
        <is>
          <t>VED</t>
        </is>
      </c>
      <c r="Y39" s="96" t="inlineStr">
        <is>
          <t>MITSUBISHI CORPORATION PLASTICS LTD</t>
        </is>
      </c>
      <c r="Z39" s="96" t="inlineStr">
        <is>
          <t>MITSUBISHI CORPORATION PLASTICS LTD</t>
        </is>
      </c>
      <c r="AA39" s="97" t="n">
        <v>19276.8</v>
      </c>
      <c r="AB39" s="96" t="inlineStr">
        <is>
          <t>LCH04</t>
        </is>
      </c>
      <c r="AC39" s="96" t="inlineStr">
        <is>
          <t>UKB06</t>
        </is>
      </c>
    </row>
    <row r="40" ht="12" customHeight="1">
      <c r="A40" s="96" t="inlineStr">
        <is>
          <t>SKLU1965524</t>
        </is>
      </c>
      <c r="B40" s="161" t="inlineStr">
        <is>
          <t>2026-10-16</t>
        </is>
      </c>
      <c r="C40" s="96" t="inlineStr">
        <is>
          <t>SWBT</t>
        </is>
      </c>
      <c r="D40" s="96" t="inlineStr">
        <is>
          <t>2616N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KRPUS</t>
        </is>
      </c>
      <c r="J40" s="96" t="inlineStr">
        <is>
          <t>JPUKB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LCH04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HASLS22260901495</t>
        </is>
      </c>
      <c r="R40" s="96" t="inlineStr">
        <is>
          <t>Y</t>
        </is>
      </c>
      <c r="S40" s="96" t="inlineStr">
        <is>
          <t>N</t>
        </is>
      </c>
      <c r="T40" s="96" t="inlineStr">
        <is>
          <t>NTX</t>
        </is>
      </c>
      <c r="U40" s="97" t="n"/>
      <c r="V40" s="96" t="inlineStr">
        <is>
          <t>K0120021</t>
        </is>
      </c>
      <c r="W40" s="96" t="inlineStr">
        <is>
          <t>PTT GLOBAL CHEMICAL PUBLIC COMPANY</t>
        </is>
      </c>
      <c r="X40" s="96" t="inlineStr">
        <is>
          <t>VED</t>
        </is>
      </c>
      <c r="Y40" s="96" t="inlineStr">
        <is>
          <t>MITSUBISHI CORPORATION PLASTICS LTD</t>
        </is>
      </c>
      <c r="Z40" s="96" t="inlineStr">
        <is>
          <t>MITSUBISHI CORPORATION PLASTICS LTD</t>
        </is>
      </c>
      <c r="AA40" s="97" t="n">
        <v>19276.8</v>
      </c>
      <c r="AB40" s="96" t="inlineStr">
        <is>
          <t>LCH04</t>
        </is>
      </c>
      <c r="AC40" s="96" t="inlineStr">
        <is>
          <t>UKB06</t>
        </is>
      </c>
    </row>
    <row r="41" ht="12" customHeight="1">
      <c r="A41" s="96" t="inlineStr">
        <is>
          <t>HALU2503983</t>
        </is>
      </c>
      <c r="B41" s="161" t="inlineStr">
        <is>
          <t>2026-10-16</t>
        </is>
      </c>
      <c r="C41" s="96" t="inlineStr">
        <is>
          <t>SWBT</t>
        </is>
      </c>
      <c r="D41" s="96" t="inlineStr">
        <is>
          <t>2616N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LCH04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HASLS22260901330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NTX</t>
        </is>
      </c>
      <c r="U41" s="97" t="n"/>
      <c r="V41" s="96" t="inlineStr">
        <is>
          <t>C0125002</t>
        </is>
      </c>
      <c r="W41" s="96" t="inlineStr">
        <is>
          <t>PTT GLOBAL CHEMICAL PUBLIC COMPANY</t>
        </is>
      </c>
      <c r="X41" s="96" t="inlineStr">
        <is>
          <t>VFD</t>
        </is>
      </c>
      <c r="Y41" s="96" t="inlineStr">
        <is>
          <t>GC MARKETING SOLUTIONS VIETNAM</t>
        </is>
      </c>
      <c r="Z41" s="96" t="inlineStr">
        <is>
          <t>GC MARKETING SOLUTIONS VIETNAM</t>
        </is>
      </c>
      <c r="AA41" s="97" t="n">
        <v>18072</v>
      </c>
      <c r="AB41" s="96" t="inlineStr">
        <is>
          <t>LCH04</t>
        </is>
      </c>
      <c r="AC41" s="96" t="inlineStr">
        <is>
          <t>SGN03</t>
        </is>
      </c>
    </row>
    <row r="42" ht="12" customHeight="1">
      <c r="A42" s="96" t="inlineStr">
        <is>
          <t>HALU2512922</t>
        </is>
      </c>
      <c r="B42" s="161" t="inlineStr">
        <is>
          <t>2026-10-16</t>
        </is>
      </c>
      <c r="C42" s="96" t="inlineStr">
        <is>
          <t>SWBT</t>
        </is>
      </c>
      <c r="D42" s="96" t="inlineStr">
        <is>
          <t>2616N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LCH04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HASLS22260901330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NTX</t>
        </is>
      </c>
      <c r="U42" s="97" t="n"/>
      <c r="V42" s="96" t="inlineStr">
        <is>
          <t>C0125002</t>
        </is>
      </c>
      <c r="W42" s="96" t="inlineStr">
        <is>
          <t>PTT GLOBAL CHEMICAL PUBLIC COMPANY</t>
        </is>
      </c>
      <c r="X42" s="96" t="inlineStr">
        <is>
          <t>VFD</t>
        </is>
      </c>
      <c r="Y42" s="96" t="inlineStr">
        <is>
          <t>GC MARKETING SOLUTIONS VIETNAM</t>
        </is>
      </c>
      <c r="Z42" s="96" t="inlineStr">
        <is>
          <t>GC MARKETING SOLUTIONS VIETNAM</t>
        </is>
      </c>
      <c r="AA42" s="97" t="n">
        <v>18072</v>
      </c>
      <c r="AB42" s="96" t="inlineStr">
        <is>
          <t>LCH04</t>
        </is>
      </c>
      <c r="AC42" s="96" t="inlineStr">
        <is>
          <t>SGN03</t>
        </is>
      </c>
    </row>
    <row r="43" ht="12" customHeight="1">
      <c r="A43" s="96" t="inlineStr">
        <is>
          <t>HALU2522807</t>
        </is>
      </c>
      <c r="B43" s="161" t="inlineStr">
        <is>
          <t>2026-10-16</t>
        </is>
      </c>
      <c r="C43" s="96" t="inlineStr">
        <is>
          <t>SWBT</t>
        </is>
      </c>
      <c r="D43" s="96" t="inlineStr">
        <is>
          <t>2616N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LCH04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HASLS22260901330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NTX</t>
        </is>
      </c>
      <c r="U43" s="97" t="n"/>
      <c r="V43" s="96" t="inlineStr">
        <is>
          <t>C0125002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GC MARKETING SOLUTIONS VIETNAM</t>
        </is>
      </c>
      <c r="Z43" s="96" t="inlineStr">
        <is>
          <t>GC MARKETING SOLUTIONS VIETNAM</t>
        </is>
      </c>
      <c r="AA43" s="97" t="n">
        <v>18072</v>
      </c>
      <c r="AB43" s="96" t="inlineStr">
        <is>
          <t>LCH04</t>
        </is>
      </c>
      <c r="AC43" s="96" t="inlineStr">
        <is>
          <t>SGN03</t>
        </is>
      </c>
    </row>
    <row r="44" ht="12" customHeight="1">
      <c r="A44" s="96" t="inlineStr">
        <is>
          <t>HALU2539672</t>
        </is>
      </c>
      <c r="B44" s="161" t="inlineStr">
        <is>
          <t>2026-10-16</t>
        </is>
      </c>
      <c r="C44" s="96" t="inlineStr">
        <is>
          <t>SWBT</t>
        </is>
      </c>
      <c r="D44" s="96" t="inlineStr">
        <is>
          <t>2616N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LCH04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HASLS22260901330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NTX</t>
        </is>
      </c>
      <c r="U44" s="97" t="n"/>
      <c r="V44" s="96" t="inlineStr">
        <is>
          <t>C0125002</t>
        </is>
      </c>
      <c r="W44" s="96" t="inlineStr">
        <is>
          <t>PTT GLOBAL CHEMICAL PUBLIC COMPANY</t>
        </is>
      </c>
      <c r="X44" s="96" t="inlineStr">
        <is>
          <t>VFD</t>
        </is>
      </c>
      <c r="Y44" s="96" t="inlineStr">
        <is>
          <t>GC MARKETING SOLUTIONS VIETNAM</t>
        </is>
      </c>
      <c r="Z44" s="96" t="inlineStr">
        <is>
          <t>GC MARKETING SOLUTIONS VIETNAM</t>
        </is>
      </c>
      <c r="AA44" s="97" t="n">
        <v>18072</v>
      </c>
      <c r="AB44" s="96" t="inlineStr">
        <is>
          <t>LCH04</t>
        </is>
      </c>
      <c r="AC44" s="96" t="inlineStr">
        <is>
          <t>SGN03</t>
        </is>
      </c>
    </row>
    <row r="45" ht="12" customHeight="1">
      <c r="A45" s="96" t="inlineStr">
        <is>
          <t>HALU2544508</t>
        </is>
      </c>
      <c r="B45" s="161" t="inlineStr">
        <is>
          <t>2026-10-16</t>
        </is>
      </c>
      <c r="C45" s="96" t="inlineStr">
        <is>
          <t>SWBT</t>
        </is>
      </c>
      <c r="D45" s="96" t="inlineStr">
        <is>
          <t>2616N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LCH04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HASLS22260901330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NTX</t>
        </is>
      </c>
      <c r="U45" s="97" t="n"/>
      <c r="V45" s="96" t="inlineStr">
        <is>
          <t>C0125002</t>
        </is>
      </c>
      <c r="W45" s="96" t="inlineStr">
        <is>
          <t>PTT GLOBAL CHEMICAL PUBLIC COMPANY</t>
        </is>
      </c>
      <c r="X45" s="96" t="inlineStr">
        <is>
          <t>VFD</t>
        </is>
      </c>
      <c r="Y45" s="96" t="inlineStr">
        <is>
          <t>GC MARKETING SOLUTIONS VIETNAM</t>
        </is>
      </c>
      <c r="Z45" s="96" t="inlineStr">
        <is>
          <t>GC MARKETING SOLUTIONS VIETNAM</t>
        </is>
      </c>
      <c r="AA45" s="97" t="n">
        <v>18072</v>
      </c>
      <c r="AB45" s="96" t="inlineStr">
        <is>
          <t>LCH04</t>
        </is>
      </c>
      <c r="AC45" s="96" t="inlineStr">
        <is>
          <t>SGN03</t>
        </is>
      </c>
    </row>
    <row r="46" ht="12" customHeight="1">
      <c r="A46" s="96" t="inlineStr">
        <is>
          <t>HALU2547111</t>
        </is>
      </c>
      <c r="B46" s="161" t="inlineStr">
        <is>
          <t>2026-10-16</t>
        </is>
      </c>
      <c r="C46" s="96" t="inlineStr">
        <is>
          <t>SWBT</t>
        </is>
      </c>
      <c r="D46" s="96" t="inlineStr">
        <is>
          <t>2616N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LCH04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HASLS22260901330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NTX</t>
        </is>
      </c>
      <c r="U46" s="97" t="n"/>
      <c r="V46" s="96" t="inlineStr">
        <is>
          <t>C0125002</t>
        </is>
      </c>
      <c r="W46" s="96" t="inlineStr">
        <is>
          <t>PTT GLOBAL CHEMICAL PUBLIC COMPANY</t>
        </is>
      </c>
      <c r="X46" s="96" t="inlineStr">
        <is>
          <t>VFD</t>
        </is>
      </c>
      <c r="Y46" s="96" t="inlineStr">
        <is>
          <t>GC MARKETING SOLUTIONS VIETNAM</t>
        </is>
      </c>
      <c r="Z46" s="96" t="inlineStr">
        <is>
          <t>GC MARKETING SOLUTIONS VIETNAM</t>
        </is>
      </c>
      <c r="AA46" s="97" t="n">
        <v>18072</v>
      </c>
      <c r="AB46" s="96" t="inlineStr">
        <is>
          <t>LCH04</t>
        </is>
      </c>
      <c r="AC46" s="96" t="inlineStr">
        <is>
          <t>SGN03</t>
        </is>
      </c>
    </row>
    <row r="47" ht="12" customHeight="1">
      <c r="A47" s="96" t="inlineStr">
        <is>
          <t>HALU2531645</t>
        </is>
      </c>
      <c r="B47" s="161" t="inlineStr">
        <is>
          <t>2026-10-16</t>
        </is>
      </c>
      <c r="C47" s="96" t="inlineStr">
        <is>
          <t>SWBT</t>
        </is>
      </c>
      <c r="D47" s="96" t="inlineStr">
        <is>
          <t>2616N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KRPUS</t>
        </is>
      </c>
      <c r="J47" s="96" t="inlineStr">
        <is>
          <t>JPUKB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LCH04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HASLS22260901495</t>
        </is>
      </c>
      <c r="R47" s="96" t="inlineStr">
        <is>
          <t>Y</t>
        </is>
      </c>
      <c r="S47" s="96" t="inlineStr">
        <is>
          <t>N</t>
        </is>
      </c>
      <c r="T47" s="96" t="inlineStr">
        <is>
          <t>NTX</t>
        </is>
      </c>
      <c r="U47" s="97" t="n"/>
      <c r="V47" s="96" t="inlineStr">
        <is>
          <t>C0125002</t>
        </is>
      </c>
      <c r="W47" s="96" t="inlineStr">
        <is>
          <t>PTT GLOBAL CHEMICAL PUBLIC COMPANY</t>
        </is>
      </c>
      <c r="X47" s="96" t="inlineStr">
        <is>
          <t>VED</t>
        </is>
      </c>
      <c r="Y47" s="96" t="inlineStr">
        <is>
          <t>MITSUBISHI CORPORATION PLASTICS LTD</t>
        </is>
      </c>
      <c r="Z47" s="96" t="inlineStr">
        <is>
          <t>MITSUBISHI CORPORATION PLASTICS LTD</t>
        </is>
      </c>
      <c r="AA47" s="97" t="n">
        <v>19276.8</v>
      </c>
      <c r="AB47" s="96" t="inlineStr">
        <is>
          <t>LCH04</t>
        </is>
      </c>
      <c r="AC47" s="96" t="inlineStr">
        <is>
          <t>UKB06</t>
        </is>
      </c>
    </row>
    <row r="48" ht="12" customHeight="1">
      <c r="A48" s="96" t="inlineStr">
        <is>
          <t>HALU2502400</t>
        </is>
      </c>
      <c r="B48" s="161" t="inlineStr">
        <is>
          <t>2026-10-16</t>
        </is>
      </c>
      <c r="C48" s="96" t="inlineStr">
        <is>
          <t>SWBT</t>
        </is>
      </c>
      <c r="D48" s="96" t="inlineStr">
        <is>
          <t>2616N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KRPUS</t>
        </is>
      </c>
      <c r="J48" s="96" t="inlineStr">
        <is>
          <t>JPUKB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LCH04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HASLS22260901495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NTX</t>
        </is>
      </c>
      <c r="U48" s="97" t="n"/>
      <c r="V48" s="96" t="inlineStr">
        <is>
          <t>C0125002</t>
        </is>
      </c>
      <c r="W48" s="96" t="inlineStr">
        <is>
          <t>PTT GLOBAL CHEMICAL PUBLIC COMPANY</t>
        </is>
      </c>
      <c r="X48" s="96" t="inlineStr">
        <is>
          <t>VED</t>
        </is>
      </c>
      <c r="Y48" s="96" t="inlineStr">
        <is>
          <t>MITSUBISHI CORPORATION PLASTICS LTD</t>
        </is>
      </c>
      <c r="Z48" s="96" t="inlineStr">
        <is>
          <t>MITSUBISHI CORPORATION PLASTICS LTD</t>
        </is>
      </c>
      <c r="AA48" s="97" t="n">
        <v>19276.8</v>
      </c>
      <c r="AB48" s="96" t="inlineStr">
        <is>
          <t>LCH04</t>
        </is>
      </c>
      <c r="AC48" s="96" t="inlineStr">
        <is>
          <t>UKB06</t>
        </is>
      </c>
    </row>
    <row r="49" ht="12" customHeight="1">
      <c r="A49" s="96" t="inlineStr">
        <is>
          <t>HALU2569229</t>
        </is>
      </c>
      <c r="B49" s="161" t="inlineStr">
        <is>
          <t>2026-10-16</t>
        </is>
      </c>
      <c r="C49" s="96" t="inlineStr">
        <is>
          <t>SWBT</t>
        </is>
      </c>
      <c r="D49" s="96" t="inlineStr">
        <is>
          <t>2616N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KRPUS</t>
        </is>
      </c>
      <c r="J49" s="96" t="inlineStr">
        <is>
          <t>JPUKB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LCH04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HASLS22260901495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NTX</t>
        </is>
      </c>
      <c r="U49" s="97" t="n"/>
      <c r="V49" s="96" t="inlineStr">
        <is>
          <t>C0325006</t>
        </is>
      </c>
      <c r="W49" s="96" t="inlineStr">
        <is>
          <t>PTT GLOBAL CHEMICAL PUBLIC COMPANY</t>
        </is>
      </c>
      <c r="X49" s="96" t="inlineStr">
        <is>
          <t>VED</t>
        </is>
      </c>
      <c r="Y49" s="96" t="inlineStr">
        <is>
          <t>MITSUBISHI CORPORATION PLASTICS LTD</t>
        </is>
      </c>
      <c r="Z49" s="96" t="inlineStr">
        <is>
          <t>MITSUBISHI CORPORATION PLASTICS LTD</t>
        </is>
      </c>
      <c r="AA49" s="97" t="n">
        <v>19276.8</v>
      </c>
      <c r="AB49" s="96" t="inlineStr">
        <is>
          <t>LCH04</t>
        </is>
      </c>
      <c r="AC49" s="96" t="inlineStr">
        <is>
          <t>UKB06</t>
        </is>
      </c>
    </row>
    <row r="50" ht="12" customHeight="1">
      <c r="A50" s="96" t="inlineStr">
        <is>
          <t>HLHU6410971</t>
        </is>
      </c>
      <c r="B50" s="161" t="inlineStr">
        <is>
          <t>2026-10-16</t>
        </is>
      </c>
      <c r="C50" s="96" t="inlineStr">
        <is>
          <t>SWBT</t>
        </is>
      </c>
      <c r="D50" s="96" t="inlineStr">
        <is>
          <t>2616N</t>
        </is>
      </c>
      <c r="E50" s="96" t="inlineStr">
        <is>
          <t>45GP</t>
        </is>
      </c>
      <c r="F50" s="96" t="inlineStr">
        <is>
          <t>SD</t>
        </is>
      </c>
      <c r="G50" s="96" t="n"/>
      <c r="H50" s="96" t="inlineStr">
        <is>
          <t>THLCH</t>
        </is>
      </c>
      <c r="I50" s="96" t="inlineStr">
        <is>
          <t>KRPTK</t>
        </is>
      </c>
      <c r="J50" s="96" t="inlineStr">
        <is>
          <t>KRPTK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LCH04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HASLS22260901872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NTX</t>
        </is>
      </c>
      <c r="U50" s="97" t="n"/>
      <c r="V50" s="96" t="inlineStr">
        <is>
          <t>C0724001</t>
        </is>
      </c>
      <c r="W50" s="96" t="inlineStr">
        <is>
          <t>THAI SAMSUNG ELECTRONICS CO., LTD.</t>
        </is>
      </c>
      <c r="X50" s="96" t="inlineStr">
        <is>
          <t>VFD</t>
        </is>
      </c>
      <c r="Y50" s="96" t="inlineStr">
        <is>
          <t>SAMSUNG ELECTRONICS CO.,LTD</t>
        </is>
      </c>
      <c r="Z50" s="96" t="inlineStr">
        <is>
          <t>SAMSUNG ELECTRONICS CO.,LTD</t>
        </is>
      </c>
      <c r="AA50" s="97" t="n">
        <v>5566</v>
      </c>
      <c r="AB50" s="96" t="inlineStr">
        <is>
          <t>LCH04</t>
        </is>
      </c>
      <c r="AC50" s="96" t="inlineStr">
        <is>
          <t>PTK02</t>
        </is>
      </c>
    </row>
    <row r="51" ht="12" customHeight="1">
      <c r="A51" s="96" t="inlineStr">
        <is>
          <t>HALU2416934</t>
        </is>
      </c>
      <c r="B51" s="161" t="inlineStr">
        <is>
          <t>2026-10-16</t>
        </is>
      </c>
      <c r="C51" s="96" t="inlineStr">
        <is>
          <t>SWBT</t>
        </is>
      </c>
      <c r="D51" s="96" t="inlineStr">
        <is>
          <t>2616N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VNSGN</t>
        </is>
      </c>
      <c r="J51" s="96" t="inlineStr">
        <is>
          <t>VNSGN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LCH04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HASLS22260901330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NTX</t>
        </is>
      </c>
      <c r="U51" s="97" t="n"/>
      <c r="V51" s="96" t="inlineStr">
        <is>
          <t>C0124002</t>
        </is>
      </c>
      <c r="W51" s="96" t="inlineStr">
        <is>
          <t>PTT GLOBAL CHEMICAL PUBLIC COMPANY</t>
        </is>
      </c>
      <c r="X51" s="96" t="inlineStr">
        <is>
          <t>VFD</t>
        </is>
      </c>
      <c r="Y51" s="96" t="inlineStr">
        <is>
          <t>GC MARKETING SOLUTIONS VIETNAM</t>
        </is>
      </c>
      <c r="Z51" s="96" t="inlineStr">
        <is>
          <t>GC MARKETING SOLUTIONS VIETNAM</t>
        </is>
      </c>
      <c r="AA51" s="97" t="n">
        <v>18072</v>
      </c>
      <c r="AB51" s="96" t="inlineStr">
        <is>
          <t>LCH04</t>
        </is>
      </c>
      <c r="AC51" s="96" t="inlineStr">
        <is>
          <t>SGN03</t>
        </is>
      </c>
    </row>
    <row r="52" ht="12" customHeight="1">
      <c r="A52" s="96" t="inlineStr">
        <is>
          <t>HALU2431501</t>
        </is>
      </c>
      <c r="B52" s="161" t="inlineStr">
        <is>
          <t>2026-10-16</t>
        </is>
      </c>
      <c r="C52" s="96" t="inlineStr">
        <is>
          <t>SWBT</t>
        </is>
      </c>
      <c r="D52" s="96" t="inlineStr">
        <is>
          <t>2616N</t>
        </is>
      </c>
      <c r="E52" s="96" t="inlineStr">
        <is>
          <t>22GP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VNSGN</t>
        </is>
      </c>
      <c r="J52" s="96" t="inlineStr">
        <is>
          <t>VNSGN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LCH04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HASLS22260901330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NTX</t>
        </is>
      </c>
      <c r="U52" s="97" t="n"/>
      <c r="V52" s="96" t="inlineStr">
        <is>
          <t>C0124002</t>
        </is>
      </c>
      <c r="W52" s="96" t="inlineStr">
        <is>
          <t>PTT GLOBAL CHEMICAL PUBLIC COMPANY</t>
        </is>
      </c>
      <c r="X52" s="96" t="inlineStr">
        <is>
          <t>VFD</t>
        </is>
      </c>
      <c r="Y52" s="96" t="inlineStr">
        <is>
          <t>GC MARKETING SOLUTIONS VIETNAM</t>
        </is>
      </c>
      <c r="Z52" s="96" t="inlineStr">
        <is>
          <t>GC MARKETING SOLUTIONS VIETNAM</t>
        </is>
      </c>
      <c r="AA52" s="97" t="n">
        <v>18072</v>
      </c>
      <c r="AB52" s="96" t="inlineStr">
        <is>
          <t>LCH04</t>
        </is>
      </c>
      <c r="AC52" s="96" t="inlineStr">
        <is>
          <t>SGN03</t>
        </is>
      </c>
    </row>
    <row r="53" ht="12" customHeight="1">
      <c r="A53" s="96" t="inlineStr">
        <is>
          <t>HALU2452377</t>
        </is>
      </c>
      <c r="B53" s="161" t="inlineStr">
        <is>
          <t>2026-10-16</t>
        </is>
      </c>
      <c r="C53" s="96" t="inlineStr">
        <is>
          <t>SWBT</t>
        </is>
      </c>
      <c r="D53" s="96" t="inlineStr">
        <is>
          <t>2616N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VNSGN</t>
        </is>
      </c>
      <c r="J53" s="96" t="inlineStr">
        <is>
          <t>VNSGN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LCH04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HASLS22260901330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NTX</t>
        </is>
      </c>
      <c r="U53" s="97" t="n"/>
      <c r="V53" s="96" t="inlineStr">
        <is>
          <t>C0324009</t>
        </is>
      </c>
      <c r="W53" s="96" t="inlineStr">
        <is>
          <t>PTT GLOBAL CHEMICAL PUBLIC COMPANY</t>
        </is>
      </c>
      <c r="X53" s="96" t="inlineStr">
        <is>
          <t>VFD</t>
        </is>
      </c>
      <c r="Y53" s="96" t="inlineStr">
        <is>
          <t>GC MARKETING SOLUTIONS VIETNAM</t>
        </is>
      </c>
      <c r="Z53" s="96" t="inlineStr">
        <is>
          <t>GC MARKETING SOLUTIONS VIETNAM</t>
        </is>
      </c>
      <c r="AA53" s="97" t="n">
        <v>18072</v>
      </c>
      <c r="AB53" s="96" t="inlineStr">
        <is>
          <t>LCH04</t>
        </is>
      </c>
      <c r="AC53" s="96" t="inlineStr">
        <is>
          <t>SGN03</t>
        </is>
      </c>
    </row>
    <row r="54" ht="12" customHeight="1">
      <c r="A54" s="96" t="inlineStr">
        <is>
          <t>HALU2589400</t>
        </is>
      </c>
      <c r="B54" s="161" t="inlineStr">
        <is>
          <t>2026-10-16</t>
        </is>
      </c>
      <c r="C54" s="96" t="inlineStr">
        <is>
          <t>SWBT</t>
        </is>
      </c>
      <c r="D54" s="96" t="inlineStr">
        <is>
          <t>2616N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OWN</t>
        </is>
      </c>
      <c r="M54" s="96" t="inlineStr">
        <is>
          <t>VFL</t>
        </is>
      </c>
      <c r="N54" s="96" t="inlineStr">
        <is>
          <t>LCH04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HASLS22260901330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NTX</t>
        </is>
      </c>
      <c r="U54" s="97" t="n"/>
      <c r="V54" s="96" t="inlineStr">
        <is>
          <t>C0426001</t>
        </is>
      </c>
      <c r="W54" s="96" t="inlineStr">
        <is>
          <t>PTT GLOBAL CHEMICAL PUBLIC COMPANY</t>
        </is>
      </c>
      <c r="X54" s="96" t="inlineStr">
        <is>
          <t>VFD</t>
        </is>
      </c>
      <c r="Y54" s="96" t="inlineStr">
        <is>
          <t>GC MARKETING SOLUTIONS VIETNAM</t>
        </is>
      </c>
      <c r="Z54" s="96" t="inlineStr">
        <is>
          <t>GC MARKETING SOLUTIONS VIETNAM</t>
        </is>
      </c>
      <c r="AA54" s="97" t="n">
        <v>18072</v>
      </c>
      <c r="AB54" s="96" t="inlineStr">
        <is>
          <t>LCH04</t>
        </is>
      </c>
      <c r="AC54" s="96" t="inlineStr">
        <is>
          <t>SGN03</t>
        </is>
      </c>
    </row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HASLS22260901462</t>
        </is>
      </c>
      <c r="B2" s="96" t="inlineStr">
        <is>
          <t>40Hx2</t>
        </is>
      </c>
      <c r="C2" s="97" t="n">
        <v>2</v>
      </c>
      <c r="D2" s="97" t="n">
        <v>2</v>
      </c>
      <c r="E2" s="97" t="n"/>
      <c r="F2" s="97" t="n">
        <v>0</v>
      </c>
      <c r="G2" s="97" t="n">
        <v>0</v>
      </c>
      <c r="H2" s="97" t="n">
        <v>0</v>
      </c>
      <c r="I2" s="97" t="n">
        <v>2</v>
      </c>
      <c r="J2" s="97" t="n">
        <v>4</v>
      </c>
      <c r="K2" s="96" t="inlineStr">
        <is>
          <t>N</t>
        </is>
      </c>
      <c r="L2" s="96" t="inlineStr">
        <is>
          <t>NTX</t>
        </is>
      </c>
      <c r="M2" s="96" t="inlineStr">
        <is>
          <t>SWBT</t>
        </is>
      </c>
      <c r="N2" s="96" t="inlineStr">
        <is>
          <t>2616N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KRPTK</t>
        </is>
      </c>
      <c r="T2" s="96" t="inlineStr">
        <is>
          <t>PTK02</t>
        </is>
      </c>
      <c r="U2" s="96" t="inlineStr">
        <is>
          <t>KRPTK</t>
        </is>
      </c>
      <c r="V2" s="161" t="inlineStr">
        <is>
          <t>2026-10-24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SDS-ACUTECH CO., LTD.</t>
        </is>
      </c>
      <c r="AB2" s="96" t="inlineStr">
        <is>
          <t>TPV TECHNOLOGY (THAILAND) CO., LTD.</t>
        </is>
      </c>
      <c r="AC2" s="163" t="n">
        <v>12526.458</v>
      </c>
      <c r="AD2" s="163" t="n">
        <v>20526.458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n"/>
      <c r="AJ2" s="97" t="n"/>
      <c r="AK2" s="97" t="n"/>
      <c r="AL2" s="97" t="n"/>
      <c r="AM2" s="96" t="inlineStr">
        <is>
          <t>A5041</t>
        </is>
      </c>
      <c r="AN2" s="96" t="inlineStr">
        <is>
          <t>KIM JAE HWA</t>
        </is>
      </c>
      <c r="AO2" s="96" t="inlineStr">
        <is>
          <t>MONITOR SCREEN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 xml:space="preserve">Pickup : 2026-10-10, Return : 2026-10-14
CLS TIME DD.15/10/20206 @ 12.00
</t>
        </is>
      </c>
      <c r="BA2" s="97" t="n"/>
      <c r="BB2" s="96" t="inlineStr">
        <is>
          <t>C</t>
        </is>
      </c>
      <c r="BC2" s="161" t="inlineStr">
        <is>
          <t>2026-09-16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MONITOR SCREEN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2026-10-10</t>
        </is>
      </c>
      <c r="BM2" s="127" t="n"/>
      <c r="BN2" s="127" t="n"/>
      <c r="BO2" s="127" t="n"/>
      <c r="BP2" s="127" t="n">
        <v>2</v>
      </c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sapanna.t@partner.samsung.com</t>
        </is>
      </c>
      <c r="CJ2" s="96" t="inlineStr">
        <is>
          <t>TPV TECHNOLOGY (THAILAND) CO.,LTD</t>
        </is>
      </c>
      <c r="CK2" s="96" t="inlineStr">
        <is>
          <t>SAMSUNG ELECTRONICS CO.,LTD</t>
        </is>
      </c>
      <c r="CL2" s="96" t="inlineStr">
        <is>
          <t>SAMSUNG ELECTRONICS CO.,LTD</t>
        </is>
      </c>
      <c r="CM2" s="97" t="n"/>
      <c r="CN2" s="96" t="inlineStr">
        <is>
          <t>202610141200</t>
        </is>
      </c>
      <c r="CO2" s="96" t="inlineStr">
        <is>
          <t>202610142359</t>
        </is>
      </c>
      <c r="CP2" s="97" t="n"/>
      <c r="CQ2" s="96" t="inlineStr">
        <is>
          <t>K02-1909098</t>
        </is>
      </c>
      <c r="CR2" s="96" t="inlineStr">
        <is>
          <t>THTIER</t>
        </is>
      </c>
      <c r="CS2" s="96" t="inlineStr">
        <is>
          <t>SDS-ACUTECH CO., LTD.</t>
        </is>
      </c>
      <c r="CT2" s="96" t="inlineStr">
        <is>
          <t>N</t>
        </is>
      </c>
      <c r="CU2" s="97" t="n"/>
      <c r="CV2" s="97" t="n"/>
      <c r="CW2" s="161" t="inlineStr">
        <is>
          <t>2026-10-13</t>
        </is>
      </c>
      <c r="CX2" s="97" t="n"/>
      <c r="CY2" s="156" t="n"/>
    </row>
    <row r="3" ht="12" customHeight="1">
      <c r="A3" s="116" t="inlineStr">
        <is>
          <t>HASLS22260901872</t>
        </is>
      </c>
      <c r="B3" s="96" t="inlineStr">
        <is>
          <t>40Hx7</t>
        </is>
      </c>
      <c r="C3" s="97" t="n">
        <v>7</v>
      </c>
      <c r="D3" s="97" t="n">
        <v>7</v>
      </c>
      <c r="E3" s="97" t="n"/>
      <c r="F3" s="97" t="n">
        <v>0</v>
      </c>
      <c r="G3" s="97" t="n">
        <v>0</v>
      </c>
      <c r="H3" s="97" t="n">
        <v>0</v>
      </c>
      <c r="I3" s="97" t="n">
        <v>7</v>
      </c>
      <c r="J3" s="97" t="n">
        <v>14</v>
      </c>
      <c r="K3" s="96" t="inlineStr">
        <is>
          <t>N</t>
        </is>
      </c>
      <c r="L3" s="96" t="inlineStr">
        <is>
          <t>NTX</t>
        </is>
      </c>
      <c r="M3" s="96" t="inlineStr">
        <is>
          <t>SWBT</t>
        </is>
      </c>
      <c r="N3" s="96" t="inlineStr">
        <is>
          <t>2616N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KRPTK</t>
        </is>
      </c>
      <c r="T3" s="96" t="inlineStr">
        <is>
          <t>PTK02</t>
        </is>
      </c>
      <c r="U3" s="96" t="inlineStr">
        <is>
          <t>KRPTK</t>
        </is>
      </c>
      <c r="V3" s="161" t="inlineStr">
        <is>
          <t>2026-10-24</t>
        </is>
      </c>
      <c r="W3" s="96" t="inlineStr">
        <is>
          <t>KR</t>
        </is>
      </c>
      <c r="X3" s="97" t="n"/>
      <c r="Y3" s="97" t="n"/>
      <c r="Z3" s="97" t="n"/>
      <c r="AA3" s="96" t="inlineStr">
        <is>
          <t>SAMSUNG SDS GLOBAL SCL (THAILAND) CO.,LTD.</t>
        </is>
      </c>
      <c r="AB3" s="96" t="inlineStr">
        <is>
          <t>THAI SAMSUNG ELECTRONICS CO., LTD.</t>
        </is>
      </c>
      <c r="AC3" s="163" t="n">
        <v>33249</v>
      </c>
      <c r="AD3" s="163" t="n">
        <v>61249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n"/>
      <c r="AJ3" s="97" t="n"/>
      <c r="AK3" s="97" t="n"/>
      <c r="AL3" s="97" t="n"/>
      <c r="AM3" s="96" t="inlineStr">
        <is>
          <t>A5041</t>
        </is>
      </c>
      <c r="AN3" s="96" t="inlineStr">
        <is>
          <t>KIM JAE HWA</t>
        </is>
      </c>
      <c r="AO3" s="96" t="inlineStr">
        <is>
          <t>REFRIGERATOR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2026-10-02, Return : 2026-10-08</t>
        </is>
      </c>
      <c r="BA3" s="97" t="n"/>
      <c r="BB3" s="96" t="inlineStr">
        <is>
          <t>C</t>
        </is>
      </c>
      <c r="BC3" s="161" t="inlineStr">
        <is>
          <t>2026-09-21</t>
        </is>
      </c>
      <c r="BD3" s="161" t="inlineStr">
        <is>
          <t>2026-10-14</t>
        </is>
      </c>
      <c r="BE3" s="96" t="inlineStr">
        <is>
          <t>Y</t>
        </is>
      </c>
      <c r="BF3" s="96" t="inlineStr">
        <is>
          <t>REFRIGERATOR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2026-10-02</t>
        </is>
      </c>
      <c r="BM3" s="127" t="n"/>
      <c r="BN3" s="127" t="n"/>
      <c r="BO3" s="127" t="n"/>
      <c r="BP3" s="127" t="n">
        <v>7</v>
      </c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apinya.se@samsung.com</t>
        </is>
      </c>
      <c r="CJ3" s="96" t="inlineStr">
        <is>
          <t>THAI SAMSUNG ELECTRONICS CO., LTD.</t>
        </is>
      </c>
      <c r="CK3" s="96" t="inlineStr">
        <is>
          <t>SAMSUNG ELECTRONICS CO.,LTD</t>
        </is>
      </c>
      <c r="CL3" s="96" t="inlineStr">
        <is>
          <t>SAMSUNG ELECTRONICS CO.,LTD</t>
        </is>
      </c>
      <c r="CM3" s="97" t="n"/>
      <c r="CN3" s="96" t="inlineStr">
        <is>
          <t>202610141200</t>
        </is>
      </c>
      <c r="CO3" s="96" t="inlineStr">
        <is>
          <t>202610142359</t>
        </is>
      </c>
      <c r="CP3" s="97" t="n"/>
      <c r="CQ3" s="96" t="inlineStr">
        <is>
          <t>K02-1909098</t>
        </is>
      </c>
      <c r="CR3" s="96" t="inlineStr">
        <is>
          <t>TH041T</t>
        </is>
      </c>
      <c r="CS3" s="96" t="inlineStr">
        <is>
          <t>SAMSUNG SDS GLOBAL SCL (THAILAND) CO.,LTD.</t>
        </is>
      </c>
      <c r="CT3" s="96" t="inlineStr">
        <is>
          <t>N</t>
        </is>
      </c>
      <c r="CU3" s="97" t="n"/>
      <c r="CV3" s="97" t="n"/>
      <c r="CW3" s="161" t="inlineStr">
        <is>
          <t>2026-10-13</t>
        </is>
      </c>
      <c r="CX3" s="97" t="n"/>
      <c r="CY3" s="183" t="n"/>
    </row>
    <row r="4" ht="12" customHeight="1">
      <c r="A4" s="116" t="inlineStr">
        <is>
          <t>HASLS22260902169</t>
        </is>
      </c>
      <c r="B4" s="96" t="inlineStr">
        <is>
          <t>40Hx1</t>
        </is>
      </c>
      <c r="C4" s="97" t="n">
        <v>1</v>
      </c>
      <c r="D4" s="97" t="n">
        <v>1</v>
      </c>
      <c r="E4" s="97" t="n"/>
      <c r="F4" s="97" t="n">
        <v>0</v>
      </c>
      <c r="G4" s="97" t="n">
        <v>0</v>
      </c>
      <c r="H4" s="97" t="n">
        <v>0</v>
      </c>
      <c r="I4" s="97" t="n">
        <v>1</v>
      </c>
      <c r="J4" s="97" t="n">
        <v>2</v>
      </c>
      <c r="K4" s="96" t="inlineStr">
        <is>
          <t>N</t>
        </is>
      </c>
      <c r="L4" s="96" t="inlineStr">
        <is>
          <t>NTX</t>
        </is>
      </c>
      <c r="M4" s="96" t="inlineStr">
        <is>
          <t>SWBT</t>
        </is>
      </c>
      <c r="N4" s="96" t="inlineStr">
        <is>
          <t>2616N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KRINC</t>
        </is>
      </c>
      <c r="T4" s="96" t="inlineStr">
        <is>
          <t>INC07</t>
        </is>
      </c>
      <c r="U4" s="96" t="inlineStr">
        <is>
          <t>KRINC</t>
        </is>
      </c>
      <c r="V4" s="161" t="inlineStr">
        <is>
          <t>2026-10-25</t>
        </is>
      </c>
      <c r="W4" s="96" t="inlineStr">
        <is>
          <t>KR</t>
        </is>
      </c>
      <c r="X4" s="97" t="n"/>
      <c r="Y4" s="97" t="n"/>
      <c r="Z4" s="97" t="n"/>
      <c r="AA4" s="96" t="inlineStr">
        <is>
          <t>H &amp; FRIENDS GTL (THAILAND) CO., LTD.</t>
        </is>
      </c>
      <c r="AB4" s="96" t="inlineStr">
        <is>
          <t>AUTOLIV (THAILAND) LIMITED</t>
        </is>
      </c>
      <c r="AC4" s="163" t="n">
        <v>11916.09</v>
      </c>
      <c r="AD4" s="163" t="n">
        <v>15916.09</v>
      </c>
      <c r="AE4" s="96" t="inlineStr">
        <is>
          <t>OK</t>
        </is>
      </c>
      <c r="AF4" s="96" t="n"/>
      <c r="AG4" s="97" t="n"/>
      <c r="AH4" s="96" t="inlineStr">
        <is>
          <t>CON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TBKK47</t>
        </is>
      </c>
      <c r="AN4" s="96" t="inlineStr">
        <is>
          <t>Tarn(Supaporn)</t>
        </is>
      </c>
      <c r="AO4" s="96" t="inlineStr">
        <is>
          <t>RETRACTOR SEATBELT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 xml:space="preserve">Pickup : 2026-10-15, Return : 2026-10-15 *EXTEND CLS TIME : 15/10/2026 @23.59* </t>
        </is>
      </c>
      <c r="BA4" s="97" t="inlineStr">
        <is>
          <t>FM PGPO 2612N BY K'PAN DD.14/10/2026 REQUEST CONTAINER CLEAN &amp; NO SMEL</t>
        </is>
      </c>
      <c r="BB4" s="96" t="inlineStr">
        <is>
          <t>P</t>
        </is>
      </c>
      <c r="BC4" s="161" t="inlineStr">
        <is>
          <t>2026-09-23</t>
        </is>
      </c>
      <c r="BD4" s="161" t="inlineStr">
        <is>
          <t>2026-10-15</t>
        </is>
      </c>
      <c r="BE4" s="96" t="inlineStr">
        <is>
          <t>Y</t>
        </is>
      </c>
      <c r="BF4" s="96" t="inlineStr">
        <is>
          <t>SEAT BELT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2026-10-15</t>
        </is>
      </c>
      <c r="BM4" s="127" t="n"/>
      <c r="BN4" s="127" t="n"/>
      <c r="BO4" s="127" t="n"/>
      <c r="BP4" s="127" t="n">
        <v>1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bkksea@hnfriends.com</t>
        </is>
      </c>
      <c r="CJ4" s="96" t="inlineStr">
        <is>
          <t>H &amp; FRIENDS GTL (THAILAND) CO.,LTD.</t>
        </is>
      </c>
      <c r="CK4" s="96" t="inlineStr">
        <is>
          <t>KWAY LOGIS CO.,LTD.</t>
        </is>
      </c>
      <c r="CL4" s="96" t="inlineStr">
        <is>
          <t>KWAY LOGIS CO.,LTD.</t>
        </is>
      </c>
      <c r="CM4" s="97" t="n"/>
      <c r="CN4" s="96" t="inlineStr">
        <is>
          <t>202610141200</t>
        </is>
      </c>
      <c r="CO4" s="96" t="inlineStr">
        <is>
          <t>202610142359</t>
        </is>
      </c>
      <c r="CP4" s="97" t="n"/>
      <c r="CQ4" s="96" t="inlineStr">
        <is>
          <t>S19-1911051</t>
        </is>
      </c>
      <c r="CR4" s="96" t="inlineStr">
        <is>
          <t>THTIK5</t>
        </is>
      </c>
      <c r="CS4" s="96" t="inlineStr">
        <is>
          <t>H &amp; FRIENDS GTL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2026-10-16</t>
        </is>
      </c>
      <c r="CX4" s="97" t="n"/>
      <c r="CY4" s="183" t="n"/>
    </row>
    <row r="5" ht="12" customHeight="1">
      <c r="A5" s="116" t="inlineStr">
        <is>
          <t>HASLS22261000563</t>
        </is>
      </c>
      <c r="B5" s="96" t="inlineStr">
        <is>
          <t>40Hx1</t>
        </is>
      </c>
      <c r="C5" s="97" t="n">
        <v>1</v>
      </c>
      <c r="D5" s="97" t="n">
        <v>1</v>
      </c>
      <c r="E5" s="97" t="n"/>
      <c r="F5" s="97" t="n">
        <v>0</v>
      </c>
      <c r="G5" s="97" t="n">
        <v>0</v>
      </c>
      <c r="H5" s="97" t="n">
        <v>0</v>
      </c>
      <c r="I5" s="97" t="n">
        <v>1</v>
      </c>
      <c r="J5" s="97" t="n">
        <v>2</v>
      </c>
      <c r="K5" s="96" t="inlineStr">
        <is>
          <t>N</t>
        </is>
      </c>
      <c r="L5" s="96" t="inlineStr">
        <is>
          <t>NTX</t>
        </is>
      </c>
      <c r="M5" s="96" t="inlineStr">
        <is>
          <t>SWBT</t>
        </is>
      </c>
      <c r="N5" s="96" t="inlineStr">
        <is>
          <t>2616N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VNSGN</t>
        </is>
      </c>
      <c r="T5" s="96" t="inlineStr">
        <is>
          <t>SGN03</t>
        </is>
      </c>
      <c r="U5" s="96" t="inlineStr">
        <is>
          <t>VNSGN</t>
        </is>
      </c>
      <c r="V5" s="161" t="inlineStr">
        <is>
          <t>2026-10-18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ROYAL SUVARNABHUMI LOGISTIC CO., LTD.</t>
        </is>
      </c>
      <c r="AB5" s="96" t="inlineStr">
        <is>
          <t>MICHELIN SIAM CO., LTD.</t>
        </is>
      </c>
      <c r="AC5" s="163" t="n">
        <v>10554.26</v>
      </c>
      <c r="AD5" s="163" t="n">
        <v>14554.26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AIRCRAFT TYRES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2026-10-10, Return : 2026-10-12
** PLEASE CHECK OPEN GATE BEFORE RETURN CONTAINER **</t>
        </is>
      </c>
      <c r="BA5" s="97" t="inlineStr">
        <is>
          <t>REQ BL SURRENDER</t>
        </is>
      </c>
      <c r="BB5" s="96" t="inlineStr">
        <is>
          <t>P</t>
        </is>
      </c>
      <c r="BC5" s="161" t="inlineStr">
        <is>
          <t>2026-10-07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>AIRCRAFT TYRES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2026-10-10</t>
        </is>
      </c>
      <c r="BM5" s="127" t="n"/>
      <c r="BN5" s="127" t="n"/>
      <c r="BO5" s="127" t="n"/>
      <c r="BP5" s="127" t="n">
        <v>1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oprs.cs@royallogthai.com</t>
        </is>
      </c>
      <c r="CJ5" s="96" t="inlineStr">
        <is>
          <t>ROYAL SUVARNABHUMI LOGISTIC</t>
        </is>
      </c>
      <c r="CK5" s="96" t="inlineStr">
        <is>
          <t>VIETRANS INT'L FREIGHT FORWARDER .,</t>
        </is>
      </c>
      <c r="CL5" s="96" t="inlineStr">
        <is>
          <t>VIETRANS INT'L FREIGHT FORWARDER</t>
        </is>
      </c>
      <c r="CM5" s="97" t="n"/>
      <c r="CN5" s="96" t="inlineStr">
        <is>
          <t>202610141200</t>
        </is>
      </c>
      <c r="CO5" s="96" t="inlineStr">
        <is>
          <t>202610142359</t>
        </is>
      </c>
      <c r="CP5" s="97" t="n"/>
      <c r="CQ5" s="96" t="inlineStr">
        <is>
          <t>S19-2009029</t>
        </is>
      </c>
      <c r="CR5" s="96" t="inlineStr">
        <is>
          <t>TH044N</t>
        </is>
      </c>
      <c r="CS5" s="96" t="inlineStr">
        <is>
          <t>ROYAL SUVARNABHUMI LOGISTIC CO., LTD.</t>
        </is>
      </c>
      <c r="CT5" s="96" t="inlineStr">
        <is>
          <t>N</t>
        </is>
      </c>
      <c r="CU5" s="97" t="n"/>
      <c r="CV5" s="97" t="n"/>
      <c r="CW5" s="161" t="inlineStr">
        <is>
          <t>2026-10-16</t>
        </is>
      </c>
      <c r="CX5" s="97" t="inlineStr">
        <is>
          <t>401130</t>
        </is>
      </c>
      <c r="CY5" s="183" t="n"/>
    </row>
    <row r="6" ht="12" customHeight="1">
      <c r="A6" s="116" t="inlineStr">
        <is>
          <t>HASLS22261000769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NTX</t>
        </is>
      </c>
      <c r="M6" s="96" t="inlineStr">
        <is>
          <t>SWBT</t>
        </is>
      </c>
      <c r="N6" s="96" t="inlineStr">
        <is>
          <t>2616N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VNSGN</t>
        </is>
      </c>
      <c r="T6" s="96" t="inlineStr">
        <is>
          <t>SGN03</t>
        </is>
      </c>
      <c r="U6" s="96" t="inlineStr">
        <is>
          <t>VNSGN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WORLDNET EXPRESS CO., LTD.</t>
        </is>
      </c>
      <c r="AB6" s="96" t="inlineStr">
        <is>
          <t>SADESA (THAILAND) CO., LTD.</t>
        </is>
      </c>
      <c r="AC6" s="163" t="n">
        <v>6462.5</v>
      </c>
      <c r="AD6" s="163" t="n">
        <v>8662.5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n"/>
      <c r="AJ6" s="97" t="n"/>
      <c r="AK6" s="97" t="n"/>
      <c r="AL6" s="97" t="n"/>
      <c r="AM6" s="96" t="inlineStr">
        <is>
          <t>TBKK19</t>
        </is>
      </c>
      <c r="AN6" s="96" t="inlineStr">
        <is>
          <t>Kanokporn</t>
        </is>
      </c>
      <c r="AO6" s="96" t="inlineStr">
        <is>
          <t>COW LEATHER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Pickup : 2026-10-14, Return : 2026-10-14 
** PLEASE CHECK OPEN GATE BEFORE RETURN CONTAINER ** </t>
        </is>
      </c>
      <c r="BA6" s="97" t="n"/>
      <c r="BB6" s="96" t="inlineStr">
        <is>
          <t>P</t>
        </is>
      </c>
      <c r="BC6" s="161" t="inlineStr">
        <is>
          <t>2026-10-09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COW LEATHER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2026-10-14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EXPORT@WORLDNETEXP.COM</t>
        </is>
      </c>
      <c r="CJ6" s="96" t="inlineStr">
        <is>
          <t>WORLDNET EXPRESS CO.,LTD.</t>
        </is>
      </c>
      <c r="CK6" s="96" t="inlineStr">
        <is>
          <t>ASAP INTERNATIONAL CO., LTD.</t>
        </is>
      </c>
      <c r="CL6" s="96" t="inlineStr">
        <is>
          <t>ASAP INTERNATIONAL CO.,LTD</t>
        </is>
      </c>
      <c r="CM6" s="97" t="n"/>
      <c r="CN6" s="96" t="inlineStr">
        <is>
          <t>202610141200</t>
        </is>
      </c>
      <c r="CO6" s="96" t="inlineStr">
        <is>
          <t>202610142359</t>
        </is>
      </c>
      <c r="CP6" s="97" t="n"/>
      <c r="CQ6" s="96" t="inlineStr">
        <is>
          <t>S19-2210014</t>
        </is>
      </c>
      <c r="CR6" s="96" t="inlineStr">
        <is>
          <t>TH04EU</t>
        </is>
      </c>
      <c r="CS6" s="96" t="inlineStr">
        <is>
          <t>WORLDNET EXPRESS CO., LTD.</t>
        </is>
      </c>
      <c r="CT6" s="96" t="inlineStr">
        <is>
          <t>N</t>
        </is>
      </c>
      <c r="CU6" s="97" t="n"/>
      <c r="CV6" s="97" t="n"/>
      <c r="CW6" s="161" t="inlineStr">
        <is>
          <t>2026-10-16</t>
        </is>
      </c>
      <c r="CX6" s="97" t="inlineStr">
        <is>
          <t>410799</t>
        </is>
      </c>
      <c r="CY6" s="183" t="n"/>
    </row>
    <row r="7" ht="12" customHeight="1">
      <c r="A7" s="116" t="inlineStr">
        <is>
          <t>HASLS22260901495</t>
        </is>
      </c>
      <c r="B7" s="96" t="inlineStr">
        <is>
          <t>20'x17</t>
        </is>
      </c>
      <c r="C7" s="97" t="n">
        <v>17</v>
      </c>
      <c r="D7" s="97" t="n">
        <v>17</v>
      </c>
      <c r="E7" s="97" t="n"/>
      <c r="F7" s="97" t="n">
        <v>0</v>
      </c>
      <c r="G7" s="97" t="n">
        <v>17</v>
      </c>
      <c r="H7" s="97" t="n">
        <v>0</v>
      </c>
      <c r="I7" s="97" t="n">
        <v>0</v>
      </c>
      <c r="J7" s="97" t="n">
        <v>17</v>
      </c>
      <c r="K7" s="96" t="inlineStr">
        <is>
          <t>N</t>
        </is>
      </c>
      <c r="L7" s="96" t="inlineStr">
        <is>
          <t>NTX</t>
        </is>
      </c>
      <c r="M7" s="96" t="inlineStr">
        <is>
          <t>SWBT</t>
        </is>
      </c>
      <c r="N7" s="96" t="inlineStr">
        <is>
          <t>2616N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JPUKB</t>
        </is>
      </c>
      <c r="T7" s="96" t="inlineStr">
        <is>
          <t>UKB06</t>
        </is>
      </c>
      <c r="U7" s="96" t="inlineStr">
        <is>
          <t>JPUKB</t>
        </is>
      </c>
      <c r="V7" s="161" t="inlineStr">
        <is>
          <t>2026-11-02</t>
        </is>
      </c>
      <c r="W7" s="96" t="inlineStr">
        <is>
          <t>JP</t>
        </is>
      </c>
      <c r="X7" s="97" t="n"/>
      <c r="Y7" s="97" t="inlineStr">
        <is>
          <t>PUS05</t>
        </is>
      </c>
      <c r="Z7" s="97" t="inlineStr">
        <is>
          <t>KRPUS</t>
        </is>
      </c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327705.6</v>
      </c>
      <c r="AD7" s="163" t="n">
        <v>365105.6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HIGH DENSITY POLYETHYLENE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[FIX][FIX]SURVEY+CY :28/09/2026 RTN :09/10/2026
REQUEST SEA BULK CONTAIER + SURVEY EMPTY BEFORE PICK UP
</t>
        </is>
      </c>
      <c r="BA7" s="97" t="inlineStr">
        <is>
          <t>ROLL OVER FROM PREIVOUS VSL SWIC 2611N BY ALLOCATION TEAM MS.TARN APPROVED COST IS UNDER HA DD.14/10
SI DD.25/9/26</t>
        </is>
      </c>
      <c r="BB7" s="96" t="inlineStr">
        <is>
          <t>P</t>
        </is>
      </c>
      <c r="BC7" s="161" t="inlineStr">
        <is>
          <t>2026-09-17</t>
        </is>
      </c>
      <c r="BD7" s="161" t="inlineStr">
        <is>
          <t>2026-10-14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2026-09-28</t>
        </is>
      </c>
      <c r="BM7" s="127" t="n"/>
      <c r="BN7" s="127" t="n">
        <v>17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>
        <v>4</v>
      </c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inlineStr">
        <is>
          <t>POL: THLCH [SWBT/2616N]; T/S(1st): KRPUS [HRON/2619E]; POD: JPUKB [/]</t>
        </is>
      </c>
      <c r="CI7" s="96" t="inlineStr">
        <is>
          <t>natchaya.ki@pttgcgroup.com</t>
        </is>
      </c>
      <c r="CJ7" s="96" t="inlineStr">
        <is>
          <t>PTT GLOBAL CHEMICAL PUBLIC COMPANY</t>
        </is>
      </c>
      <c r="CK7" s="96" t="inlineStr">
        <is>
          <t>MITSUBISHI CORPORATION PLASTICS LTD</t>
        </is>
      </c>
      <c r="CL7" s="96" t="inlineStr">
        <is>
          <t>MITSUBISHI CORPORATION PLASTICS LTD</t>
        </is>
      </c>
      <c r="CM7" s="97" t="n"/>
      <c r="CN7" s="96" t="inlineStr">
        <is>
          <t>202610141200</t>
        </is>
      </c>
      <c r="CO7" s="96" t="inlineStr">
        <is>
          <t>202610142359</t>
        </is>
      </c>
      <c r="CP7" s="97" t="n"/>
      <c r="CQ7" s="96" t="inlineStr">
        <is>
          <t>S19-2309008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2026-10-16</t>
        </is>
      </c>
      <c r="CX7" s="97" t="inlineStr">
        <is>
          <t>390120</t>
        </is>
      </c>
      <c r="CY7" s="183" t="inlineStr">
        <is>
          <t>ROLL OVER FROM PREIVOUS VSL SWIC 2611N BY ALLOCATION TEAM MS.TARN APPROVED COST IS UNDER HA DD.14/10</t>
        </is>
      </c>
    </row>
    <row r="8" ht="12" customHeight="1">
      <c r="A8" s="116" t="inlineStr">
        <is>
          <t>HASLS22260901235</t>
        </is>
      </c>
      <c r="B8" s="96" t="inlineStr">
        <is>
          <t>R40Hx1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NTX</t>
        </is>
      </c>
      <c r="M8" s="96" t="inlineStr">
        <is>
          <t>SWBT</t>
        </is>
      </c>
      <c r="N8" s="96" t="inlineStr">
        <is>
          <t>2616N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KRPTK</t>
        </is>
      </c>
      <c r="T8" s="96" t="inlineStr">
        <is>
          <t>PTK02</t>
        </is>
      </c>
      <c r="U8" s="96" t="inlineStr">
        <is>
          <t>KRPTK</t>
        </is>
      </c>
      <c r="V8" s="161" t="inlineStr">
        <is>
          <t>2026-10-24</t>
        </is>
      </c>
      <c r="W8" s="96" t="inlineStr">
        <is>
          <t>KR</t>
        </is>
      </c>
      <c r="X8" s="97" t="n"/>
      <c r="Y8" s="97" t="n"/>
      <c r="Z8" s="97" t="n"/>
      <c r="AA8" s="96" t="inlineStr">
        <is>
          <t>LAND SEA SKY CO., LTD.</t>
        </is>
      </c>
      <c r="AB8" s="96" t="inlineStr">
        <is>
          <t>SAHA FARMS  INTERNATIONAL CO LTD</t>
        </is>
      </c>
      <c r="AC8" s="163" t="n">
        <v>19152</v>
      </c>
      <c r="AD8" s="163" t="n">
        <v>23152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TH0042</t>
        </is>
      </c>
      <c r="AN8" s="96" t="inlineStr">
        <is>
          <t>Sukunpoj Damrongying</t>
        </is>
      </c>
      <c r="AO8" s="96" t="inlineStr">
        <is>
          <t>FROZEN FULLY COOKED CHICKEN MEAT</t>
        </is>
      </c>
      <c r="AP8" s="96" t="inlineStr">
        <is>
          <t>Normal</t>
        </is>
      </c>
      <c r="AQ8" s="97" t="n"/>
      <c r="AR8" s="97" t="n"/>
      <c r="AS8" s="97" t="inlineStr">
        <is>
          <t>RF// MIN:-18.0 MAX:-18.0 [COVER:CLOSE]</t>
        </is>
      </c>
      <c r="AT8" s="97" t="inlineStr">
        <is>
          <t xml:space="preserve">45REx1 </t>
        </is>
      </c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 xml:space="preserve">Pickup : 2026-10-12, Return : 2026-10-14 (Temp -18.0 / Vent Close)
 CLS TIME 15/10 @19.00 [1ST RTN 14/10 W/O ELECTRIC] 
 </t>
        </is>
      </c>
      <c r="BA8" s="97" t="inlineStr">
        <is>
          <t>FM THBKK DD 08/10 
CFM BY P'TARN DD.15/09/2026 
[Split] - HASLS22260902553 / HASLS22260902554 / HASLS22260902555 / HASLS22260902556 / HASLS22260902557 / HASLS22260902558TEMP -18 C</t>
        </is>
      </c>
      <c r="BB8" s="96" t="inlineStr">
        <is>
          <t>P</t>
        </is>
      </c>
      <c r="BC8" s="161" t="inlineStr">
        <is>
          <t>2026-09-15</t>
        </is>
      </c>
      <c r="BD8" s="161" t="inlineStr">
        <is>
          <t>2026-10-14</t>
        </is>
      </c>
      <c r="BE8" s="96" t="inlineStr">
        <is>
          <t>Y</t>
        </is>
      </c>
      <c r="BF8" s="96" t="inlineStr">
        <is>
          <t>FROZEN CHICKEN COOK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2026-10-12</t>
        </is>
      </c>
      <c r="BM8" s="127" t="n"/>
      <c r="BN8" s="127" t="n"/>
      <c r="BO8" s="127" t="n"/>
      <c r="BP8" s="127" t="n"/>
      <c r="BQ8" s="127" t="n"/>
      <c r="BR8" s="127" t="n">
        <v>1</v>
      </c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Booking@lss.co.th</t>
        </is>
      </c>
      <c r="CJ8" s="96" t="inlineStr">
        <is>
          <t>SAHA FARMS INTERNATIONAL CO.,LTD.</t>
        </is>
      </c>
      <c r="CK8" s="96" t="inlineStr">
        <is>
          <t>SASE CO.,LTD.</t>
        </is>
      </c>
      <c r="CL8" s="96" t="inlineStr">
        <is>
          <t>SASE CO.,LTD.</t>
        </is>
      </c>
      <c r="CM8" s="97" t="n"/>
      <c r="CN8" s="96" t="inlineStr">
        <is>
          <t>202610141200</t>
        </is>
      </c>
      <c r="CO8" s="96" t="inlineStr">
        <is>
          <t>202610142359</t>
        </is>
      </c>
      <c r="CP8" s="97" t="inlineStr">
        <is>
          <t>45RE x1: RF(Temp:-18.0' / Cover:CLOSE)</t>
        </is>
      </c>
      <c r="CQ8" s="96" t="inlineStr">
        <is>
          <t>S22-2206003</t>
        </is>
      </c>
      <c r="CR8" s="96" t="inlineStr">
        <is>
          <t>THTQLH</t>
        </is>
      </c>
      <c r="CS8" s="96" t="inlineStr">
        <is>
          <t>LAND SEA SKY CO., LTD.</t>
        </is>
      </c>
      <c r="CT8" s="96" t="inlineStr">
        <is>
          <t>Y</t>
        </is>
      </c>
      <c r="CU8" s="97" t="n"/>
      <c r="CV8" s="97" t="n"/>
      <c r="CW8" s="161" t="inlineStr">
        <is>
          <t>2026-10-16</t>
        </is>
      </c>
      <c r="CX8" s="97" t="n"/>
      <c r="CY8" s="183" t="n"/>
    </row>
    <row r="9" ht="12" customHeight="1">
      <c r="A9" s="116" t="inlineStr">
        <is>
          <t>HASLS22260902208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NTX</t>
        </is>
      </c>
      <c r="M9" s="96" t="inlineStr">
        <is>
          <t>SWBT</t>
        </is>
      </c>
      <c r="N9" s="96" t="inlineStr">
        <is>
          <t>2616N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JPTOS</t>
        </is>
      </c>
      <c r="T9" s="96" t="inlineStr">
        <is>
          <t>TOS01</t>
        </is>
      </c>
      <c r="U9" s="96" t="inlineStr">
        <is>
          <t>JPTOS</t>
        </is>
      </c>
      <c r="V9" s="161" t="inlineStr">
        <is>
          <t>2026-11-05</t>
        </is>
      </c>
      <c r="W9" s="96" t="inlineStr">
        <is>
          <t>JP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DOW CHEMICAL THAILAND LTD.</t>
        </is>
      </c>
      <c r="AB9" s="96" t="inlineStr">
        <is>
          <t>SIAM POLYETHYLENE CO., LTD.</t>
        </is>
      </c>
      <c r="AC9" s="163" t="n">
        <v>12180</v>
      </c>
      <c r="AD9" s="163" t="n">
        <v>14380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B0004</t>
        </is>
      </c>
      <c r="AN9" s="96" t="inlineStr">
        <is>
          <t>SEO JI YEONG</t>
        </is>
      </c>
      <c r="AO9" s="96" t="inlineStr">
        <is>
          <t>ELITE TM 5538G ENHANCED POLYETHYLENE RESIN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2026-10-06, Return : 2026-10-10 
** PLEASE CHECK OPEN GATE BEFORE RETURN CONTAINER ** </t>
        </is>
      </c>
      <c r="BA9" s="97" t="inlineStr">
        <is>
          <t>1. PLS SHOW SHIPPING AGENT NAME, ADDRESS AND CONTACT NO. AT DESTINATION COUNTRY ON BL. 2. SURRENDER BL 3. PLEASE SEND DRAFT BL TO : kittima.t@psabdp.com</t>
        </is>
      </c>
      <c r="BB9" s="96" t="inlineStr">
        <is>
          <t>P</t>
        </is>
      </c>
      <c r="BC9" s="161" t="inlineStr">
        <is>
          <t>2026-09-23</t>
        </is>
      </c>
      <c r="BD9" s="161" t="inlineStr">
        <is>
          <t>2026-10-12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2026-10-06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5</v>
      </c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THLCH [SWBT/2616N]; T/S(1st): KRPUS [OSVY/2658E]; POD: JPTOS [/]</t>
        </is>
      </c>
      <c r="CI9" s="96" t="inlineStr">
        <is>
          <t>rattiya.w@psabdp.com</t>
        </is>
      </c>
      <c r="CJ9" s="96" t="inlineStr">
        <is>
          <t>SIAM POLYETHYLENE CO., LTD.</t>
        </is>
      </c>
      <c r="CK9" s="96" t="inlineStr">
        <is>
          <t>TOMOE ENGINEERING CO., LTD.</t>
        </is>
      </c>
      <c r="CL9" s="96" t="inlineStr">
        <is>
          <t>TOMOE ENGINEERING CO., LTD.</t>
        </is>
      </c>
      <c r="CM9" s="97" t="n"/>
      <c r="CN9" s="96" t="inlineStr">
        <is>
          <t>202610141200</t>
        </is>
      </c>
      <c r="CO9" s="96" t="inlineStr">
        <is>
          <t>202610142359</t>
        </is>
      </c>
      <c r="CP9" s="97" t="n"/>
      <c r="CQ9" s="96" t="inlineStr">
        <is>
          <t>76492-25001</t>
        </is>
      </c>
      <c r="CR9" s="96" t="inlineStr">
        <is>
          <t>THTJG3</t>
        </is>
      </c>
      <c r="CS9" s="96" t="inlineStr">
        <is>
          <t>DOW CHEMICAL THAILAND LTD.</t>
        </is>
      </c>
      <c r="CT9" s="96" t="inlineStr">
        <is>
          <t>N</t>
        </is>
      </c>
      <c r="CU9" s="97" t="n"/>
      <c r="CV9" s="97" t="n"/>
      <c r="CW9" s="161" t="inlineStr">
        <is>
          <t>2026-10-13</t>
        </is>
      </c>
      <c r="CX9" s="97" t="inlineStr">
        <is>
          <t>390120</t>
        </is>
      </c>
      <c r="CY9" s="183" t="n"/>
    </row>
    <row r="10" ht="12" customHeight="1">
      <c r="A10" s="116" t="inlineStr">
        <is>
          <t>HASLS22260901430</t>
        </is>
      </c>
      <c r="B10" s="96" t="inlineStr">
        <is>
          <t>20'x3</t>
        </is>
      </c>
      <c r="C10" s="97" t="n">
        <v>3</v>
      </c>
      <c r="D10" s="97" t="n">
        <v>3</v>
      </c>
      <c r="E10" s="97" t="n"/>
      <c r="F10" s="97" t="n">
        <v>0</v>
      </c>
      <c r="G10" s="97" t="n">
        <v>3</v>
      </c>
      <c r="H10" s="97" t="n">
        <v>0</v>
      </c>
      <c r="I10" s="97" t="n">
        <v>0</v>
      </c>
      <c r="J10" s="97" t="n">
        <v>3</v>
      </c>
      <c r="K10" s="96" t="inlineStr">
        <is>
          <t>N</t>
        </is>
      </c>
      <c r="L10" s="96" t="inlineStr">
        <is>
          <t>NTX</t>
        </is>
      </c>
      <c r="M10" s="96" t="inlineStr">
        <is>
          <t>SWBT</t>
        </is>
      </c>
      <c r="N10" s="96" t="inlineStr">
        <is>
          <t>2616N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KRKAN</t>
        </is>
      </c>
      <c r="T10" s="96" t="inlineStr">
        <is>
          <t>KAN04</t>
        </is>
      </c>
      <c r="U10" s="96" t="inlineStr">
        <is>
          <t>KRKAN</t>
        </is>
      </c>
      <c r="V10" s="161" t="inlineStr">
        <is>
          <t>2026-10-26</t>
        </is>
      </c>
      <c r="W10" s="96" t="inlineStr">
        <is>
          <t>KR</t>
        </is>
      </c>
      <c r="X10" s="97" t="n"/>
      <c r="Y10" s="97" t="n"/>
      <c r="Z10" s="97" t="n"/>
      <c r="AA10" s="96" t="inlineStr">
        <is>
          <t>PANAKOR LOGISTICS CO.,LTD</t>
        </is>
      </c>
      <c r="AB10" s="96" t="inlineStr">
        <is>
          <t>MIKI (THAILAND) LTD.</t>
        </is>
      </c>
      <c r="AC10" s="163" t="n">
        <v>47424</v>
      </c>
      <c r="AD10" s="163" t="n">
        <v>54024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inlineStr">
        <is>
          <t xml:space="preserve"> </t>
        </is>
      </c>
      <c r="AK10" s="97" t="n"/>
      <c r="AL10" s="97" t="n"/>
      <c r="AM10" s="96" t="inlineStr">
        <is>
          <t>H2602</t>
        </is>
      </c>
      <c r="AN10" s="96" t="inlineStr">
        <is>
          <t>Kim jaewon</t>
        </is>
      </c>
      <c r="AO10" s="96" t="inlineStr">
        <is>
          <t>SAIVINOL</t>
        </is>
      </c>
      <c r="AP10" s="96" t="inlineStr">
        <is>
          <t>Normal</t>
        </is>
      </c>
      <c r="AQ10" s="97" t="inlineStr">
        <is>
          <t>1133/3-II</t>
        </is>
      </c>
      <c r="AR10" s="97" t="inlineStr">
        <is>
          <t xml:space="preserve">22GPx3 </t>
        </is>
      </c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** APPROVAL IN SYSTEM DD.17/09/2026 ** DG22GPx3 (CLS 3 / UN 1133) 
Pickup : 2026-10-08, Return @JWD : 2026-10-14 </t>
        </is>
      </c>
      <c r="BA10" s="97" t="inlineStr">
        <is>
          <t>Req CY PW DEPOT</t>
        </is>
      </c>
      <c r="BB10" s="96" t="inlineStr">
        <is>
          <t>C</t>
        </is>
      </c>
      <c r="BC10" s="161" t="inlineStr">
        <is>
          <t>2026-09-16</t>
        </is>
      </c>
      <c r="BD10" s="161" t="inlineStr">
        <is>
          <t>2026-10-14</t>
        </is>
      </c>
      <c r="BE10" s="96" t="inlineStr">
        <is>
          <t>Y</t>
        </is>
      </c>
      <c r="BF10" s="96" t="inlineStr">
        <is>
          <t>SAIVINOL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2026-10-08</t>
        </is>
      </c>
      <c r="BM10" s="127" t="n"/>
      <c r="BN10" s="127" t="n">
        <v>3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3 Class x 3 Teu (Approval),</t>
        </is>
      </c>
      <c r="CG10" s="96" t="inlineStr">
        <is>
          <t>CY/CY</t>
        </is>
      </c>
      <c r="CH10" s="97" t="n"/>
      <c r="CI10" s="96" t="inlineStr">
        <is>
          <t>panakorbkk@panakor.com</t>
        </is>
      </c>
      <c r="CJ10" s="96" t="inlineStr">
        <is>
          <t>PANAKOR LOGISTICS CO.,LTD</t>
        </is>
      </c>
      <c r="CK10" s="96" t="inlineStr">
        <is>
          <t>CHUN JEE SHIPPING CO.,LTD.</t>
        </is>
      </c>
      <c r="CL10" s="96" t="inlineStr">
        <is>
          <t>CHUNJEE SHIPPING CO., LTD</t>
        </is>
      </c>
      <c r="CM10" s="97" t="n"/>
      <c r="CN10" s="96" t="inlineStr">
        <is>
          <t>202610141200</t>
        </is>
      </c>
      <c r="CO10" s="96" t="inlineStr">
        <is>
          <t>202610142359</t>
        </is>
      </c>
      <c r="CP10" s="97" t="inlineStr">
        <is>
          <t>22GP x3: DG(UNNo.:1133/ Class:3)</t>
        </is>
      </c>
      <c r="CQ10" s="96" t="inlineStr">
        <is>
          <t>00722-24006</t>
        </is>
      </c>
      <c r="CR10" s="96" t="inlineStr">
        <is>
          <t>THTUVC</t>
        </is>
      </c>
      <c r="CS10" s="96" t="inlineStr">
        <is>
          <t>PANAKOR LOGISTICS CO.,LTD</t>
        </is>
      </c>
      <c r="CT10" s="96" t="inlineStr">
        <is>
          <t>N</t>
        </is>
      </c>
      <c r="CU10" s="97" t="n"/>
      <c r="CV10" s="97" t="n"/>
      <c r="CW10" s="161" t="inlineStr">
        <is>
          <t>2026-10-16</t>
        </is>
      </c>
      <c r="CX10" s="97" t="n"/>
      <c r="CY10" s="183" t="n"/>
    </row>
    <row r="11" ht="12" customHeight="1">
      <c r="A11" s="116" t="inlineStr">
        <is>
          <t>HASLS22260901579</t>
        </is>
      </c>
      <c r="B11" s="96" t="inlineStr">
        <is>
          <t>40Hx7</t>
        </is>
      </c>
      <c r="C11" s="97" t="n">
        <v>7</v>
      </c>
      <c r="D11" s="97" t="n">
        <v>7</v>
      </c>
      <c r="E11" s="97" t="n"/>
      <c r="F11" s="97" t="n">
        <v>0</v>
      </c>
      <c r="G11" s="97" t="n">
        <v>0</v>
      </c>
      <c r="H11" s="97" t="n">
        <v>0</v>
      </c>
      <c r="I11" s="97" t="n">
        <v>7</v>
      </c>
      <c r="J11" s="97" t="n">
        <v>14</v>
      </c>
      <c r="K11" s="96" t="inlineStr">
        <is>
          <t>N</t>
        </is>
      </c>
      <c r="L11" s="96" t="inlineStr">
        <is>
          <t>NTX</t>
        </is>
      </c>
      <c r="M11" s="96" t="inlineStr">
        <is>
          <t>SWBT</t>
        </is>
      </c>
      <c r="N11" s="96" t="inlineStr">
        <is>
          <t>2616N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KRPTK</t>
        </is>
      </c>
      <c r="T11" s="96" t="inlineStr">
        <is>
          <t>PTK02</t>
        </is>
      </c>
      <c r="U11" s="96" t="inlineStr">
        <is>
          <t>KRPTK</t>
        </is>
      </c>
      <c r="V11" s="161" t="inlineStr">
        <is>
          <t>2026-10-24</t>
        </is>
      </c>
      <c r="W11" s="96" t="inlineStr">
        <is>
          <t>KR</t>
        </is>
      </c>
      <c r="X11" s="97" t="n"/>
      <c r="Y11" s="97" t="n"/>
      <c r="Z11" s="97" t="n"/>
      <c r="AA11" s="96" t="inlineStr">
        <is>
          <t>SAMSUNG SDS GLOBAL SCL (THAILAND) CO.,LTD.</t>
        </is>
      </c>
      <c r="AB11" s="96" t="inlineStr">
        <is>
          <t>THAI SAMSUNG ELECTRONICS CO., LTD.</t>
        </is>
      </c>
      <c r="AC11" s="163" t="n">
        <v>27709.5</v>
      </c>
      <c r="AD11" s="163" t="n">
        <v>55709.5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A5041</t>
        </is>
      </c>
      <c r="AN11" s="96" t="inlineStr">
        <is>
          <t>KIM JAE HWA</t>
        </is>
      </c>
      <c r="AO11" s="96" t="inlineStr">
        <is>
          <t>REFRIGERATOR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2026-10-02, Return : 2026-10-08</t>
        </is>
      </c>
      <c r="BA11" s="97" t="inlineStr">
        <is>
          <t>SPLIT TO BKG : HASLS22260901872</t>
        </is>
      </c>
      <c r="BB11" s="96" t="inlineStr">
        <is>
          <t>C</t>
        </is>
      </c>
      <c r="BC11" s="161" t="inlineStr">
        <is>
          <t>2026-09-17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REFRIGERATOR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2026-10-02</t>
        </is>
      </c>
      <c r="BM11" s="127" t="n"/>
      <c r="BN11" s="127" t="n"/>
      <c r="BO11" s="127" t="n"/>
      <c r="BP11" s="127" t="n">
        <v>7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apinya.se@samsung.com</t>
        </is>
      </c>
      <c r="CJ11" s="96" t="inlineStr">
        <is>
          <t>THAI SAMSUNG ELECTRONICS CO., LTD.</t>
        </is>
      </c>
      <c r="CK11" s="96" t="inlineStr">
        <is>
          <t>SAMSUNG ELECTRONICS CO.,LTD</t>
        </is>
      </c>
      <c r="CL11" s="96" t="inlineStr">
        <is>
          <t>SAMSUNG ELECTRONICS CO.,LTD</t>
        </is>
      </c>
      <c r="CM11" s="97" t="n"/>
      <c r="CN11" s="96" t="inlineStr">
        <is>
          <t>202610141200</t>
        </is>
      </c>
      <c r="CO11" s="96" t="inlineStr">
        <is>
          <t>202610142359</t>
        </is>
      </c>
      <c r="CP11" s="97" t="n"/>
      <c r="CQ11" s="96" t="inlineStr">
        <is>
          <t>K02-1909098</t>
        </is>
      </c>
      <c r="CR11" s="96" t="inlineStr">
        <is>
          <t>TH041T</t>
        </is>
      </c>
      <c r="CS11" s="96" t="inlineStr">
        <is>
          <t>SAMSUNG SDS GLOBAL SCL (THAILAND) CO.,LTD.</t>
        </is>
      </c>
      <c r="CT11" s="96" t="inlineStr">
        <is>
          <t>N</t>
        </is>
      </c>
      <c r="CU11" s="97" t="n"/>
      <c r="CV11" s="97" t="n"/>
      <c r="CW11" s="161" t="inlineStr">
        <is>
          <t>2026-10-13</t>
        </is>
      </c>
      <c r="CX11" s="97" t="n"/>
      <c r="CY11" s="183" t="n"/>
    </row>
    <row r="12" ht="12" customHeight="1">
      <c r="A12" s="116" t="inlineStr">
        <is>
          <t>HASLS22260901330</t>
        </is>
      </c>
      <c r="B12" s="96" t="inlineStr">
        <is>
          <t>20'x12</t>
        </is>
      </c>
      <c r="C12" s="97" t="n">
        <v>12</v>
      </c>
      <c r="D12" s="97" t="n">
        <v>12</v>
      </c>
      <c r="E12" s="97" t="n"/>
      <c r="F12" s="97" t="n">
        <v>0</v>
      </c>
      <c r="G12" s="97" t="n">
        <v>12</v>
      </c>
      <c r="H12" s="97" t="n">
        <v>0</v>
      </c>
      <c r="I12" s="97" t="n">
        <v>0</v>
      </c>
      <c r="J12" s="97" t="n">
        <v>12</v>
      </c>
      <c r="K12" s="96" t="inlineStr">
        <is>
          <t>N</t>
        </is>
      </c>
      <c r="L12" s="96" t="inlineStr">
        <is>
          <t>NTX</t>
        </is>
      </c>
      <c r="M12" s="96" t="inlineStr">
        <is>
          <t>SWBT</t>
        </is>
      </c>
      <c r="N12" s="96" t="inlineStr">
        <is>
          <t>2616N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WHA GC LOGISTICS COMPANY LIMITED</t>
        </is>
      </c>
      <c r="AB12" s="96" t="inlineStr">
        <is>
          <t>PTT GLOBAL CHEMICAL PUBLIC COMPANY LIMITED</t>
        </is>
      </c>
      <c r="AC12" s="163" t="n">
        <v>216864</v>
      </c>
      <c r="AD12" s="163" t="n">
        <v>243264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n"/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HIGH DENSITY POLYETHYLENE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CY-RTN 05-07/10/26 (PR2610003490)*1ST RETURN 10/10/26*
*PLS CHECK OPEN GATE BEFORE RETURN CTNR*</t>
        </is>
      </c>
      <c r="BA12" s="97" t="inlineStr">
        <is>
          <t>SI DD.8/10/26
[Split] - HASLS22261000208</t>
        </is>
      </c>
      <c r="BB12" s="96" t="inlineStr">
        <is>
          <t>P</t>
        </is>
      </c>
      <c r="BC12" s="161" t="inlineStr">
        <is>
          <t>2026-09-16</t>
        </is>
      </c>
      <c r="BD12" s="161" t="inlineStr">
        <is>
          <t>2026-10-08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LCH27</t>
        </is>
      </c>
      <c r="BL12" s="161" t="inlineStr">
        <is>
          <t>2026-10-05</t>
        </is>
      </c>
      <c r="BM12" s="127" t="n"/>
      <c r="BN12" s="127" t="n">
        <v>12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LCH04</t>
        </is>
      </c>
      <c r="CD12" s="97" t="n"/>
      <c r="CE12" s="97" t="inlineStr">
        <is>
          <t>CHECK</t>
        </is>
      </c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warayu.p@wha-gc.com</t>
        </is>
      </c>
      <c r="CJ12" s="96" t="inlineStr">
        <is>
          <t>PTT GLOBAL CHEMICAL PUBLIC COMPANY</t>
        </is>
      </c>
      <c r="CK12" s="96" t="inlineStr">
        <is>
          <t>GC MARKETING SOLUTIONS VIETNAM</t>
        </is>
      </c>
      <c r="CL12" s="96" t="inlineStr">
        <is>
          <t>GC MARKETING SOLUTIONS VIETNAM</t>
        </is>
      </c>
      <c r="CM12" s="97" t="n"/>
      <c r="CN12" s="96" t="inlineStr">
        <is>
          <t>202610141200</t>
        </is>
      </c>
      <c r="CO12" s="96" t="inlineStr">
        <is>
          <t>202610142359</t>
        </is>
      </c>
      <c r="CP12" s="97" t="n"/>
      <c r="CQ12" s="96" t="inlineStr">
        <is>
          <t>S22-2309036</t>
        </is>
      </c>
      <c r="CR12" s="96" t="inlineStr">
        <is>
          <t>TH02GR</t>
        </is>
      </c>
      <c r="CS12" s="96" t="inlineStr">
        <is>
          <t>WHA GC LOGISTICS COMPANY LIMITED</t>
        </is>
      </c>
      <c r="CT12" s="96" t="inlineStr">
        <is>
          <t>Y</t>
        </is>
      </c>
      <c r="CU12" s="97" t="n"/>
      <c r="CV12" s="97" t="n"/>
      <c r="CW12" s="161" t="inlineStr">
        <is>
          <t>2026-10-13</t>
        </is>
      </c>
      <c r="CX12" s="97" t="inlineStr">
        <is>
          <t>390120</t>
        </is>
      </c>
      <c r="CY12" s="183" t="n"/>
    </row>
    <row r="13" ht="12" customHeight="1">
      <c r="A13" s="116" t="n"/>
      <c r="B13" s="96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6" t="n"/>
      <c r="L13" s="96" t="n"/>
      <c r="M13" s="96" t="n"/>
      <c r="N13" s="96" t="n"/>
      <c r="O13" s="96" t="n"/>
      <c r="P13" s="96" t="n"/>
      <c r="Q13" s="96" t="n"/>
      <c r="R13" s="161" t="n"/>
      <c r="S13" s="96" t="n"/>
      <c r="T13" s="96" t="n"/>
      <c r="U13" s="96" t="n"/>
      <c r="V13" s="161" t="n"/>
      <c r="W13" s="96" t="n"/>
      <c r="X13" s="97" t="n"/>
      <c r="Y13" s="96" t="n"/>
      <c r="Z13" s="96" t="n"/>
      <c r="AA13" s="96" t="n"/>
      <c r="AB13" s="96" t="n"/>
      <c r="AC13" s="163" t="n"/>
      <c r="AD13" s="163" t="n"/>
      <c r="AE13" s="96" t="n"/>
      <c r="AF13" s="97" t="n"/>
      <c r="AG13" s="97" t="n"/>
      <c r="AH13" s="96" t="n"/>
      <c r="AI13" s="97" t="n"/>
      <c r="AJ13" s="97" t="n"/>
      <c r="AK13" s="97" t="n"/>
      <c r="AL13" s="97" t="n"/>
      <c r="AM13" s="96" t="n"/>
      <c r="AN13" s="96" t="n"/>
      <c r="AO13" s="96" t="n"/>
      <c r="AP13" s="96" t="n"/>
      <c r="AQ13" s="97" t="n"/>
      <c r="AR13" s="97" t="n"/>
      <c r="AS13" s="97" t="n"/>
      <c r="AT13" s="97" t="n"/>
      <c r="AU13" s="97" t="n"/>
      <c r="AV13" s="97" t="n"/>
      <c r="AW13" s="97" t="n"/>
      <c r="AX13" s="96" t="n"/>
      <c r="AY13" s="97" t="n"/>
      <c r="AZ13" s="96" t="n"/>
      <c r="BA13" s="97" t="n"/>
      <c r="BB13" s="96" t="n"/>
      <c r="BC13" s="161" t="n"/>
      <c r="BD13" s="161" t="n"/>
      <c r="BE13" s="96" t="n"/>
      <c r="BF13" s="96" t="n"/>
      <c r="BG13" s="96" t="n"/>
      <c r="BH13" s="96" t="n"/>
      <c r="BI13" s="97" t="n"/>
      <c r="BJ13" s="97" t="n"/>
      <c r="BK13" s="96" t="n"/>
      <c r="BL13" s="161" t="n"/>
      <c r="BM13" s="127" t="n"/>
      <c r="BN13" s="127" t="n"/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n"/>
      <c r="BZ13" s="97" t="n"/>
      <c r="CA13" s="96" t="n"/>
      <c r="CB13" s="97" t="n"/>
      <c r="CC13" s="96" t="n"/>
      <c r="CD13" s="97" t="n"/>
      <c r="CE13" s="97" t="n"/>
      <c r="CF13" s="96" t="n"/>
      <c r="CG13" s="96" t="n"/>
      <c r="CH13" s="96" t="n"/>
      <c r="CI13" s="96" t="n"/>
      <c r="CJ13" s="96" t="n"/>
      <c r="CK13" s="96" t="n"/>
      <c r="CL13" s="96" t="n"/>
      <c r="CM13" s="97" t="n"/>
      <c r="CN13" s="96" t="n"/>
      <c r="CO13" s="96" t="n"/>
      <c r="CP13" s="97" t="n"/>
      <c r="CQ13" s="96" t="n"/>
      <c r="CR13" s="96" t="n"/>
      <c r="CS13" s="96" t="n"/>
      <c r="CT13" s="96" t="n"/>
      <c r="CU13" s="97" t="n"/>
      <c r="CV13" s="97" t="n"/>
      <c r="CW13" s="161" t="n"/>
      <c r="CX13" s="96" t="n"/>
      <c r="CY13" s="156" t="n"/>
    </row>
    <row r="14" ht="12" customHeight="1">
      <c r="A14" s="116" t="n"/>
      <c r="B14" s="96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6" t="n"/>
      <c r="L14" s="96" t="n"/>
      <c r="M14" s="96" t="n"/>
      <c r="N14" s="96" t="n"/>
      <c r="O14" s="96" t="n"/>
      <c r="P14" s="96" t="n"/>
      <c r="Q14" s="96" t="n"/>
      <c r="R14" s="161" t="n"/>
      <c r="S14" s="96" t="n"/>
      <c r="T14" s="96" t="n"/>
      <c r="U14" s="96" t="n"/>
      <c r="V14" s="161" t="n"/>
      <c r="W14" s="96" t="n"/>
      <c r="X14" s="97" t="n"/>
      <c r="Y14" s="97" t="n"/>
      <c r="Z14" s="97" t="n"/>
      <c r="AA14" s="96" t="n"/>
      <c r="AB14" s="96" t="n"/>
      <c r="AC14" s="163" t="n"/>
      <c r="AD14" s="163" t="n"/>
      <c r="AE14" s="96" t="n"/>
      <c r="AF14" s="97" t="n"/>
      <c r="AG14" s="97" t="n"/>
      <c r="AH14" s="96" t="n"/>
      <c r="AI14" s="96" t="n"/>
      <c r="AJ14" s="97" t="n"/>
      <c r="AK14" s="97" t="n"/>
      <c r="AL14" s="97" t="n"/>
      <c r="AM14" s="96" t="n"/>
      <c r="AN14" s="96" t="n"/>
      <c r="AO14" s="96" t="n"/>
      <c r="AP14" s="96" t="n"/>
      <c r="AQ14" s="97" t="n"/>
      <c r="AR14" s="97" t="n"/>
      <c r="AS14" s="97" t="n"/>
      <c r="AT14" s="97" t="n"/>
      <c r="AU14" s="97" t="n"/>
      <c r="AV14" s="97" t="n"/>
      <c r="AW14" s="97" t="n"/>
      <c r="AX14" s="96" t="n"/>
      <c r="AY14" s="97" t="n"/>
      <c r="AZ14" s="96" t="n"/>
      <c r="BA14" s="96" t="n"/>
      <c r="BB14" s="96" t="n"/>
      <c r="BC14" s="161" t="n"/>
      <c r="BD14" s="161" t="n"/>
      <c r="BE14" s="96" t="n"/>
      <c r="BF14" s="96" t="n"/>
      <c r="BG14" s="96" t="n"/>
      <c r="BH14" s="96" t="n"/>
      <c r="BI14" s="97" t="n"/>
      <c r="BJ14" s="97" t="n"/>
      <c r="BK14" s="96" t="n"/>
      <c r="BL14" s="161" t="n"/>
      <c r="BM14" s="127" t="n"/>
      <c r="BN14" s="127" t="n"/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n"/>
      <c r="BZ14" s="97" t="n"/>
      <c r="CA14" s="97" t="n"/>
      <c r="CB14" s="97" t="n"/>
      <c r="CC14" s="96" t="n"/>
      <c r="CD14" s="97" t="n"/>
      <c r="CE14" s="97" t="n"/>
      <c r="CF14" s="96" t="n"/>
      <c r="CG14" s="96" t="n"/>
      <c r="CH14" s="97" t="n"/>
      <c r="CI14" s="96" t="n"/>
      <c r="CJ14" s="96" t="n"/>
      <c r="CK14" s="96" t="n"/>
      <c r="CL14" s="96" t="n"/>
      <c r="CM14" s="97" t="n"/>
      <c r="CN14" s="96" t="n"/>
      <c r="CO14" s="96" t="n"/>
      <c r="CP14" s="97" t="n"/>
      <c r="CQ14" s="96" t="n"/>
      <c r="CR14" s="96" t="n"/>
      <c r="CS14" s="96" t="n"/>
      <c r="CT14" s="96" t="n"/>
      <c r="CU14" s="97" t="n"/>
      <c r="CV14" s="97" t="n"/>
      <c r="CW14" s="161" t="n"/>
      <c r="CX14" s="96" t="n"/>
      <c r="CY14" s="156" t="n"/>
    </row>
    <row r="15" ht="12" customHeight="1">
      <c r="A15" s="116" t="n"/>
      <c r="B15" s="96" t="n"/>
      <c r="C15" s="97" t="n"/>
      <c r="D15" s="97" t="n"/>
      <c r="E15" s="97" t="n"/>
      <c r="F15" s="97" t="n"/>
      <c r="G15" s="97" t="n"/>
      <c r="H15" s="97" t="n"/>
      <c r="I15" s="97" t="n"/>
      <c r="J15" s="97" t="n"/>
      <c r="K15" s="96" t="n"/>
      <c r="L15" s="96" t="n"/>
      <c r="M15" s="96" t="n"/>
      <c r="N15" s="96" t="n"/>
      <c r="O15" s="96" t="n"/>
      <c r="P15" s="96" t="n"/>
      <c r="Q15" s="96" t="n"/>
      <c r="R15" s="161" t="n"/>
      <c r="S15" s="96" t="n"/>
      <c r="T15" s="96" t="n"/>
      <c r="U15" s="96" t="n"/>
      <c r="V15" s="161" t="n"/>
      <c r="W15" s="96" t="n"/>
      <c r="X15" s="97" t="n"/>
      <c r="Y15" s="96" t="n"/>
      <c r="Z15" s="96" t="n"/>
      <c r="AA15" s="96" t="n"/>
      <c r="AB15" s="96" t="n"/>
      <c r="AC15" s="163" t="n"/>
      <c r="AD15" s="163" t="n"/>
      <c r="AE15" s="96" t="n"/>
      <c r="AF15" s="97" t="n"/>
      <c r="AG15" s="97" t="n"/>
      <c r="AH15" s="96" t="n"/>
      <c r="AI15" s="96" t="n"/>
      <c r="AJ15" s="97" t="n"/>
      <c r="AK15" s="97" t="n"/>
      <c r="AL15" s="97" t="n"/>
      <c r="AM15" s="96" t="n"/>
      <c r="AN15" s="96" t="n"/>
      <c r="AO15" s="96" t="n"/>
      <c r="AP15" s="96" t="n"/>
      <c r="AQ15" s="97" t="n"/>
      <c r="AR15" s="97" t="n"/>
      <c r="AS15" s="97" t="n"/>
      <c r="AT15" s="97" t="n"/>
      <c r="AU15" s="97" t="n"/>
      <c r="AV15" s="97" t="n"/>
      <c r="AW15" s="97" t="n"/>
      <c r="AX15" s="96" t="n"/>
      <c r="AY15" s="97" t="n"/>
      <c r="AZ15" s="96" t="n"/>
      <c r="BA15" s="96" t="n"/>
      <c r="BB15" s="96" t="n"/>
      <c r="BC15" s="161" t="n"/>
      <c r="BD15" s="161" t="n"/>
      <c r="BE15" s="96" t="n"/>
      <c r="BF15" s="96" t="n"/>
      <c r="BG15" s="96" t="n"/>
      <c r="BH15" s="96" t="n"/>
      <c r="BI15" s="97" t="n"/>
      <c r="BJ15" s="97" t="n"/>
      <c r="BK15" s="96" t="n"/>
      <c r="BL15" s="161" t="n"/>
      <c r="BM15" s="127" t="n"/>
      <c r="BN15" s="127" t="n"/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n"/>
      <c r="BZ15" s="97" t="n"/>
      <c r="CA15" s="96" t="n"/>
      <c r="CB15" s="97" t="n"/>
      <c r="CC15" s="96" t="n"/>
      <c r="CD15" s="97" t="n"/>
      <c r="CE15" s="97" t="n"/>
      <c r="CF15" s="96" t="n"/>
      <c r="CG15" s="96" t="n"/>
      <c r="CH15" s="96" t="n"/>
      <c r="CI15" s="96" t="n"/>
      <c r="CJ15" s="96" t="n"/>
      <c r="CK15" s="96" t="n"/>
      <c r="CL15" s="96" t="n"/>
      <c r="CM15" s="97" t="n"/>
      <c r="CN15" s="96" t="n"/>
      <c r="CO15" s="96" t="n"/>
      <c r="CP15" s="97" t="n"/>
      <c r="CQ15" s="96" t="n"/>
      <c r="CR15" s="96" t="n"/>
      <c r="CS15" s="96" t="n"/>
      <c r="CT15" s="96" t="n"/>
      <c r="CU15" s="97" t="n"/>
      <c r="CV15" s="97" t="n"/>
      <c r="CW15" s="161" t="n"/>
      <c r="CX15" s="96" t="n"/>
      <c r="CY15" s="156" t="n"/>
    </row>
    <row r="16" ht="12" customHeight="1">
      <c r="A16" s="116" t="n"/>
      <c r="B16" s="96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6" t="n"/>
      <c r="L16" s="96" t="n"/>
      <c r="M16" s="96" t="n"/>
      <c r="N16" s="96" t="n"/>
      <c r="O16" s="96" t="n"/>
      <c r="P16" s="96" t="n"/>
      <c r="Q16" s="96" t="n"/>
      <c r="R16" s="161" t="n"/>
      <c r="S16" s="96" t="n"/>
      <c r="T16" s="96" t="n"/>
      <c r="U16" s="96" t="n"/>
      <c r="V16" s="161" t="n"/>
      <c r="W16" s="96" t="n"/>
      <c r="X16" s="97" t="n"/>
      <c r="Y16" s="97" t="n"/>
      <c r="Z16" s="97" t="n"/>
      <c r="AA16" s="96" t="n"/>
      <c r="AB16" s="96" t="n"/>
      <c r="AC16" s="163" t="n"/>
      <c r="AD16" s="163" t="n"/>
      <c r="AE16" s="96" t="n"/>
      <c r="AF16" s="97" t="n"/>
      <c r="AG16" s="97" t="n"/>
      <c r="AH16" s="96" t="n"/>
      <c r="AI16" s="97" t="n"/>
      <c r="AJ16" s="97" t="n"/>
      <c r="AK16" s="97" t="n"/>
      <c r="AL16" s="97" t="n"/>
      <c r="AM16" s="96" t="n"/>
      <c r="AN16" s="96" t="n"/>
      <c r="AO16" s="96" t="n"/>
      <c r="AP16" s="96" t="n"/>
      <c r="AQ16" s="97" t="n"/>
      <c r="AR16" s="97" t="n"/>
      <c r="AS16" s="96" t="n"/>
      <c r="AT16" s="96" t="n"/>
      <c r="AU16" s="97" t="n"/>
      <c r="AV16" s="97" t="n"/>
      <c r="AW16" s="97" t="n"/>
      <c r="AX16" s="96" t="n"/>
      <c r="AY16" s="97" t="n"/>
      <c r="AZ16" s="96" t="n"/>
      <c r="BA16" s="96" t="n"/>
      <c r="BB16" s="96" t="n"/>
      <c r="BC16" s="161" t="n"/>
      <c r="BD16" s="161" t="n"/>
      <c r="BE16" s="96" t="n"/>
      <c r="BF16" s="96" t="n"/>
      <c r="BG16" s="96" t="n"/>
      <c r="BH16" s="96" t="n"/>
      <c r="BI16" s="97" t="n"/>
      <c r="BJ16" s="97" t="n"/>
      <c r="BK16" s="96" t="n"/>
      <c r="BL16" s="161" t="n"/>
      <c r="BM16" s="127" t="n"/>
      <c r="BN16" s="127" t="n"/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n"/>
      <c r="BZ16" s="97" t="n"/>
      <c r="CA16" s="96" t="n"/>
      <c r="CB16" s="97" t="n"/>
      <c r="CC16" s="96" t="n"/>
      <c r="CD16" s="97" t="n"/>
      <c r="CE16" s="96" t="n"/>
      <c r="CF16" s="96" t="n"/>
      <c r="CG16" s="96" t="n"/>
      <c r="CH16" s="97" t="n"/>
      <c r="CI16" s="96" t="n"/>
      <c r="CJ16" s="96" t="n"/>
      <c r="CK16" s="96" t="n"/>
      <c r="CL16" s="96" t="n"/>
      <c r="CM16" s="97" t="n"/>
      <c r="CN16" s="96" t="n"/>
      <c r="CO16" s="96" t="n"/>
      <c r="CP16" s="96" t="n"/>
      <c r="CQ16" s="96" t="n"/>
      <c r="CR16" s="96" t="n"/>
      <c r="CS16" s="96" t="n"/>
      <c r="CT16" s="96" t="n"/>
      <c r="CU16" s="97" t="n"/>
      <c r="CV16" s="97" t="n"/>
      <c r="CW16" s="161" t="n"/>
      <c r="CX16" s="97" t="n"/>
      <c r="CY16" s="156" t="n"/>
    </row>
    <row r="17" ht="12" customHeight="1">
      <c r="A17" s="164" t="n"/>
      <c r="B17" s="165" t="n"/>
      <c r="C17" s="136" t="n"/>
      <c r="D17" s="136" t="n"/>
      <c r="E17" s="136" t="n"/>
      <c r="F17" s="137" t="n"/>
      <c r="G17" s="137" t="n"/>
      <c r="H17" s="137" t="n"/>
      <c r="I17" s="137" t="n"/>
      <c r="J17" s="137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  <c r="AC17" s="162" t="n"/>
      <c r="AD17" s="162" t="n"/>
      <c r="AE17" s="138" t="n"/>
      <c r="AF17" s="138" t="n"/>
      <c r="AG17" s="138" t="n"/>
      <c r="AH17" s="138" t="n"/>
      <c r="AI17" s="138" t="n"/>
      <c r="AJ17" s="138" t="n"/>
      <c r="AK17" s="138" t="n"/>
      <c r="AL17" s="138" t="n"/>
      <c r="AM17" s="138" t="n"/>
      <c r="AN17" s="138" t="n"/>
      <c r="AO17" s="138" t="n"/>
      <c r="AP17" s="138" t="n"/>
      <c r="AQ17" s="138" t="n"/>
      <c r="AR17" s="138" t="n"/>
      <c r="AS17" s="138" t="n"/>
      <c r="AT17" s="138" t="n"/>
      <c r="AU17" s="138" t="n"/>
      <c r="AV17" s="138" t="n"/>
      <c r="AW17" s="138" t="n"/>
      <c r="AX17" s="138" t="n"/>
      <c r="AY17" s="138" t="n"/>
      <c r="AZ17" s="138" t="n"/>
      <c r="BA17" s="138" t="n"/>
      <c r="BB17" s="138" t="n"/>
      <c r="BC17" s="138" t="n"/>
      <c r="BD17" s="138" t="n"/>
      <c r="BE17" s="138" t="n"/>
      <c r="BF17" s="138" t="n"/>
      <c r="BG17" s="138" t="n"/>
      <c r="BH17" s="138" t="n"/>
      <c r="BI17" s="138" t="n"/>
      <c r="BJ17" s="138" t="n"/>
      <c r="BK17" s="138" t="n"/>
      <c r="BL17" s="138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n"/>
      <c r="BZ17" s="139" t="n"/>
      <c r="CA17" s="139" t="n"/>
      <c r="CB17" s="139" t="n"/>
      <c r="CC17" s="139" t="n"/>
      <c r="CD17" s="139" t="n"/>
      <c r="CE17" s="139" t="n"/>
      <c r="CF17" s="139" t="n"/>
      <c r="CG17" s="139" t="n"/>
      <c r="CH17" s="139" t="n"/>
      <c r="CI17" s="139" t="n"/>
      <c r="CJ17" s="139" t="n"/>
      <c r="CK17" s="139" t="n"/>
      <c r="CL17" s="139" t="n"/>
      <c r="CM17" s="139" t="n"/>
      <c r="CN17" s="139" t="n"/>
      <c r="CO17" s="139" t="n"/>
      <c r="CP17" s="139" t="n"/>
      <c r="CQ17" s="139" t="n"/>
      <c r="CR17" s="139" t="n"/>
      <c r="CS17" s="139" t="n"/>
      <c r="CT17" s="139" t="n"/>
      <c r="CU17" s="139" t="n"/>
      <c r="CV17" s="139" t="n"/>
      <c r="CW17" s="139" t="n"/>
      <c r="CX17" s="139" t="n"/>
      <c r="CY17" s="157" t="n"/>
    </row>
    <row r="18" ht="12" customHeight="1">
      <c r="A18" s="166" t="n"/>
      <c r="B18" s="167" t="n"/>
      <c r="C18" s="142" t="n"/>
      <c r="D18" s="142" t="n"/>
      <c r="E18" s="142" t="n"/>
      <c r="F18" s="137" t="n"/>
      <c r="G18" s="137" t="n"/>
      <c r="H18" s="137" t="n"/>
      <c r="I18" s="137" t="n"/>
      <c r="J18" s="137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4" t="n"/>
      <c r="AD18" s="144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  <c r="AO18" s="143" t="n"/>
      <c r="AP18" s="143" t="n"/>
      <c r="AQ18" s="143" t="n"/>
      <c r="AR18" s="143" t="n"/>
      <c r="AS18" s="143" t="n"/>
      <c r="AT18" s="143" t="n"/>
      <c r="AU18" s="143" t="n"/>
      <c r="AV18" s="143" t="n"/>
      <c r="AW18" s="143" t="n"/>
      <c r="AX18" s="143" t="n"/>
      <c r="AY18" s="143" t="n"/>
      <c r="AZ18" s="143" t="n"/>
      <c r="BA18" s="143" t="n"/>
      <c r="BB18" s="143" t="n"/>
      <c r="BC18" s="143" t="n"/>
      <c r="BD18" s="143" t="n"/>
      <c r="BE18" s="143" t="n"/>
      <c r="BF18" s="143" t="n"/>
      <c r="BG18" s="143" t="n"/>
      <c r="BH18" s="143" t="n"/>
      <c r="BI18" s="143" t="n"/>
      <c r="BJ18" s="143" t="n"/>
      <c r="BK18" s="143" t="n"/>
      <c r="BL18" s="143" t="n"/>
      <c r="BM18" s="144" t="n"/>
      <c r="BN18" s="144" t="n"/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n"/>
      <c r="BZ18" s="145" t="n"/>
      <c r="CA18" s="145" t="n"/>
      <c r="CB18" s="145" t="n"/>
      <c r="CC18" s="145" t="n"/>
      <c r="CD18" s="145" t="n"/>
      <c r="CE18" s="145" t="n"/>
      <c r="CF18" s="145" t="n"/>
      <c r="CG18" s="145" t="n"/>
      <c r="CH18" s="145" t="n"/>
      <c r="CI18" s="145" t="n"/>
      <c r="CJ18" s="145" t="n"/>
      <c r="CK18" s="145" t="n"/>
      <c r="CL18" s="145" t="n"/>
      <c r="CM18" s="145" t="n"/>
      <c r="CN18" s="145" t="n"/>
      <c r="CO18" s="145" t="n"/>
      <c r="CP18" s="145" t="n"/>
      <c r="CQ18" s="145" t="n"/>
      <c r="CR18" s="145" t="n"/>
      <c r="CS18" s="145" t="n"/>
      <c r="CT18" s="145" t="n"/>
      <c r="CU18" s="145" t="n"/>
      <c r="CV18" s="145" t="n"/>
      <c r="CW18" s="145" t="n"/>
      <c r="CX18" s="145" t="n"/>
      <c r="CY18" s="158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HALU2503983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2026-10-13</t>
        </is>
      </c>
      <c r="E2" s="173" t="inlineStr">
        <is>
          <t>1806</t>
        </is>
      </c>
      <c r="F2" s="96" t="inlineStr">
        <is>
          <t>HASLS22260901330</t>
        </is>
      </c>
      <c r="G2" s="96" t="inlineStr">
        <is>
          <t>WHA GC LOGISTICS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HASLS22260901330</t>
        </is>
      </c>
      <c r="N2" s="96" t="inlineStr">
        <is>
          <t xml:space="preserve">20'x12 </t>
        </is>
      </c>
      <c r="O2" s="111" t="inlineStr">
        <is>
          <t>2025</t>
        </is>
      </c>
      <c r="P2" s="111" t="n"/>
      <c r="Q2" s="111" t="n"/>
      <c r="R2" s="96" t="inlineStr">
        <is>
          <t>SWBT</t>
        </is>
      </c>
      <c r="S2" s="96" t="inlineStr">
        <is>
          <t>2616N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2026-10-16</t>
        </is>
      </c>
      <c r="W2" s="96" t="inlineStr">
        <is>
          <t>VNSGN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2026-10-13</t>
        </is>
      </c>
      <c r="AE2" s="174" t="inlineStr">
        <is>
          <t>2200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GC MARKETING SOLUTIONS VIETNAM</t>
        </is>
      </c>
      <c r="AK2" s="130" t="n"/>
    </row>
    <row r="3" ht="12" customHeight="1">
      <c r="A3" s="108" t="inlineStr">
        <is>
          <t>BEAU2348311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2026-10-15</t>
        </is>
      </c>
      <c r="E3" s="173" t="inlineStr">
        <is>
          <t>0119</t>
        </is>
      </c>
      <c r="F3" s="96" t="inlineStr">
        <is>
          <t>HASLS22261000769</t>
        </is>
      </c>
      <c r="G3" s="96" t="inlineStr">
        <is>
          <t>WORLDNET EXPRESS CO., LTD.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HASLS22261000769</t>
        </is>
      </c>
      <c r="N3" s="96" t="inlineStr">
        <is>
          <t xml:space="preserve">20'x1 </t>
        </is>
      </c>
      <c r="O3" s="111" t="inlineStr">
        <is>
          <t>2014</t>
        </is>
      </c>
      <c r="P3" s="111" t="n"/>
      <c r="Q3" s="111" t="n"/>
      <c r="R3" s="96" t="inlineStr">
        <is>
          <t>SWBT</t>
        </is>
      </c>
      <c r="S3" s="96" t="inlineStr">
        <is>
          <t>2616N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2026-10-16</t>
        </is>
      </c>
      <c r="W3" s="96" t="inlineStr">
        <is>
          <t>VNSGN</t>
        </is>
      </c>
      <c r="X3" s="161" t="inlineStr">
        <is>
          <t>2026-10-18</t>
        </is>
      </c>
      <c r="Y3" s="97" t="n"/>
      <c r="Z3" s="97" t="n"/>
      <c r="AA3" s="97" t="n"/>
      <c r="AB3" s="97" t="n"/>
      <c r="AC3" s="97" t="n"/>
      <c r="AD3" s="161" t="inlineStr">
        <is>
          <t>2026-10-15</t>
        </is>
      </c>
      <c r="AE3" s="174" t="inlineStr">
        <is>
          <t>0400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ASAP INTERNATIONAL CO., LTD.</t>
        </is>
      </c>
      <c r="AK3" s="130" t="n"/>
    </row>
    <row r="4" ht="12" customHeight="1">
      <c r="A4" s="108" t="inlineStr">
        <is>
          <t>CXDU2305360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2026-10-11</t>
        </is>
      </c>
      <c r="E4" s="173" t="inlineStr">
        <is>
          <t>0359</t>
        </is>
      </c>
      <c r="F4" s="96" t="inlineStr">
        <is>
          <t>HASLS22260901495</t>
        </is>
      </c>
      <c r="G4" s="96" t="inlineStr">
        <is>
          <t>WHA GC LOGISTICS COMPANY LIMITED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HASLS22260901495</t>
        </is>
      </c>
      <c r="N4" s="96" t="inlineStr">
        <is>
          <t xml:space="preserve">20'x17 </t>
        </is>
      </c>
      <c r="O4" s="111" t="inlineStr">
        <is>
          <t>2014</t>
        </is>
      </c>
      <c r="P4" s="111" t="n"/>
      <c r="Q4" s="111" t="n"/>
      <c r="R4" s="96" t="inlineStr">
        <is>
          <t>SWIC</t>
        </is>
      </c>
      <c r="S4" s="96" t="inlineStr">
        <is>
          <t>2611N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2026-10-16</t>
        </is>
      </c>
      <c r="W4" s="96" t="inlineStr">
        <is>
          <t>JPUKB</t>
        </is>
      </c>
      <c r="X4" s="161" t="inlineStr">
        <is>
          <t>2026-10-27</t>
        </is>
      </c>
      <c r="Y4" s="97" t="n"/>
      <c r="Z4" s="97" t="n"/>
      <c r="AA4" s="97" t="n"/>
      <c r="AB4" s="97" t="n"/>
      <c r="AC4" s="97" t="n"/>
      <c r="AD4" s="161" t="inlineStr">
        <is>
          <t>2026-10-11</t>
        </is>
      </c>
      <c r="AE4" s="174" t="inlineStr">
        <is>
          <t>0800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MITSUBISHI CORPORATION PLASTICS LTD</t>
        </is>
      </c>
      <c r="AK4" s="130" t="n"/>
    </row>
    <row r="5" ht="12" customHeight="1">
      <c r="A5" s="108" t="inlineStr">
        <is>
          <t>HALU2416934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2026-10-14</t>
        </is>
      </c>
      <c r="E5" s="173" t="inlineStr">
        <is>
          <t>0814</t>
        </is>
      </c>
      <c r="F5" s="96" t="inlineStr">
        <is>
          <t>HASLS22260901330</t>
        </is>
      </c>
      <c r="G5" s="96" t="inlineStr">
        <is>
          <t>WHA GC LOGISTICS COMPANY LIMITED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HASLS22260901330</t>
        </is>
      </c>
      <c r="N5" s="96" t="inlineStr">
        <is>
          <t xml:space="preserve">20'x12 </t>
        </is>
      </c>
      <c r="O5" s="111" t="inlineStr">
        <is>
          <t>2024</t>
        </is>
      </c>
      <c r="P5" s="111" t="n"/>
      <c r="Q5" s="111" t="n"/>
      <c r="R5" s="96" t="inlineStr">
        <is>
          <t>SWBT</t>
        </is>
      </c>
      <c r="S5" s="96" t="inlineStr">
        <is>
          <t>2616N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2026-10-16</t>
        </is>
      </c>
      <c r="W5" s="96" t="inlineStr">
        <is>
          <t>VNSGN</t>
        </is>
      </c>
      <c r="X5" s="161" t="inlineStr">
        <is>
          <t>2026-10-18</t>
        </is>
      </c>
      <c r="Y5" s="97" t="n"/>
      <c r="Z5" s="97" t="n"/>
      <c r="AA5" s="97" t="n"/>
      <c r="AB5" s="97" t="n"/>
      <c r="AC5" s="97" t="n"/>
      <c r="AD5" s="161" t="inlineStr">
        <is>
          <t>2026-10-14</t>
        </is>
      </c>
      <c r="AE5" s="174" t="inlineStr">
        <is>
          <t>1200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GC MARKETING SOLUTIONS VIETNAM</t>
        </is>
      </c>
      <c r="AK5" s="130" t="n"/>
    </row>
    <row r="6" ht="12" customHeight="1">
      <c r="A6" s="108" t="inlineStr">
        <is>
          <t>HALU2431501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2026-10-14</t>
        </is>
      </c>
      <c r="E6" s="173" t="inlineStr">
        <is>
          <t>0811</t>
        </is>
      </c>
      <c r="F6" s="96" t="inlineStr">
        <is>
          <t>HASLS22260901330</t>
        </is>
      </c>
      <c r="G6" s="96" t="inlineStr">
        <is>
          <t>WHA GC LOGISTICS COMPANY LIMITED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HASLS22260901330</t>
        </is>
      </c>
      <c r="N6" s="96" t="inlineStr">
        <is>
          <t xml:space="preserve">20'x12 </t>
        </is>
      </c>
      <c r="O6" s="111" t="inlineStr">
        <is>
          <t>2024</t>
        </is>
      </c>
      <c r="P6" s="111" t="n"/>
      <c r="Q6" s="111" t="n"/>
      <c r="R6" s="96" t="inlineStr">
        <is>
          <t>SWBT</t>
        </is>
      </c>
      <c r="S6" s="96" t="inlineStr">
        <is>
          <t>2616N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2026-10-16</t>
        </is>
      </c>
      <c r="W6" s="96" t="inlineStr">
        <is>
          <t>VNSGN</t>
        </is>
      </c>
      <c r="X6" s="161" t="inlineStr">
        <is>
          <t>2026-10-18</t>
        </is>
      </c>
      <c r="Y6" s="97" t="n"/>
      <c r="Z6" s="97" t="n"/>
      <c r="AA6" s="97" t="n"/>
      <c r="AB6" s="97" t="n"/>
      <c r="AC6" s="97" t="n"/>
      <c r="AD6" s="161" t="inlineStr">
        <is>
          <t>2026-10-14</t>
        </is>
      </c>
      <c r="AE6" s="174" t="inlineStr">
        <is>
          <t>1200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GC MARKETING SOLUTIONS VIETNAM</t>
        </is>
      </c>
      <c r="AK6" s="130" t="n"/>
    </row>
    <row r="7" ht="12" customHeight="1">
      <c r="A7" s="108" t="inlineStr">
        <is>
          <t>HALU2452377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2026-10-14</t>
        </is>
      </c>
      <c r="E7" s="173" t="inlineStr">
        <is>
          <t>0815</t>
        </is>
      </c>
      <c r="F7" s="96" t="inlineStr">
        <is>
          <t>HASLS22260901330</t>
        </is>
      </c>
      <c r="G7" s="96" t="inlineStr">
        <is>
          <t>WHA GC LOGISTICS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HASLS22260901330</t>
        </is>
      </c>
      <c r="N7" s="96" t="inlineStr">
        <is>
          <t xml:space="preserve">20'x12 </t>
        </is>
      </c>
      <c r="O7" s="111" t="inlineStr">
        <is>
          <t>2024</t>
        </is>
      </c>
      <c r="P7" s="111" t="n"/>
      <c r="Q7" s="111" t="n"/>
      <c r="R7" s="96" t="inlineStr">
        <is>
          <t>SWBT</t>
        </is>
      </c>
      <c r="S7" s="96" t="inlineStr">
        <is>
          <t>2616N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2026-10-16</t>
        </is>
      </c>
      <c r="W7" s="96" t="inlineStr">
        <is>
          <t>VNSGN</t>
        </is>
      </c>
      <c r="X7" s="161" t="inlineStr">
        <is>
          <t>2026-10-18</t>
        </is>
      </c>
      <c r="Y7" s="97" t="n"/>
      <c r="Z7" s="97" t="n"/>
      <c r="AA7" s="97" t="n"/>
      <c r="AB7" s="97" t="n"/>
      <c r="AC7" s="97" t="n"/>
      <c r="AD7" s="161" t="inlineStr">
        <is>
          <t>2026-10-14</t>
        </is>
      </c>
      <c r="AE7" s="174" t="inlineStr">
        <is>
          <t>1200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GC MARKETING SOLUTIONS VIETNAM</t>
        </is>
      </c>
      <c r="AK7" s="130" t="n"/>
    </row>
    <row r="8" ht="12" customHeight="1">
      <c r="A8" s="108" t="inlineStr">
        <is>
          <t>HALU2502400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1142</t>
        </is>
      </c>
      <c r="F8" s="96" t="inlineStr">
        <is>
          <t>HASLS22260901495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HASLS22260901495</t>
        </is>
      </c>
      <c r="N8" s="96" t="inlineStr">
        <is>
          <t xml:space="preserve">20'x17 </t>
        </is>
      </c>
      <c r="O8" s="111" t="inlineStr">
        <is>
          <t>2025</t>
        </is>
      </c>
      <c r="P8" s="111" t="n"/>
      <c r="Q8" s="111" t="n"/>
      <c r="R8" s="96" t="inlineStr">
        <is>
          <t>SWIC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2026-10-16</t>
        </is>
      </c>
      <c r="W8" s="96" t="inlineStr">
        <is>
          <t>JPUKB</t>
        </is>
      </c>
      <c r="X8" s="161" t="inlineStr">
        <is>
          <t>2026-10-27</t>
        </is>
      </c>
      <c r="Y8" s="97" t="n"/>
      <c r="Z8" s="97" t="n"/>
      <c r="AA8" s="97" t="n"/>
      <c r="AB8" s="97" t="n"/>
      <c r="AC8" s="97" t="n"/>
      <c r="AD8" s="161" t="inlineStr">
        <is>
          <t>2026-10-12</t>
        </is>
      </c>
      <c r="AE8" s="174" t="inlineStr">
        <is>
          <t>1616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MITSUBISHI CORPORATION PLASTICS LTD</t>
        </is>
      </c>
      <c r="AK8" s="130" t="n"/>
    </row>
    <row r="9" ht="12" customHeight="1">
      <c r="A9" s="108" t="inlineStr">
        <is>
          <t>HALU2512922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2026-10-14</t>
        </is>
      </c>
      <c r="E9" s="173" t="inlineStr">
        <is>
          <t>0818</t>
        </is>
      </c>
      <c r="F9" s="96" t="inlineStr">
        <is>
          <t>HASLS22260901330</t>
        </is>
      </c>
      <c r="G9" s="96" t="inlineStr">
        <is>
          <t>WHA GC LOGISTICS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HASLS22260901330</t>
        </is>
      </c>
      <c r="N9" s="96" t="inlineStr">
        <is>
          <t xml:space="preserve">20'x12 </t>
        </is>
      </c>
      <c r="O9" s="111" t="inlineStr">
        <is>
          <t>2025</t>
        </is>
      </c>
      <c r="P9" s="111" t="n"/>
      <c r="Q9" s="111" t="n"/>
      <c r="R9" s="96" t="inlineStr">
        <is>
          <t>SWBT</t>
        </is>
      </c>
      <c r="S9" s="96" t="inlineStr">
        <is>
          <t>2616N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2026-10-16</t>
        </is>
      </c>
      <c r="W9" s="96" t="inlineStr">
        <is>
          <t>VNSGN</t>
        </is>
      </c>
      <c r="X9" s="161" t="inlineStr">
        <is>
          <t>2026-10-18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1200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GC MARKETING SOLUTIONS VIETNAM</t>
        </is>
      </c>
      <c r="AK9" s="130" t="n"/>
    </row>
    <row r="10" ht="12" customHeight="1">
      <c r="A10" s="108" t="inlineStr">
        <is>
          <t>HALU2522807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2026-10-14</t>
        </is>
      </c>
      <c r="E10" s="173" t="inlineStr">
        <is>
          <t>0948</t>
        </is>
      </c>
      <c r="F10" s="96" t="inlineStr">
        <is>
          <t>HASLS22260901330</t>
        </is>
      </c>
      <c r="G10" s="96" t="inlineStr">
        <is>
          <t>WHA GC LOGISTICS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HASLS22260901330</t>
        </is>
      </c>
      <c r="N10" s="96" t="inlineStr">
        <is>
          <t xml:space="preserve">20'x12 </t>
        </is>
      </c>
      <c r="O10" s="111" t="inlineStr">
        <is>
          <t>2025</t>
        </is>
      </c>
      <c r="P10" s="111" t="n"/>
      <c r="Q10" s="111" t="n"/>
      <c r="R10" s="96" t="inlineStr">
        <is>
          <t>SWBT</t>
        </is>
      </c>
      <c r="S10" s="96" t="inlineStr">
        <is>
          <t>2616N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2026-10-16</t>
        </is>
      </c>
      <c r="W10" s="96" t="inlineStr">
        <is>
          <t>VNSGN</t>
        </is>
      </c>
      <c r="X10" s="161" t="inlineStr">
        <is>
          <t>2026-10-18</t>
        </is>
      </c>
      <c r="Y10" s="97" t="n"/>
      <c r="Z10" s="97" t="n"/>
      <c r="AA10" s="97" t="n"/>
      <c r="AB10" s="97" t="n"/>
      <c r="AC10" s="97" t="n"/>
      <c r="AD10" s="161" t="inlineStr">
        <is>
          <t>2026-10-14</t>
        </is>
      </c>
      <c r="AE10" s="174" t="inlineStr">
        <is>
          <t>1200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GC MARKETING SOLUTIONS VIETNAM</t>
        </is>
      </c>
      <c r="AK10" s="130" t="n"/>
    </row>
    <row r="11" ht="12" customHeight="1">
      <c r="A11" s="108" t="inlineStr">
        <is>
          <t>HALU2531645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2026-10-10</t>
        </is>
      </c>
      <c r="E11" s="173" t="inlineStr">
        <is>
          <t>1214</t>
        </is>
      </c>
      <c r="F11" s="96" t="inlineStr">
        <is>
          <t>HASLS22260901495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HASLS22260901495</t>
        </is>
      </c>
      <c r="N11" s="96" t="inlineStr">
        <is>
          <t xml:space="preserve">20'x17 </t>
        </is>
      </c>
      <c r="O11" s="111" t="inlineStr">
        <is>
          <t>2025</t>
        </is>
      </c>
      <c r="P11" s="111" t="n"/>
      <c r="Q11" s="111" t="n"/>
      <c r="R11" s="96" t="inlineStr">
        <is>
          <t>SWIC</t>
        </is>
      </c>
      <c r="S11" s="96" t="inlineStr">
        <is>
          <t>2611N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2026-10-16</t>
        </is>
      </c>
      <c r="W11" s="96" t="inlineStr">
        <is>
          <t>JPUKB</t>
        </is>
      </c>
      <c r="X11" s="161" t="inlineStr">
        <is>
          <t>2026-10-27</t>
        </is>
      </c>
      <c r="Y11" s="97" t="n"/>
      <c r="Z11" s="97" t="n"/>
      <c r="AA11" s="97" t="n"/>
      <c r="AB11" s="97" t="n"/>
      <c r="AC11" s="97" t="n"/>
      <c r="AD11" s="161" t="inlineStr">
        <is>
          <t>2026-10-10</t>
        </is>
      </c>
      <c r="AE11" s="174" t="inlineStr">
        <is>
          <t>1600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MITSUBISHI CORPORATION PLASTICS LTD</t>
        </is>
      </c>
      <c r="AK11" s="130" t="n"/>
    </row>
    <row r="12" ht="12" customHeight="1">
      <c r="A12" s="108" t="inlineStr">
        <is>
          <t>HALU2539672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2026-10-14</t>
        </is>
      </c>
      <c r="E12" s="173" t="inlineStr">
        <is>
          <t>0821</t>
        </is>
      </c>
      <c r="F12" s="96" t="inlineStr">
        <is>
          <t>HASLS22260901330</t>
        </is>
      </c>
      <c r="G12" s="96" t="inlineStr">
        <is>
          <t>WHA GC LOGISTICS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HASLS22260901330</t>
        </is>
      </c>
      <c r="N12" s="96" t="inlineStr">
        <is>
          <t xml:space="preserve">20'x12 </t>
        </is>
      </c>
      <c r="O12" s="111" t="inlineStr">
        <is>
          <t>2025</t>
        </is>
      </c>
      <c r="P12" s="111" t="n"/>
      <c r="Q12" s="111" t="n"/>
      <c r="R12" s="96" t="inlineStr">
        <is>
          <t>SWBT</t>
        </is>
      </c>
      <c r="S12" s="96" t="inlineStr">
        <is>
          <t>2616N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2026-10-16</t>
        </is>
      </c>
      <c r="W12" s="96" t="inlineStr">
        <is>
          <t>VNSGN</t>
        </is>
      </c>
      <c r="X12" s="161" t="inlineStr">
        <is>
          <t>2026-10-18</t>
        </is>
      </c>
      <c r="Y12" s="97" t="n"/>
      <c r="Z12" s="97" t="n"/>
      <c r="AA12" s="97" t="n"/>
      <c r="AB12" s="97" t="n"/>
      <c r="AC12" s="97" t="n"/>
      <c r="AD12" s="161" t="inlineStr">
        <is>
          <t>2026-10-14</t>
        </is>
      </c>
      <c r="AE12" s="174" t="inlineStr">
        <is>
          <t>1200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GC MARKETING SOLUTIONS VIETNAM</t>
        </is>
      </c>
      <c r="AK12" s="130" t="n"/>
    </row>
    <row r="13" ht="12" customHeight="1">
      <c r="A13" s="108" t="inlineStr">
        <is>
          <t>HALU2544508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2026-10-13</t>
        </is>
      </c>
      <c r="E13" s="173" t="inlineStr">
        <is>
          <t>1802</t>
        </is>
      </c>
      <c r="F13" s="96" t="inlineStr">
        <is>
          <t>HASLS22260901330</t>
        </is>
      </c>
      <c r="G13" s="96" t="inlineStr">
        <is>
          <t>WHA GC LOGISTICS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HASLS22260901330</t>
        </is>
      </c>
      <c r="N13" s="96" t="inlineStr">
        <is>
          <t xml:space="preserve">20'x12 </t>
        </is>
      </c>
      <c r="O13" s="111" t="inlineStr">
        <is>
          <t>2025</t>
        </is>
      </c>
      <c r="P13" s="111" t="n"/>
      <c r="Q13" s="111" t="n"/>
      <c r="R13" s="96" t="inlineStr">
        <is>
          <t>SWBT</t>
        </is>
      </c>
      <c r="S13" s="96" t="inlineStr">
        <is>
          <t>2616N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2026-10-16</t>
        </is>
      </c>
      <c r="W13" s="96" t="inlineStr">
        <is>
          <t>VNSGN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2026-10-13</t>
        </is>
      </c>
      <c r="AE13" s="174" t="inlineStr">
        <is>
          <t>2200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GC MARKETING SOLUTIONS VIETNAM</t>
        </is>
      </c>
      <c r="AK13" s="130" t="n"/>
    </row>
    <row r="14" ht="12" customHeight="1">
      <c r="A14" s="108" t="inlineStr">
        <is>
          <t>HALU2547111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2026-10-14</t>
        </is>
      </c>
      <c r="E14" s="173" t="inlineStr">
        <is>
          <t>0241</t>
        </is>
      </c>
      <c r="F14" s="96" t="inlineStr">
        <is>
          <t>HASLS22260901330</t>
        </is>
      </c>
      <c r="G14" s="96" t="inlineStr">
        <is>
          <t>WHA GC LOGISTICS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HASLS22260901330</t>
        </is>
      </c>
      <c r="N14" s="96" t="inlineStr">
        <is>
          <t xml:space="preserve">20'x12 </t>
        </is>
      </c>
      <c r="O14" s="111" t="inlineStr">
        <is>
          <t>2025</t>
        </is>
      </c>
      <c r="P14" s="111" t="n"/>
      <c r="Q14" s="111" t="n"/>
      <c r="R14" s="96" t="inlineStr">
        <is>
          <t>SWBT</t>
        </is>
      </c>
      <c r="S14" s="96" t="inlineStr">
        <is>
          <t>2616N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2026-10-16</t>
        </is>
      </c>
      <c r="W14" s="96" t="inlineStr">
        <is>
          <t>VNSGN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2026-10-14</t>
        </is>
      </c>
      <c r="AE14" s="174" t="inlineStr">
        <is>
          <t>0601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GC MARKETING SOLUTIONS VIETNAM</t>
        </is>
      </c>
      <c r="AK14" s="130" t="n"/>
    </row>
    <row r="15" ht="12" customHeight="1">
      <c r="A15" s="108" t="inlineStr">
        <is>
          <t>HALU2569229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2026-10-11</t>
        </is>
      </c>
      <c r="E15" s="173" t="inlineStr">
        <is>
          <t>0605</t>
        </is>
      </c>
      <c r="F15" s="96" t="inlineStr">
        <is>
          <t>HASLS22260901495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HASLS22260901495</t>
        </is>
      </c>
      <c r="N15" s="96" t="inlineStr">
        <is>
          <t xml:space="preserve">20'x17 </t>
        </is>
      </c>
      <c r="O15" s="111" t="inlineStr">
        <is>
          <t>2025</t>
        </is>
      </c>
      <c r="P15" s="111" t="n"/>
      <c r="Q15" s="111" t="n"/>
      <c r="R15" s="96" t="inlineStr">
        <is>
          <t>SWIC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2026-10-16</t>
        </is>
      </c>
      <c r="W15" s="96" t="inlineStr">
        <is>
          <t>JPUKB</t>
        </is>
      </c>
      <c r="X15" s="161" t="inlineStr">
        <is>
          <t>2026-10-27</t>
        </is>
      </c>
      <c r="Y15" s="97" t="n"/>
      <c r="Z15" s="97" t="n"/>
      <c r="AA15" s="97" t="n"/>
      <c r="AB15" s="97" t="n"/>
      <c r="AC15" s="97" t="n"/>
      <c r="AD15" s="161" t="inlineStr">
        <is>
          <t>2026-10-11</t>
        </is>
      </c>
      <c r="AE15" s="174" t="inlineStr">
        <is>
          <t>1000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MITSUBISHI CORPORATION PLASTICS LTD</t>
        </is>
      </c>
      <c r="AK15" s="130" t="n"/>
    </row>
    <row r="16" ht="12" customHeight="1">
      <c r="A16" s="108" t="inlineStr">
        <is>
          <t>HALU2589400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2026-10-14</t>
        </is>
      </c>
      <c r="E16" s="173" t="inlineStr">
        <is>
          <t>0237</t>
        </is>
      </c>
      <c r="F16" s="96" t="inlineStr">
        <is>
          <t>HASLS22260901330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HASLS22260901330</t>
        </is>
      </c>
      <c r="N16" s="96" t="inlineStr">
        <is>
          <t xml:space="preserve">20'x12 </t>
        </is>
      </c>
      <c r="O16" s="111" t="inlineStr">
        <is>
          <t>2025</t>
        </is>
      </c>
      <c r="P16" s="111" t="n"/>
      <c r="Q16" s="111" t="n"/>
      <c r="R16" s="96" t="inlineStr">
        <is>
          <t>SWBT</t>
        </is>
      </c>
      <c r="S16" s="96" t="inlineStr">
        <is>
          <t>2616N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2026-10-16</t>
        </is>
      </c>
      <c r="W16" s="96" t="inlineStr">
        <is>
          <t>VNSGN</t>
        </is>
      </c>
      <c r="X16" s="161" t="inlineStr">
        <is>
          <t>2026-10-18</t>
        </is>
      </c>
      <c r="Y16" s="97" t="n"/>
      <c r="Z16" s="97" t="n"/>
      <c r="AA16" s="97" t="n"/>
      <c r="AB16" s="97" t="n"/>
      <c r="AC16" s="97" t="n"/>
      <c r="AD16" s="161" t="inlineStr">
        <is>
          <t>2026-10-14</t>
        </is>
      </c>
      <c r="AE16" s="174" t="inlineStr">
        <is>
          <t>0601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GC MARKETING SOLUTIONS VIETNAM</t>
        </is>
      </c>
      <c r="AK16" s="130" t="n"/>
    </row>
    <row r="17" ht="12" customHeight="1">
      <c r="A17" s="108" t="inlineStr">
        <is>
          <t>HLHU6410971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2026-10-13</t>
        </is>
      </c>
      <c r="E17" s="173" t="inlineStr">
        <is>
          <t>2047</t>
        </is>
      </c>
      <c r="F17" s="96" t="inlineStr">
        <is>
          <t>HASLS22260901872</t>
        </is>
      </c>
      <c r="G17" s="96" t="inlineStr">
        <is>
          <t>SAMSUNG SDS GLOBAL SCL (THAILAND) CO.,LTD.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HASLS22260901872</t>
        </is>
      </c>
      <c r="N17" s="96" t="inlineStr">
        <is>
          <t xml:space="preserve">40Hx7 </t>
        </is>
      </c>
      <c r="O17" s="111" t="inlineStr">
        <is>
          <t>2024</t>
        </is>
      </c>
      <c r="P17" s="111" t="n"/>
      <c r="Q17" s="111" t="n"/>
      <c r="R17" s="96" t="inlineStr">
        <is>
          <t>SWBT</t>
        </is>
      </c>
      <c r="S17" s="96" t="inlineStr">
        <is>
          <t>2616N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2026-10-16</t>
        </is>
      </c>
      <c r="W17" s="96" t="inlineStr">
        <is>
          <t>KRPTK</t>
        </is>
      </c>
      <c r="X17" s="161" t="inlineStr">
        <is>
          <t>2026-10-24</t>
        </is>
      </c>
      <c r="Y17" s="97" t="n"/>
      <c r="Z17" s="97" t="n"/>
      <c r="AA17" s="97" t="n"/>
      <c r="AB17" s="97" t="n"/>
      <c r="AC17" s="97" t="n"/>
      <c r="AD17" s="161" t="inlineStr">
        <is>
          <t>2026-10-14</t>
        </is>
      </c>
      <c r="AE17" s="174" t="inlineStr">
        <is>
          <t>0000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SAMSUNG ELECTRONICS CO.,LTD</t>
        </is>
      </c>
      <c r="AK17" s="130" t="n"/>
    </row>
    <row r="18" ht="12" customHeight="1">
      <c r="A18" s="108" t="inlineStr">
        <is>
          <t>SKHU6314790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1518</t>
        </is>
      </c>
      <c r="F18" s="96" t="inlineStr">
        <is>
          <t>HASLS22260901872</t>
        </is>
      </c>
      <c r="G18" s="96" t="inlineStr">
        <is>
          <t>SAMSUNG SDS GLOBAL SCL (THAILAND) CO.,LTD.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HASLS22260901872</t>
        </is>
      </c>
      <c r="N18" s="96" t="inlineStr">
        <is>
          <t xml:space="preserve">40Hx7 </t>
        </is>
      </c>
      <c r="O18" s="111" t="inlineStr">
        <is>
          <t>2023</t>
        </is>
      </c>
      <c r="P18" s="111" t="n"/>
      <c r="Q18" s="111" t="n"/>
      <c r="R18" s="96" t="inlineStr">
        <is>
          <t>SWBT</t>
        </is>
      </c>
      <c r="S18" s="96" t="inlineStr">
        <is>
          <t>2616N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2026-10-16</t>
        </is>
      </c>
      <c r="W18" s="96" t="inlineStr">
        <is>
          <t>KRPTK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1800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SAMSUNG ELECTRONICS CO.,LTD</t>
        </is>
      </c>
      <c r="AK18" s="130" t="n"/>
    </row>
    <row r="19" ht="12" customHeight="1">
      <c r="A19" s="108" t="inlineStr">
        <is>
          <t>SKHU6336470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2026-10-12</t>
        </is>
      </c>
      <c r="E19" s="173" t="inlineStr">
        <is>
          <t>0504</t>
        </is>
      </c>
      <c r="F19" s="96" t="inlineStr">
        <is>
          <t>HASLS22260901579</t>
        </is>
      </c>
      <c r="G19" s="96" t="inlineStr">
        <is>
          <t>SAMSUNG SDS GLOBAL SCL (THAILAND) CO.,LTD.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HASLS22260901579</t>
        </is>
      </c>
      <c r="N19" s="96" t="inlineStr">
        <is>
          <t xml:space="preserve">40Hx7 </t>
        </is>
      </c>
      <c r="O19" s="111" t="inlineStr">
        <is>
          <t>2023</t>
        </is>
      </c>
      <c r="P19" s="111" t="n"/>
      <c r="Q19" s="111" t="n"/>
      <c r="R19" s="96" t="inlineStr">
        <is>
          <t>SWBT</t>
        </is>
      </c>
      <c r="S19" s="96" t="inlineStr">
        <is>
          <t>2616N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2026-10-16</t>
        </is>
      </c>
      <c r="W19" s="96" t="inlineStr">
        <is>
          <t>KRPTK</t>
        </is>
      </c>
      <c r="X19" s="161" t="inlineStr">
        <is>
          <t>2026-10-24</t>
        </is>
      </c>
      <c r="Y19" s="97" t="n"/>
      <c r="Z19" s="97" t="n"/>
      <c r="AA19" s="97" t="n"/>
      <c r="AB19" s="97" t="n"/>
      <c r="AC19" s="97" t="n"/>
      <c r="AD19" s="161" t="inlineStr">
        <is>
          <t>2026-10-12</t>
        </is>
      </c>
      <c r="AE19" s="174" t="inlineStr">
        <is>
          <t>0801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SAMSUNG ELECTRONICS CO.,LTD</t>
        </is>
      </c>
      <c r="AK19" s="130" t="n"/>
    </row>
    <row r="20" ht="12" customHeight="1">
      <c r="A20" s="108" t="inlineStr">
        <is>
          <t>SKHU6406881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2026-10-12</t>
        </is>
      </c>
      <c r="E20" s="173" t="inlineStr">
        <is>
          <t>0542</t>
        </is>
      </c>
      <c r="F20" s="96" t="inlineStr">
        <is>
          <t>HASLS22260901579</t>
        </is>
      </c>
      <c r="G20" s="96" t="inlineStr">
        <is>
          <t>SAMSUNG SDS GLOBAL SCL (THAILAND) CO.,LTD.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HASLS22260901579</t>
        </is>
      </c>
      <c r="N20" s="96" t="inlineStr">
        <is>
          <t xml:space="preserve">40Hx7 </t>
        </is>
      </c>
      <c r="O20" s="111" t="inlineStr">
        <is>
          <t>2024</t>
        </is>
      </c>
      <c r="P20" s="111" t="n"/>
      <c r="Q20" s="111" t="n"/>
      <c r="R20" s="96" t="inlineStr">
        <is>
          <t>SWBT</t>
        </is>
      </c>
      <c r="S20" s="96" t="inlineStr">
        <is>
          <t>2616N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2026-10-16</t>
        </is>
      </c>
      <c r="W20" s="96" t="inlineStr">
        <is>
          <t>KRPTK</t>
        </is>
      </c>
      <c r="X20" s="161" t="inlineStr">
        <is>
          <t>2026-10-24</t>
        </is>
      </c>
      <c r="Y20" s="97" t="n"/>
      <c r="Z20" s="97" t="n"/>
      <c r="AA20" s="97" t="n"/>
      <c r="AB20" s="97" t="n"/>
      <c r="AC20" s="97" t="n"/>
      <c r="AD20" s="161" t="inlineStr">
        <is>
          <t>2026-10-12</t>
        </is>
      </c>
      <c r="AE20" s="174" t="inlineStr">
        <is>
          <t>0801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SAMSUNG ELECTRONICS CO.,LTD</t>
        </is>
      </c>
      <c r="AK20" s="130" t="n"/>
    </row>
    <row r="21" ht="12" customHeight="1">
      <c r="A21" s="108" t="inlineStr">
        <is>
          <t>SKHU6418476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2026-10-12</t>
        </is>
      </c>
      <c r="E21" s="173" t="inlineStr">
        <is>
          <t>0213</t>
        </is>
      </c>
      <c r="F21" s="96" t="inlineStr">
        <is>
          <t>HASLS22260901872</t>
        </is>
      </c>
      <c r="G21" s="96" t="inlineStr">
        <is>
          <t>SAMSUNG SDS GLOBAL SCL (THAILAND) CO.,LTD.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HASLS22260901872</t>
        </is>
      </c>
      <c r="N21" s="96" t="inlineStr">
        <is>
          <t xml:space="preserve">40Hx7 </t>
        </is>
      </c>
      <c r="O21" s="111" t="inlineStr">
        <is>
          <t>2024</t>
        </is>
      </c>
      <c r="P21" s="111" t="n"/>
      <c r="Q21" s="111" t="n"/>
      <c r="R21" s="96" t="inlineStr">
        <is>
          <t>SWBT</t>
        </is>
      </c>
      <c r="S21" s="96" t="inlineStr">
        <is>
          <t>2616N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2026-10-16</t>
        </is>
      </c>
      <c r="W21" s="96" t="inlineStr">
        <is>
          <t>KRPTK</t>
        </is>
      </c>
      <c r="X21" s="161" t="inlineStr">
        <is>
          <t>2026-10-24</t>
        </is>
      </c>
      <c r="Y21" s="97" t="n"/>
      <c r="Z21" s="97" t="n"/>
      <c r="AA21" s="97" t="n"/>
      <c r="AB21" s="97" t="n"/>
      <c r="AC21" s="97" t="n"/>
      <c r="AD21" s="161" t="inlineStr">
        <is>
          <t>2026-10-12</t>
        </is>
      </c>
      <c r="AE21" s="174" t="inlineStr">
        <is>
          <t>0602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SAMSUNG ELECTRONICS CO.,LTD</t>
        </is>
      </c>
      <c r="AK21" s="130" t="n"/>
    </row>
    <row r="22" ht="12" customHeight="1">
      <c r="A22" s="108" t="inlineStr">
        <is>
          <t>SKHU6435426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2026-10-13</t>
        </is>
      </c>
      <c r="E22" s="173" t="inlineStr">
        <is>
          <t>1947</t>
        </is>
      </c>
      <c r="F22" s="96" t="inlineStr">
        <is>
          <t>HASLS22260901872</t>
        </is>
      </c>
      <c r="G22" s="96" t="inlineStr">
        <is>
          <t>SAMSUNG SDS GLOBAL SCL (THAILAND) CO.,LTD.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HASLS22260901872</t>
        </is>
      </c>
      <c r="N22" s="96" t="inlineStr">
        <is>
          <t xml:space="preserve">40Hx7 </t>
        </is>
      </c>
      <c r="O22" s="111" t="inlineStr">
        <is>
          <t>2024</t>
        </is>
      </c>
      <c r="P22" s="111" t="n"/>
      <c r="Q22" s="111" t="n"/>
      <c r="R22" s="96" t="inlineStr">
        <is>
          <t>SWBT</t>
        </is>
      </c>
      <c r="S22" s="96" t="inlineStr">
        <is>
          <t>2616N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2026-10-16</t>
        </is>
      </c>
      <c r="W22" s="96" t="inlineStr">
        <is>
          <t>KRPTK</t>
        </is>
      </c>
      <c r="X22" s="161" t="inlineStr">
        <is>
          <t>2026-10-24</t>
        </is>
      </c>
      <c r="Y22" s="97" t="n"/>
      <c r="Z22" s="97" t="n"/>
      <c r="AA22" s="97" t="n"/>
      <c r="AB22" s="97" t="n"/>
      <c r="AC22" s="97" t="n"/>
      <c r="AD22" s="161" t="inlineStr">
        <is>
          <t>2026-10-13</t>
        </is>
      </c>
      <c r="AE22" s="174" t="inlineStr">
        <is>
          <t>2200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SAMSUNG ELECTRONICS CO.,LTD</t>
        </is>
      </c>
      <c r="AK22" s="130" t="n"/>
    </row>
    <row r="23" ht="12" customHeight="1">
      <c r="A23" s="108" t="inlineStr">
        <is>
          <t>SKHU6528004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2026-10-13</t>
        </is>
      </c>
      <c r="E23" s="173" t="inlineStr">
        <is>
          <t>0758</t>
        </is>
      </c>
      <c r="F23" s="96" t="inlineStr">
        <is>
          <t>HASLS22261000563</t>
        </is>
      </c>
      <c r="G23" s="96" t="inlineStr">
        <is>
          <t>ROYAL SUVARNABHUMI LOGISTIC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HASLS22261000563</t>
        </is>
      </c>
      <c r="N23" s="96" t="inlineStr">
        <is>
          <t xml:space="preserve">40Hx1 </t>
        </is>
      </c>
      <c r="O23" s="111" t="inlineStr">
        <is>
          <t>2025</t>
        </is>
      </c>
      <c r="P23" s="111" t="n"/>
      <c r="Q23" s="111" t="n"/>
      <c r="R23" s="96" t="inlineStr">
        <is>
          <t>SWBT</t>
        </is>
      </c>
      <c r="S23" s="96" t="inlineStr">
        <is>
          <t>2616N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2026-10-18</t>
        </is>
      </c>
      <c r="Y23" s="97" t="n"/>
      <c r="Z23" s="97" t="n"/>
      <c r="AA23" s="97" t="n"/>
      <c r="AB23" s="97" t="n"/>
      <c r="AC23" s="97" t="n"/>
      <c r="AD23" s="161" t="inlineStr">
        <is>
          <t>2026-10-13</t>
        </is>
      </c>
      <c r="AE23" s="174" t="inlineStr">
        <is>
          <t>1001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VIETRANS INT'L FREIGHT FORWARDER .,</t>
        </is>
      </c>
      <c r="AK23" s="130" t="n"/>
    </row>
    <row r="24" ht="12" customHeight="1">
      <c r="A24" s="108" t="inlineStr">
        <is>
          <t>SKHU6556876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0508</t>
        </is>
      </c>
      <c r="F24" s="96" t="inlineStr">
        <is>
          <t>HASLS22260901579</t>
        </is>
      </c>
      <c r="G24" s="96" t="inlineStr">
        <is>
          <t>SAMSUNG SDS GLOBAL SCL (THAILAND) CO.,LTD.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HASLS22260901579</t>
        </is>
      </c>
      <c r="N24" s="96" t="inlineStr">
        <is>
          <t xml:space="preserve">40Hx7 </t>
        </is>
      </c>
      <c r="O24" s="111" t="inlineStr">
        <is>
          <t>2025</t>
        </is>
      </c>
      <c r="P24" s="111" t="n"/>
      <c r="Q24" s="111" t="n"/>
      <c r="R24" s="96" t="inlineStr">
        <is>
          <t>SWBT</t>
        </is>
      </c>
      <c r="S24" s="96" t="inlineStr">
        <is>
          <t>2616N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2026-10-16</t>
        </is>
      </c>
      <c r="W24" s="96" t="inlineStr">
        <is>
          <t>KRPTK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2026-10-12</t>
        </is>
      </c>
      <c r="AE24" s="174" t="inlineStr">
        <is>
          <t>0801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SAMSUNG ELECTRONICS CO.,LTD</t>
        </is>
      </c>
      <c r="AK24" s="130" t="n"/>
    </row>
    <row r="25" ht="12" customHeight="1">
      <c r="A25" s="108" t="inlineStr">
        <is>
          <t>SKHU6622828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2026-10-13</t>
        </is>
      </c>
      <c r="E25" s="173" t="inlineStr">
        <is>
          <t>2243</t>
        </is>
      </c>
      <c r="F25" s="96" t="inlineStr">
        <is>
          <t>HASLS22260901872</t>
        </is>
      </c>
      <c r="G25" s="96" t="inlineStr">
        <is>
          <t>SAMSUNG SDS GLOBAL SCL (THAILAND) CO.,LTD.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HASLS22260901872</t>
        </is>
      </c>
      <c r="N25" s="96" t="inlineStr">
        <is>
          <t xml:space="preserve">40Hx7 </t>
        </is>
      </c>
      <c r="O25" s="111" t="inlineStr">
        <is>
          <t>2026</t>
        </is>
      </c>
      <c r="P25" s="111" t="n"/>
      <c r="Q25" s="111" t="n"/>
      <c r="R25" s="96" t="inlineStr">
        <is>
          <t>SWBT</t>
        </is>
      </c>
      <c r="S25" s="96" t="inlineStr">
        <is>
          <t>2616N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2026-10-16</t>
        </is>
      </c>
      <c r="W25" s="96" t="inlineStr">
        <is>
          <t>KRPTK</t>
        </is>
      </c>
      <c r="X25" s="161" t="inlineStr">
        <is>
          <t>2026-10-24</t>
        </is>
      </c>
      <c r="Y25" s="97" t="n"/>
      <c r="Z25" s="97" t="n"/>
      <c r="AA25" s="97" t="n"/>
      <c r="AB25" s="97" t="n"/>
      <c r="AC25" s="97" t="n"/>
      <c r="AD25" s="161" t="inlineStr">
        <is>
          <t>2026-10-14</t>
        </is>
      </c>
      <c r="AE25" s="174" t="inlineStr">
        <is>
          <t>0200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SAMSUNG ELECTRONICS CO.,LTD</t>
        </is>
      </c>
      <c r="AK25" s="130" t="n"/>
    </row>
    <row r="26" ht="12" customHeight="1">
      <c r="A26" s="108" t="inlineStr">
        <is>
          <t>SKHU9208848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2026-10-14</t>
        </is>
      </c>
      <c r="E26" s="173" t="inlineStr">
        <is>
          <t>2323</t>
        </is>
      </c>
      <c r="F26" s="96" t="inlineStr">
        <is>
          <t>HASLS22260901462</t>
        </is>
      </c>
      <c r="G26" s="96" t="inlineStr">
        <is>
          <t>SDS-ACUTECH CO., 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HASLS22260901462</t>
        </is>
      </c>
      <c r="N26" s="96" t="inlineStr">
        <is>
          <t xml:space="preserve">40Hx2 </t>
        </is>
      </c>
      <c r="O26" s="111" t="inlineStr">
        <is>
          <t>2012</t>
        </is>
      </c>
      <c r="P26" s="111" t="n"/>
      <c r="Q26" s="111" t="n"/>
      <c r="R26" s="96" t="inlineStr">
        <is>
          <t>SWBT</t>
        </is>
      </c>
      <c r="S26" s="96" t="inlineStr">
        <is>
          <t>2616N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2026-10-16</t>
        </is>
      </c>
      <c r="W26" s="96" t="inlineStr">
        <is>
          <t>KRPTK</t>
        </is>
      </c>
      <c r="X26" s="161" t="inlineStr">
        <is>
          <t>2026-10-24</t>
        </is>
      </c>
      <c r="Y26" s="97" t="n"/>
      <c r="Z26" s="97" t="n"/>
      <c r="AA26" s="97" t="n"/>
      <c r="AB26" s="97" t="n"/>
      <c r="AC26" s="97" t="n"/>
      <c r="AD26" s="161" t="inlineStr">
        <is>
          <t>2026-10-15</t>
        </is>
      </c>
      <c r="AE26" s="174" t="inlineStr">
        <is>
          <t>0200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SAMSUNG ELECTRONICS CO.,LTD</t>
        </is>
      </c>
      <c r="AK26" s="130" t="n"/>
    </row>
    <row r="27" ht="12" customHeight="1">
      <c r="A27" s="108" t="inlineStr">
        <is>
          <t>SKHU9511540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2026-10-12</t>
        </is>
      </c>
      <c r="E27" s="173" t="inlineStr">
        <is>
          <t>0305</t>
        </is>
      </c>
      <c r="F27" s="96" t="inlineStr">
        <is>
          <t>HASLS22260901579</t>
        </is>
      </c>
      <c r="G27" s="96" t="inlineStr">
        <is>
          <t>SAMSUNG SDS GLOBAL SCL (THAILAND) CO.,LTD.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HASLS22260901579</t>
        </is>
      </c>
      <c r="N27" s="96" t="inlineStr">
        <is>
          <t xml:space="preserve">40Hx7 </t>
        </is>
      </c>
      <c r="O27" s="111" t="inlineStr">
        <is>
          <t>2015</t>
        </is>
      </c>
      <c r="P27" s="111" t="n"/>
      <c r="Q27" s="111" t="n"/>
      <c r="R27" s="96" t="inlineStr">
        <is>
          <t>SWBT</t>
        </is>
      </c>
      <c r="S27" s="96" t="inlineStr">
        <is>
          <t>2616N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2026-10-16</t>
        </is>
      </c>
      <c r="W27" s="96" t="inlineStr">
        <is>
          <t>KRPTK</t>
        </is>
      </c>
      <c r="X27" s="161" t="inlineStr">
        <is>
          <t>2026-10-24</t>
        </is>
      </c>
      <c r="Y27" s="97" t="n"/>
      <c r="Z27" s="97" t="n"/>
      <c r="AA27" s="97" t="n"/>
      <c r="AB27" s="97" t="n"/>
      <c r="AC27" s="97" t="n"/>
      <c r="AD27" s="161" t="inlineStr">
        <is>
          <t>2026-10-12</t>
        </is>
      </c>
      <c r="AE27" s="174" t="inlineStr">
        <is>
          <t>0602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SAMSUNG ELECTRONICS CO.,LTD</t>
        </is>
      </c>
      <c r="AK27" s="130" t="n"/>
    </row>
    <row r="28" ht="12" customHeight="1">
      <c r="A28" s="108" t="inlineStr">
        <is>
          <t>SKHU9520500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2026-10-15</t>
        </is>
      </c>
      <c r="E28" s="173" t="inlineStr">
        <is>
          <t>2233</t>
        </is>
      </c>
      <c r="F28" s="96" t="inlineStr">
        <is>
          <t>HASLS22260902169</t>
        </is>
      </c>
      <c r="G28" s="96" t="inlineStr">
        <is>
          <t>H &amp; FRIENDS GTL (THAILAND)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HASLS22260902169</t>
        </is>
      </c>
      <c r="N28" s="96" t="inlineStr">
        <is>
          <t xml:space="preserve">40Hx1 </t>
        </is>
      </c>
      <c r="O28" s="111" t="inlineStr">
        <is>
          <t>2015</t>
        </is>
      </c>
      <c r="P28" s="111" t="n"/>
      <c r="Q28" s="111" t="n"/>
      <c r="R28" s="96" t="inlineStr">
        <is>
          <t>SWBT</t>
        </is>
      </c>
      <c r="S28" s="96" t="inlineStr">
        <is>
          <t>2616N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2026-10-16</t>
        </is>
      </c>
      <c r="W28" s="96" t="inlineStr">
        <is>
          <t>KRINC</t>
        </is>
      </c>
      <c r="X28" s="161" t="inlineStr">
        <is>
          <t>2026-10-25</t>
        </is>
      </c>
      <c r="Y28" s="97" t="n"/>
      <c r="Z28" s="97" t="n"/>
      <c r="AA28" s="97" t="n"/>
      <c r="AB28" s="97" t="n"/>
      <c r="AC28" s="97" t="n"/>
      <c r="AD28" s="161" t="inlineStr">
        <is>
          <t>2026-10-16</t>
        </is>
      </c>
      <c r="AE28" s="174" t="inlineStr">
        <is>
          <t>0200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KWAY LOGIS CO.,LTD.</t>
        </is>
      </c>
      <c r="AK28" s="130" t="n"/>
    </row>
    <row r="29" ht="12" customHeight="1">
      <c r="A29" s="108" t="inlineStr">
        <is>
          <t>SKHU9614169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2026-10-12</t>
        </is>
      </c>
      <c r="E29" s="173" t="inlineStr">
        <is>
          <t>0310</t>
        </is>
      </c>
      <c r="F29" s="96" t="inlineStr">
        <is>
          <t>HASLS22260901579</t>
        </is>
      </c>
      <c r="G29" s="96" t="inlineStr">
        <is>
          <t>SAMSUNG SDS GLOBAL SCL (THAILAND) CO.,LTD.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HASLS22260901579</t>
        </is>
      </c>
      <c r="N29" s="96" t="inlineStr">
        <is>
          <t xml:space="preserve">40Hx7 </t>
        </is>
      </c>
      <c r="O29" s="111" t="inlineStr">
        <is>
          <t>2016</t>
        </is>
      </c>
      <c r="P29" s="111" t="n"/>
      <c r="Q29" s="111" t="n"/>
      <c r="R29" s="96" t="inlineStr">
        <is>
          <t>SWBT</t>
        </is>
      </c>
      <c r="S29" s="96" t="inlineStr">
        <is>
          <t>2616N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2026-10-16</t>
        </is>
      </c>
      <c r="W29" s="96" t="inlineStr">
        <is>
          <t>KRPTK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2026-10-12</t>
        </is>
      </c>
      <c r="AE29" s="174" t="inlineStr">
        <is>
          <t>0602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SAMSUNG ELECTRONICS CO.,LTD</t>
        </is>
      </c>
      <c r="AK29" s="130" t="n"/>
    </row>
    <row r="30" ht="12" customHeight="1">
      <c r="A30" s="108" t="inlineStr">
        <is>
          <t>SKHU9904300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2026-10-12</t>
        </is>
      </c>
      <c r="E30" s="173" t="inlineStr">
        <is>
          <t>0309</t>
        </is>
      </c>
      <c r="F30" s="96" t="inlineStr">
        <is>
          <t>HASLS22260901579</t>
        </is>
      </c>
      <c r="G30" s="96" t="inlineStr">
        <is>
          <t>SAMSUNG SDS GLOBAL SCL (THAILAND) CO.,LTD.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HASLS22260901579</t>
        </is>
      </c>
      <c r="N30" s="96" t="inlineStr">
        <is>
          <t xml:space="preserve">40Hx7 </t>
        </is>
      </c>
      <c r="O30" s="111" t="inlineStr">
        <is>
          <t>2019</t>
        </is>
      </c>
      <c r="P30" s="111" t="n"/>
      <c r="Q30" s="111" t="n"/>
      <c r="R30" s="96" t="inlineStr">
        <is>
          <t>SWBT</t>
        </is>
      </c>
      <c r="S30" s="96" t="inlineStr">
        <is>
          <t>2616N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2026-10-16</t>
        </is>
      </c>
      <c r="W30" s="96" t="inlineStr">
        <is>
          <t>KRPTK</t>
        </is>
      </c>
      <c r="X30" s="161" t="inlineStr">
        <is>
          <t>2026-10-24</t>
        </is>
      </c>
      <c r="Y30" s="97" t="n"/>
      <c r="Z30" s="97" t="n"/>
      <c r="AA30" s="97" t="n"/>
      <c r="AB30" s="97" t="n"/>
      <c r="AC30" s="97" t="n"/>
      <c r="AD30" s="161" t="inlineStr">
        <is>
          <t>2026-10-12</t>
        </is>
      </c>
      <c r="AE30" s="174" t="inlineStr">
        <is>
          <t>0602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SAMSUNG ELECTRONICS CO.,LTD</t>
        </is>
      </c>
      <c r="AK30" s="130" t="n"/>
    </row>
    <row r="31" ht="12" customHeight="1">
      <c r="A31" s="108" t="inlineStr">
        <is>
          <t>SKHU9942949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2026-10-13</t>
        </is>
      </c>
      <c r="E31" s="173" t="inlineStr">
        <is>
          <t>0958</t>
        </is>
      </c>
      <c r="F31" s="96" t="inlineStr">
        <is>
          <t>HASLS22260901462</t>
        </is>
      </c>
      <c r="G31" s="96" t="inlineStr">
        <is>
          <t>SDS-ACUTECH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HASLS22260901462</t>
        </is>
      </c>
      <c r="N31" s="96" t="inlineStr">
        <is>
          <t xml:space="preserve">40Hx2 </t>
        </is>
      </c>
      <c r="O31" s="111" t="inlineStr">
        <is>
          <t>2019</t>
        </is>
      </c>
      <c r="P31" s="111" t="n"/>
      <c r="Q31" s="111" t="n"/>
      <c r="R31" s="96" t="inlineStr">
        <is>
          <t>SWBT</t>
        </is>
      </c>
      <c r="S31" s="96" t="inlineStr">
        <is>
          <t>2616N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2026-10-16</t>
        </is>
      </c>
      <c r="W31" s="96" t="inlineStr">
        <is>
          <t>KRPTK</t>
        </is>
      </c>
      <c r="X31" s="161" t="inlineStr">
        <is>
          <t>2026-10-24</t>
        </is>
      </c>
      <c r="Y31" s="97" t="n"/>
      <c r="Z31" s="97" t="n"/>
      <c r="AA31" s="97" t="n"/>
      <c r="AB31" s="97" t="n"/>
      <c r="AC31" s="97" t="n"/>
      <c r="AD31" s="161" t="inlineStr">
        <is>
          <t>2026-10-13</t>
        </is>
      </c>
      <c r="AE31" s="174" t="inlineStr">
        <is>
          <t>1200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SAMSUNG ELECTRONICS CO.,LTD</t>
        </is>
      </c>
      <c r="AK31" s="130" t="n"/>
    </row>
    <row r="32" ht="12" customHeight="1">
      <c r="A32" s="108" t="inlineStr">
        <is>
          <t>SKHU9944520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2026-10-12</t>
        </is>
      </c>
      <c r="E32" s="173" t="inlineStr">
        <is>
          <t>0511</t>
        </is>
      </c>
      <c r="F32" s="96" t="inlineStr">
        <is>
          <t>HASLS22260901579</t>
        </is>
      </c>
      <c r="G32" s="96" t="inlineStr">
        <is>
          <t>SAMSUNG SDS GLOBAL SCL (THAILAND) CO.,LTD.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HASLS22260901579</t>
        </is>
      </c>
      <c r="N32" s="96" t="inlineStr">
        <is>
          <t xml:space="preserve">40Hx7 </t>
        </is>
      </c>
      <c r="O32" s="111" t="inlineStr">
        <is>
          <t>2019</t>
        </is>
      </c>
      <c r="P32" s="111" t="n"/>
      <c r="Q32" s="111" t="n"/>
      <c r="R32" s="96" t="inlineStr">
        <is>
          <t>SWBT</t>
        </is>
      </c>
      <c r="S32" s="96" t="inlineStr">
        <is>
          <t>2616N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2026-10-16</t>
        </is>
      </c>
      <c r="W32" s="96" t="inlineStr">
        <is>
          <t>KRPTK</t>
        </is>
      </c>
      <c r="X32" s="161" t="inlineStr">
        <is>
          <t>2026-10-24</t>
        </is>
      </c>
      <c r="Y32" s="97" t="n"/>
      <c r="Z32" s="97" t="n"/>
      <c r="AA32" s="97" t="n"/>
      <c r="AB32" s="97" t="n"/>
      <c r="AC32" s="97" t="n"/>
      <c r="AD32" s="161" t="inlineStr">
        <is>
          <t>2026-10-12</t>
        </is>
      </c>
      <c r="AE32" s="174" t="inlineStr">
        <is>
          <t>0801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SAMSUNG ELECTRONICS CO.,LTD</t>
        </is>
      </c>
      <c r="AK32" s="130" t="n"/>
    </row>
    <row r="33" ht="12" customHeight="1">
      <c r="A33" s="108" t="inlineStr">
        <is>
          <t>SKHU9959480</t>
        </is>
      </c>
      <c r="B33" s="108" t="inlineStr">
        <is>
          <t>LCH04</t>
        </is>
      </c>
      <c r="C33" s="108" t="inlineStr">
        <is>
          <t>IFV</t>
        </is>
      </c>
      <c r="D33" s="172" t="inlineStr">
        <is>
          <t>2026-10-12</t>
        </is>
      </c>
      <c r="E33" s="173" t="inlineStr">
        <is>
          <t>0643</t>
        </is>
      </c>
      <c r="F33" s="96" t="inlineStr">
        <is>
          <t>HASLS22260901872</t>
        </is>
      </c>
      <c r="G33" s="96" t="inlineStr">
        <is>
          <t>SAMSUNG SDS GLOBAL SCL (THAILAND) CO.,LTD.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HASLS22260901872</t>
        </is>
      </c>
      <c r="N33" s="96" t="inlineStr">
        <is>
          <t xml:space="preserve">40Hx7 </t>
        </is>
      </c>
      <c r="O33" s="111" t="inlineStr">
        <is>
          <t>2019</t>
        </is>
      </c>
      <c r="P33" s="111" t="n"/>
      <c r="Q33" s="111" t="n"/>
      <c r="R33" s="96" t="inlineStr">
        <is>
          <t>SWBT</t>
        </is>
      </c>
      <c r="S33" s="96" t="inlineStr">
        <is>
          <t>2616N</t>
        </is>
      </c>
      <c r="T33" s="96" t="inlineStr">
        <is>
          <t>LCH04</t>
        </is>
      </c>
      <c r="U33" s="96" t="inlineStr">
        <is>
          <t>THLCH</t>
        </is>
      </c>
      <c r="V33" s="161" t="inlineStr">
        <is>
          <t>2026-10-16</t>
        </is>
      </c>
      <c r="W33" s="96" t="inlineStr">
        <is>
          <t>KRPTK</t>
        </is>
      </c>
      <c r="X33" s="161" t="inlineStr">
        <is>
          <t>2026-10-24</t>
        </is>
      </c>
      <c r="Y33" s="97" t="n"/>
      <c r="Z33" s="97" t="n"/>
      <c r="AA33" s="97" t="n"/>
      <c r="AB33" s="97" t="n"/>
      <c r="AC33" s="97" t="n"/>
      <c r="AD33" s="161" t="inlineStr">
        <is>
          <t>2026-10-12</t>
        </is>
      </c>
      <c r="AE33" s="174" t="inlineStr">
        <is>
          <t>1000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SAMSUNG ELECTRONICS CO.,LTD</t>
        </is>
      </c>
      <c r="AK33" s="130" t="n"/>
    </row>
    <row r="34" ht="12" customHeight="1">
      <c r="A34" s="108" t="inlineStr">
        <is>
          <t>SKHU9967818</t>
        </is>
      </c>
      <c r="B34" s="108" t="inlineStr">
        <is>
          <t>LCH04</t>
        </is>
      </c>
      <c r="C34" s="108" t="inlineStr">
        <is>
          <t>IFV</t>
        </is>
      </c>
      <c r="D34" s="172" t="inlineStr">
        <is>
          <t>2026-10-12</t>
        </is>
      </c>
      <c r="E34" s="173" t="inlineStr">
        <is>
          <t>0518</t>
        </is>
      </c>
      <c r="F34" s="96" t="inlineStr">
        <is>
          <t>HASLS22260901872</t>
        </is>
      </c>
      <c r="G34" s="96" t="inlineStr">
        <is>
          <t>SAMSUNG SDS GLOBAL SCL (THAILAND) CO.,LTD.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HASLS22260901872</t>
        </is>
      </c>
      <c r="N34" s="96" t="inlineStr">
        <is>
          <t xml:space="preserve">40Hx7 </t>
        </is>
      </c>
      <c r="O34" s="111" t="inlineStr">
        <is>
          <t>2019</t>
        </is>
      </c>
      <c r="P34" s="111" t="n"/>
      <c r="Q34" s="111" t="n"/>
      <c r="R34" s="96" t="inlineStr">
        <is>
          <t>SWBT</t>
        </is>
      </c>
      <c r="S34" s="96" t="inlineStr">
        <is>
          <t>2616N</t>
        </is>
      </c>
      <c r="T34" s="96" t="inlineStr">
        <is>
          <t>LCH04</t>
        </is>
      </c>
      <c r="U34" s="96" t="inlineStr">
        <is>
          <t>THLCH</t>
        </is>
      </c>
      <c r="V34" s="161" t="inlineStr">
        <is>
          <t>2026-10-16</t>
        </is>
      </c>
      <c r="W34" s="96" t="inlineStr">
        <is>
          <t>KRPTK</t>
        </is>
      </c>
      <c r="X34" s="161" t="inlineStr">
        <is>
          <t>2026-10-24</t>
        </is>
      </c>
      <c r="Y34" s="97" t="n"/>
      <c r="Z34" s="97" t="n"/>
      <c r="AA34" s="97" t="n"/>
      <c r="AB34" s="97" t="n"/>
      <c r="AC34" s="97" t="n"/>
      <c r="AD34" s="161" t="inlineStr">
        <is>
          <t>2026-10-12</t>
        </is>
      </c>
      <c r="AE34" s="174" t="inlineStr">
        <is>
          <t>0801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SAMSUNG ELECTRONICS CO.,LTD</t>
        </is>
      </c>
      <c r="AK34" s="130" t="n"/>
    </row>
    <row r="35" ht="12" customHeight="1">
      <c r="A35" s="108" t="inlineStr">
        <is>
          <t>SKLU0581165</t>
        </is>
      </c>
      <c r="B35" s="108" t="inlineStr">
        <is>
          <t>LCH04</t>
        </is>
      </c>
      <c r="C35" s="108" t="inlineStr">
        <is>
          <t>IFV</t>
        </is>
      </c>
      <c r="D35" s="172" t="inlineStr">
        <is>
          <t>2026-10-14</t>
        </is>
      </c>
      <c r="E35" s="173" t="inlineStr">
        <is>
          <t>0824</t>
        </is>
      </c>
      <c r="F35" s="96" t="inlineStr">
        <is>
          <t>HASLS22260901330</t>
        </is>
      </c>
      <c r="G35" s="96" t="inlineStr">
        <is>
          <t>WHA GC LOGISTICS COMPANY LIMITED</t>
        </is>
      </c>
      <c r="H35" s="111" t="inlineStr">
        <is>
          <t>22GP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HASLS22260901330</t>
        </is>
      </c>
      <c r="N35" s="96" t="inlineStr">
        <is>
          <t xml:space="preserve">20'x12 </t>
        </is>
      </c>
      <c r="O35" s="111" t="inlineStr">
        <is>
          <t>2025</t>
        </is>
      </c>
      <c r="P35" s="111" t="n"/>
      <c r="Q35" s="111" t="n"/>
      <c r="R35" s="96" t="inlineStr">
        <is>
          <t>SWBT</t>
        </is>
      </c>
      <c r="S35" s="96" t="inlineStr">
        <is>
          <t>2616N</t>
        </is>
      </c>
      <c r="T35" s="96" t="inlineStr">
        <is>
          <t>LCH04</t>
        </is>
      </c>
      <c r="U35" s="96" t="inlineStr">
        <is>
          <t>THLCH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2026-10-14</t>
        </is>
      </c>
      <c r="AE35" s="174" t="inlineStr">
        <is>
          <t>1200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GC MARKETING SOLUTIONS VIETNAM</t>
        </is>
      </c>
      <c r="AK35" s="130" t="n"/>
    </row>
    <row r="36" ht="12" customHeight="1">
      <c r="A36" s="108" t="inlineStr">
        <is>
          <t>SKLU1437194</t>
        </is>
      </c>
      <c r="B36" s="108" t="inlineStr">
        <is>
          <t>LCH04</t>
        </is>
      </c>
      <c r="C36" s="108" t="inlineStr">
        <is>
          <t>IFV</t>
        </is>
      </c>
      <c r="D36" s="172" t="inlineStr">
        <is>
          <t>2026-10-10</t>
        </is>
      </c>
      <c r="E36" s="173" t="inlineStr">
        <is>
          <t>1535</t>
        </is>
      </c>
      <c r="F36" s="96" t="inlineStr">
        <is>
          <t>HASLS22260901495</t>
        </is>
      </c>
      <c r="G36" s="96" t="inlineStr">
        <is>
          <t>WHA GC LOGISTICS COMPANY LIMITED</t>
        </is>
      </c>
      <c r="H36" s="111" t="inlineStr">
        <is>
          <t>22GP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HASLS22260901495</t>
        </is>
      </c>
      <c r="N36" s="96" t="inlineStr">
        <is>
          <t xml:space="preserve">20'x17 </t>
        </is>
      </c>
      <c r="O36" s="111" t="inlineStr">
        <is>
          <t>2014</t>
        </is>
      </c>
      <c r="P36" s="111" t="n"/>
      <c r="Q36" s="111" t="n"/>
      <c r="R36" s="96" t="inlineStr">
        <is>
          <t>SWIC</t>
        </is>
      </c>
      <c r="S36" s="96" t="inlineStr">
        <is>
          <t>2611N</t>
        </is>
      </c>
      <c r="T36" s="96" t="inlineStr">
        <is>
          <t>LCH04</t>
        </is>
      </c>
      <c r="U36" s="96" t="inlineStr">
        <is>
          <t>THLCH</t>
        </is>
      </c>
      <c r="V36" s="161" t="inlineStr">
        <is>
          <t>2026-10-16</t>
        </is>
      </c>
      <c r="W36" s="96" t="inlineStr">
        <is>
          <t>JPUKB</t>
        </is>
      </c>
      <c r="X36" s="161" t="inlineStr">
        <is>
          <t>2026-10-27</t>
        </is>
      </c>
      <c r="Y36" s="97" t="n"/>
      <c r="Z36" s="97" t="n"/>
      <c r="AA36" s="97" t="n"/>
      <c r="AB36" s="97" t="n"/>
      <c r="AC36" s="97" t="n"/>
      <c r="AD36" s="161" t="inlineStr">
        <is>
          <t>2026-10-10</t>
        </is>
      </c>
      <c r="AE36" s="174" t="inlineStr">
        <is>
          <t>1800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MITSUBISHI CORPORATION PLASTICS LTD</t>
        </is>
      </c>
      <c r="AK36" s="130" t="n"/>
    </row>
    <row r="37" ht="12" customHeight="1">
      <c r="A37" s="108" t="inlineStr">
        <is>
          <t>SKLU1549050</t>
        </is>
      </c>
      <c r="B37" s="108" t="inlineStr">
        <is>
          <t>LCH04</t>
        </is>
      </c>
      <c r="C37" s="108" t="inlineStr">
        <is>
          <t>IFV</t>
        </is>
      </c>
      <c r="D37" s="172" t="inlineStr">
        <is>
          <t>2026-10-10</t>
        </is>
      </c>
      <c r="E37" s="173" t="inlineStr">
        <is>
          <t>1533</t>
        </is>
      </c>
      <c r="F37" s="96" t="inlineStr">
        <is>
          <t>HASLS22260901495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HASLS22260901495</t>
        </is>
      </c>
      <c r="N37" s="96" t="inlineStr">
        <is>
          <t xml:space="preserve">20'x17 </t>
        </is>
      </c>
      <c r="O37" s="111" t="inlineStr">
        <is>
          <t>2015</t>
        </is>
      </c>
      <c r="P37" s="111" t="n"/>
      <c r="Q37" s="111" t="n"/>
      <c r="R37" s="96" t="inlineStr">
        <is>
          <t>SWIC</t>
        </is>
      </c>
      <c r="S37" s="96" t="inlineStr">
        <is>
          <t>2611N</t>
        </is>
      </c>
      <c r="T37" s="96" t="inlineStr">
        <is>
          <t>LCH04</t>
        </is>
      </c>
      <c r="U37" s="96" t="inlineStr">
        <is>
          <t>THLCH</t>
        </is>
      </c>
      <c r="V37" s="161" t="inlineStr">
        <is>
          <t>2026-10-16</t>
        </is>
      </c>
      <c r="W37" s="96" t="inlineStr">
        <is>
          <t>JPUKB</t>
        </is>
      </c>
      <c r="X37" s="161" t="inlineStr">
        <is>
          <t>2026-10-27</t>
        </is>
      </c>
      <c r="Y37" s="97" t="n"/>
      <c r="Z37" s="97" t="n"/>
      <c r="AA37" s="97" t="n"/>
      <c r="AB37" s="97" t="n"/>
      <c r="AC37" s="97" t="n"/>
      <c r="AD37" s="161" t="inlineStr">
        <is>
          <t>2026-10-10</t>
        </is>
      </c>
      <c r="AE37" s="174" t="inlineStr">
        <is>
          <t>1800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MITSUBISHI CORPORATION PLASTICS LTD</t>
        </is>
      </c>
      <c r="AK37" s="130" t="n"/>
    </row>
    <row r="38" ht="12" customHeight="1">
      <c r="A38" s="108" t="inlineStr">
        <is>
          <t>SKLU1557327</t>
        </is>
      </c>
      <c r="B38" s="108" t="inlineStr">
        <is>
          <t>LCH04</t>
        </is>
      </c>
      <c r="C38" s="108" t="inlineStr">
        <is>
          <t>IFV</t>
        </is>
      </c>
      <c r="D38" s="172" t="inlineStr">
        <is>
          <t>2026-10-13</t>
        </is>
      </c>
      <c r="E38" s="173" t="inlineStr">
        <is>
          <t>0750</t>
        </is>
      </c>
      <c r="F38" s="96" t="inlineStr">
        <is>
          <t>HASLS22260901495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HASLS22260901495</t>
        </is>
      </c>
      <c r="N38" s="96" t="inlineStr">
        <is>
          <t xml:space="preserve">20'x17 </t>
        </is>
      </c>
      <c r="O38" s="111" t="inlineStr">
        <is>
          <t>2015</t>
        </is>
      </c>
      <c r="P38" s="111" t="n"/>
      <c r="Q38" s="111" t="n"/>
      <c r="R38" s="96" t="inlineStr">
        <is>
          <t>SWIC</t>
        </is>
      </c>
      <c r="S38" s="96" t="inlineStr">
        <is>
          <t>2611N</t>
        </is>
      </c>
      <c r="T38" s="96" t="inlineStr">
        <is>
          <t>LCH04</t>
        </is>
      </c>
      <c r="U38" s="96" t="inlineStr">
        <is>
          <t>THLCH</t>
        </is>
      </c>
      <c r="V38" s="161" t="inlineStr">
        <is>
          <t>2026-10-16</t>
        </is>
      </c>
      <c r="W38" s="96" t="inlineStr">
        <is>
          <t>JPUKB</t>
        </is>
      </c>
      <c r="X38" s="161" t="inlineStr">
        <is>
          <t>2026-10-27</t>
        </is>
      </c>
      <c r="Y38" s="97" t="n"/>
      <c r="Z38" s="97" t="n"/>
      <c r="AA38" s="97" t="n"/>
      <c r="AB38" s="97" t="n"/>
      <c r="AC38" s="97" t="n"/>
      <c r="AD38" s="161" t="inlineStr">
        <is>
          <t>2026-10-13</t>
        </is>
      </c>
      <c r="AE38" s="174" t="inlineStr">
        <is>
          <t>1001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MITSUBISHI CORPORATION PLASTICS LTD</t>
        </is>
      </c>
      <c r="AK38" s="130" t="n"/>
    </row>
    <row r="39" ht="12" customHeight="1">
      <c r="A39" s="108" t="inlineStr">
        <is>
          <t>SKLU1605596</t>
        </is>
      </c>
      <c r="B39" s="108" t="inlineStr">
        <is>
          <t>LCH04</t>
        </is>
      </c>
      <c r="C39" s="108" t="inlineStr">
        <is>
          <t>IFV</t>
        </is>
      </c>
      <c r="D39" s="172" t="inlineStr">
        <is>
          <t>2026-10-13</t>
        </is>
      </c>
      <c r="E39" s="173" t="inlineStr">
        <is>
          <t>0206</t>
        </is>
      </c>
      <c r="F39" s="96" t="inlineStr">
        <is>
          <t>HASLS22260902208</t>
        </is>
      </c>
      <c r="G39" s="96" t="inlineStr">
        <is>
          <t>DOW CHEMICAL THAILAND LTD.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HASLS22260902208</t>
        </is>
      </c>
      <c r="N39" s="96" t="inlineStr">
        <is>
          <t xml:space="preserve">20'x1 </t>
        </is>
      </c>
      <c r="O39" s="111" t="inlineStr">
        <is>
          <t>2016</t>
        </is>
      </c>
      <c r="P39" s="111" t="n"/>
      <c r="Q39" s="111" t="n"/>
      <c r="R39" s="96" t="inlineStr">
        <is>
          <t>SWBT</t>
        </is>
      </c>
      <c r="S39" s="96" t="inlineStr">
        <is>
          <t>2616N</t>
        </is>
      </c>
      <c r="T39" s="96" t="inlineStr">
        <is>
          <t>LCH04</t>
        </is>
      </c>
      <c r="U39" s="96" t="inlineStr">
        <is>
          <t>THLCH</t>
        </is>
      </c>
      <c r="V39" s="161" t="inlineStr">
        <is>
          <t>2026-10-16</t>
        </is>
      </c>
      <c r="W39" s="96" t="inlineStr">
        <is>
          <t>JPTOS</t>
        </is>
      </c>
      <c r="X39" s="161" t="inlineStr">
        <is>
          <t>2026-10-27</t>
        </is>
      </c>
      <c r="Y39" s="97" t="n"/>
      <c r="Z39" s="97" t="n"/>
      <c r="AA39" s="97" t="n"/>
      <c r="AB39" s="97" t="n"/>
      <c r="AC39" s="97" t="n"/>
      <c r="AD39" s="161" t="inlineStr">
        <is>
          <t>2026-10-13</t>
        </is>
      </c>
      <c r="AE39" s="174" t="inlineStr">
        <is>
          <t>0600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TOMOE ENGINEERING CO., LTD.</t>
        </is>
      </c>
      <c r="AK39" s="130" t="n"/>
    </row>
    <row r="40" ht="12" customHeight="1">
      <c r="A40" s="108" t="inlineStr">
        <is>
          <t>SKLU1807318</t>
        </is>
      </c>
      <c r="B40" s="108" t="inlineStr">
        <is>
          <t>LCH04</t>
        </is>
      </c>
      <c r="C40" s="108" t="inlineStr">
        <is>
          <t>IFV</t>
        </is>
      </c>
      <c r="D40" s="172" t="inlineStr">
        <is>
          <t>2026-10-13</t>
        </is>
      </c>
      <c r="E40" s="173" t="inlineStr">
        <is>
          <t>0239</t>
        </is>
      </c>
      <c r="F40" s="96" t="inlineStr">
        <is>
          <t>HASLS22260901495</t>
        </is>
      </c>
      <c r="G40" s="96" t="inlineStr">
        <is>
          <t>WHA GC LOGISTICS COMPANY LIMITED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HASLS22260901495</t>
        </is>
      </c>
      <c r="N40" s="96" t="inlineStr">
        <is>
          <t xml:space="preserve">20'x17 </t>
        </is>
      </c>
      <c r="O40" s="111" t="inlineStr">
        <is>
          <t>2018</t>
        </is>
      </c>
      <c r="P40" s="111" t="n"/>
      <c r="Q40" s="111" t="n"/>
      <c r="R40" s="96" t="inlineStr">
        <is>
          <t>SWIC</t>
        </is>
      </c>
      <c r="S40" s="96" t="inlineStr">
        <is>
          <t>2611N</t>
        </is>
      </c>
      <c r="T40" s="96" t="inlineStr">
        <is>
          <t>LCH04</t>
        </is>
      </c>
      <c r="U40" s="96" t="inlineStr">
        <is>
          <t>THLCH</t>
        </is>
      </c>
      <c r="V40" s="161" t="inlineStr">
        <is>
          <t>2026-10-16</t>
        </is>
      </c>
      <c r="W40" s="96" t="inlineStr">
        <is>
          <t>JPUKB</t>
        </is>
      </c>
      <c r="X40" s="161" t="inlineStr">
        <is>
          <t>2026-10-27</t>
        </is>
      </c>
      <c r="Y40" s="97" t="n"/>
      <c r="Z40" s="97" t="n"/>
      <c r="AA40" s="97" t="n"/>
      <c r="AB40" s="97" t="n"/>
      <c r="AC40" s="97" t="n"/>
      <c r="AD40" s="161" t="inlineStr">
        <is>
          <t>2026-10-13</t>
        </is>
      </c>
      <c r="AE40" s="174" t="inlineStr">
        <is>
          <t>0600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MITSUBISHI CORPORATION PLASTICS LTD</t>
        </is>
      </c>
      <c r="AK40" s="130" t="n"/>
    </row>
    <row r="41" ht="12" customHeight="1">
      <c r="A41" s="108" t="inlineStr">
        <is>
          <t>SKLU1965524</t>
        </is>
      </c>
      <c r="B41" s="108" t="inlineStr">
        <is>
          <t>LCH04</t>
        </is>
      </c>
      <c r="C41" s="108" t="inlineStr">
        <is>
          <t>IFV</t>
        </is>
      </c>
      <c r="D41" s="172" t="inlineStr">
        <is>
          <t>2026-10-10</t>
        </is>
      </c>
      <c r="E41" s="173" t="inlineStr">
        <is>
          <t>1212</t>
        </is>
      </c>
      <c r="F41" s="96" t="inlineStr">
        <is>
          <t>HASLS22260901495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HASLS22260901495</t>
        </is>
      </c>
      <c r="N41" s="96" t="inlineStr">
        <is>
          <t xml:space="preserve">20'x17 </t>
        </is>
      </c>
      <c r="O41" s="111" t="inlineStr">
        <is>
          <t>2019</t>
        </is>
      </c>
      <c r="P41" s="111" t="n"/>
      <c r="Q41" s="111" t="n"/>
      <c r="R41" s="96" t="inlineStr">
        <is>
          <t>SWIC</t>
        </is>
      </c>
      <c r="S41" s="96" t="inlineStr">
        <is>
          <t>2611N</t>
        </is>
      </c>
      <c r="T41" s="96" t="inlineStr">
        <is>
          <t>LCH04</t>
        </is>
      </c>
      <c r="U41" s="96" t="inlineStr">
        <is>
          <t>THLCH</t>
        </is>
      </c>
      <c r="V41" s="161" t="inlineStr">
        <is>
          <t>2026-10-16</t>
        </is>
      </c>
      <c r="W41" s="96" t="inlineStr">
        <is>
          <t>JPUKB</t>
        </is>
      </c>
      <c r="X41" s="161" t="inlineStr">
        <is>
          <t>2026-10-27</t>
        </is>
      </c>
      <c r="Y41" s="97" t="n"/>
      <c r="Z41" s="97" t="n"/>
      <c r="AA41" s="97" t="n"/>
      <c r="AB41" s="97" t="n"/>
      <c r="AC41" s="97" t="n"/>
      <c r="AD41" s="161" t="inlineStr">
        <is>
          <t>2026-10-10</t>
        </is>
      </c>
      <c r="AE41" s="174" t="inlineStr">
        <is>
          <t>1600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MITSUBISHI CORPORATION PLASTICS LTD</t>
        </is>
      </c>
      <c r="AK41" s="130" t="n"/>
    </row>
    <row r="42" ht="12" customHeight="1">
      <c r="A42" s="108" t="inlineStr">
        <is>
          <t>SKLU2022720</t>
        </is>
      </c>
      <c r="B42" s="108" t="inlineStr">
        <is>
          <t>LCH04</t>
        </is>
      </c>
      <c r="C42" s="108" t="inlineStr">
        <is>
          <t>IFV</t>
        </is>
      </c>
      <c r="D42" s="172" t="inlineStr">
        <is>
          <t>2026-10-11</t>
        </is>
      </c>
      <c r="E42" s="173" t="inlineStr">
        <is>
          <t>0610</t>
        </is>
      </c>
      <c r="F42" s="96" t="inlineStr">
        <is>
          <t>HASLS22260901495</t>
        </is>
      </c>
      <c r="G42" s="96" t="inlineStr">
        <is>
          <t>WHA GC LOGISTICS COMPANY LIMITED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HASLS22260901495</t>
        </is>
      </c>
      <c r="N42" s="96" t="inlineStr">
        <is>
          <t xml:space="preserve">20'x17 </t>
        </is>
      </c>
      <c r="O42" s="111" t="inlineStr">
        <is>
          <t>2019</t>
        </is>
      </c>
      <c r="P42" s="111" t="n"/>
      <c r="Q42" s="111" t="n"/>
      <c r="R42" s="96" t="inlineStr">
        <is>
          <t>SWIC</t>
        </is>
      </c>
      <c r="S42" s="96" t="inlineStr">
        <is>
          <t>2611N</t>
        </is>
      </c>
      <c r="T42" s="96" t="inlineStr">
        <is>
          <t>LCH04</t>
        </is>
      </c>
      <c r="U42" s="96" t="inlineStr">
        <is>
          <t>THLCH</t>
        </is>
      </c>
      <c r="V42" s="161" t="inlineStr">
        <is>
          <t>2026-10-16</t>
        </is>
      </c>
      <c r="W42" s="96" t="inlineStr">
        <is>
          <t>JPUKB</t>
        </is>
      </c>
      <c r="X42" s="161" t="inlineStr">
        <is>
          <t>2026-10-27</t>
        </is>
      </c>
      <c r="Y42" s="97" t="n"/>
      <c r="Z42" s="97" t="n"/>
      <c r="AA42" s="97" t="n"/>
      <c r="AB42" s="97" t="n"/>
      <c r="AC42" s="97" t="n"/>
      <c r="AD42" s="161" t="inlineStr">
        <is>
          <t>2026-10-11</t>
        </is>
      </c>
      <c r="AE42" s="174" t="inlineStr">
        <is>
          <t>1000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MITSUBISHI CORPORATION PLASTICS LTD</t>
        </is>
      </c>
      <c r="AK42" s="130" t="n"/>
    </row>
    <row r="43" ht="12" customHeight="1">
      <c r="A43" s="108" t="inlineStr">
        <is>
          <t>SKLU2025036</t>
        </is>
      </c>
      <c r="B43" s="108" t="inlineStr">
        <is>
          <t>LCH04</t>
        </is>
      </c>
      <c r="C43" s="108" t="inlineStr">
        <is>
          <t>IFV</t>
        </is>
      </c>
      <c r="D43" s="172" t="inlineStr">
        <is>
          <t>2026-10-13</t>
        </is>
      </c>
      <c r="E43" s="173" t="inlineStr">
        <is>
          <t>0747</t>
        </is>
      </c>
      <c r="F43" s="96" t="inlineStr">
        <is>
          <t>HASLS22260901495</t>
        </is>
      </c>
      <c r="G43" s="96" t="inlineStr">
        <is>
          <t>WHA GC LOGISTICS COMPANY LIMITED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HASLS22260901495</t>
        </is>
      </c>
      <c r="N43" s="96" t="inlineStr">
        <is>
          <t xml:space="preserve">20'x17 </t>
        </is>
      </c>
      <c r="O43" s="111" t="inlineStr">
        <is>
          <t>2019</t>
        </is>
      </c>
      <c r="P43" s="111" t="n"/>
      <c r="Q43" s="111" t="n"/>
      <c r="R43" s="96" t="inlineStr">
        <is>
          <t>SWIC</t>
        </is>
      </c>
      <c r="S43" s="96" t="inlineStr">
        <is>
          <t>2611N</t>
        </is>
      </c>
      <c r="T43" s="96" t="inlineStr">
        <is>
          <t>LCH04</t>
        </is>
      </c>
      <c r="U43" s="96" t="inlineStr">
        <is>
          <t>THLCH</t>
        </is>
      </c>
      <c r="V43" s="161" t="inlineStr">
        <is>
          <t>2026-10-16</t>
        </is>
      </c>
      <c r="W43" s="96" t="inlineStr">
        <is>
          <t>JPUKB</t>
        </is>
      </c>
      <c r="X43" s="161" t="inlineStr">
        <is>
          <t>2026-10-27</t>
        </is>
      </c>
      <c r="Y43" s="97" t="n"/>
      <c r="Z43" s="97" t="n"/>
      <c r="AA43" s="97" t="n"/>
      <c r="AB43" s="97" t="n"/>
      <c r="AC43" s="97" t="n"/>
      <c r="AD43" s="161" t="inlineStr">
        <is>
          <t>2026-10-13</t>
        </is>
      </c>
      <c r="AE43" s="174" t="inlineStr">
        <is>
          <t>1001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MITSUBISHI CORPORATION PLASTICS LTD</t>
        </is>
      </c>
      <c r="AK43" s="130" t="n"/>
    </row>
    <row r="44" ht="12" customHeight="1">
      <c r="A44" s="108" t="inlineStr">
        <is>
          <t>SKLU2056090</t>
        </is>
      </c>
      <c r="B44" s="108" t="inlineStr">
        <is>
          <t>LCH04</t>
        </is>
      </c>
      <c r="C44" s="108" t="inlineStr">
        <is>
          <t>IFV</t>
        </is>
      </c>
      <c r="D44" s="172" t="inlineStr">
        <is>
          <t>2026-10-12</t>
        </is>
      </c>
      <c r="E44" s="173" t="inlineStr">
        <is>
          <t>1139</t>
        </is>
      </c>
      <c r="F44" s="96" t="inlineStr">
        <is>
          <t>HASLS22260901495</t>
        </is>
      </c>
      <c r="G44" s="96" t="inlineStr">
        <is>
          <t>WHA GC LOGISTICS COMPANY LIMITED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HASLS22260901495</t>
        </is>
      </c>
      <c r="N44" s="96" t="inlineStr">
        <is>
          <t xml:space="preserve">20'x17 </t>
        </is>
      </c>
      <c r="O44" s="111" t="inlineStr">
        <is>
          <t>2019</t>
        </is>
      </c>
      <c r="P44" s="111" t="n"/>
      <c r="Q44" s="111" t="n"/>
      <c r="R44" s="96" t="inlineStr">
        <is>
          <t>SWIC</t>
        </is>
      </c>
      <c r="S44" s="96" t="inlineStr">
        <is>
          <t>2611N</t>
        </is>
      </c>
      <c r="T44" s="96" t="inlineStr">
        <is>
          <t>LCH04</t>
        </is>
      </c>
      <c r="U44" s="96" t="inlineStr">
        <is>
          <t>THLCH</t>
        </is>
      </c>
      <c r="V44" s="161" t="inlineStr">
        <is>
          <t>2026-10-16</t>
        </is>
      </c>
      <c r="W44" s="96" t="inlineStr">
        <is>
          <t>JPUKB</t>
        </is>
      </c>
      <c r="X44" s="161" t="inlineStr">
        <is>
          <t>2026-10-27</t>
        </is>
      </c>
      <c r="Y44" s="97" t="n"/>
      <c r="Z44" s="97" t="n"/>
      <c r="AA44" s="97" t="n"/>
      <c r="AB44" s="97" t="n"/>
      <c r="AC44" s="97" t="n"/>
      <c r="AD44" s="161" t="inlineStr">
        <is>
          <t>2026-10-12</t>
        </is>
      </c>
      <c r="AE44" s="174" t="inlineStr">
        <is>
          <t>1616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MITSUBISHI CORPORATION PLASTICS LTD</t>
        </is>
      </c>
      <c r="AK44" s="130" t="n"/>
    </row>
    <row r="45" ht="12" customHeight="1">
      <c r="A45" s="108" t="inlineStr">
        <is>
          <t>SKLU2127547</t>
        </is>
      </c>
      <c r="B45" s="108" t="inlineStr">
        <is>
          <t>LCH04</t>
        </is>
      </c>
      <c r="C45" s="108" t="inlineStr">
        <is>
          <t>IFV</t>
        </is>
      </c>
      <c r="D45" s="172" t="inlineStr">
        <is>
          <t>2026-10-14</t>
        </is>
      </c>
      <c r="E45" s="173" t="inlineStr">
        <is>
          <t>0806</t>
        </is>
      </c>
      <c r="F45" s="96" t="inlineStr">
        <is>
          <t>HASLS22260901495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HASLS22260901495</t>
        </is>
      </c>
      <c r="N45" s="96" t="inlineStr">
        <is>
          <t xml:space="preserve">20'x17 </t>
        </is>
      </c>
      <c r="O45" s="111" t="inlineStr">
        <is>
          <t>2021</t>
        </is>
      </c>
      <c r="P45" s="111" t="n"/>
      <c r="Q45" s="111" t="n"/>
      <c r="R45" s="96" t="inlineStr">
        <is>
          <t>SWIC</t>
        </is>
      </c>
      <c r="S45" s="96" t="inlineStr">
        <is>
          <t>2611N</t>
        </is>
      </c>
      <c r="T45" s="96" t="inlineStr">
        <is>
          <t>LCH04</t>
        </is>
      </c>
      <c r="U45" s="96" t="inlineStr">
        <is>
          <t>THLCH</t>
        </is>
      </c>
      <c r="V45" s="161" t="inlineStr">
        <is>
          <t>2026-10-16</t>
        </is>
      </c>
      <c r="W45" s="96" t="inlineStr">
        <is>
          <t>JPUKB</t>
        </is>
      </c>
      <c r="X45" s="161" t="inlineStr">
        <is>
          <t>2026-10-27</t>
        </is>
      </c>
      <c r="Y45" s="97" t="n"/>
      <c r="Z45" s="97" t="n"/>
      <c r="AA45" s="97" t="n"/>
      <c r="AB45" s="97" t="n"/>
      <c r="AC45" s="97" t="n"/>
      <c r="AD45" s="161" t="inlineStr">
        <is>
          <t>2026-10-14</t>
        </is>
      </c>
      <c r="AE45" s="174" t="inlineStr">
        <is>
          <t>1200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MITSUBISHI CORPORATION PLASTICS LTD</t>
        </is>
      </c>
      <c r="AK45" s="130" t="n"/>
    </row>
    <row r="46" ht="12" customHeight="1">
      <c r="A46" s="108" t="inlineStr">
        <is>
          <t>SKLU2336784</t>
        </is>
      </c>
      <c r="B46" s="108" t="inlineStr">
        <is>
          <t>LCH04</t>
        </is>
      </c>
      <c r="C46" s="108" t="inlineStr">
        <is>
          <t>IFV</t>
        </is>
      </c>
      <c r="D46" s="172" t="inlineStr">
        <is>
          <t>2026-10-14</t>
        </is>
      </c>
      <c r="E46" s="173" t="inlineStr">
        <is>
          <t>0810</t>
        </is>
      </c>
      <c r="F46" s="96" t="inlineStr">
        <is>
          <t>HASLS22260901495</t>
        </is>
      </c>
      <c r="G46" s="96" t="inlineStr">
        <is>
          <t>WHA GC LOGISTICS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HASLS22260901495</t>
        </is>
      </c>
      <c r="N46" s="96" t="inlineStr">
        <is>
          <t xml:space="preserve">20'x17 </t>
        </is>
      </c>
      <c r="O46" s="111" t="inlineStr">
        <is>
          <t>2023</t>
        </is>
      </c>
      <c r="P46" s="111" t="n"/>
      <c r="Q46" s="111" t="n"/>
      <c r="R46" s="96" t="inlineStr">
        <is>
          <t>SWIC</t>
        </is>
      </c>
      <c r="S46" s="96" t="inlineStr">
        <is>
          <t>2611N</t>
        </is>
      </c>
      <c r="T46" s="96" t="inlineStr">
        <is>
          <t>LCH04</t>
        </is>
      </c>
      <c r="U46" s="96" t="inlineStr">
        <is>
          <t>THLCH</t>
        </is>
      </c>
      <c r="V46" s="161" t="inlineStr">
        <is>
          <t>2026-10-16</t>
        </is>
      </c>
      <c r="W46" s="96" t="inlineStr">
        <is>
          <t>JPUKB</t>
        </is>
      </c>
      <c r="X46" s="161" t="inlineStr">
        <is>
          <t>2026-10-27</t>
        </is>
      </c>
      <c r="Y46" s="97" t="n"/>
      <c r="Z46" s="97" t="n"/>
      <c r="AA46" s="97" t="n"/>
      <c r="AB46" s="97" t="n"/>
      <c r="AC46" s="97" t="n"/>
      <c r="AD46" s="161" t="inlineStr">
        <is>
          <t>2026-10-14</t>
        </is>
      </c>
      <c r="AE46" s="174" t="inlineStr">
        <is>
          <t>1200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MITSUBISHI CORPORATION PLASTICS LTD</t>
        </is>
      </c>
      <c r="AK46" s="130" t="n"/>
    </row>
    <row r="47" ht="12" customHeight="1">
      <c r="A47" s="108" t="inlineStr">
        <is>
          <t>SKLU2361149</t>
        </is>
      </c>
      <c r="B47" s="108" t="inlineStr">
        <is>
          <t>LCH04</t>
        </is>
      </c>
      <c r="C47" s="108" t="inlineStr">
        <is>
          <t>IFV</t>
        </is>
      </c>
      <c r="D47" s="172" t="inlineStr">
        <is>
          <t>2026-10-12</t>
        </is>
      </c>
      <c r="E47" s="173" t="inlineStr">
        <is>
          <t>0550</t>
        </is>
      </c>
      <c r="F47" s="96" t="inlineStr">
        <is>
          <t>HASLS22260901495</t>
        </is>
      </c>
      <c r="G47" s="96" t="inlineStr">
        <is>
          <t>WHA GC LOGISTICS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HASLS22260901495</t>
        </is>
      </c>
      <c r="N47" s="96" t="inlineStr">
        <is>
          <t xml:space="preserve">20'x17 </t>
        </is>
      </c>
      <c r="O47" s="111" t="inlineStr">
        <is>
          <t>2023</t>
        </is>
      </c>
      <c r="P47" s="111" t="n"/>
      <c r="Q47" s="111" t="n"/>
      <c r="R47" s="96" t="inlineStr">
        <is>
          <t>SWIC</t>
        </is>
      </c>
      <c r="S47" s="96" t="inlineStr">
        <is>
          <t>2611N</t>
        </is>
      </c>
      <c r="T47" s="96" t="inlineStr">
        <is>
          <t>LCH04</t>
        </is>
      </c>
      <c r="U47" s="96" t="inlineStr">
        <is>
          <t>THLCH</t>
        </is>
      </c>
      <c r="V47" s="161" t="inlineStr">
        <is>
          <t>2026-10-16</t>
        </is>
      </c>
      <c r="W47" s="96" t="inlineStr">
        <is>
          <t>JPUKB</t>
        </is>
      </c>
      <c r="X47" s="161" t="inlineStr">
        <is>
          <t>2026-10-27</t>
        </is>
      </c>
      <c r="Y47" s="97" t="n"/>
      <c r="Z47" s="97" t="n"/>
      <c r="AA47" s="97" t="n"/>
      <c r="AB47" s="97" t="n"/>
      <c r="AC47" s="97" t="n"/>
      <c r="AD47" s="161" t="inlineStr">
        <is>
          <t>2026-10-12</t>
        </is>
      </c>
      <c r="AE47" s="174" t="inlineStr">
        <is>
          <t>0801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MITSUBISHI CORPORATION PLASTICS LTD</t>
        </is>
      </c>
      <c r="AK47" s="130" t="n"/>
    </row>
    <row r="48" ht="12" customHeight="1">
      <c r="A48" s="108" t="inlineStr">
        <is>
          <t>SKLU2418835</t>
        </is>
      </c>
      <c r="B48" s="108" t="inlineStr">
        <is>
          <t>LCH04</t>
        </is>
      </c>
      <c r="C48" s="108" t="inlineStr">
        <is>
          <t>IFV</t>
        </is>
      </c>
      <c r="D48" s="172" t="inlineStr">
        <is>
          <t>2026-10-14</t>
        </is>
      </c>
      <c r="E48" s="173" t="inlineStr">
        <is>
          <t>0945</t>
        </is>
      </c>
      <c r="F48" s="96" t="inlineStr">
        <is>
          <t>HASLS22260901330</t>
        </is>
      </c>
      <c r="G48" s="96" t="inlineStr">
        <is>
          <t>WHA GC LOGISTICS COMPANY LIMITED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HASLS22260901330</t>
        </is>
      </c>
      <c r="N48" s="96" t="inlineStr">
        <is>
          <t xml:space="preserve">20'x12 </t>
        </is>
      </c>
      <c r="O48" s="111" t="inlineStr">
        <is>
          <t>2024</t>
        </is>
      </c>
      <c r="P48" s="111" t="n"/>
      <c r="Q48" s="111" t="n"/>
      <c r="R48" s="96" t="inlineStr">
        <is>
          <t>SWBT</t>
        </is>
      </c>
      <c r="S48" s="96" t="inlineStr">
        <is>
          <t>2616N</t>
        </is>
      </c>
      <c r="T48" s="96" t="inlineStr">
        <is>
          <t>LCH04</t>
        </is>
      </c>
      <c r="U48" s="96" t="inlineStr">
        <is>
          <t>THLCH</t>
        </is>
      </c>
      <c r="V48" s="161" t="inlineStr">
        <is>
          <t>2026-10-16</t>
        </is>
      </c>
      <c r="W48" s="96" t="inlineStr">
        <is>
          <t>VNSGN</t>
        </is>
      </c>
      <c r="X48" s="161" t="inlineStr">
        <is>
          <t>2026-10-18</t>
        </is>
      </c>
      <c r="Y48" s="97" t="n"/>
      <c r="Z48" s="97" t="n"/>
      <c r="AA48" s="97" t="n"/>
      <c r="AB48" s="97" t="n"/>
      <c r="AC48" s="97" t="n"/>
      <c r="AD48" s="161" t="inlineStr">
        <is>
          <t>2026-10-14</t>
        </is>
      </c>
      <c r="AE48" s="174" t="inlineStr">
        <is>
          <t>1200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GC MARKETING SOLUTIONS VIETNAM</t>
        </is>
      </c>
      <c r="AK48" s="130" t="n"/>
    </row>
    <row r="49" ht="12" customHeight="1">
      <c r="A49" s="108" t="inlineStr">
        <is>
          <t>SKLU2470617</t>
        </is>
      </c>
      <c r="B49" s="108" t="inlineStr">
        <is>
          <t>LCH04</t>
        </is>
      </c>
      <c r="C49" s="108" t="inlineStr">
        <is>
          <t>IFV</t>
        </is>
      </c>
      <c r="D49" s="172" t="inlineStr">
        <is>
          <t>2026-10-12</t>
        </is>
      </c>
      <c r="E49" s="173" t="inlineStr">
        <is>
          <t>0403</t>
        </is>
      </c>
      <c r="F49" s="96" t="inlineStr">
        <is>
          <t>HASLS22260901495</t>
        </is>
      </c>
      <c r="G49" s="96" t="inlineStr">
        <is>
          <t>WHA GC LOGISTICS COMPANY LIMITED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HASLS22260901495</t>
        </is>
      </c>
      <c r="N49" s="96" t="inlineStr">
        <is>
          <t xml:space="preserve">20'x17 </t>
        </is>
      </c>
      <c r="O49" s="111" t="inlineStr">
        <is>
          <t>2024</t>
        </is>
      </c>
      <c r="P49" s="111" t="n"/>
      <c r="Q49" s="111" t="n"/>
      <c r="R49" s="96" t="inlineStr">
        <is>
          <t>SWIC</t>
        </is>
      </c>
      <c r="S49" s="96" t="inlineStr">
        <is>
          <t>2611N</t>
        </is>
      </c>
      <c r="T49" s="96" t="inlineStr">
        <is>
          <t>LCH04</t>
        </is>
      </c>
      <c r="U49" s="96" t="inlineStr">
        <is>
          <t>THLCH</t>
        </is>
      </c>
      <c r="V49" s="161" t="inlineStr">
        <is>
          <t>2026-10-16</t>
        </is>
      </c>
      <c r="W49" s="96" t="inlineStr">
        <is>
          <t>JPUKB</t>
        </is>
      </c>
      <c r="X49" s="161" t="inlineStr">
        <is>
          <t>2026-10-27</t>
        </is>
      </c>
      <c r="Y49" s="97" t="n"/>
      <c r="Z49" s="97" t="n"/>
      <c r="AA49" s="97" t="n"/>
      <c r="AB49" s="97" t="n"/>
      <c r="AC49" s="97" t="n"/>
      <c r="AD49" s="161" t="inlineStr">
        <is>
          <t>2026-10-12</t>
        </is>
      </c>
      <c r="AE49" s="174" t="inlineStr">
        <is>
          <t>0801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MITSUBISHI CORPORATION PLASTICS LTD</t>
        </is>
      </c>
      <c r="AK49" s="130" t="n"/>
    </row>
    <row r="50" ht="12" customHeight="1">
      <c r="A50" s="108" t="inlineStr">
        <is>
          <t>SKLU2491158</t>
        </is>
      </c>
      <c r="B50" s="108" t="inlineStr">
        <is>
          <t>LCH04</t>
        </is>
      </c>
      <c r="C50" s="108" t="inlineStr">
        <is>
          <t>IFV</t>
        </is>
      </c>
      <c r="D50" s="172" t="inlineStr">
        <is>
          <t>2026-10-11</t>
        </is>
      </c>
      <c r="E50" s="173" t="inlineStr">
        <is>
          <t>0402</t>
        </is>
      </c>
      <c r="F50" s="96" t="inlineStr">
        <is>
          <t>HASLS22260901495</t>
        </is>
      </c>
      <c r="G50" s="96" t="inlineStr">
        <is>
          <t>WHA GC LOGISTICS COMPANY LIMITED</t>
        </is>
      </c>
      <c r="H50" s="111" t="inlineStr">
        <is>
          <t>22GP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HASLS22260901495</t>
        </is>
      </c>
      <c r="N50" s="96" t="inlineStr">
        <is>
          <t xml:space="preserve">20'x17 </t>
        </is>
      </c>
      <c r="O50" s="111" t="inlineStr">
        <is>
          <t>2024</t>
        </is>
      </c>
      <c r="P50" s="111" t="n"/>
      <c r="Q50" s="111" t="n"/>
      <c r="R50" s="96" t="inlineStr">
        <is>
          <t>SWIC</t>
        </is>
      </c>
      <c r="S50" s="96" t="inlineStr">
        <is>
          <t>2611N</t>
        </is>
      </c>
      <c r="T50" s="96" t="inlineStr">
        <is>
          <t>LCH04</t>
        </is>
      </c>
      <c r="U50" s="96" t="inlineStr">
        <is>
          <t>THLCH</t>
        </is>
      </c>
      <c r="V50" s="161" t="inlineStr">
        <is>
          <t>2026-10-16</t>
        </is>
      </c>
      <c r="W50" s="96" t="inlineStr">
        <is>
          <t>JPUKB</t>
        </is>
      </c>
      <c r="X50" s="161" t="inlineStr">
        <is>
          <t>2026-10-27</t>
        </is>
      </c>
      <c r="Y50" s="97" t="n"/>
      <c r="Z50" s="97" t="n"/>
      <c r="AA50" s="97" t="n"/>
      <c r="AB50" s="97" t="n"/>
      <c r="AC50" s="97" t="n"/>
      <c r="AD50" s="161" t="inlineStr">
        <is>
          <t>2026-10-11</t>
        </is>
      </c>
      <c r="AE50" s="174" t="inlineStr">
        <is>
          <t>0800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MITSUBISHI CORPORATION PLASTICS LTD</t>
        </is>
      </c>
      <c r="AK50" s="130" t="n"/>
    </row>
    <row r="51" ht="12" customHeight="1">
      <c r="A51" s="108" t="inlineStr">
        <is>
          <t>SKRU9601449</t>
        </is>
      </c>
      <c r="B51" s="108" t="inlineStr">
        <is>
          <t>LCH04</t>
        </is>
      </c>
      <c r="C51" s="108" t="inlineStr">
        <is>
          <t>IFV</t>
        </is>
      </c>
      <c r="D51" s="172" t="inlineStr">
        <is>
          <t>2026-10-14</t>
        </is>
      </c>
      <c r="E51" s="173" t="inlineStr">
        <is>
          <t>1202</t>
        </is>
      </c>
      <c r="F51" s="96" t="inlineStr">
        <is>
          <t>HASLS22260901235</t>
        </is>
      </c>
      <c r="G51" s="96" t="inlineStr">
        <is>
          <t>LAND SEA SKY CO., LTD.</t>
        </is>
      </c>
      <c r="H51" s="111" t="inlineStr">
        <is>
          <t>45RE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HASLS22260901235</t>
        </is>
      </c>
      <c r="N51" s="96" t="inlineStr">
        <is>
          <t xml:space="preserve">R40Hx1 </t>
        </is>
      </c>
      <c r="O51" s="111" t="inlineStr">
        <is>
          <t>2016</t>
        </is>
      </c>
      <c r="P51" s="111" t="inlineStr">
        <is>
          <t>CARRIER</t>
        </is>
      </c>
      <c r="Q51" s="111" t="inlineStr">
        <is>
          <t>PRIME LINE</t>
        </is>
      </c>
      <c r="R51" s="96" t="inlineStr">
        <is>
          <t>SWBT</t>
        </is>
      </c>
      <c r="S51" s="96" t="inlineStr">
        <is>
          <t>2616N</t>
        </is>
      </c>
      <c r="T51" s="96" t="inlineStr">
        <is>
          <t>LCH04</t>
        </is>
      </c>
      <c r="U51" s="96" t="inlineStr">
        <is>
          <t>THLCH</t>
        </is>
      </c>
      <c r="V51" s="161" t="inlineStr">
        <is>
          <t>2026-10-16</t>
        </is>
      </c>
      <c r="W51" s="96" t="inlineStr">
        <is>
          <t>KRPTK</t>
        </is>
      </c>
      <c r="X51" s="161" t="inlineStr">
        <is>
          <t>2026-10-24</t>
        </is>
      </c>
      <c r="Y51" s="97" t="n"/>
      <c r="Z51" s="97" t="n"/>
      <c r="AA51" s="97" t="n"/>
      <c r="AB51" s="97" t="n"/>
      <c r="AC51" s="97" t="n"/>
      <c r="AD51" s="161" t="inlineStr">
        <is>
          <t>2026-10-14</t>
        </is>
      </c>
      <c r="AE51" s="174" t="inlineStr">
        <is>
          <t>1600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SASE CO.,LTD.</t>
        </is>
      </c>
      <c r="AK51" s="130" t="n"/>
    </row>
    <row r="52" ht="12" customHeight="1">
      <c r="A52" s="108" t="inlineStr">
        <is>
          <t>SKLU1316130</t>
        </is>
      </c>
      <c r="B52" s="108" t="inlineStr">
        <is>
          <t>LCH04</t>
        </is>
      </c>
      <c r="C52" s="108" t="inlineStr">
        <is>
          <t>IFV</t>
        </is>
      </c>
      <c r="D52" s="172" t="inlineStr">
        <is>
          <t>2026-10-16</t>
        </is>
      </c>
      <c r="E52" s="173" t="inlineStr">
        <is>
          <t>1500</t>
        </is>
      </c>
      <c r="F52" s="96" t="inlineStr">
        <is>
          <t>HASLS22260901430</t>
        </is>
      </c>
      <c r="G52" s="96" t="inlineStr">
        <is>
          <t>PANAKOR LOGISTICS CO.,LTD</t>
        </is>
      </c>
      <c r="H52" s="111" t="inlineStr">
        <is>
          <t>22GP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HASLS22260901430</t>
        </is>
      </c>
      <c r="N52" s="96" t="inlineStr">
        <is>
          <t xml:space="preserve">20'x3 </t>
        </is>
      </c>
      <c r="O52" s="111" t="inlineStr">
        <is>
          <t>2013</t>
        </is>
      </c>
      <c r="P52" s="111" t="n"/>
      <c r="Q52" s="111" t="n"/>
      <c r="R52" s="96" t="inlineStr">
        <is>
          <t>SWBT</t>
        </is>
      </c>
      <c r="S52" s="96" t="inlineStr">
        <is>
          <t>2616N</t>
        </is>
      </c>
      <c r="T52" s="96" t="inlineStr">
        <is>
          <t>LCH04</t>
        </is>
      </c>
      <c r="U52" s="96" t="inlineStr">
        <is>
          <t>THLCH</t>
        </is>
      </c>
      <c r="V52" s="161" t="inlineStr">
        <is>
          <t>2026-10-16</t>
        </is>
      </c>
      <c r="W52" s="96" t="inlineStr">
        <is>
          <t>KRKAN</t>
        </is>
      </c>
      <c r="X52" s="161" t="inlineStr">
        <is>
          <t>2026-10-26</t>
        </is>
      </c>
      <c r="Y52" s="97" t="n"/>
      <c r="Z52" s="97" t="n"/>
      <c r="AA52" s="97" t="n"/>
      <c r="AB52" s="97" t="n"/>
      <c r="AC52" s="97" t="n"/>
      <c r="AD52" s="161" t="inlineStr">
        <is>
          <t>2026-10-15</t>
        </is>
      </c>
      <c r="AE52" s="174" t="inlineStr">
        <is>
          <t>1012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CHUN JEE SHIPPING CO.,LTD.</t>
        </is>
      </c>
      <c r="AK52" s="130" t="n"/>
    </row>
    <row r="53" ht="12" customHeight="1">
      <c r="A53" s="108" t="inlineStr">
        <is>
          <t>SKLU1431030</t>
        </is>
      </c>
      <c r="B53" s="108" t="inlineStr">
        <is>
          <t>LCH04</t>
        </is>
      </c>
      <c r="C53" s="108" t="inlineStr">
        <is>
          <t>IFV</t>
        </is>
      </c>
      <c r="D53" s="172" t="inlineStr">
        <is>
          <t>2026-10-16</t>
        </is>
      </c>
      <c r="E53" s="173" t="inlineStr">
        <is>
          <t>1500</t>
        </is>
      </c>
      <c r="F53" s="96" t="inlineStr">
        <is>
          <t>HASLS22260901430</t>
        </is>
      </c>
      <c r="G53" s="96" t="inlineStr">
        <is>
          <t>PANAKOR LOGISTICS CO.,LTD</t>
        </is>
      </c>
      <c r="H53" s="111" t="inlineStr">
        <is>
          <t>22GP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HASLS22260901430</t>
        </is>
      </c>
      <c r="N53" s="96" t="inlineStr">
        <is>
          <t xml:space="preserve">20'x3 </t>
        </is>
      </c>
      <c r="O53" s="111" t="inlineStr">
        <is>
          <t>2014</t>
        </is>
      </c>
      <c r="P53" s="111" t="n"/>
      <c r="Q53" s="111" t="n"/>
      <c r="R53" s="96" t="inlineStr">
        <is>
          <t>SWBT</t>
        </is>
      </c>
      <c r="S53" s="96" t="inlineStr">
        <is>
          <t>2616N</t>
        </is>
      </c>
      <c r="T53" s="96" t="inlineStr">
        <is>
          <t>LCH04</t>
        </is>
      </c>
      <c r="U53" s="96" t="inlineStr">
        <is>
          <t>THLCH</t>
        </is>
      </c>
      <c r="V53" s="161" t="inlineStr">
        <is>
          <t>2026-10-16</t>
        </is>
      </c>
      <c r="W53" s="96" t="inlineStr">
        <is>
          <t>KRKAN</t>
        </is>
      </c>
      <c r="X53" s="161" t="inlineStr">
        <is>
          <t>2026-10-26</t>
        </is>
      </c>
      <c r="Y53" s="97" t="n"/>
      <c r="Z53" s="97" t="n"/>
      <c r="AA53" s="97" t="n"/>
      <c r="AB53" s="97" t="n"/>
      <c r="AC53" s="97" t="n"/>
      <c r="AD53" s="161" t="inlineStr">
        <is>
          <t>2026-10-14</t>
        </is>
      </c>
      <c r="AE53" s="174" t="inlineStr">
        <is>
          <t>1811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CHUN JEE SHIPPING CO.,LTD.</t>
        </is>
      </c>
      <c r="AK53" s="130" t="n"/>
    </row>
    <row r="54" ht="12" customHeight="1">
      <c r="A54" s="108" t="inlineStr">
        <is>
          <t>SKLU1612445</t>
        </is>
      </c>
      <c r="B54" s="108" t="inlineStr">
        <is>
          <t>LCH04</t>
        </is>
      </c>
      <c r="C54" s="108" t="inlineStr">
        <is>
          <t>IFV</t>
        </is>
      </c>
      <c r="D54" s="172" t="inlineStr">
        <is>
          <t>2026-10-16</t>
        </is>
      </c>
      <c r="E54" s="173" t="inlineStr">
        <is>
          <t>1500</t>
        </is>
      </c>
      <c r="F54" s="96" t="inlineStr">
        <is>
          <t>HASLS22260901430</t>
        </is>
      </c>
      <c r="G54" s="96" t="inlineStr">
        <is>
          <t>PANAKOR LOGISTICS CO.,LTD</t>
        </is>
      </c>
      <c r="H54" s="111" t="inlineStr">
        <is>
          <t>22GP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HASLS22260901430</t>
        </is>
      </c>
      <c r="N54" s="96" t="inlineStr">
        <is>
          <t xml:space="preserve">20'x3 </t>
        </is>
      </c>
      <c r="O54" s="111" t="inlineStr">
        <is>
          <t>2016</t>
        </is>
      </c>
      <c r="P54" s="111" t="n"/>
      <c r="Q54" s="111" t="n"/>
      <c r="R54" s="96" t="inlineStr">
        <is>
          <t>SWBT</t>
        </is>
      </c>
      <c r="S54" s="96" t="inlineStr">
        <is>
          <t>2616N</t>
        </is>
      </c>
      <c r="T54" s="96" t="inlineStr">
        <is>
          <t>LCH04</t>
        </is>
      </c>
      <c r="U54" s="96" t="inlineStr">
        <is>
          <t>THLCH</t>
        </is>
      </c>
      <c r="V54" s="161" t="inlineStr">
        <is>
          <t>2026-10-16</t>
        </is>
      </c>
      <c r="W54" s="96" t="inlineStr">
        <is>
          <t>KRKAN</t>
        </is>
      </c>
      <c r="X54" s="161" t="inlineStr">
        <is>
          <t>2026-10-26</t>
        </is>
      </c>
      <c r="Y54" s="97" t="n"/>
      <c r="Z54" s="97" t="n"/>
      <c r="AA54" s="97" t="n"/>
      <c r="AB54" s="97" t="n"/>
      <c r="AC54" s="97" t="n"/>
      <c r="AD54" s="161" t="inlineStr">
        <is>
          <t>2026-10-14</t>
        </is>
      </c>
      <c r="AE54" s="174" t="inlineStr">
        <is>
          <t>1811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CHUN JEE SHIPPING CO.,LTD.</t>
        </is>
      </c>
      <c r="AK54" s="130" t="n"/>
    </row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5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BEAU2348311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HASLS22261000769</v>
      </c>
      <c r="E3" s="62" t="str">
        <f>VLOOKUP(D3,'2.Bookinglist'!A:CT,27,FALSE)</f>
        <v>WORLDNET EXPRESS CO., LTD.</v>
      </c>
      <c r="F3" s="62" t="str">
        <f>VLOOKUP(D3,'2.Bookinglist'!A:CT,28,FALSE)</f>
        <v>SADESA (THAILAND)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SWBT</v>
      </c>
      <c r="P3" s="61" t="str">
        <f>VLOOKUP(A3,'1.Loading'!A:R,4,FALSE)</f>
        <v>2616N</v>
      </c>
      <c r="Q3" s="61" t="str">
        <f>VLOOKUP(D3,'2.Bookinglist'!A:CT,12,FALSE)</f>
        <v>NTX</v>
      </c>
      <c r="R3" s="60" t="str">
        <f>IF(LEFT(K3,2)="22","20'","40'")</f>
        <v>20'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2026-10-15</v>
      </c>
      <c r="X3" s="63">
        <f>((T3-W3)+1)</f>
        <v>2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Kanokporn</v>
      </c>
      <c r="AL3" s="60" t="str">
        <f>VLOOKUP(D3,'2.Bookinglist'!A:CW,101,FALSE)</f>
        <v>2026-10-16</v>
      </c>
      <c r="AM3" s="60" t="str">
        <f>VLOOKUP(D3,'2.Bookinglist'!A:BK,63,FALSE)</f>
        <v>LCHY5</v>
      </c>
      <c r="AN3" s="62" t="str">
        <f>VLOOKUP(D3,'2.Bookinglist'!A:AZ,52,FALSE)</f>
        <v>Pickup : 2026-10-14, Return : 2026-10-14 
** PLEASE CHECK OPEN GATE BEFORE RETURN CONTAINER ** </v>
      </c>
      <c r="AO3" s="62">
        <f>VLOOKUP(D3,'2.Bookinglist'!A:CY,103,FALSE)</f>
        <v>0</v>
      </c>
    </row>
    <row r="4" ht="12.95" customHeight="1">
      <c r="A4" s="96" t="inlineStr">
        <is>
          <t>CXDU2305360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HASLS22260901495</v>
      </c>
      <c r="E4" s="62" t="str">
        <f>VLOOKUP(D4,'2.Bookinglist'!A:CT,27,FALSE)</f>
        <v>WHA GC LOGISTICS COMPANY LIMITED</v>
      </c>
      <c r="F4" s="62" t="str">
        <f>VLOOKUP(D4,'2.Bookinglist'!A:CT,28,FALSE)</f>
        <v>PTT GLOBAL CHEMICAL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JPUKB</v>
      </c>
      <c r="J4" s="61" t="str">
        <f>VLOOKUP(D4,'2.Bookinglist'!A:CT,26,FALSE)</f>
        <v>KRPUS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SWBT</v>
      </c>
      <c r="P4" s="61" t="str">
        <f>VLOOKUP(A4,'1.Loading'!A:R,4,FALSE)</f>
        <v>2616N</v>
      </c>
      <c r="Q4" s="61" t="str">
        <f>VLOOKUP(D4,'2.Bookinglist'!A:CT,12,FALSE)</f>
        <v>NTX</v>
      </c>
      <c r="R4" s="60" t="str">
        <f>IF(LEFT(K4,2)="22","20'","40'")</f>
        <v>20'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2026-10-11</v>
      </c>
      <c r="X4" s="63">
        <f>((T4-W4)+1)</f>
        <v>6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Dharaporn</v>
      </c>
      <c r="AL4" s="60" t="str">
        <f>VLOOKUP(D4,'2.Bookinglist'!A:CW,101,FALSE)</f>
        <v>2026-10-16</v>
      </c>
      <c r="AM4" s="60" t="str">
        <f>VLOOKUP(D4,'2.Bookinglist'!A:BK,63,FALSE)</f>
        <v>LCHY5</v>
      </c>
      <c r="AN4" s="62" t="str">
        <f>VLOOKUP(D4,'2.Bookinglist'!A:AZ,52,FALSE)</f>
        <v>[FIX][FIX]SURVEY+CY :28/09/2026 RTN :09/10/2026
REQUEST SEA BULK CONTAIER + SURVEY EMPTY BEFORE PICK UP
</v>
      </c>
      <c r="AO4" s="62" t="str">
        <f>VLOOKUP(D4,'2.Bookinglist'!A:CY,103,FALSE)</f>
        <v>ROLL OVER FROM PREIVOUS VSL SWIC 2611N BY ALLOCATION TEAM MS.TARN APPROVED COST IS UNDER HA DD.14/10</v>
      </c>
    </row>
    <row r="5" ht="12.95" customHeight="1">
      <c r="A5" s="96" t="inlineStr">
        <is>
          <t>HALU2416934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HASLS22260901330</v>
      </c>
      <c r="E5" s="62" t="str">
        <f>VLOOKUP(D5,'2.Bookinglist'!A:CT,27,FALSE)</f>
        <v>WHA GC LOGISTICS COMPANY LIMITED</v>
      </c>
      <c r="F5" s="62" t="str">
        <f>VLOOKUP(D5,'2.Bookinglist'!A:CT,28,FALSE)</f>
        <v>PTT GLOBAL CHEMICAL PUBLIC COMPANY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VNSGN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SWBT</v>
      </c>
      <c r="P5" s="61" t="str">
        <f>VLOOKUP(A5,'1.Loading'!A:R,4,FALSE)</f>
        <v>2616N</v>
      </c>
      <c r="Q5" s="61" t="str">
        <f>VLOOKUP(D5,'2.Bookinglist'!A:CT,12,FALSE)</f>
        <v>NTX</v>
      </c>
      <c r="R5" s="60" t="str">
        <f>IF(LEFT(K5,2)="22","20'","40'")</f>
        <v>20'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2026-10-14</v>
      </c>
      <c r="X5" s="63">
        <f>((T5-W5)+1)</f>
        <v>3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2026-10-13</v>
      </c>
      <c r="AM5" s="60" t="str">
        <f>VLOOKUP(D5,'2.Bookinglist'!A:BK,63,FALSE)</f>
        <v>LCH27</v>
      </c>
      <c r="AN5" s="62" t="str">
        <f>VLOOKUP(D5,'2.Bookinglist'!A:AZ,52,FALSE)</f>
        <v>CY-RTN 05-07/10/26 (PR2610003490)*1ST RETURN 10/10/26*
*PLS CHECK OPEN GATE BEFORE RETURN CTNR*</v>
      </c>
      <c r="AO5" s="62">
        <f>VLOOKUP(D5,'2.Bookinglist'!A:CY,103,FALSE)</f>
        <v>0</v>
      </c>
    </row>
    <row r="6" ht="12.95" customHeight="1">
      <c r="A6" s="96" t="inlineStr">
        <is>
          <t>HALU2431501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HASLS22260901330</v>
      </c>
      <c r="E6" s="62" t="str">
        <f>VLOOKUP(D6,'2.Bookinglist'!A:CT,27,FALSE)</f>
        <v>WHA GC LOGISTICS COMPANY LIMITED</v>
      </c>
      <c r="F6" s="62" t="str">
        <f>VLOOKUP(D6,'2.Bookinglist'!A:CT,28,FALSE)</f>
        <v>PTT GLOBAL CHEMICAL PUBLIC COMPANY LIMITED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SWBT</v>
      </c>
      <c r="P6" s="61" t="str">
        <f>VLOOKUP(A6,'1.Loading'!A:R,4,FALSE)</f>
        <v>2616N</v>
      </c>
      <c r="Q6" s="61" t="str">
        <f>VLOOKUP(D6,'2.Bookinglist'!A:CT,12,FALSE)</f>
        <v>NTX</v>
      </c>
      <c r="R6" s="60" t="str">
        <f>IF(LEFT(K6,2)="22","20'","40'")</f>
        <v>20'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2026-10-14</v>
      </c>
      <c r="X6" s="63">
        <f>((T6-W6)+1)</f>
        <v>3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2026-10-13</v>
      </c>
      <c r="AM6" s="60" t="str">
        <f>VLOOKUP(D6,'2.Bookinglist'!A:BK,63,FALSE)</f>
        <v>LCH27</v>
      </c>
      <c r="AN6" s="62" t="str">
        <f>VLOOKUP(D6,'2.Bookinglist'!A:AZ,52,FALSE)</f>
        <v>CY-RTN 05-07/10/26 (PR2610003490)*1ST RETURN 10/10/26*
*PLS CHECK OPEN GATE BEFORE RETURN CTNR*</v>
      </c>
      <c r="AO6" s="62">
        <f>VLOOKUP(D6,'2.Bookinglist'!A:CY,103,FALSE)</f>
        <v>0</v>
      </c>
    </row>
    <row r="7" ht="12.95" customHeight="1">
      <c r="A7" s="96" t="inlineStr">
        <is>
          <t>HALU2452377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HASLS22260901330</v>
      </c>
      <c r="E7" s="62" t="str">
        <f>VLOOKUP(D7,'2.Bookinglist'!A:CT,27,FALSE)</f>
        <v>WHA GC LOGISTICS COMPANY LIMITED</v>
      </c>
      <c r="F7" s="62" t="str">
        <f>VLOOKUP(D7,'2.Bookinglist'!A:CT,28,FALSE)</f>
        <v>PTT GLOBAL CHEMICAL PUBLIC COMPANY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SWBT</v>
      </c>
      <c r="P7" s="61" t="str">
        <f>VLOOKUP(A7,'1.Loading'!A:R,4,FALSE)</f>
        <v>2616N</v>
      </c>
      <c r="Q7" s="61" t="str">
        <f>VLOOKUP(D7,'2.Bookinglist'!A:CT,12,FALSE)</f>
        <v>NTX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2026-10-14</v>
      </c>
      <c r="X7" s="63">
        <f>((T7-W7)+1)</f>
        <v>3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Dharaporn</v>
      </c>
      <c r="AL7" s="60" t="str">
        <f>VLOOKUP(D7,'2.Bookinglist'!A:CW,101,FALSE)</f>
        <v>2026-10-13</v>
      </c>
      <c r="AM7" s="60" t="str">
        <f>VLOOKUP(D7,'2.Bookinglist'!A:BK,63,FALSE)</f>
        <v>LCH27</v>
      </c>
      <c r="AN7" s="62" t="str">
        <f>VLOOKUP(D7,'2.Bookinglist'!A:AZ,52,FALSE)</f>
        <v>CY-RTN 05-07/10/26 (PR2610003490)*1ST RETURN 10/10/26*
*PLS CHECK OPEN GATE BEFORE RETURN CTNR*</v>
      </c>
      <c r="AO7" s="62">
        <f>VLOOKUP(D7,'2.Bookinglist'!A:CY,103,FALSE)</f>
        <v>0</v>
      </c>
    </row>
    <row r="8" ht="12.95" customHeight="1">
      <c r="A8" s="96" t="inlineStr">
        <is>
          <t>HALU2502400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HASLS22260901495</v>
      </c>
      <c r="E8" s="62" t="str">
        <f>VLOOKUP(D8,'2.Bookinglist'!A:CT,27,FALSE)</f>
        <v>WHA GC LOGISTICS COMPANY LIMITED</v>
      </c>
      <c r="F8" s="62" t="str">
        <f>VLOOKUP(D8,'2.Bookinglist'!A:CT,28,FALSE)</f>
        <v>PTT GLOBAL CHEMICAL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JPUKB</v>
      </c>
      <c r="J8" s="61" t="str">
        <f>VLOOKUP(D8,'2.Bookinglist'!A:CT,26,FALSE)</f>
        <v>KRPUS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SWBT</v>
      </c>
      <c r="P8" s="61" t="str">
        <f>VLOOKUP(A8,'1.Loading'!A:R,4,FALSE)</f>
        <v>2616N</v>
      </c>
      <c r="Q8" s="61" t="str">
        <f>VLOOKUP(D8,'2.Bookinglist'!A:CT,12,FALSE)</f>
        <v>NTX</v>
      </c>
      <c r="R8" s="60" t="str">
        <f>IF(LEFT(K8,2)="22","20'","40'")</f>
        <v>20'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2026-10-12</v>
      </c>
      <c r="X8" s="63">
        <f>((T8-W8)+1)</f>
        <v>5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2026-10-16</v>
      </c>
      <c r="AM8" s="60" t="str">
        <f>VLOOKUP(D8,'2.Bookinglist'!A:BK,63,FALSE)</f>
        <v>LCHY5</v>
      </c>
      <c r="AN8" s="62" t="str">
        <f>VLOOKUP(D8,'2.Bookinglist'!A:AZ,52,FALSE)</f>
        <v>[FIX][FIX]SURVEY+CY :28/09/2026 RTN :09/10/2026
REQUEST SEA BULK CONTAIER + SURVEY EMPTY BEFORE PICK UP
</v>
      </c>
      <c r="AO8" s="62" t="str">
        <f>VLOOKUP(D8,'2.Bookinglist'!A:CY,103,FALSE)</f>
        <v>ROLL OVER FROM PREIVOUS VSL SWIC 2611N BY ALLOCATION TEAM MS.TARN APPROVED COST IS UNDER HA DD.14/10</v>
      </c>
    </row>
    <row r="9" ht="12.95" customHeight="1">
      <c r="A9" s="96" t="inlineStr">
        <is>
          <t>HALU2503983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HASLS22260901330</v>
      </c>
      <c r="E9" s="62" t="str">
        <f>VLOOKUP(D9,'2.Bookinglist'!A:CT,27,FALSE)</f>
        <v>WHA GC LOGISTICS COMPANY LIMITED</v>
      </c>
      <c r="F9" s="62" t="str">
        <f>VLOOKUP(D9,'2.Bookinglist'!A:CT,28,FALSE)</f>
        <v>PTT GLOBAL CHEMICAL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SWBT</v>
      </c>
      <c r="P9" s="61" t="str">
        <f>VLOOKUP(A9,'1.Loading'!A:R,4,FALSE)</f>
        <v>2616N</v>
      </c>
      <c r="Q9" s="61" t="str">
        <f>VLOOKUP(D9,'2.Bookinglist'!A:CT,12,FALSE)</f>
        <v>NTX</v>
      </c>
      <c r="R9" s="60" t="str">
        <f>IF(LEFT(K9,2)="22","20'","40'")</f>
        <v>20'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2026-10-13</v>
      </c>
      <c r="X9" s="63">
        <f>((T9-W9)+1)</f>
        <v>4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2026-10-13</v>
      </c>
      <c r="AM9" s="60" t="str">
        <f>VLOOKUP(D9,'2.Bookinglist'!A:BK,63,FALSE)</f>
        <v>LCH27</v>
      </c>
      <c r="AN9" s="62" t="str">
        <f>VLOOKUP(D9,'2.Bookinglist'!A:AZ,52,FALSE)</f>
        <v>CY-RTN 05-07/10/26 (PR2610003490)*1ST RETURN 10/10/26*
*PLS CHECK OPEN GATE BEFORE RETURN CTNR*</v>
      </c>
      <c r="AO9" s="62">
        <f>VLOOKUP(D9,'2.Bookinglist'!A:CY,103,FALSE)</f>
        <v>0</v>
      </c>
    </row>
    <row r="10" ht="12.95" customHeight="1">
      <c r="A10" s="96" t="inlineStr">
        <is>
          <t>HALU2512922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HASLS22260901330</v>
      </c>
      <c r="E10" s="62" t="str">
        <f>VLOOKUP(D10,'2.Bookinglist'!A:CT,27,FALSE)</f>
        <v>WHA GC LOGISTICS COMPANY LIMITED</v>
      </c>
      <c r="F10" s="62" t="str">
        <f>VLOOKUP(D10,'2.Bookinglist'!A:CT,28,FALSE)</f>
        <v>PTT GLOBAL CHEMICAL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SWBT</v>
      </c>
      <c r="P10" s="61" t="str">
        <f>VLOOKUP(A10,'1.Loading'!A:R,4,FALSE)</f>
        <v>2616N</v>
      </c>
      <c r="Q10" s="61" t="str">
        <f>VLOOKUP(D10,'2.Bookinglist'!A:CT,12,FALSE)</f>
        <v>NTX</v>
      </c>
      <c r="R10" s="60" t="str">
        <f>IF(LEFT(K10,2)="22","20'","40'")</f>
        <v>20'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2026-10-14</v>
      </c>
      <c r="X10" s="63">
        <f>((T10-W10)+1)</f>
        <v>3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2026-10-13</v>
      </c>
      <c r="AM10" s="60" t="str">
        <f>VLOOKUP(D10,'2.Bookinglist'!A:BK,63,FALSE)</f>
        <v>LCH27</v>
      </c>
      <c r="AN10" s="62" t="str">
        <f>VLOOKUP(D10,'2.Bookinglist'!A:AZ,52,FALSE)</f>
        <v>CY-RTN 05-07/10/26 (PR2610003490)*1ST RETURN 10/10/26*
*PLS CHECK OPEN GATE BEFORE RETURN CTNR*</v>
      </c>
      <c r="AO10" s="62">
        <f>VLOOKUP(D10,'2.Bookinglist'!A:CY,103,FALSE)</f>
        <v>0</v>
      </c>
    </row>
    <row r="11" ht="12.95" customHeight="1">
      <c r="A11" s="96" t="inlineStr">
        <is>
          <t>HALU2522807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HASLS22260901330</v>
      </c>
      <c r="E11" s="62" t="str">
        <f>VLOOKUP(D11,'2.Bookinglist'!A:CT,27,FALSE)</f>
        <v>WHA GC LOGISTICS COMPANY LIMITED</v>
      </c>
      <c r="F11" s="62" t="str">
        <f>VLOOKUP(D11,'2.Bookinglist'!A:CT,28,FALSE)</f>
        <v>PTT GLOBAL CHEMICAL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SWBT</v>
      </c>
      <c r="P11" s="61" t="str">
        <f>VLOOKUP(A11,'1.Loading'!A:R,4,FALSE)</f>
        <v>2616N</v>
      </c>
      <c r="Q11" s="61" t="str">
        <f>VLOOKUP(D11,'2.Bookinglist'!A:CT,12,FALSE)</f>
        <v>NTX</v>
      </c>
      <c r="R11" s="60" t="str">
        <f>IF(LEFT(K11,2)="22","20'","40'")</f>
        <v>20'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2026-10-14</v>
      </c>
      <c r="X11" s="63">
        <f>((T11-W11)+1)</f>
        <v>3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2026-10-13</v>
      </c>
      <c r="AM11" s="60" t="str">
        <f>VLOOKUP(D11,'2.Bookinglist'!A:BK,63,FALSE)</f>
        <v>LCH27</v>
      </c>
      <c r="AN11" s="62" t="str">
        <f>VLOOKUP(D11,'2.Bookinglist'!A:AZ,52,FALSE)</f>
        <v>CY-RTN 05-07/10/26 (PR2610003490)*1ST RETURN 10/10/26*
*PLS CHECK OPEN GATE BEFORE RETURN CTNR*</v>
      </c>
      <c r="AO11" s="62">
        <f>VLOOKUP(D11,'2.Bookinglist'!A:CY,103,FALSE)</f>
        <v>0</v>
      </c>
    </row>
    <row r="12" ht="12.95" customHeight="1">
      <c r="A12" s="96" t="inlineStr">
        <is>
          <t>HALU2531645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HASLS22260901495</v>
      </c>
      <c r="E12" s="62" t="str">
        <f>VLOOKUP(D12,'2.Bookinglist'!A:CT,27,FALSE)</f>
        <v>WHA GC LOGISTICS COMPANY LIMITED</v>
      </c>
      <c r="F12" s="62" t="str">
        <f>VLOOKUP(D12,'2.Bookinglist'!A:CT,28,FALSE)</f>
        <v>PTT GLOBAL CHEMICAL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JPUKB</v>
      </c>
      <c r="J12" s="61" t="str">
        <f>VLOOKUP(D12,'2.Bookinglist'!A:CT,26,FALSE)</f>
        <v>KRPUS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SWBT</v>
      </c>
      <c r="P12" s="61" t="str">
        <f>VLOOKUP(A12,'1.Loading'!A:R,4,FALSE)</f>
        <v>2616N</v>
      </c>
      <c r="Q12" s="61" t="str">
        <f>VLOOKUP(D12,'2.Bookinglist'!A:CT,12,FALSE)</f>
        <v>NTX</v>
      </c>
      <c r="R12" s="60" t="str">
        <f>IF(LEFT(K12,2)="22","20'","40'")</f>
        <v>20'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2026-10-10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2026-10-16</v>
      </c>
      <c r="AM12" s="60" t="str">
        <f>VLOOKUP(D12,'2.Bookinglist'!A:BK,63,FALSE)</f>
        <v>LCHY5</v>
      </c>
      <c r="AN12" s="62" t="str">
        <f>VLOOKUP(D12,'2.Bookinglist'!A:AZ,52,FALSE)</f>
        <v>[FIX][FIX]SURVEY+CY :28/09/2026 RTN :09/10/2026
REQUEST SEA BULK CONTAIER + SURVEY EMPTY BEFORE PICK UP
</v>
      </c>
      <c r="AO12" s="62" t="str">
        <f>VLOOKUP(D12,'2.Bookinglist'!A:CY,103,FALSE)</f>
        <v>ROLL OVER FROM PREIVOUS VSL SWIC 2611N BY ALLOCATION TEAM MS.TARN APPROVED COST IS UNDER HA DD.14/10</v>
      </c>
    </row>
    <row r="13" ht="12.95" customHeight="1">
      <c r="A13" s="96" t="inlineStr">
        <is>
          <t>HALU2539672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HASLS22260901330</v>
      </c>
      <c r="E13" s="62" t="str">
        <f>VLOOKUP(D13,'2.Bookinglist'!A:CT,27,FALSE)</f>
        <v>WHA GC LOGISTICS COMPANY LIMITED</v>
      </c>
      <c r="F13" s="62" t="str">
        <f>VLOOKUP(D13,'2.Bookinglist'!A:CT,28,FALSE)</f>
        <v>PTT GLOBAL CHEMICAL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SWBT</v>
      </c>
      <c r="P13" s="61" t="str">
        <f>VLOOKUP(A13,'1.Loading'!A:R,4,FALSE)</f>
        <v>2616N</v>
      </c>
      <c r="Q13" s="61" t="str">
        <f>VLOOKUP(D13,'2.Bookinglist'!A:CT,12,FALSE)</f>
        <v>NTX</v>
      </c>
      <c r="R13" s="60" t="str">
        <f>IF(LEFT(K13,2)="22","20'","40'")</f>
        <v>20'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2026-10-14</v>
      </c>
      <c r="X13" s="63">
        <f>((T13-W13)+1)</f>
        <v>3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Dharaporn</v>
      </c>
      <c r="AL13" s="60" t="str">
        <f>VLOOKUP(D13,'2.Bookinglist'!A:CW,101,FALSE)</f>
        <v>2026-10-13</v>
      </c>
      <c r="AM13" s="60" t="str">
        <f>VLOOKUP(D13,'2.Bookinglist'!A:BK,63,FALSE)</f>
        <v>LCH27</v>
      </c>
      <c r="AN13" s="62" t="str">
        <f>VLOOKUP(D13,'2.Bookinglist'!A:AZ,52,FALSE)</f>
        <v>CY-RTN 05-07/10/26 (PR2610003490)*1ST RETURN 10/10/26*
*PLS CHECK OPEN GATE BEFORE RETURN CTNR*</v>
      </c>
      <c r="AO13" s="62">
        <f>VLOOKUP(D13,'2.Bookinglist'!A:CY,103,FALSE)</f>
        <v>0</v>
      </c>
    </row>
    <row r="14" ht="12.95" customHeight="1">
      <c r="A14" s="96" t="inlineStr">
        <is>
          <t>HALU2544508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HASLS22260901330</v>
      </c>
      <c r="E14" s="62" t="str">
        <f>VLOOKUP(D14,'2.Bookinglist'!A:CT,27,FALSE)</f>
        <v>WHA GC LOGISTICS COMPANY LIMITED</v>
      </c>
      <c r="F14" s="62" t="str">
        <f>VLOOKUP(D14,'2.Bookinglist'!A:CT,28,FALSE)</f>
        <v>PTT GLOBAL CHEMICAL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SWBT</v>
      </c>
      <c r="P14" s="61" t="str">
        <f>VLOOKUP(A14,'1.Loading'!A:R,4,FALSE)</f>
        <v>2616N</v>
      </c>
      <c r="Q14" s="61" t="str">
        <f>VLOOKUP(D14,'2.Bookinglist'!A:CT,12,FALSE)</f>
        <v>NTX</v>
      </c>
      <c r="R14" s="60" t="str">
        <f>IF(LEFT(K14,2)="22","20'","40'")</f>
        <v>20'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2026-10-13</v>
      </c>
      <c r="X14" s="63">
        <f>((T14-W14)+1)</f>
        <v>4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Dharaporn</v>
      </c>
      <c r="AL14" s="60" t="str">
        <f>VLOOKUP(D14,'2.Bookinglist'!A:CW,101,FALSE)</f>
        <v>2026-10-13</v>
      </c>
      <c r="AM14" s="60" t="str">
        <f>VLOOKUP(D14,'2.Bookinglist'!A:BK,63,FALSE)</f>
        <v>LCH27</v>
      </c>
      <c r="AN14" s="62" t="str">
        <f>VLOOKUP(D14,'2.Bookinglist'!A:AZ,52,FALSE)</f>
        <v>CY-RTN 05-07/10/26 (PR2610003490)*1ST RETURN 10/10/26*
*PLS CHECK OPEN GATE BEFORE RETURN CTNR*</v>
      </c>
      <c r="AO14" s="62">
        <f>VLOOKUP(D14,'2.Bookinglist'!A:CY,103,FALSE)</f>
        <v>0</v>
      </c>
    </row>
    <row r="15" ht="12.95" customHeight="1">
      <c r="A15" s="96" t="inlineStr">
        <is>
          <t>HALU2547111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HASLS22260901330</v>
      </c>
      <c r="E15" s="62" t="str">
        <f>VLOOKUP(D15,'2.Bookinglist'!A:CT,27,FALSE)</f>
        <v>WHA GC LOGISTICS COMPANY LIMITED</v>
      </c>
      <c r="F15" s="62" t="str">
        <f>VLOOKUP(D15,'2.Bookinglist'!A:CT,28,FALSE)</f>
        <v>PTT GLOBAL CHEMICAL PUBLIC COMPANY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SWBT</v>
      </c>
      <c r="P15" s="61" t="str">
        <f>VLOOKUP(A15,'1.Loading'!A:R,4,FALSE)</f>
        <v>2616N</v>
      </c>
      <c r="Q15" s="61" t="str">
        <f>VLOOKUP(D15,'2.Bookinglist'!A:CT,12,FALSE)</f>
        <v>NTX</v>
      </c>
      <c r="R15" s="60" t="str">
        <f>IF(LEFT(K15,2)="22","20'","40'")</f>
        <v>20'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2026-10-14</v>
      </c>
      <c r="X15" s="63">
        <f>((T15-W15)+1)</f>
        <v>3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2026-10-13</v>
      </c>
      <c r="AM15" s="60" t="str">
        <f>VLOOKUP(D15,'2.Bookinglist'!A:BK,63,FALSE)</f>
        <v>LCH27</v>
      </c>
      <c r="AN15" s="62" t="str">
        <f>VLOOKUP(D15,'2.Bookinglist'!A:AZ,52,FALSE)</f>
        <v>CY-RTN 05-07/10/26 (PR2610003490)*1ST RETURN 10/10/26*
*PLS CHECK OPEN GATE BEFORE RETURN CTNR*</v>
      </c>
      <c r="AO15" s="62">
        <f>VLOOKUP(D15,'2.Bookinglist'!A:CY,103,FALSE)</f>
        <v>0</v>
      </c>
    </row>
    <row r="16" ht="12.95" customHeight="1">
      <c r="A16" s="96" t="inlineStr">
        <is>
          <t>HALU2569229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HASLS22260901495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JPUKB</v>
      </c>
      <c r="J16" s="61" t="str">
        <f>VLOOKUP(D16,'2.Bookinglist'!A:CT,26,FALSE)</f>
        <v>KRPUS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SWBT</v>
      </c>
      <c r="P16" s="61" t="str">
        <f>VLOOKUP(A16,'1.Loading'!A:R,4,FALSE)</f>
        <v>2616N</v>
      </c>
      <c r="Q16" s="61" t="str">
        <f>VLOOKUP(D16,'2.Bookinglist'!A:CT,12,FALSE)</f>
        <v>NTX</v>
      </c>
      <c r="R16" s="60" t="str">
        <f>IF(LEFT(K16,2)="22","20'","40'")</f>
        <v>20'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2026-10-11</v>
      </c>
      <c r="X16" s="63">
        <f>((T16-W16)+1)</f>
        <v>6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2026-10-16</v>
      </c>
      <c r="AM16" s="60" t="str">
        <f>VLOOKUP(D16,'2.Bookinglist'!A:BK,63,FALSE)</f>
        <v>LCHY5</v>
      </c>
      <c r="AN16" s="62" t="str">
        <f>VLOOKUP(D16,'2.Bookinglist'!A:AZ,52,FALSE)</f>
        <v>[FIX][FIX]SURVEY+CY :28/09/2026 RTN :09/10/2026
REQUEST SEA BULK CONTAIER + SURVEY EMPTY BEFORE PICK UP
</v>
      </c>
      <c r="AO16" s="62" t="str">
        <f>VLOOKUP(D16,'2.Bookinglist'!A:CY,103,FALSE)</f>
        <v>ROLL OVER FROM PREIVOUS VSL SWIC 2611N BY ALLOCATION TEAM MS.TARN APPROVED COST IS UNDER HA DD.14/10</v>
      </c>
    </row>
    <row r="17" ht="12.95" customHeight="1">
      <c r="A17" s="96" t="inlineStr">
        <is>
          <t>HALU2589400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HASLS22260901330</v>
      </c>
      <c r="E17" s="62" t="str">
        <f>VLOOKUP(D17,'2.Bookinglist'!A:CT,27,FALSE)</f>
        <v>WHA GC LOGISTICS COMPANY LIMITED</v>
      </c>
      <c r="F17" s="62" t="str">
        <f>VLOOKUP(D17,'2.Bookinglist'!A:CT,28,FALSE)</f>
        <v>PTT GLOBAL CHEMICAL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SWBT</v>
      </c>
      <c r="P17" s="61" t="str">
        <f>VLOOKUP(A17,'1.Loading'!A:R,4,FALSE)</f>
        <v>2616N</v>
      </c>
      <c r="Q17" s="61" t="str">
        <f>VLOOKUP(D17,'2.Bookinglist'!A:CT,12,FALSE)</f>
        <v>NTX</v>
      </c>
      <c r="R17" s="60" t="str">
        <f>IF(LEFT(K17,2)="22","20'","40'")</f>
        <v>20'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2026-10-14</v>
      </c>
      <c r="X17" s="63">
        <f>((T17-W17)+1)</f>
        <v>3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2026-10-13</v>
      </c>
      <c r="AM17" s="60" t="str">
        <f>VLOOKUP(D17,'2.Bookinglist'!A:BK,63,FALSE)</f>
        <v>LCH27</v>
      </c>
      <c r="AN17" s="62" t="str">
        <f>VLOOKUP(D17,'2.Bookinglist'!A:AZ,52,FALSE)</f>
        <v>CY-RTN 05-07/10/26 (PR2610003490)*1ST RETURN 10/10/26*
*PLS CHECK OPEN GATE BEFORE RETURN CTNR*</v>
      </c>
      <c r="AO17" s="62">
        <f>VLOOKUP(D17,'2.Bookinglist'!A:CY,103,FALSE)</f>
        <v>0</v>
      </c>
    </row>
    <row r="18" ht="12.95" customHeight="1">
      <c r="A18" s="96" t="inlineStr">
        <is>
          <t>HLHU6410971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HASLS22260901872</v>
      </c>
      <c r="E18" s="62" t="str">
        <f>VLOOKUP(D18,'2.Bookinglist'!A:CT,27,FALSE)</f>
        <v>SAMSUNG SDS GLOBAL SCL (THAILAND) CO.,LTD.</v>
      </c>
      <c r="F18" s="62" t="str">
        <f>VLOOKUP(D18,'2.Bookinglist'!A:CT,28,FALSE)</f>
        <v>THAI SAMSUNG ELECTRONICS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KRPTK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SWBT</v>
      </c>
      <c r="P18" s="61" t="str">
        <f>VLOOKUP(A18,'1.Loading'!A:R,4,FALSE)</f>
        <v>2616N</v>
      </c>
      <c r="Q18" s="61" t="str">
        <f>VLOOKUP(D18,'2.Bookinglist'!A:CT,12,FALSE)</f>
        <v>NTX</v>
      </c>
      <c r="R18" s="60" t="str">
        <f>IF(LEFT(K18,2)="22","20'","40'")</f>
        <v>40'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2026-10-13</v>
      </c>
      <c r="X18" s="63">
        <f>((T18-W18)+1)</f>
        <v>4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KIM JAE HWA</v>
      </c>
      <c r="AL18" s="60" t="str">
        <f>VLOOKUP(D18,'2.Bookinglist'!A:CW,101,FALSE)</f>
        <v>2026-10-13</v>
      </c>
      <c r="AM18" s="60" t="str">
        <f>VLOOKUP(D18,'2.Bookinglist'!A:BK,63,FALSE)</f>
        <v>LCHY5</v>
      </c>
      <c r="AN18" s="62" t="str">
        <f>VLOOKUP(D18,'2.Bookinglist'!A:AZ,52,FALSE)</f>
        <v>Pickup : 2026-10-02, Return : 2026-10-08</v>
      </c>
      <c r="AO18" s="62">
        <f>VLOOKUP(D18,'2.Bookinglist'!A:CY,103,FALSE)</f>
        <v>0</v>
      </c>
    </row>
    <row r="19" ht="12.95" customHeight="1">
      <c r="A19" s="96" t="inlineStr">
        <is>
          <t>SKHU6314790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HASLS22260901872</v>
      </c>
      <c r="E19" s="62" t="str">
        <f>VLOOKUP(D19,'2.Bookinglist'!A:CT,27,FALSE)</f>
        <v>SAMSUNG SDS GLOBAL SCL (THAILAND) CO.,LTD.</v>
      </c>
      <c r="F19" s="62" t="str">
        <f>VLOOKUP(D19,'2.Bookinglist'!A:CT,28,FALSE)</f>
        <v>THAI SAMSUNG ELECTRONICS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KRPTK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SWBT</v>
      </c>
      <c r="P19" s="61" t="str">
        <f>VLOOKUP(A19,'1.Loading'!A:R,4,FALSE)</f>
        <v>2616N</v>
      </c>
      <c r="Q19" s="61" t="str">
        <f>VLOOKUP(D19,'2.Bookinglist'!A:CT,12,FALSE)</f>
        <v>NTX</v>
      </c>
      <c r="R19" s="60" t="str">
        <f>IF(LEFT(K19,2)="22","20'","40'")</f>
        <v>40'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2026-10-13</v>
      </c>
      <c r="X19" s="63">
        <f>((T19-W19)+1)</f>
        <v>4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KIM JAE HWA</v>
      </c>
      <c r="AL19" s="60" t="str">
        <f>VLOOKUP(D19,'2.Bookinglist'!A:CW,101,FALSE)</f>
        <v>2026-10-13</v>
      </c>
      <c r="AM19" s="60" t="str">
        <f>VLOOKUP(D19,'2.Bookinglist'!A:BK,63,FALSE)</f>
        <v>LCHY5</v>
      </c>
      <c r="AN19" s="62" t="str">
        <f>VLOOKUP(D19,'2.Bookinglist'!A:AZ,52,FALSE)</f>
        <v>Pickup : 2026-10-02, Return : 2026-10-08</v>
      </c>
      <c r="AO19" s="62">
        <f>VLOOKUP(D19,'2.Bookinglist'!A:CY,103,FALSE)</f>
        <v>0</v>
      </c>
    </row>
    <row r="20" ht="12.95" customHeight="1">
      <c r="A20" s="96" t="inlineStr">
        <is>
          <t>SKHU6336470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HASLS22260901579</v>
      </c>
      <c r="E20" s="62" t="str">
        <f>VLOOKUP(D20,'2.Bookinglist'!A:CT,27,FALSE)</f>
        <v>SAMSUNG SDS GLOBAL SCL (THAILAND) CO.,LTD.</v>
      </c>
      <c r="F20" s="62" t="str">
        <f>VLOOKUP(D20,'2.Bookinglist'!A:CT,28,FALSE)</f>
        <v>THAI SAMSUNG ELECTRONICS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KRPTK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SWBT</v>
      </c>
      <c r="P20" s="61" t="str">
        <f>VLOOKUP(A20,'1.Loading'!A:R,4,FALSE)</f>
        <v>2616N</v>
      </c>
      <c r="Q20" s="61" t="str">
        <f>VLOOKUP(D20,'2.Bookinglist'!A:CT,12,FALSE)</f>
        <v>NTX</v>
      </c>
      <c r="R20" s="60" t="str">
        <f>IF(LEFT(K20,2)="22","20'","40'")</f>
        <v>40'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2026-10-12</v>
      </c>
      <c r="X20" s="63">
        <f>((T20-W20)+1)</f>
        <v>5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KIM JAE HWA</v>
      </c>
      <c r="AL20" s="60" t="str">
        <f>VLOOKUP(D20,'2.Bookinglist'!A:CW,101,FALSE)</f>
        <v>2026-10-13</v>
      </c>
      <c r="AM20" s="60" t="str">
        <f>VLOOKUP(D20,'2.Bookinglist'!A:BK,63,FALSE)</f>
        <v>LCHY5</v>
      </c>
      <c r="AN20" s="62" t="str">
        <f>VLOOKUP(D20,'2.Bookinglist'!A:AZ,52,FALSE)</f>
        <v>Pickup : 2026-10-02, Return : 2026-10-08</v>
      </c>
      <c r="AO20" s="62">
        <f>VLOOKUP(D20,'2.Bookinglist'!A:CY,103,FALSE)</f>
        <v>0</v>
      </c>
    </row>
    <row r="21" ht="12.95" customHeight="1">
      <c r="A21" s="96" t="inlineStr">
        <is>
          <t>SKHU6406881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HASLS22260901579</v>
      </c>
      <c r="E21" s="62" t="str">
        <f>VLOOKUP(D21,'2.Bookinglist'!A:CT,27,FALSE)</f>
        <v>SAMSUNG SDS GLOBAL SCL (THAILAND) CO.,LTD.</v>
      </c>
      <c r="F21" s="62" t="str">
        <f>VLOOKUP(D21,'2.Bookinglist'!A:CT,28,FALSE)</f>
        <v>THAI SAMSUNG ELECTRONICS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KRPTK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SWBT</v>
      </c>
      <c r="P21" s="61" t="str">
        <f>VLOOKUP(A21,'1.Loading'!A:R,4,FALSE)</f>
        <v>2616N</v>
      </c>
      <c r="Q21" s="61" t="str">
        <f>VLOOKUP(D21,'2.Bookinglist'!A:CT,12,FALSE)</f>
        <v>NTX</v>
      </c>
      <c r="R21" s="60" t="str">
        <f>IF(LEFT(K21,2)="22","20'","40'")</f>
        <v>40'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2026-10-12</v>
      </c>
      <c r="X21" s="63">
        <f>((T21-W21)+1)</f>
        <v>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KIM JAE HWA</v>
      </c>
      <c r="AL21" s="60" t="str">
        <f>VLOOKUP(D21,'2.Bookinglist'!A:CW,101,FALSE)</f>
        <v>2026-10-13</v>
      </c>
      <c r="AM21" s="60" t="str">
        <f>VLOOKUP(D21,'2.Bookinglist'!A:BK,63,FALSE)</f>
        <v>LCHY5</v>
      </c>
      <c r="AN21" s="62" t="str">
        <f>VLOOKUP(D21,'2.Bookinglist'!A:AZ,52,FALSE)</f>
        <v>Pickup : 2026-10-02, Return : 2026-10-08</v>
      </c>
      <c r="AO21" s="62">
        <f>VLOOKUP(D21,'2.Bookinglist'!A:CY,103,FALSE)</f>
        <v>0</v>
      </c>
    </row>
    <row r="22" ht="12.95" customHeight="1">
      <c r="A22" s="96" t="inlineStr">
        <is>
          <t>SKHU6418476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HASLS22260901872</v>
      </c>
      <c r="E22" s="62" t="str">
        <f>VLOOKUP(D22,'2.Bookinglist'!A:CT,27,FALSE)</f>
        <v>SAMSUNG SDS GLOBAL SCL (THAILAND) CO.,LTD.</v>
      </c>
      <c r="F22" s="62" t="str">
        <f>VLOOKUP(D22,'2.Bookinglist'!A:CT,28,FALSE)</f>
        <v>THAI SAMSUNG ELECTRONICS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KRPTK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SWBT</v>
      </c>
      <c r="P22" s="61" t="str">
        <f>VLOOKUP(A22,'1.Loading'!A:R,4,FALSE)</f>
        <v>2616N</v>
      </c>
      <c r="Q22" s="61" t="str">
        <f>VLOOKUP(D22,'2.Bookinglist'!A:CT,12,FALSE)</f>
        <v>NTX</v>
      </c>
      <c r="R22" s="60" t="str">
        <f>IF(LEFT(K22,2)="22","20'","40'")</f>
        <v>40'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2026-10-12</v>
      </c>
      <c r="X22" s="63">
        <f>((T22-W22)+1)</f>
        <v>5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KIM JAE HWA</v>
      </c>
      <c r="AL22" s="60" t="str">
        <f>VLOOKUP(D22,'2.Bookinglist'!A:CW,101,FALSE)</f>
        <v>2026-10-13</v>
      </c>
      <c r="AM22" s="60" t="str">
        <f>VLOOKUP(D22,'2.Bookinglist'!A:BK,63,FALSE)</f>
        <v>LCHY5</v>
      </c>
      <c r="AN22" s="62" t="str">
        <f>VLOOKUP(D22,'2.Bookinglist'!A:AZ,52,FALSE)</f>
        <v>Pickup : 2026-10-02, Return : 2026-10-08</v>
      </c>
      <c r="AO22" s="62">
        <f>VLOOKUP(D22,'2.Bookinglist'!A:CY,103,FALSE)</f>
        <v>0</v>
      </c>
    </row>
    <row r="23" ht="12.95" customHeight="1">
      <c r="A23" s="96" t="inlineStr">
        <is>
          <t>SKHU6435426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HASLS22260901872</v>
      </c>
      <c r="E23" s="62" t="str">
        <f>VLOOKUP(D23,'2.Bookinglist'!A:CT,27,FALSE)</f>
        <v>SAMSUNG SDS GLOBAL SCL (THAILAND) CO.,LTD.</v>
      </c>
      <c r="F23" s="62" t="str">
        <f>VLOOKUP(D23,'2.Bookinglist'!A:CT,28,FALSE)</f>
        <v>THAI SAMSUNG ELECTRONICS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KRPTK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SWBT</v>
      </c>
      <c r="P23" s="61" t="str">
        <f>VLOOKUP(A23,'1.Loading'!A:R,4,FALSE)</f>
        <v>2616N</v>
      </c>
      <c r="Q23" s="61" t="str">
        <f>VLOOKUP(D23,'2.Bookinglist'!A:CT,12,FALSE)</f>
        <v>NTX</v>
      </c>
      <c r="R23" s="60" t="str">
        <f>IF(LEFT(K23,2)="22","20'","40'")</f>
        <v>40'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2026-10-13</v>
      </c>
      <c r="X23" s="63">
        <f>((T23-W23)+1)</f>
        <v>4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KIM JAE HWA</v>
      </c>
      <c r="AL23" s="60" t="str">
        <f>VLOOKUP(D23,'2.Bookinglist'!A:CW,101,FALSE)</f>
        <v>2026-10-13</v>
      </c>
      <c r="AM23" s="60" t="str">
        <f>VLOOKUP(D23,'2.Bookinglist'!A:BK,63,FALSE)</f>
        <v>LCHY5</v>
      </c>
      <c r="AN23" s="62" t="str">
        <f>VLOOKUP(D23,'2.Bookinglist'!A:AZ,52,FALSE)</f>
        <v>Pickup : 2026-10-02, Return : 2026-10-08</v>
      </c>
      <c r="AO23" s="62">
        <f>VLOOKUP(D23,'2.Bookinglist'!A:CY,103,FALSE)</f>
        <v>0</v>
      </c>
    </row>
    <row r="24" ht="12.95" customHeight="1">
      <c r="A24" s="96" t="inlineStr">
        <is>
          <t>SKHU6528004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HASLS22261000563</v>
      </c>
      <c r="E24" s="62" t="str">
        <f>VLOOKUP(D24,'2.Bookinglist'!A:CT,27,FALSE)</f>
        <v>ROYAL SUVARNABHUMI LOGISTIC CO., LTD.</v>
      </c>
      <c r="F24" s="62" t="str">
        <f>VLOOKUP(D24,'2.Bookinglist'!A:CT,28,FALSE)</f>
        <v>MICHELIN SIAM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SWBT</v>
      </c>
      <c r="P24" s="61" t="str">
        <f>VLOOKUP(A24,'1.Loading'!A:R,4,FALSE)</f>
        <v>2616N</v>
      </c>
      <c r="Q24" s="61" t="str">
        <f>VLOOKUP(D24,'2.Bookinglist'!A:CT,12,FALSE)</f>
        <v>NTX</v>
      </c>
      <c r="R24" s="60" t="str">
        <f>IF(LEFT(K24,2)="22","20'","40'")</f>
        <v>40'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2026-10-13</v>
      </c>
      <c r="X24" s="63">
        <f>((T24-W24)+1)</f>
        <v>4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Nustsireerach</v>
      </c>
      <c r="AL24" s="60" t="str">
        <f>VLOOKUP(D24,'2.Bookinglist'!A:CW,101,FALSE)</f>
        <v>2026-10-16</v>
      </c>
      <c r="AM24" s="60" t="str">
        <f>VLOOKUP(D24,'2.Bookinglist'!A:BK,63,FALSE)</f>
        <v>LCHY5</v>
      </c>
      <c r="AN24" s="62" t="str">
        <f>VLOOKUP(D24,'2.Bookinglist'!A:AZ,52,FALSE)</f>
        <v>Pickup : 2026-10-10, Return : 2026-10-12
** PLEASE CHECK OPEN GATE BEFORE RETURN CONTAINER **</v>
      </c>
      <c r="AO24" s="62">
        <f>VLOOKUP(D24,'2.Bookinglist'!A:CY,103,FALSE)</f>
        <v>0</v>
      </c>
    </row>
    <row r="25" ht="12.95" customHeight="1">
      <c r="A25" s="96" t="inlineStr">
        <is>
          <t>SKHU6556876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HASLS22260901579</v>
      </c>
      <c r="E25" s="62" t="str">
        <f>VLOOKUP(D25,'2.Bookinglist'!A:CT,27,FALSE)</f>
        <v>SAMSUNG SDS GLOBAL SCL (THAILAND) CO.,LTD.</v>
      </c>
      <c r="F25" s="62" t="str">
        <f>VLOOKUP(D25,'2.Bookinglist'!A:CT,28,FALSE)</f>
        <v>THAI SAMSUNG ELECTRONICS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KRPTK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SWBT</v>
      </c>
      <c r="P25" s="61" t="str">
        <f>VLOOKUP(A25,'1.Loading'!A:R,4,FALSE)</f>
        <v>2616N</v>
      </c>
      <c r="Q25" s="61" t="str">
        <f>VLOOKUP(D25,'2.Bookinglist'!A:CT,12,FALSE)</f>
        <v>NTX</v>
      </c>
      <c r="R25" s="60" t="str">
        <f>IF(LEFT(K25,2)="22","20'","40'")</f>
        <v>40'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2026-10-12</v>
      </c>
      <c r="X25" s="63">
        <f>((T25-W25)+1)</f>
        <v>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KIM JAE HWA</v>
      </c>
      <c r="AL25" s="60" t="str">
        <f>VLOOKUP(D25,'2.Bookinglist'!A:CW,101,FALSE)</f>
        <v>2026-10-13</v>
      </c>
      <c r="AM25" s="60" t="str">
        <f>VLOOKUP(D25,'2.Bookinglist'!A:BK,63,FALSE)</f>
        <v>LCHY5</v>
      </c>
      <c r="AN25" s="62" t="str">
        <f>VLOOKUP(D25,'2.Bookinglist'!A:AZ,52,FALSE)</f>
        <v>Pickup : 2026-10-02, Return : 2026-10-08</v>
      </c>
      <c r="AO25" s="62">
        <f>VLOOKUP(D25,'2.Bookinglist'!A:CY,103,FALSE)</f>
        <v>0</v>
      </c>
    </row>
    <row r="26" ht="12.95" customHeight="1">
      <c r="A26" s="96" t="inlineStr">
        <is>
          <t>SKHU6622828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HASLS22260901872</v>
      </c>
      <c r="E26" s="62" t="str">
        <f>VLOOKUP(D26,'2.Bookinglist'!A:CT,27,FALSE)</f>
        <v>SAMSUNG SDS GLOBAL SCL (THAILAND) CO.,LTD.</v>
      </c>
      <c r="F26" s="62" t="str">
        <f>VLOOKUP(D26,'2.Bookinglist'!A:CT,28,FALSE)</f>
        <v>THAI SAMSUNG ELECTRONICS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KRPTK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SWBT</v>
      </c>
      <c r="P26" s="61" t="str">
        <f>VLOOKUP(A26,'1.Loading'!A:R,4,FALSE)</f>
        <v>2616N</v>
      </c>
      <c r="Q26" s="61" t="str">
        <f>VLOOKUP(D26,'2.Bookinglist'!A:CT,12,FALSE)</f>
        <v>NTX</v>
      </c>
      <c r="R26" s="60" t="str">
        <f>IF(LEFT(K26,2)="22","20'","40'")</f>
        <v>40'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2026-10-13</v>
      </c>
      <c r="X26" s="63">
        <f>((T26-W26)+1)</f>
        <v>4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KIM JAE HWA</v>
      </c>
      <c r="AL26" s="60" t="str">
        <f>VLOOKUP(D26,'2.Bookinglist'!A:CW,101,FALSE)</f>
        <v>2026-10-13</v>
      </c>
      <c r="AM26" s="60" t="str">
        <f>VLOOKUP(D26,'2.Bookinglist'!A:BK,63,FALSE)</f>
        <v>LCHY5</v>
      </c>
      <c r="AN26" s="62" t="str">
        <f>VLOOKUP(D26,'2.Bookinglist'!A:AZ,52,FALSE)</f>
        <v>Pickup : 2026-10-02, Return : 2026-10-08</v>
      </c>
      <c r="AO26" s="62">
        <f>VLOOKUP(D26,'2.Bookinglist'!A:CY,103,FALSE)</f>
        <v>0</v>
      </c>
    </row>
    <row r="27" ht="12.95" customHeight="1">
      <c r="A27" s="96" t="inlineStr">
        <is>
          <t>SKHU9208848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HASLS22260901462</v>
      </c>
      <c r="E27" s="62" t="str">
        <f>VLOOKUP(D27,'2.Bookinglist'!A:CT,27,FALSE)</f>
        <v>SDS-ACUTECH CO., LTD.</v>
      </c>
      <c r="F27" s="62" t="str">
        <f>VLOOKUP(D27,'2.Bookinglist'!A:CT,28,FALSE)</f>
        <v>TPV TECHNOLOGY (THAILAND)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KRPTK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SWBT</v>
      </c>
      <c r="P27" s="61" t="str">
        <f>VLOOKUP(A27,'1.Loading'!A:R,4,FALSE)</f>
        <v>2616N</v>
      </c>
      <c r="Q27" s="61" t="str">
        <f>VLOOKUP(D27,'2.Bookinglist'!A:CT,12,FALSE)</f>
        <v>NTX</v>
      </c>
      <c r="R27" s="60" t="str">
        <f>IF(LEFT(K27,2)="22","20'","40'")</f>
        <v>40'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2026-10-14</v>
      </c>
      <c r="X27" s="63">
        <f>((T27-W27)+1)</f>
        <v>3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KIM JAE HWA</v>
      </c>
      <c r="AL27" s="60" t="str">
        <f>VLOOKUP(D27,'2.Bookinglist'!A:CW,101,FALSE)</f>
        <v>2026-10-13</v>
      </c>
      <c r="AM27" s="60" t="str">
        <f>VLOOKUP(D27,'2.Bookinglist'!A:BK,63,FALSE)</f>
        <v>LCHY5</v>
      </c>
      <c r="AN27" s="62" t="str">
        <f>VLOOKUP(D27,'2.Bookinglist'!A:AZ,52,FALSE)</f>
        <v>Pickup : 2026-10-10, Return : 2026-10-14
CLS TIME DD.15/10/20206 @ 12.00
</v>
      </c>
      <c r="AO27" s="62">
        <f>VLOOKUP(D27,'2.Bookinglist'!A:CY,103,FALSE)</f>
        <v>0</v>
      </c>
    </row>
    <row r="28" ht="12.95" customHeight="1">
      <c r="A28" s="96" t="inlineStr">
        <is>
          <t>SKHU9511540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HASLS22260901579</v>
      </c>
      <c r="E28" s="62" t="str">
        <f>VLOOKUP(D28,'2.Bookinglist'!A:CT,27,FALSE)</f>
        <v>SAMSUNG SDS GLOBAL SCL (THAILAND) CO.,LTD.</v>
      </c>
      <c r="F28" s="62" t="str">
        <f>VLOOKUP(D28,'2.Bookinglist'!A:CT,28,FALSE)</f>
        <v>THAI SAMSUNG ELECTRONICS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KRPTK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SWBT</v>
      </c>
      <c r="P28" s="61" t="str">
        <f>VLOOKUP(A28,'1.Loading'!A:R,4,FALSE)</f>
        <v>2616N</v>
      </c>
      <c r="Q28" s="61" t="str">
        <f>VLOOKUP(D28,'2.Bookinglist'!A:CT,12,FALSE)</f>
        <v>NTX</v>
      </c>
      <c r="R28" s="60" t="str">
        <f>IF(LEFT(K28,2)="22","20'","40'")</f>
        <v>40'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2026-10-12</v>
      </c>
      <c r="X28" s="63">
        <f>((T28-W28)+1)</f>
        <v>5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KIM JAE HWA</v>
      </c>
      <c r="AL28" s="60" t="str">
        <f>VLOOKUP(D28,'2.Bookinglist'!A:CW,101,FALSE)</f>
        <v>2026-10-13</v>
      </c>
      <c r="AM28" s="60" t="str">
        <f>VLOOKUP(D28,'2.Bookinglist'!A:BK,63,FALSE)</f>
        <v>LCHY5</v>
      </c>
      <c r="AN28" s="62" t="str">
        <f>VLOOKUP(D28,'2.Bookinglist'!A:AZ,52,FALSE)</f>
        <v>Pickup : 2026-10-02, Return : 2026-10-08</v>
      </c>
      <c r="AO28" s="62">
        <f>VLOOKUP(D28,'2.Bookinglist'!A:CY,103,FALSE)</f>
        <v>0</v>
      </c>
    </row>
    <row r="29" ht="12.95" customHeight="1">
      <c r="A29" s="96" t="inlineStr">
        <is>
          <t>SKHU9520500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HASLS22260902169</v>
      </c>
      <c r="E29" s="62" t="str">
        <f>VLOOKUP(D29,'2.Bookinglist'!A:CT,27,FALSE)</f>
        <v>H &amp; FRIENDS GTL (THAILAND) CO., LTD.</v>
      </c>
      <c r="F29" s="62" t="str">
        <f>VLOOKUP(D29,'2.Bookinglist'!A:CT,28,FALSE)</f>
        <v>AUTOLIV (THAILAND) LIMITED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KRINC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SWBT</v>
      </c>
      <c r="P29" s="61" t="str">
        <f>VLOOKUP(A29,'1.Loading'!A:R,4,FALSE)</f>
        <v>2616N</v>
      </c>
      <c r="Q29" s="61" t="str">
        <f>VLOOKUP(D29,'2.Bookinglist'!A:CT,12,FALSE)</f>
        <v>NTX</v>
      </c>
      <c r="R29" s="60" t="str">
        <f>IF(LEFT(K29,2)="22","20'","40'")</f>
        <v>40'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2026-10-15</v>
      </c>
      <c r="X29" s="63">
        <f>((T29-W29)+1)</f>
        <v>2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Tarn(Supaporn)</v>
      </c>
      <c r="AL29" s="60" t="str">
        <f>VLOOKUP(D29,'2.Bookinglist'!A:CW,101,FALSE)</f>
        <v>2026-10-16</v>
      </c>
      <c r="AM29" s="60" t="str">
        <f>VLOOKUP(D29,'2.Bookinglist'!A:BK,63,FALSE)</f>
        <v>LCHY5</v>
      </c>
      <c r="AN29" s="62" t="str">
        <f>VLOOKUP(D29,'2.Bookinglist'!A:AZ,52,FALSE)</f>
        <v>Pickup : 2026-10-15, Return : 2026-10-15 *EXTEND CLS TIME : 15/10/2026 @23.59* </v>
      </c>
      <c r="AO29" s="62">
        <f>VLOOKUP(D29,'2.Bookinglist'!A:CY,103,FALSE)</f>
        <v>0</v>
      </c>
    </row>
    <row r="30" ht="12.95" customHeight="1">
      <c r="A30" s="96" t="inlineStr">
        <is>
          <t>SKHU9614169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HASLS22260901579</v>
      </c>
      <c r="E30" s="62" t="str">
        <f>VLOOKUP(D30,'2.Bookinglist'!A:CT,27,FALSE)</f>
        <v>SAMSUNG SDS GLOBAL SCL (THAILAND) CO.,LTD.</v>
      </c>
      <c r="F30" s="62" t="str">
        <f>VLOOKUP(D30,'2.Bookinglist'!A:CT,28,FALSE)</f>
        <v>THAI SAMSUNG ELECTRONICS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KRPTK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SWBT</v>
      </c>
      <c r="P30" s="61" t="str">
        <f>VLOOKUP(A30,'1.Loading'!A:R,4,FALSE)</f>
        <v>2616N</v>
      </c>
      <c r="Q30" s="61" t="str">
        <f>VLOOKUP(D30,'2.Bookinglist'!A:CT,12,FALSE)</f>
        <v>NTX</v>
      </c>
      <c r="R30" s="60" t="str">
        <f>IF(LEFT(K30,2)="22","20'","40'")</f>
        <v>40'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2026-10-12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KIM JAE HWA</v>
      </c>
      <c r="AL30" s="60" t="str">
        <f>VLOOKUP(D30,'2.Bookinglist'!A:CW,101,FALSE)</f>
        <v>2026-10-13</v>
      </c>
      <c r="AM30" s="60" t="str">
        <f>VLOOKUP(D30,'2.Bookinglist'!A:BK,63,FALSE)</f>
        <v>LCHY5</v>
      </c>
      <c r="AN30" s="62" t="str">
        <f>VLOOKUP(D30,'2.Bookinglist'!A:AZ,52,FALSE)</f>
        <v>Pickup : 2026-10-02, Return : 2026-10-08</v>
      </c>
      <c r="AO30" s="62">
        <f>VLOOKUP(D30,'2.Bookinglist'!A:CY,103,FALSE)</f>
        <v>0</v>
      </c>
    </row>
    <row r="31" ht="12.95" customHeight="1">
      <c r="A31" s="96" t="inlineStr">
        <is>
          <t>SKHU9904300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HASLS22260901579</v>
      </c>
      <c r="E31" s="62" t="str">
        <f>VLOOKUP(D31,'2.Bookinglist'!A:CT,27,FALSE)</f>
        <v>SAMSUNG SDS GLOBAL SCL (THAILAND) CO.,LTD.</v>
      </c>
      <c r="F31" s="62" t="str">
        <f>VLOOKUP(D31,'2.Bookinglist'!A:CT,28,FALSE)</f>
        <v>THAI SAMSUNG ELECTRONICS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KRPTK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SWBT</v>
      </c>
      <c r="P31" s="61" t="str">
        <f>VLOOKUP(A31,'1.Loading'!A:R,4,FALSE)</f>
        <v>2616N</v>
      </c>
      <c r="Q31" s="61" t="str">
        <f>VLOOKUP(D31,'2.Bookinglist'!A:CT,12,FALSE)</f>
        <v>NTX</v>
      </c>
      <c r="R31" s="60" t="str">
        <f>IF(LEFT(K31,2)="22","20'","40'")</f>
        <v>40'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2026-10-12</v>
      </c>
      <c r="X31" s="63">
        <f>((T31-W31)+1)</f>
        <v>5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KIM JAE HWA</v>
      </c>
      <c r="AL31" s="60" t="str">
        <f>VLOOKUP(D31,'2.Bookinglist'!A:CW,101,FALSE)</f>
        <v>2026-10-13</v>
      </c>
      <c r="AM31" s="60" t="str">
        <f>VLOOKUP(D31,'2.Bookinglist'!A:BK,63,FALSE)</f>
        <v>LCHY5</v>
      </c>
      <c r="AN31" s="62" t="str">
        <f>VLOOKUP(D31,'2.Bookinglist'!A:AZ,52,FALSE)</f>
        <v>Pickup : 2026-10-02, Return : 2026-10-08</v>
      </c>
      <c r="AO31" s="62">
        <f>VLOOKUP(D31,'2.Bookinglist'!A:CY,103,FALSE)</f>
        <v>0</v>
      </c>
    </row>
    <row r="32" ht="12.95" customHeight="1">
      <c r="A32" s="96" t="inlineStr">
        <is>
          <t>SKHU9942949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HASLS22260901462</v>
      </c>
      <c r="E32" s="62" t="str">
        <f>VLOOKUP(D32,'2.Bookinglist'!A:CT,27,FALSE)</f>
        <v>SDS-ACUTECH CO., LTD.</v>
      </c>
      <c r="F32" s="62" t="str">
        <f>VLOOKUP(D32,'2.Bookinglist'!A:CT,28,FALSE)</f>
        <v>TPV TECHNOLOGY (THAILAND)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KRPTK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SWBT</v>
      </c>
      <c r="P32" s="61" t="str">
        <f>VLOOKUP(A32,'1.Loading'!A:R,4,FALSE)</f>
        <v>2616N</v>
      </c>
      <c r="Q32" s="61" t="str">
        <f>VLOOKUP(D32,'2.Bookinglist'!A:CT,12,FALSE)</f>
        <v>NTX</v>
      </c>
      <c r="R32" s="60" t="str">
        <f>IF(LEFT(K32,2)="22","20'","40'")</f>
        <v>40'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2026-10-13</v>
      </c>
      <c r="X32" s="63">
        <f>((T32-W32)+1)</f>
        <v>4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KIM JAE HWA</v>
      </c>
      <c r="AL32" s="60" t="str">
        <f>VLOOKUP(D32,'2.Bookinglist'!A:CW,101,FALSE)</f>
        <v>2026-10-13</v>
      </c>
      <c r="AM32" s="60" t="str">
        <f>VLOOKUP(D32,'2.Bookinglist'!A:BK,63,FALSE)</f>
        <v>LCHY5</v>
      </c>
      <c r="AN32" s="62" t="str">
        <f>VLOOKUP(D32,'2.Bookinglist'!A:AZ,52,FALSE)</f>
        <v>Pickup : 2026-10-10, Return : 2026-10-14
CLS TIME DD.15/10/20206 @ 12.00
</v>
      </c>
      <c r="AO32" s="62">
        <f>VLOOKUP(D32,'2.Bookinglist'!A:CY,103,FALSE)</f>
        <v>0</v>
      </c>
    </row>
    <row r="33" ht="12.95" customHeight="1">
      <c r="A33" s="96" t="inlineStr">
        <is>
          <t>SKHU9944520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HASLS22260901579</v>
      </c>
      <c r="E33" s="62" t="str">
        <f>VLOOKUP(D33,'2.Bookinglist'!A:CT,27,FALSE)</f>
        <v>SAMSUNG SDS GLOBAL SCL (THAILAND) CO.,LTD.</v>
      </c>
      <c r="F33" s="62" t="str">
        <f>VLOOKUP(D33,'2.Bookinglist'!A:CT,28,FALSE)</f>
        <v>THAI SAMSUNG ELECTRONICS CO., 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KRPTK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SWBT</v>
      </c>
      <c r="P33" s="61" t="str">
        <f>VLOOKUP(A33,'1.Loading'!A:R,4,FALSE)</f>
        <v>2616N</v>
      </c>
      <c r="Q33" s="61" t="str">
        <f>VLOOKUP(D33,'2.Bookinglist'!A:CT,12,FALSE)</f>
        <v>NTX</v>
      </c>
      <c r="R33" s="60" t="str">
        <f>IF(LEFT(K33,2)="22","20'","40'")</f>
        <v>40'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2026-10-12</v>
      </c>
      <c r="X33" s="63">
        <f>((T33-W33)+1)</f>
        <v>5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KIM JAE HWA</v>
      </c>
      <c r="AL33" s="60" t="str">
        <f>VLOOKUP(D33,'2.Bookinglist'!A:CW,101,FALSE)</f>
        <v>2026-10-13</v>
      </c>
      <c r="AM33" s="60" t="str">
        <f>VLOOKUP(D33,'2.Bookinglist'!A:BK,63,FALSE)</f>
        <v>LCHY5</v>
      </c>
      <c r="AN33" s="62" t="str">
        <f>VLOOKUP(D33,'2.Bookinglist'!A:AZ,52,FALSE)</f>
        <v>Pickup : 2026-10-02, Return : 2026-10-08</v>
      </c>
      <c r="AO33" s="62">
        <f>VLOOKUP(D33,'2.Bookinglist'!A:CY,103,FALSE)</f>
        <v>0</v>
      </c>
    </row>
    <row r="34" ht="12.95" customHeight="1">
      <c r="A34" s="96" t="inlineStr">
        <is>
          <t>SKHU9959480</t>
        </is>
      </c>
      <c r="B34" s="184" t="str">
        <f>IF(C34=Charge!$M$1,Charge!$J$1,IF(C34=Charge!$M$23,Charge!$J$23,IF(C34=Charge!$M$17,Charge!$J$17,IF(C34=Charge!$N$17,Charge!$J$17,Charge!$J$7))))</f>
        <v>G1</v>
      </c>
      <c r="C34" s="61" t="str">
        <f>VLOOKUP(A34,'1.Loading'!A:R,14,FALSE)</f>
        <v>LCH04</v>
      </c>
      <c r="D34" s="61" t="str">
        <f>VLOOKUP(A34,'1.Loading'!A:R,17,FALSE)</f>
        <v>HASLS22260901872</v>
      </c>
      <c r="E34" s="62" t="str">
        <f>VLOOKUP(D34,'2.Bookinglist'!A:CT,27,FALSE)</f>
        <v>SAMSUNG SDS GLOBAL SCL (THAILAND) CO.,LTD.</v>
      </c>
      <c r="F34" s="62" t="str">
        <f>VLOOKUP(D34,'2.Bookinglist'!A:CT,28,FALSE)</f>
        <v>THAI SAMSUNG ELECTRONICS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KRPTK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SWBT</v>
      </c>
      <c r="P34" s="61" t="str">
        <f>VLOOKUP(A34,'1.Loading'!A:R,4,FALSE)</f>
        <v>2616N</v>
      </c>
      <c r="Q34" s="61" t="str">
        <f>VLOOKUP(D34,'2.Bookinglist'!A:CT,12,FALSE)</f>
        <v>NTX</v>
      </c>
      <c r="R34" s="60" t="str">
        <f>IF(LEFT(K34,2)="22","20'","40'")</f>
        <v>40'</v>
      </c>
      <c r="S34" s="185" t="n"/>
      <c r="T34" s="61" t="str">
        <f>VLOOKUP(A34,'1.Loading'!A:R,2,FALSE)</f>
        <v>2026-10-16</v>
      </c>
      <c r="U34" s="63">
        <f>T34-S34</f>
        <v>46311</v>
      </c>
      <c r="V34" s="186" t="n"/>
      <c r="W34" s="61" t="str">
        <f>VLOOKUP(A34,'3.GateMove'!A:D,4,FALSE)</f>
        <v>2026-10-12</v>
      </c>
      <c r="X34" s="63">
        <f>((T34-W34)+1)</f>
        <v>5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46312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KIM JAE HWA</v>
      </c>
      <c r="AL34" s="60" t="str">
        <f>VLOOKUP(D34,'2.Bookinglist'!A:CW,101,FALSE)</f>
        <v>2026-10-13</v>
      </c>
      <c r="AM34" s="60" t="str">
        <f>VLOOKUP(D34,'2.Bookinglist'!A:BK,63,FALSE)</f>
        <v>LCHY5</v>
      </c>
      <c r="AN34" s="62" t="str">
        <f>VLOOKUP(D34,'2.Bookinglist'!A:AZ,52,FALSE)</f>
        <v>Pickup : 2026-10-02, Return : 2026-10-08</v>
      </c>
      <c r="AO34" s="62">
        <f>VLOOKUP(D34,'2.Bookinglist'!A:CY,103,FALSE)</f>
        <v>0</v>
      </c>
    </row>
    <row r="35" ht="12.95" customHeight="1">
      <c r="A35" s="96" t="inlineStr">
        <is>
          <t>SKHU9967818</t>
        </is>
      </c>
      <c r="B35" s="184" t="str">
        <f>IF(C35=Charge!$M$1,Charge!$J$1,IF(C35=Charge!$M$23,Charge!$J$23,IF(C35=Charge!$M$17,Charge!$J$17,IF(C35=Charge!$N$17,Charge!$J$17,Charge!$J$7))))</f>
        <v>G1</v>
      </c>
      <c r="C35" s="61" t="str">
        <f>VLOOKUP(A35,'1.Loading'!A:R,14,FALSE)</f>
        <v>LCH04</v>
      </c>
      <c r="D35" s="61" t="str">
        <f>VLOOKUP(A35,'1.Loading'!A:R,17,FALSE)</f>
        <v>HASLS22260901872</v>
      </c>
      <c r="E35" s="62" t="str">
        <f>VLOOKUP(D35,'2.Bookinglist'!A:CT,27,FALSE)</f>
        <v>SAMSUNG SDS GLOBAL SCL (THAILAND) CO.,LTD.</v>
      </c>
      <c r="F35" s="62" t="str">
        <f>VLOOKUP(D35,'2.Bookinglist'!A:CT,28,FALSE)</f>
        <v>THAI SAMSUNG ELECTRONICS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KRPTK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SWBT</v>
      </c>
      <c r="P35" s="61" t="str">
        <f>VLOOKUP(A35,'1.Loading'!A:R,4,FALSE)</f>
        <v>2616N</v>
      </c>
      <c r="Q35" s="61" t="str">
        <f>VLOOKUP(D35,'2.Bookinglist'!A:CT,12,FALSE)</f>
        <v>NTX</v>
      </c>
      <c r="R35" s="60" t="str">
        <f>IF(LEFT(K35,2)="22","20'","40'")</f>
        <v>40'</v>
      </c>
      <c r="S35" s="185" t="n"/>
      <c r="T35" s="61" t="str">
        <f>VLOOKUP(A35,'1.Loading'!A:R,2,FALSE)</f>
        <v>2026-10-16</v>
      </c>
      <c r="U35" s="63">
        <f>T35-S35</f>
        <v>46311</v>
      </c>
      <c r="V35" s="186" t="n"/>
      <c r="W35" s="61" t="str">
        <f>VLOOKUP(A35,'3.GateMove'!A:D,4,FALSE)</f>
        <v>2026-10-12</v>
      </c>
      <c r="X35" s="63">
        <f>((T35-W35)+1)</f>
        <v>5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46312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KIM JAE HWA</v>
      </c>
      <c r="AL35" s="60" t="str">
        <f>VLOOKUP(D35,'2.Bookinglist'!A:CW,101,FALSE)</f>
        <v>2026-10-13</v>
      </c>
      <c r="AM35" s="60" t="str">
        <f>VLOOKUP(D35,'2.Bookinglist'!A:BK,63,FALSE)</f>
        <v>LCHY5</v>
      </c>
      <c r="AN35" s="62" t="str">
        <f>VLOOKUP(D35,'2.Bookinglist'!A:AZ,52,FALSE)</f>
        <v>Pickup : 2026-10-02, Return : 2026-10-08</v>
      </c>
      <c r="AO35" s="62">
        <f>VLOOKUP(D35,'2.Bookinglist'!A:CY,103,FALSE)</f>
        <v>0</v>
      </c>
    </row>
    <row r="36" ht="12.95" customHeight="1">
      <c r="A36" s="96" t="inlineStr">
        <is>
          <t>SKLU0581165</t>
        </is>
      </c>
      <c r="B36" s="184" t="str">
        <f>IF(C36=Charge!$M$1,Charge!$J$1,IF(C36=Charge!$M$23,Charge!$J$23,IF(C36=Charge!$M$17,Charge!$J$17,IF(C36=Charge!$N$17,Charge!$J$17,Charge!$J$7))))</f>
        <v>G1</v>
      </c>
      <c r="C36" s="61" t="str">
        <f>VLOOKUP(A36,'1.Loading'!A:R,14,FALSE)</f>
        <v>LCH04</v>
      </c>
      <c r="D36" s="61" t="str">
        <f>VLOOKUP(A36,'1.Loading'!A:R,17,FALSE)</f>
        <v>HASLS22260901330</v>
      </c>
      <c r="E36" s="62" t="str">
        <f>VLOOKUP(D36,'2.Bookinglist'!A:CT,27,FALSE)</f>
        <v>WHA GC LOGISTICS COMPANY LIMITED</v>
      </c>
      <c r="F36" s="62" t="str">
        <f>VLOOKUP(D36,'2.Bookinglist'!A:CT,28,FALSE)</f>
        <v>PTT GLOBAL CHEMICAL PUBLIC COMPANY LIMITED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SWBT</v>
      </c>
      <c r="P36" s="61" t="str">
        <f>VLOOKUP(A36,'1.Loading'!A:R,4,FALSE)</f>
        <v>2616N</v>
      </c>
      <c r="Q36" s="61" t="str">
        <f>VLOOKUP(D36,'2.Bookinglist'!A:CT,12,FALSE)</f>
        <v>NTX</v>
      </c>
      <c r="R36" s="60" t="str">
        <f>IF(LEFT(K36,2)="22","20'","40'")</f>
        <v>20'</v>
      </c>
      <c r="S36" s="185" t="n"/>
      <c r="T36" s="61" t="str">
        <f>VLOOKUP(A36,'1.Loading'!A:R,2,FALSE)</f>
        <v>2026-10-16</v>
      </c>
      <c r="U36" s="63">
        <f>T36-S36</f>
        <v>46311</v>
      </c>
      <c r="V36" s="186" t="n"/>
      <c r="W36" s="61" t="str">
        <f>VLOOKUP(A36,'3.GateMove'!A:D,4,FALSE)</f>
        <v>2026-10-14</v>
      </c>
      <c r="X36" s="63">
        <f>((T36-W36)+1)</f>
        <v>3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46312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2026-10-13</v>
      </c>
      <c r="AM36" s="60" t="str">
        <f>VLOOKUP(D36,'2.Bookinglist'!A:BK,63,FALSE)</f>
        <v>LCH27</v>
      </c>
      <c r="AN36" s="62" t="str">
        <f>VLOOKUP(D36,'2.Bookinglist'!A:AZ,52,FALSE)</f>
        <v>CY-RTN 05-07/10/26 (PR2610003490)*1ST RETURN 10/10/26*
*PLS CHECK OPEN GATE BEFORE RETURN CTNR*</v>
      </c>
      <c r="AO36" s="62">
        <f>VLOOKUP(D36,'2.Bookinglist'!A:CY,103,FALSE)</f>
        <v>0</v>
      </c>
    </row>
    <row r="37" ht="12.95" customHeight="1">
      <c r="A37" s="96" t="inlineStr">
        <is>
          <t>SKLU1316130</t>
        </is>
      </c>
      <c r="B37" s="184" t="str">
        <f>IF(C37=Charge!$M$1,Charge!$J$1,IF(C37=Charge!$M$23,Charge!$J$23,IF(C37=Charge!$M$17,Charge!$J$17,IF(C37=Charge!$N$17,Charge!$J$17,Charge!$J$7))))</f>
        <v>G1</v>
      </c>
      <c r="C37" s="61" t="str">
        <f>VLOOKUP(A37,'1.Loading'!A:R,14,FALSE)</f>
        <v>LCH04</v>
      </c>
      <c r="D37" s="61" t="str">
        <f>VLOOKUP(A37,'1.Loading'!A:R,17,FALSE)</f>
        <v>HASLS22260901430</v>
      </c>
      <c r="E37" s="62" t="str">
        <f>VLOOKUP(D37,'2.Bookinglist'!A:CT,27,FALSE)</f>
        <v>PANAKOR LOGISTICS CO.,LTD</v>
      </c>
      <c r="F37" s="62" t="str">
        <f>VLOOKUP(D37,'2.Bookinglist'!A:CT,28,FALSE)</f>
        <v>MIKI (THAILAND)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KRKAN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>DG</v>
      </c>
      <c r="N37" s="60" t="str">
        <f>IF(RIGHT(K37,2)="RE","RF","")</f>
        <v/>
      </c>
      <c r="O37" s="61" t="str">
        <f>VLOOKUP(A37,'1.Loading'!A:R,3,FALSE)</f>
        <v>SWBT</v>
      </c>
      <c r="P37" s="61" t="str">
        <f>VLOOKUP(A37,'1.Loading'!A:R,4,FALSE)</f>
        <v>2616N</v>
      </c>
      <c r="Q37" s="61" t="str">
        <f>VLOOKUP(D37,'2.Bookinglist'!A:CT,12,FALSE)</f>
        <v>NTX</v>
      </c>
      <c r="R37" s="60" t="str">
        <f>IF(LEFT(K37,2)="22","20'","40'")</f>
        <v>20'</v>
      </c>
      <c r="S37" s="185" t="n"/>
      <c r="T37" s="61" t="str">
        <f>VLOOKUP(A37,'1.Loading'!A:R,2,FALSE)</f>
        <v>2026-10-16</v>
      </c>
      <c r="U37" s="63">
        <f>T37-S37</f>
        <v>46311</v>
      </c>
      <c r="V37" s="186" t="n"/>
      <c r="W37" s="61" t="str">
        <f>VLOOKUP(A37,'3.GateMove'!A:D,4,FALSE)</f>
        <v>2026-10-16</v>
      </c>
      <c r="X37" s="63">
        <f>((T37-W37)+1)</f>
        <v>1</v>
      </c>
      <c r="Y37" s="64">
        <f>IF(AND(OR(C37="BKK01",C37="BKK04"),L37="CFS/CY"),0,IF(M37="DG",1,IF(LEFT(C37,3)="LCH",7,IF(C37="BKK02",5,3))))</f>
        <v>1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3</v>
      </c>
      <c r="AE37" s="63">
        <f>(T37-V37)+1</f>
        <v>46312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Kim jaewon</v>
      </c>
      <c r="AL37" s="60" t="str">
        <f>VLOOKUP(D37,'2.Bookinglist'!A:CW,101,FALSE)</f>
        <v>2026-10-16</v>
      </c>
      <c r="AM37" s="60" t="str">
        <f>VLOOKUP(D37,'2.Bookinglist'!A:BK,63,FALSE)</f>
        <v>LCHY5</v>
      </c>
      <c r="AN37" s="62" t="str">
        <f>VLOOKUP(D37,'2.Bookinglist'!A:AZ,52,FALSE)</f>
        <v>** APPROVAL IN SYSTEM DD.17/09/2026 ** DG22GPx3 (CLS 3 / UN 1133) 
Pickup : 2026-10-08, Return @JWD : 2026-10-14 </v>
      </c>
      <c r="AO37" s="62">
        <f>VLOOKUP(D37,'2.Bookinglist'!A:CY,103,FALSE)</f>
        <v>0</v>
      </c>
    </row>
    <row r="38" ht="12.95" customHeight="1">
      <c r="A38" s="96" t="inlineStr">
        <is>
          <t>SKLU1431030</t>
        </is>
      </c>
      <c r="B38" s="184" t="str">
        <f>IF(C38=Charge!$M$1,Charge!$J$1,IF(C38=Charge!$M$23,Charge!$J$23,IF(C38=Charge!$M$17,Charge!$J$17,IF(C38=Charge!$N$17,Charge!$J$17,Charge!$J$7))))</f>
        <v>G1</v>
      </c>
      <c r="C38" s="61" t="str">
        <f>VLOOKUP(A38,'1.Loading'!A:R,14,FALSE)</f>
        <v>LCH04</v>
      </c>
      <c r="D38" s="61" t="str">
        <f>VLOOKUP(A38,'1.Loading'!A:R,17,FALSE)</f>
        <v>HASLS22260901430</v>
      </c>
      <c r="E38" s="62" t="str">
        <f>VLOOKUP(D38,'2.Bookinglist'!A:CT,27,FALSE)</f>
        <v>PANAKOR LOGISTICS CO.,LTD</v>
      </c>
      <c r="F38" s="62" t="str">
        <f>VLOOKUP(D38,'2.Bookinglist'!A:CT,28,FALSE)</f>
        <v>MIKI (THAILAND) 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KRKAN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>DG</v>
      </c>
      <c r="N38" s="60" t="str">
        <f>IF(RIGHT(K38,2)="RE","RF","")</f>
        <v/>
      </c>
      <c r="O38" s="61" t="str">
        <f>VLOOKUP(A38,'1.Loading'!A:R,3,FALSE)</f>
        <v>SWBT</v>
      </c>
      <c r="P38" s="61" t="str">
        <f>VLOOKUP(A38,'1.Loading'!A:R,4,FALSE)</f>
        <v>2616N</v>
      </c>
      <c r="Q38" s="61" t="str">
        <f>VLOOKUP(D38,'2.Bookinglist'!A:CT,12,FALSE)</f>
        <v>NTX</v>
      </c>
      <c r="R38" s="60" t="str">
        <f>IF(LEFT(K38,2)="22","20'","40'")</f>
        <v>20'</v>
      </c>
      <c r="S38" s="185" t="n"/>
      <c r="T38" s="61" t="str">
        <f>VLOOKUP(A38,'1.Loading'!A:R,2,FALSE)</f>
        <v>2026-10-16</v>
      </c>
      <c r="U38" s="63">
        <f>T38-S38</f>
        <v>46311</v>
      </c>
      <c r="V38" s="186" t="n"/>
      <c r="W38" s="61" t="str">
        <f>VLOOKUP(A38,'3.GateMove'!A:D,4,FALSE)</f>
        <v>2026-10-16</v>
      </c>
      <c r="X38" s="63">
        <f>((T38-W38)+1)</f>
        <v>1</v>
      </c>
      <c r="Y38" s="64">
        <f>IF(AND(OR(C38="BKK01",C38="BKK04"),L38="CFS/CY"),0,IF(M38="DG",1,IF(LEFT(C38,3)="LCH",7,IF(C38="BKK02",5,3))))</f>
        <v>1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3</v>
      </c>
      <c r="AE38" s="63">
        <f>(T38-V38)+1</f>
        <v>46312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Kim jaewon</v>
      </c>
      <c r="AL38" s="60" t="str">
        <f>VLOOKUP(D38,'2.Bookinglist'!A:CW,101,FALSE)</f>
        <v>2026-10-16</v>
      </c>
      <c r="AM38" s="60" t="str">
        <f>VLOOKUP(D38,'2.Bookinglist'!A:BK,63,FALSE)</f>
        <v>LCHY5</v>
      </c>
      <c r="AN38" s="62" t="str">
        <f>VLOOKUP(D38,'2.Bookinglist'!A:AZ,52,FALSE)</f>
        <v>** APPROVAL IN SYSTEM DD.17/09/2026 ** DG22GPx3 (CLS 3 / UN 1133) 
Pickup : 2026-10-08, Return @JWD : 2026-10-14 </v>
      </c>
      <c r="AO38" s="62">
        <f>VLOOKUP(D38,'2.Bookinglist'!A:CY,103,FALSE)</f>
        <v>0</v>
      </c>
    </row>
    <row r="39" ht="12.95" customHeight="1">
      <c r="A39" s="96" t="inlineStr">
        <is>
          <t>SKLU1437194</t>
        </is>
      </c>
      <c r="B39" s="184" t="str">
        <f>IF(C39=Charge!$M$1,Charge!$J$1,IF(C39=Charge!$M$23,Charge!$J$23,IF(C39=Charge!$M$17,Charge!$J$17,IF(C39=Charge!$N$17,Charge!$J$17,Charge!$J$7))))</f>
        <v>G1</v>
      </c>
      <c r="C39" s="61" t="str">
        <f>VLOOKUP(A39,'1.Loading'!A:R,14,FALSE)</f>
        <v>LCH04</v>
      </c>
      <c r="D39" s="61" t="str">
        <f>VLOOKUP(A39,'1.Loading'!A:R,17,FALSE)</f>
        <v>HASLS22260901495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JPUKB</v>
      </c>
      <c r="J39" s="61" t="str">
        <f>VLOOKUP(D39,'2.Bookinglist'!A:CT,26,FALSE)</f>
        <v>KRPUS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SWBT</v>
      </c>
      <c r="P39" s="61" t="str">
        <f>VLOOKUP(A39,'1.Loading'!A:R,4,FALSE)</f>
        <v>2616N</v>
      </c>
      <c r="Q39" s="61" t="str">
        <f>VLOOKUP(D39,'2.Bookinglist'!A:CT,12,FALSE)</f>
        <v>NTX</v>
      </c>
      <c r="R39" s="60" t="str">
        <f>IF(LEFT(K39,2)="22","20'","40'")</f>
        <v>20'</v>
      </c>
      <c r="S39" s="185" t="n"/>
      <c r="T39" s="61" t="str">
        <f>VLOOKUP(A39,'1.Loading'!A:R,2,FALSE)</f>
        <v>2026-10-16</v>
      </c>
      <c r="U39" s="63">
        <f>T39-S39</f>
        <v>46311</v>
      </c>
      <c r="V39" s="186" t="n"/>
      <c r="W39" s="61" t="str">
        <f>VLOOKUP(A39,'3.GateMove'!A:D,4,FALSE)</f>
        <v>2026-10-10</v>
      </c>
      <c r="X39" s="63">
        <f>((T39-W39)+1)</f>
        <v>7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46312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2026-10-16</v>
      </c>
      <c r="AM39" s="60" t="str">
        <f>VLOOKUP(D39,'2.Bookinglist'!A:BK,63,FALSE)</f>
        <v>LCHY5</v>
      </c>
      <c r="AN39" s="62" t="str">
        <f>VLOOKUP(D39,'2.Bookinglist'!A:AZ,52,FALSE)</f>
        <v>[FIX][FIX]SURVEY+CY :28/09/2026 RTN :09/10/2026
REQUEST SEA BULK CONTAIER + SURVEY EMPTY BEFORE PICK UP
</v>
      </c>
      <c r="AO39" s="62" t="str">
        <f>VLOOKUP(D39,'2.Bookinglist'!A:CY,103,FALSE)</f>
        <v>ROLL OVER FROM PREIVOUS VSL SWIC 2611N BY ALLOCATION TEAM MS.TARN APPROVED COST IS UNDER HA DD.14/10</v>
      </c>
    </row>
    <row r="40" ht="12.95" customHeight="1">
      <c r="A40" s="96" t="inlineStr">
        <is>
          <t>SKLU1549050</t>
        </is>
      </c>
      <c r="B40" s="184" t="str">
        <f>IF(C40=Charge!$M$1,Charge!$J$1,IF(C40=Charge!$M$23,Charge!$J$23,IF(C40=Charge!$M$17,Charge!$J$17,IF(C40=Charge!$N$17,Charge!$J$17,Charge!$J$7))))</f>
        <v>G1</v>
      </c>
      <c r="C40" s="61" t="str">
        <f>VLOOKUP(A40,'1.Loading'!A:R,14,FALSE)</f>
        <v>LCH04</v>
      </c>
      <c r="D40" s="61" t="str">
        <f>VLOOKUP(A40,'1.Loading'!A:R,17,FALSE)</f>
        <v>HASLS22260901495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JPUKB</v>
      </c>
      <c r="J40" s="61" t="str">
        <f>VLOOKUP(D40,'2.Bookinglist'!A:CT,26,FALSE)</f>
        <v>KRPUS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SWBT</v>
      </c>
      <c r="P40" s="61" t="str">
        <f>VLOOKUP(A40,'1.Loading'!A:R,4,FALSE)</f>
        <v>2616N</v>
      </c>
      <c r="Q40" s="61" t="str">
        <f>VLOOKUP(D40,'2.Bookinglist'!A:CT,12,FALSE)</f>
        <v>NTX</v>
      </c>
      <c r="R40" s="60" t="str">
        <f>IF(LEFT(K40,2)="22","20'","40'")</f>
        <v>20'</v>
      </c>
      <c r="S40" s="185" t="n"/>
      <c r="T40" s="61" t="str">
        <f>VLOOKUP(A40,'1.Loading'!A:R,2,FALSE)</f>
        <v>2026-10-16</v>
      </c>
      <c r="U40" s="63">
        <f>T40-S40</f>
        <v>46311</v>
      </c>
      <c r="V40" s="186" t="n"/>
      <c r="W40" s="61" t="str">
        <f>VLOOKUP(A40,'3.GateMove'!A:D,4,FALSE)</f>
        <v>2026-10-10</v>
      </c>
      <c r="X40" s="63">
        <f>((T40-W40)+1)</f>
        <v>7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46312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2026-10-16</v>
      </c>
      <c r="AM40" s="60" t="str">
        <f>VLOOKUP(D40,'2.Bookinglist'!A:BK,63,FALSE)</f>
        <v>LCHY5</v>
      </c>
      <c r="AN40" s="62" t="str">
        <f>VLOOKUP(D40,'2.Bookinglist'!A:AZ,52,FALSE)</f>
        <v>[FIX][FIX]SURVEY+CY :28/09/2026 RTN :09/10/2026
REQUEST SEA BULK CONTAIER + SURVEY EMPTY BEFORE PICK UP
</v>
      </c>
      <c r="AO40" s="62" t="str">
        <f>VLOOKUP(D40,'2.Bookinglist'!A:CY,103,FALSE)</f>
        <v>ROLL OVER FROM PREIVOUS VSL SWIC 2611N BY ALLOCATION TEAM MS.TARN APPROVED COST IS UNDER HA DD.14/10</v>
      </c>
    </row>
    <row r="41" ht="12.95" customHeight="1">
      <c r="A41" s="96" t="inlineStr">
        <is>
          <t>SKLU1557327</t>
        </is>
      </c>
      <c r="B41" s="184" t="str">
        <f>IF(C41=Charge!$M$1,Charge!$J$1,IF(C41=Charge!$M$23,Charge!$J$23,IF(C41=Charge!$M$17,Charge!$J$17,IF(C41=Charge!$N$17,Charge!$J$17,Charge!$J$7))))</f>
        <v>G1</v>
      </c>
      <c r="C41" s="61" t="str">
        <f>VLOOKUP(A41,'1.Loading'!A:R,14,FALSE)</f>
        <v>LCH04</v>
      </c>
      <c r="D41" s="61" t="str">
        <f>VLOOKUP(A41,'1.Loading'!A:R,17,FALSE)</f>
        <v>HASLS22260901495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JPUKB</v>
      </c>
      <c r="J41" s="61" t="str">
        <f>VLOOKUP(D41,'2.Bookinglist'!A:CT,26,FALSE)</f>
        <v>KRPUS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SWBT</v>
      </c>
      <c r="P41" s="61" t="str">
        <f>VLOOKUP(A41,'1.Loading'!A:R,4,FALSE)</f>
        <v>2616N</v>
      </c>
      <c r="Q41" s="61" t="str">
        <f>VLOOKUP(D41,'2.Bookinglist'!A:CT,12,FALSE)</f>
        <v>NTX</v>
      </c>
      <c r="R41" s="60" t="str">
        <f>IF(LEFT(K41,2)="22","20'","40'")</f>
        <v>20'</v>
      </c>
      <c r="S41" s="185" t="n"/>
      <c r="T41" s="61" t="str">
        <f>VLOOKUP(A41,'1.Loading'!A:R,2,FALSE)</f>
        <v>2026-10-16</v>
      </c>
      <c r="U41" s="63">
        <f>T41-S41</f>
        <v>46311</v>
      </c>
      <c r="V41" s="186" t="n"/>
      <c r="W41" s="61" t="str">
        <f>VLOOKUP(A41,'3.GateMove'!A:D,4,FALSE)</f>
        <v>2026-10-13</v>
      </c>
      <c r="X41" s="63">
        <f>((T41-W41)+1)</f>
        <v>4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46312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2026-10-16</v>
      </c>
      <c r="AM41" s="60" t="str">
        <f>VLOOKUP(D41,'2.Bookinglist'!A:BK,63,FALSE)</f>
        <v>LCHY5</v>
      </c>
      <c r="AN41" s="62" t="str">
        <f>VLOOKUP(D41,'2.Bookinglist'!A:AZ,52,FALSE)</f>
        <v>[FIX][FIX]SURVEY+CY :28/09/2026 RTN :09/10/2026
REQUEST SEA BULK CONTAIER + SURVEY EMPTY BEFORE PICK UP
</v>
      </c>
      <c r="AO41" s="62" t="str">
        <f>VLOOKUP(D41,'2.Bookinglist'!A:CY,103,FALSE)</f>
        <v>ROLL OVER FROM PREIVOUS VSL SWIC 2611N BY ALLOCATION TEAM MS.TARN APPROVED COST IS UNDER HA DD.14/10</v>
      </c>
    </row>
    <row r="42" ht="12.95" customHeight="1">
      <c r="A42" s="96" t="inlineStr">
        <is>
          <t>SKLU1605596</t>
        </is>
      </c>
      <c r="B42" s="184" t="str">
        <f>IF(C42=Charge!$M$1,Charge!$J$1,IF(C42=Charge!$M$23,Charge!$J$23,IF(C42=Charge!$M$17,Charge!$J$17,IF(C42=Charge!$N$17,Charge!$J$17,Charge!$J$7))))</f>
        <v>G1</v>
      </c>
      <c r="C42" s="61" t="str">
        <f>VLOOKUP(A42,'1.Loading'!A:R,14,FALSE)</f>
        <v>LCH04</v>
      </c>
      <c r="D42" s="61" t="str">
        <f>VLOOKUP(A42,'1.Loading'!A:R,17,FALSE)</f>
        <v>HASLS22260902208</v>
      </c>
      <c r="E42" s="62" t="str">
        <f>VLOOKUP(D42,'2.Bookinglist'!A:CT,27,FALSE)</f>
        <v>DOW CHEMICAL THAILAND LTD.</v>
      </c>
      <c r="F42" s="62" t="str">
        <f>VLOOKUP(D42,'2.Bookinglist'!A:CT,28,FALSE)</f>
        <v>SIAM POLYETHYLENE CO., LTD.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JPTOS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SWBT</v>
      </c>
      <c r="P42" s="61" t="str">
        <f>VLOOKUP(A42,'1.Loading'!A:R,4,FALSE)</f>
        <v>2616N</v>
      </c>
      <c r="Q42" s="61" t="str">
        <f>VLOOKUP(D42,'2.Bookinglist'!A:CT,12,FALSE)</f>
        <v>NTX</v>
      </c>
      <c r="R42" s="60" t="str">
        <f>IF(LEFT(K42,2)="22","20'","40'")</f>
        <v>20'</v>
      </c>
      <c r="S42" s="185" t="n"/>
      <c r="T42" s="61" t="str">
        <f>VLOOKUP(A42,'1.Loading'!A:R,2,FALSE)</f>
        <v>2026-10-16</v>
      </c>
      <c r="U42" s="63">
        <f>T42-S42</f>
        <v>46311</v>
      </c>
      <c r="V42" s="186" t="n"/>
      <c r="W42" s="61" t="str">
        <f>VLOOKUP(A42,'3.GateMove'!A:D,4,FALSE)</f>
        <v>2026-10-13</v>
      </c>
      <c r="X42" s="63">
        <f>((T42-W42)+1)</f>
        <v>4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46312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SEO JI YEONG</v>
      </c>
      <c r="AL42" s="60" t="str">
        <f>VLOOKUP(D42,'2.Bookinglist'!A:CW,101,FALSE)</f>
        <v>2026-10-13</v>
      </c>
      <c r="AM42" s="60" t="str">
        <f>VLOOKUP(D42,'2.Bookinglist'!A:BK,63,FALSE)</f>
        <v>LCHY5</v>
      </c>
      <c r="AN42" s="62" t="str">
        <f>VLOOKUP(D42,'2.Bookinglist'!A:AZ,52,FALSE)</f>
        <v>Pickup : 2026-10-06, Return : 2026-10-10 
** PLEASE CHECK OPEN GATE BEFORE RETURN CONTAINER ** </v>
      </c>
      <c r="AO42" s="62">
        <f>VLOOKUP(D42,'2.Bookinglist'!A:CY,103,FALSE)</f>
        <v>0</v>
      </c>
    </row>
    <row r="43" ht="12.95" customHeight="1">
      <c r="A43" s="96" t="inlineStr">
        <is>
          <t>SKLU1612445</t>
        </is>
      </c>
      <c r="B43" s="184" t="str">
        <f>IF(C43=Charge!$M$1,Charge!$J$1,IF(C43=Charge!$M$23,Charge!$J$23,IF(C43=Charge!$M$17,Charge!$J$17,IF(C43=Charge!$N$17,Charge!$J$17,Charge!$J$7))))</f>
        <v>G1</v>
      </c>
      <c r="C43" s="61" t="str">
        <f>VLOOKUP(A43,'1.Loading'!A:R,14,FALSE)</f>
        <v>LCH04</v>
      </c>
      <c r="D43" s="61" t="str">
        <f>VLOOKUP(A43,'1.Loading'!A:R,17,FALSE)</f>
        <v>HASLS22260901430</v>
      </c>
      <c r="E43" s="62" t="str">
        <f>VLOOKUP(D43,'2.Bookinglist'!A:CT,27,FALSE)</f>
        <v>PANAKOR LOGISTICS CO.,LTD</v>
      </c>
      <c r="F43" s="62" t="str">
        <f>VLOOKUP(D43,'2.Bookinglist'!A:CT,28,FALSE)</f>
        <v>MIKI (THAILAND) LTD.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KRKAN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>DG</v>
      </c>
      <c r="N43" s="60" t="str">
        <f>IF(RIGHT(K43,2)="RE","RF","")</f>
        <v/>
      </c>
      <c r="O43" s="61" t="str">
        <f>VLOOKUP(A43,'1.Loading'!A:R,3,FALSE)</f>
        <v>SWBT</v>
      </c>
      <c r="P43" s="61" t="str">
        <f>VLOOKUP(A43,'1.Loading'!A:R,4,FALSE)</f>
        <v>2616N</v>
      </c>
      <c r="Q43" s="61" t="str">
        <f>VLOOKUP(D43,'2.Bookinglist'!A:CT,12,FALSE)</f>
        <v>NTX</v>
      </c>
      <c r="R43" s="60" t="str">
        <f>IF(LEFT(K43,2)="22","20'","40'")</f>
        <v>20'</v>
      </c>
      <c r="S43" s="185" t="n"/>
      <c r="T43" s="61" t="str">
        <f>VLOOKUP(A43,'1.Loading'!A:R,2,FALSE)</f>
        <v>2026-10-16</v>
      </c>
      <c r="U43" s="63">
        <f>T43-S43</f>
        <v>46311</v>
      </c>
      <c r="V43" s="186" t="n"/>
      <c r="W43" s="61" t="str">
        <f>VLOOKUP(A43,'3.GateMove'!A:D,4,FALSE)</f>
        <v>2026-10-16</v>
      </c>
      <c r="X43" s="63">
        <f>((T43-W43)+1)</f>
        <v>1</v>
      </c>
      <c r="Y43" s="64">
        <f>IF(AND(OR(C43="BKK01",C43="BKK04"),L43="CFS/CY"),0,IF(M43="DG",1,IF(LEFT(C43,3)="LCH",7,IF(C43="BKK02",5,3))))</f>
        <v>1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3</v>
      </c>
      <c r="AE43" s="63">
        <f>(T43-V43)+1</f>
        <v>46312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Kim jaewon</v>
      </c>
      <c r="AL43" s="60" t="str">
        <f>VLOOKUP(D43,'2.Bookinglist'!A:CW,101,FALSE)</f>
        <v>2026-10-16</v>
      </c>
      <c r="AM43" s="60" t="str">
        <f>VLOOKUP(D43,'2.Bookinglist'!A:BK,63,FALSE)</f>
        <v>LCHY5</v>
      </c>
      <c r="AN43" s="62" t="str">
        <f>VLOOKUP(D43,'2.Bookinglist'!A:AZ,52,FALSE)</f>
        <v>** APPROVAL IN SYSTEM DD.17/09/2026 ** DG22GPx3 (CLS 3 / UN 1133) 
Pickup : 2026-10-08, Return @JWD : 2026-10-14 </v>
      </c>
      <c r="AO43" s="62">
        <f>VLOOKUP(D43,'2.Bookinglist'!A:CY,103,FALSE)</f>
        <v>0</v>
      </c>
    </row>
    <row r="44" ht="12.95" customHeight="1">
      <c r="A44" s="96" t="inlineStr">
        <is>
          <t>SKLU1807318</t>
        </is>
      </c>
      <c r="B44" s="184" t="str">
        <f>IF(C44=Charge!$M$1,Charge!$J$1,IF(C44=Charge!$M$23,Charge!$J$23,IF(C44=Charge!$M$17,Charge!$J$17,IF(C44=Charge!$N$17,Charge!$J$17,Charge!$J$7))))</f>
        <v>G1</v>
      </c>
      <c r="C44" s="61" t="str">
        <f>VLOOKUP(A44,'1.Loading'!A:R,14,FALSE)</f>
        <v>LCH04</v>
      </c>
      <c r="D44" s="61" t="str">
        <f>VLOOKUP(A44,'1.Loading'!A:R,17,FALSE)</f>
        <v>HASLS22260901495</v>
      </c>
      <c r="E44" s="62" t="str">
        <f>VLOOKUP(D44,'2.Bookinglist'!A:CT,27,FALSE)</f>
        <v>WHA GC LOGISTICS COMPANY LIMITED</v>
      </c>
      <c r="F44" s="62" t="str">
        <f>VLOOKUP(D44,'2.Bookinglist'!A:CT,28,FALSE)</f>
        <v>PTT GLOBAL CHEMICAL PUBLIC COMPANY LIMITED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JPUKB</v>
      </c>
      <c r="J44" s="61" t="str">
        <f>VLOOKUP(D44,'2.Bookinglist'!A:CT,26,FALSE)</f>
        <v>KRPUS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SWBT</v>
      </c>
      <c r="P44" s="61" t="str">
        <f>VLOOKUP(A44,'1.Loading'!A:R,4,FALSE)</f>
        <v>2616N</v>
      </c>
      <c r="Q44" s="61" t="str">
        <f>VLOOKUP(D44,'2.Bookinglist'!A:CT,12,FALSE)</f>
        <v>NTX</v>
      </c>
      <c r="R44" s="60" t="str">
        <f>IF(LEFT(K44,2)="22","20'","40'")</f>
        <v>20'</v>
      </c>
      <c r="S44" s="185" t="n"/>
      <c r="T44" s="61" t="str">
        <f>VLOOKUP(A44,'1.Loading'!A:R,2,FALSE)</f>
        <v>2026-10-16</v>
      </c>
      <c r="U44" s="63">
        <f>T44-S44</f>
        <v>46311</v>
      </c>
      <c r="V44" s="186" t="n"/>
      <c r="W44" s="61" t="str">
        <f>VLOOKUP(A44,'3.GateMove'!A:D,4,FALSE)</f>
        <v>2026-10-13</v>
      </c>
      <c r="X44" s="63">
        <f>((T44-W44)+1)</f>
        <v>4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46312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Dharaporn</v>
      </c>
      <c r="AL44" s="60" t="str">
        <f>VLOOKUP(D44,'2.Bookinglist'!A:CW,101,FALSE)</f>
        <v>2026-10-16</v>
      </c>
      <c r="AM44" s="60" t="str">
        <f>VLOOKUP(D44,'2.Bookinglist'!A:BK,63,FALSE)</f>
        <v>LCHY5</v>
      </c>
      <c r="AN44" s="62" t="str">
        <f>VLOOKUP(D44,'2.Bookinglist'!A:AZ,52,FALSE)</f>
        <v>[FIX][FIX]SURVEY+CY :28/09/2026 RTN :09/10/2026
REQUEST SEA BULK CONTAIER + SURVEY EMPTY BEFORE PICK UP
</v>
      </c>
      <c r="AO44" s="62" t="str">
        <f>VLOOKUP(D44,'2.Bookinglist'!A:CY,103,FALSE)</f>
        <v>ROLL OVER FROM PREIVOUS VSL SWIC 2611N BY ALLOCATION TEAM MS.TARN APPROVED COST IS UNDER HA DD.14/10</v>
      </c>
    </row>
    <row r="45" ht="12.95" customHeight="1">
      <c r="A45" s="96" t="inlineStr">
        <is>
          <t>SKLU1965524</t>
        </is>
      </c>
      <c r="B45" s="184" t="str">
        <f>IF(C45=Charge!$M$1,Charge!$J$1,IF(C45=Charge!$M$23,Charge!$J$23,IF(C45=Charge!$M$17,Charge!$J$17,IF(C45=Charge!$N$17,Charge!$J$17,Charge!$J$7))))</f>
        <v>G1</v>
      </c>
      <c r="C45" s="61" t="str">
        <f>VLOOKUP(A45,'1.Loading'!A:R,14,FALSE)</f>
        <v>LCH04</v>
      </c>
      <c r="D45" s="61" t="str">
        <f>VLOOKUP(A45,'1.Loading'!A:R,17,FALSE)</f>
        <v>HASLS22260901495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JPUKB</v>
      </c>
      <c r="J45" s="61" t="str">
        <f>VLOOKUP(D45,'2.Bookinglist'!A:CT,26,FALSE)</f>
        <v>KRPUS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SWBT</v>
      </c>
      <c r="P45" s="61" t="str">
        <f>VLOOKUP(A45,'1.Loading'!A:R,4,FALSE)</f>
        <v>2616N</v>
      </c>
      <c r="Q45" s="61" t="str">
        <f>VLOOKUP(D45,'2.Bookinglist'!A:CT,12,FALSE)</f>
        <v>NTX</v>
      </c>
      <c r="R45" s="60" t="str">
        <f>IF(LEFT(K45,2)="22","20'","40'")</f>
        <v>20'</v>
      </c>
      <c r="S45" s="185" t="n"/>
      <c r="T45" s="61" t="str">
        <f>VLOOKUP(A45,'1.Loading'!A:R,2,FALSE)</f>
        <v>2026-10-16</v>
      </c>
      <c r="U45" s="63">
        <f>T45-S45</f>
        <v>46311</v>
      </c>
      <c r="V45" s="186" t="n"/>
      <c r="W45" s="61" t="str">
        <f>VLOOKUP(A45,'3.GateMove'!A:D,4,FALSE)</f>
        <v>2026-10-10</v>
      </c>
      <c r="X45" s="63">
        <f>((T45-W45)+1)</f>
        <v>7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46312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2026-10-16</v>
      </c>
      <c r="AM45" s="60" t="str">
        <f>VLOOKUP(D45,'2.Bookinglist'!A:BK,63,FALSE)</f>
        <v>LCHY5</v>
      </c>
      <c r="AN45" s="62" t="str">
        <f>VLOOKUP(D45,'2.Bookinglist'!A:AZ,52,FALSE)</f>
        <v>[FIX][FIX]SURVEY+CY :28/09/2026 RTN :09/10/2026
REQUEST SEA BULK CONTAIER + SURVEY EMPTY BEFORE PICK UP
</v>
      </c>
      <c r="AO45" s="62" t="str">
        <f>VLOOKUP(D45,'2.Bookinglist'!A:CY,103,FALSE)</f>
        <v>ROLL OVER FROM PREIVOUS VSL SWIC 2611N BY ALLOCATION TEAM MS.TARN APPROVED COST IS UNDER HA DD.14/10</v>
      </c>
    </row>
    <row r="46" ht="12.95" customHeight="1">
      <c r="A46" s="96" t="inlineStr">
        <is>
          <t>SKLU2022720</t>
        </is>
      </c>
      <c r="B46" s="184" t="str">
        <f>IF(C46=Charge!$M$1,Charge!$J$1,IF(C46=Charge!$M$23,Charge!$J$23,IF(C46=Charge!$M$17,Charge!$J$17,IF(C46=Charge!$N$17,Charge!$J$17,Charge!$J$7))))</f>
        <v>G1</v>
      </c>
      <c r="C46" s="61" t="str">
        <f>VLOOKUP(A46,'1.Loading'!A:R,14,FALSE)</f>
        <v>LCH04</v>
      </c>
      <c r="D46" s="61" t="str">
        <f>VLOOKUP(A46,'1.Loading'!A:R,17,FALSE)</f>
        <v>HASLS22260901495</v>
      </c>
      <c r="E46" s="62" t="str">
        <f>VLOOKUP(D46,'2.Bookinglist'!A:CT,27,FALSE)</f>
        <v>WHA GC LOGISTICS COMPANY LIMITED</v>
      </c>
      <c r="F46" s="62" t="str">
        <f>VLOOKUP(D46,'2.Bookinglist'!A:CT,28,FALSE)</f>
        <v>PTT GLOBAL CHEMICAL PUBLIC COMPANY LIMITED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JPUKB</v>
      </c>
      <c r="J46" s="61" t="str">
        <f>VLOOKUP(D46,'2.Bookinglist'!A:CT,26,FALSE)</f>
        <v>KRPUS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SWBT</v>
      </c>
      <c r="P46" s="61" t="str">
        <f>VLOOKUP(A46,'1.Loading'!A:R,4,FALSE)</f>
        <v>2616N</v>
      </c>
      <c r="Q46" s="61" t="str">
        <f>VLOOKUP(D46,'2.Bookinglist'!A:CT,12,FALSE)</f>
        <v>NTX</v>
      </c>
      <c r="R46" s="60" t="str">
        <f>IF(LEFT(K46,2)="22","20'","40'")</f>
        <v>20'</v>
      </c>
      <c r="S46" s="185" t="n"/>
      <c r="T46" s="61" t="str">
        <f>VLOOKUP(A46,'1.Loading'!A:R,2,FALSE)</f>
        <v>2026-10-16</v>
      </c>
      <c r="U46" s="63">
        <f>T46-S46</f>
        <v>46311</v>
      </c>
      <c r="V46" s="186" t="n"/>
      <c r="W46" s="61" t="str">
        <f>VLOOKUP(A46,'3.GateMove'!A:D,4,FALSE)</f>
        <v>2026-10-11</v>
      </c>
      <c r="X46" s="63">
        <f>((T46-W46)+1)</f>
        <v>6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46312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2026-10-16</v>
      </c>
      <c r="AM46" s="60" t="str">
        <f>VLOOKUP(D46,'2.Bookinglist'!A:BK,63,FALSE)</f>
        <v>LCHY5</v>
      </c>
      <c r="AN46" s="62" t="str">
        <f>VLOOKUP(D46,'2.Bookinglist'!A:AZ,52,FALSE)</f>
        <v>[FIX][FIX]SURVEY+CY :28/09/2026 RTN :09/10/2026
REQUEST SEA BULK CONTAIER + SURVEY EMPTY BEFORE PICK UP
</v>
      </c>
      <c r="AO46" s="62" t="str">
        <f>VLOOKUP(D46,'2.Bookinglist'!A:CY,103,FALSE)</f>
        <v>ROLL OVER FROM PREIVOUS VSL SWIC 2611N BY ALLOCATION TEAM MS.TARN APPROVED COST IS UNDER HA DD.14/10</v>
      </c>
    </row>
    <row r="47" ht="12.95" customHeight="1">
      <c r="A47" s="96" t="inlineStr">
        <is>
          <t>SKLU2025036</t>
        </is>
      </c>
      <c r="B47" s="184" t="str">
        <f>IF(C47=Charge!$M$1,Charge!$J$1,IF(C47=Charge!$M$23,Charge!$J$23,IF(C47=Charge!$M$17,Charge!$J$17,IF(C47=Charge!$N$17,Charge!$J$17,Charge!$J$7))))</f>
        <v>G1</v>
      </c>
      <c r="C47" s="61" t="str">
        <f>VLOOKUP(A47,'1.Loading'!A:R,14,FALSE)</f>
        <v>LCH04</v>
      </c>
      <c r="D47" s="61" t="str">
        <f>VLOOKUP(A47,'1.Loading'!A:R,17,FALSE)</f>
        <v>HASLS22260901495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JPUKB</v>
      </c>
      <c r="J47" s="61" t="str">
        <f>VLOOKUP(D47,'2.Bookinglist'!A:CT,26,FALSE)</f>
        <v>KRPUS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SWBT</v>
      </c>
      <c r="P47" s="61" t="str">
        <f>VLOOKUP(A47,'1.Loading'!A:R,4,FALSE)</f>
        <v>2616N</v>
      </c>
      <c r="Q47" s="61" t="str">
        <f>VLOOKUP(D47,'2.Bookinglist'!A:CT,12,FALSE)</f>
        <v>NTX</v>
      </c>
      <c r="R47" s="60" t="str">
        <f>IF(LEFT(K47,2)="22","20'","40'")</f>
        <v>20'</v>
      </c>
      <c r="S47" s="185" t="n"/>
      <c r="T47" s="61" t="str">
        <f>VLOOKUP(A47,'1.Loading'!A:R,2,FALSE)</f>
        <v>2026-10-16</v>
      </c>
      <c r="U47" s="63">
        <f>T47-S47</f>
        <v>46311</v>
      </c>
      <c r="V47" s="186" t="n"/>
      <c r="W47" s="61" t="str">
        <f>VLOOKUP(A47,'3.GateMove'!A:D,4,FALSE)</f>
        <v>2026-10-13</v>
      </c>
      <c r="X47" s="63">
        <f>((T47-W47)+1)</f>
        <v>4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46312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2026-10-16</v>
      </c>
      <c r="AM47" s="60" t="str">
        <f>VLOOKUP(D47,'2.Bookinglist'!A:BK,63,FALSE)</f>
        <v>LCHY5</v>
      </c>
      <c r="AN47" s="62" t="str">
        <f>VLOOKUP(D47,'2.Bookinglist'!A:AZ,52,FALSE)</f>
        <v>[FIX][FIX]SURVEY+CY :28/09/2026 RTN :09/10/2026
REQUEST SEA BULK CONTAIER + SURVEY EMPTY BEFORE PICK UP
</v>
      </c>
      <c r="AO47" s="62" t="str">
        <f>VLOOKUP(D47,'2.Bookinglist'!A:CY,103,FALSE)</f>
        <v>ROLL OVER FROM PREIVOUS VSL SWIC 2611N BY ALLOCATION TEAM MS.TARN APPROVED COST IS UNDER HA DD.14/10</v>
      </c>
    </row>
    <row r="48" ht="12.95" customHeight="1">
      <c r="A48" s="96" t="inlineStr">
        <is>
          <t>SKLU2056090</t>
        </is>
      </c>
      <c r="B48" s="184" t="str">
        <f>IF(C48=Charge!$M$1,Charge!$J$1,IF(C48=Charge!$M$23,Charge!$J$23,IF(C48=Charge!$M$17,Charge!$J$17,IF(C48=Charge!$N$17,Charge!$J$17,Charge!$J$7))))</f>
        <v>G1</v>
      </c>
      <c r="C48" s="61" t="str">
        <f>VLOOKUP(A48,'1.Loading'!A:R,14,FALSE)</f>
        <v>LCH04</v>
      </c>
      <c r="D48" s="61" t="str">
        <f>VLOOKUP(A48,'1.Loading'!A:R,17,FALSE)</f>
        <v>HASLS22260901495</v>
      </c>
      <c r="E48" s="62" t="str">
        <f>VLOOKUP(D48,'2.Bookinglist'!A:CT,27,FALSE)</f>
        <v>WHA GC LOGISTICS COMPANY LIMITED</v>
      </c>
      <c r="F48" s="62" t="str">
        <f>VLOOKUP(D48,'2.Bookinglist'!A:CT,28,FALSE)</f>
        <v>PTT GLOBAL CHEMICAL PUBLIC COMPANY LIMITED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JPUKB</v>
      </c>
      <c r="J48" s="61" t="str">
        <f>VLOOKUP(D48,'2.Bookinglist'!A:CT,26,FALSE)</f>
        <v>KRPUS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SWBT</v>
      </c>
      <c r="P48" s="61" t="str">
        <f>VLOOKUP(A48,'1.Loading'!A:R,4,FALSE)</f>
        <v>2616N</v>
      </c>
      <c r="Q48" s="61" t="str">
        <f>VLOOKUP(D48,'2.Bookinglist'!A:CT,12,FALSE)</f>
        <v>NTX</v>
      </c>
      <c r="R48" s="60" t="str">
        <f>IF(LEFT(K48,2)="22","20'","40'")</f>
        <v>20'</v>
      </c>
      <c r="S48" s="185" t="n"/>
      <c r="T48" s="61" t="str">
        <f>VLOOKUP(A48,'1.Loading'!A:R,2,FALSE)</f>
        <v>2026-10-16</v>
      </c>
      <c r="U48" s="63">
        <f>T48-S48</f>
        <v>46311</v>
      </c>
      <c r="V48" s="186" t="n"/>
      <c r="W48" s="61" t="str">
        <f>VLOOKUP(A48,'3.GateMove'!A:D,4,FALSE)</f>
        <v>2026-10-12</v>
      </c>
      <c r="X48" s="63">
        <f>((T48-W48)+1)</f>
        <v>5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46312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Dharaporn</v>
      </c>
      <c r="AL48" s="60" t="str">
        <f>VLOOKUP(D48,'2.Bookinglist'!A:CW,101,FALSE)</f>
        <v>2026-10-16</v>
      </c>
      <c r="AM48" s="60" t="str">
        <f>VLOOKUP(D48,'2.Bookinglist'!A:BK,63,FALSE)</f>
        <v>LCHY5</v>
      </c>
      <c r="AN48" s="62" t="str">
        <f>VLOOKUP(D48,'2.Bookinglist'!A:AZ,52,FALSE)</f>
        <v>[FIX][FIX]SURVEY+CY :28/09/2026 RTN :09/10/2026
REQUEST SEA BULK CONTAIER + SURVEY EMPTY BEFORE PICK UP
</v>
      </c>
      <c r="AO48" s="62" t="str">
        <f>VLOOKUP(D48,'2.Bookinglist'!A:CY,103,FALSE)</f>
        <v>ROLL OVER FROM PREIVOUS VSL SWIC 2611N BY ALLOCATION TEAM MS.TARN APPROVED COST IS UNDER HA DD.14/10</v>
      </c>
    </row>
    <row r="49" ht="12.95" customHeight="1">
      <c r="A49" s="96" t="inlineStr">
        <is>
          <t>SKLU2127547</t>
        </is>
      </c>
      <c r="B49" s="184" t="str">
        <f>IF(C49=Charge!$M$1,Charge!$J$1,IF(C49=Charge!$M$23,Charge!$J$23,IF(C49=Charge!$M$17,Charge!$J$17,IF(C49=Charge!$N$17,Charge!$J$17,Charge!$J$7))))</f>
        <v>G1</v>
      </c>
      <c r="C49" s="61" t="str">
        <f>VLOOKUP(A49,'1.Loading'!A:R,14,FALSE)</f>
        <v>LCH04</v>
      </c>
      <c r="D49" s="61" t="str">
        <f>VLOOKUP(A49,'1.Loading'!A:R,17,FALSE)</f>
        <v>HASLS22260901495</v>
      </c>
      <c r="E49" s="62" t="str">
        <f>VLOOKUP(D49,'2.Bookinglist'!A:CT,27,FALSE)</f>
        <v>WHA GC LOGISTICS COMPANY LIMITED</v>
      </c>
      <c r="F49" s="62" t="str">
        <f>VLOOKUP(D49,'2.Bookinglist'!A:CT,28,FALSE)</f>
        <v>PTT GLOBAL CHEMICAL PUBLIC COMPANY LIMITED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JPUKB</v>
      </c>
      <c r="J49" s="61" t="str">
        <f>VLOOKUP(D49,'2.Bookinglist'!A:CT,26,FALSE)</f>
        <v>KRPUS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SWBT</v>
      </c>
      <c r="P49" s="61" t="str">
        <f>VLOOKUP(A49,'1.Loading'!A:R,4,FALSE)</f>
        <v>2616N</v>
      </c>
      <c r="Q49" s="61" t="str">
        <f>VLOOKUP(D49,'2.Bookinglist'!A:CT,12,FALSE)</f>
        <v>NTX</v>
      </c>
      <c r="R49" s="60" t="str">
        <f>IF(LEFT(K49,2)="22","20'","40'")</f>
        <v>20'</v>
      </c>
      <c r="S49" s="185" t="n"/>
      <c r="T49" s="61" t="str">
        <f>VLOOKUP(A49,'1.Loading'!A:R,2,FALSE)</f>
        <v>2026-10-16</v>
      </c>
      <c r="U49" s="63">
        <f>T49-S49</f>
        <v>46311</v>
      </c>
      <c r="V49" s="186" t="n"/>
      <c r="W49" s="61" t="str">
        <f>VLOOKUP(A49,'3.GateMove'!A:D,4,FALSE)</f>
        <v>2026-10-14</v>
      </c>
      <c r="X49" s="63">
        <f>((T49-W49)+1)</f>
        <v>3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0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46312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2026-10-16</v>
      </c>
      <c r="AM49" s="60" t="str">
        <f>VLOOKUP(D49,'2.Bookinglist'!A:BK,63,FALSE)</f>
        <v>LCHY5</v>
      </c>
      <c r="AN49" s="62" t="str">
        <f>VLOOKUP(D49,'2.Bookinglist'!A:AZ,52,FALSE)</f>
        <v>[FIX][FIX]SURVEY+CY :28/09/2026 RTN :09/10/2026
REQUEST SEA BULK CONTAIER + SURVEY EMPTY BEFORE PICK UP
</v>
      </c>
      <c r="AO49" s="62" t="str">
        <f>VLOOKUP(D49,'2.Bookinglist'!A:CY,103,FALSE)</f>
        <v>ROLL OVER FROM PREIVOUS VSL SWIC 2611N BY ALLOCATION TEAM MS.TARN APPROVED COST IS UNDER HA DD.14/10</v>
      </c>
    </row>
    <row r="50" ht="12.95" customHeight="1">
      <c r="A50" s="96" t="inlineStr">
        <is>
          <t>SKLU2336784</t>
        </is>
      </c>
      <c r="B50" s="184" t="str">
        <f>IF(C50=Charge!$M$1,Charge!$J$1,IF(C50=Charge!$M$23,Charge!$J$23,IF(C50=Charge!$M$17,Charge!$J$17,IF(C50=Charge!$N$17,Charge!$J$17,Charge!$J$7))))</f>
        <v>G1</v>
      </c>
      <c r="C50" s="61" t="str">
        <f>VLOOKUP(A50,'1.Loading'!A:R,14,FALSE)</f>
        <v>LCH04</v>
      </c>
      <c r="D50" s="61" t="str">
        <f>VLOOKUP(A50,'1.Loading'!A:R,17,FALSE)</f>
        <v>HASLS22260901495</v>
      </c>
      <c r="E50" s="62" t="str">
        <f>VLOOKUP(D50,'2.Bookinglist'!A:CT,27,FALSE)</f>
        <v>WHA GC LOGISTICS COMPANY LIMITED</v>
      </c>
      <c r="F50" s="62" t="str">
        <f>VLOOKUP(D50,'2.Bookinglist'!A:CT,28,FALSE)</f>
        <v>PTT GLOBAL CHEMICAL PUBLIC COMPANY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JPUKB</v>
      </c>
      <c r="J50" s="61" t="str">
        <f>VLOOKUP(D50,'2.Bookinglist'!A:CT,26,FALSE)</f>
        <v>KRPUS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SWBT</v>
      </c>
      <c r="P50" s="61" t="str">
        <f>VLOOKUP(A50,'1.Loading'!A:R,4,FALSE)</f>
        <v>2616N</v>
      </c>
      <c r="Q50" s="61" t="str">
        <f>VLOOKUP(D50,'2.Bookinglist'!A:CT,12,FALSE)</f>
        <v>NTX</v>
      </c>
      <c r="R50" s="60" t="str">
        <f>IF(LEFT(K50,2)="22","20'","40'")</f>
        <v>20'</v>
      </c>
      <c r="S50" s="185" t="n"/>
      <c r="T50" s="61" t="str">
        <f>VLOOKUP(A50,'1.Loading'!A:R,2,FALSE)</f>
        <v>2026-10-16</v>
      </c>
      <c r="U50" s="63">
        <f>T50-S50</f>
        <v>46311</v>
      </c>
      <c r="V50" s="186" t="n"/>
      <c r="W50" s="61" t="str">
        <f>VLOOKUP(A50,'3.GateMove'!A:D,4,FALSE)</f>
        <v>2026-10-14</v>
      </c>
      <c r="X50" s="63">
        <f>((T50-W50)+1)</f>
        <v>3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0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46312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0</v>
      </c>
      <c r="AJ50" s="188" t="n"/>
      <c r="AK50" s="62" t="str">
        <f>VLOOKUP(D50,'2.Bookinglist'!A:CT,40,FALSE)</f>
        <v>Dharaporn</v>
      </c>
      <c r="AL50" s="60" t="str">
        <f>VLOOKUP(D50,'2.Bookinglist'!A:CW,101,FALSE)</f>
        <v>2026-10-16</v>
      </c>
      <c r="AM50" s="60" t="str">
        <f>VLOOKUP(D50,'2.Bookinglist'!A:BK,63,FALSE)</f>
        <v>LCHY5</v>
      </c>
      <c r="AN50" s="62" t="str">
        <f>VLOOKUP(D50,'2.Bookinglist'!A:AZ,52,FALSE)</f>
        <v>[FIX][FIX]SURVEY+CY :28/09/2026 RTN :09/10/2026
REQUEST SEA BULK CONTAIER + SURVEY EMPTY BEFORE PICK UP
</v>
      </c>
      <c r="AO50" s="62" t="str">
        <f>VLOOKUP(D50,'2.Bookinglist'!A:CY,103,FALSE)</f>
        <v>ROLL OVER FROM PREIVOUS VSL SWIC 2611N BY ALLOCATION TEAM MS.TARN APPROVED COST IS UNDER HA DD.14/10</v>
      </c>
    </row>
    <row r="51" ht="12.95" customHeight="1">
      <c r="A51" s="96" t="inlineStr">
        <is>
          <t>SKLU2361149</t>
        </is>
      </c>
      <c r="B51" s="184" t="str">
        <f>IF(C51=Charge!$M$1,Charge!$J$1,IF(C51=Charge!$M$23,Charge!$J$23,IF(C51=Charge!$M$17,Charge!$J$17,IF(C51=Charge!$N$17,Charge!$J$17,Charge!$J$7))))</f>
        <v>G1</v>
      </c>
      <c r="C51" s="61" t="str">
        <f>VLOOKUP(A51,'1.Loading'!A:R,14,FALSE)</f>
        <v>LCH04</v>
      </c>
      <c r="D51" s="61" t="str">
        <f>VLOOKUP(A51,'1.Loading'!A:R,17,FALSE)</f>
        <v>HASLS22260901495</v>
      </c>
      <c r="E51" s="62" t="str">
        <f>VLOOKUP(D51,'2.Bookinglist'!A:CT,27,FALSE)</f>
        <v>WHA GC LOGISTICS COMPANY LIMITED</v>
      </c>
      <c r="F51" s="62" t="str">
        <f>VLOOKUP(D51,'2.Bookinglist'!A:CT,28,FALSE)</f>
        <v>PTT GLOBAL CHEMICAL PUBLIC COMPANY LIMITED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JPUKB</v>
      </c>
      <c r="J51" s="61" t="str">
        <f>VLOOKUP(D51,'2.Bookinglist'!A:CT,26,FALSE)</f>
        <v>KRPUS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SWBT</v>
      </c>
      <c r="P51" s="61" t="str">
        <f>VLOOKUP(A51,'1.Loading'!A:R,4,FALSE)</f>
        <v>2616N</v>
      </c>
      <c r="Q51" s="61" t="str">
        <f>VLOOKUP(D51,'2.Bookinglist'!A:CT,12,FALSE)</f>
        <v>NTX</v>
      </c>
      <c r="R51" s="60" t="str">
        <f>IF(LEFT(K51,2)="22","20'","40'")</f>
        <v>20'</v>
      </c>
      <c r="S51" s="185" t="n"/>
      <c r="T51" s="61" t="str">
        <f>VLOOKUP(A51,'1.Loading'!A:R,2,FALSE)</f>
        <v>2026-10-16</v>
      </c>
      <c r="U51" s="63">
        <f>T51-S51</f>
        <v>46311</v>
      </c>
      <c r="V51" s="186" t="n"/>
      <c r="W51" s="61" t="str">
        <f>VLOOKUP(A51,'3.GateMove'!A:D,4,FALSE)</f>
        <v>2026-10-12</v>
      </c>
      <c r="X51" s="63">
        <f>((T51-W51)+1)</f>
        <v>5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0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46312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0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2026-10-16</v>
      </c>
      <c r="AM51" s="60" t="str">
        <f>VLOOKUP(D51,'2.Bookinglist'!A:BK,63,FALSE)</f>
        <v>LCHY5</v>
      </c>
      <c r="AN51" s="62" t="str">
        <f>VLOOKUP(D51,'2.Bookinglist'!A:AZ,52,FALSE)</f>
        <v>[FIX][FIX]SURVEY+CY :28/09/2026 RTN :09/10/2026
REQUEST SEA BULK CONTAIER + SURVEY EMPTY BEFORE PICK UP
</v>
      </c>
      <c r="AO51" s="62" t="str">
        <f>VLOOKUP(D51,'2.Bookinglist'!A:CY,103,FALSE)</f>
        <v>ROLL OVER FROM PREIVOUS VSL SWIC 2611N BY ALLOCATION TEAM MS.TARN APPROVED COST IS UNDER HA DD.14/10</v>
      </c>
    </row>
    <row r="52" ht="12.95" customHeight="1">
      <c r="A52" s="96" t="inlineStr">
        <is>
          <t>SKLU2418835</t>
        </is>
      </c>
      <c r="B52" s="184" t="str">
        <f>IF(C52=Charge!$M$1,Charge!$J$1,IF(C52=Charge!$M$23,Charge!$J$23,IF(C52=Charge!$M$17,Charge!$J$17,IF(C52=Charge!$N$17,Charge!$J$17,Charge!$J$7))))</f>
        <v>G1</v>
      </c>
      <c r="C52" s="61" t="str">
        <f>VLOOKUP(A52,'1.Loading'!A:R,14,FALSE)</f>
        <v>LCH04</v>
      </c>
      <c r="D52" s="61" t="str">
        <f>VLOOKUP(A52,'1.Loading'!A:R,17,FALSE)</f>
        <v>HASLS22260901330</v>
      </c>
      <c r="E52" s="62" t="str">
        <f>VLOOKUP(D52,'2.Bookinglist'!A:CT,27,FALSE)</f>
        <v>WHA GC LOGISTICS COMPANY LIMITED</v>
      </c>
      <c r="F52" s="62" t="str">
        <f>VLOOKUP(D52,'2.Bookinglist'!A:CT,28,FALSE)</f>
        <v>PTT GLOBAL CHEMICAL PUBLIC COMPANY LIMITED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VNSGN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SWBT</v>
      </c>
      <c r="P52" s="61" t="str">
        <f>VLOOKUP(A52,'1.Loading'!A:R,4,FALSE)</f>
        <v>2616N</v>
      </c>
      <c r="Q52" s="61" t="str">
        <f>VLOOKUP(D52,'2.Bookinglist'!A:CT,12,FALSE)</f>
        <v>NTX</v>
      </c>
      <c r="R52" s="60" t="str">
        <f>IF(LEFT(K52,2)="22","20'","40'")</f>
        <v>20'</v>
      </c>
      <c r="S52" s="185" t="n"/>
      <c r="T52" s="61" t="str">
        <f>VLOOKUP(A52,'1.Loading'!A:R,2,FALSE)</f>
        <v>2026-10-16</v>
      </c>
      <c r="U52" s="63">
        <f>T52-S52</f>
        <v>46311</v>
      </c>
      <c r="V52" s="186" t="n"/>
      <c r="W52" s="61" t="str">
        <f>VLOOKUP(A52,'3.GateMove'!A:D,4,FALSE)</f>
        <v>2026-10-14</v>
      </c>
      <c r="X52" s="63">
        <f>((T52-W52)+1)</f>
        <v>3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0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46312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0</v>
      </c>
      <c r="AJ52" s="188" t="n"/>
      <c r="AK52" s="62" t="str">
        <f>VLOOKUP(D52,'2.Bookinglist'!A:CT,40,FALSE)</f>
        <v>Dharaporn</v>
      </c>
      <c r="AL52" s="60" t="str">
        <f>VLOOKUP(D52,'2.Bookinglist'!A:CW,101,FALSE)</f>
        <v>2026-10-13</v>
      </c>
      <c r="AM52" s="60" t="str">
        <f>VLOOKUP(D52,'2.Bookinglist'!A:BK,63,FALSE)</f>
        <v>LCH27</v>
      </c>
      <c r="AN52" s="62" t="str">
        <f>VLOOKUP(D52,'2.Bookinglist'!A:AZ,52,FALSE)</f>
        <v>CY-RTN 05-07/10/26 (PR2610003490)*1ST RETURN 10/10/26*
*PLS CHECK OPEN GATE BEFORE RETURN CTNR*</v>
      </c>
      <c r="AO52" s="62">
        <f>VLOOKUP(D52,'2.Bookinglist'!A:CY,103,FALSE)</f>
        <v>0</v>
      </c>
    </row>
    <row r="53" ht="12.95" customHeight="1">
      <c r="A53" s="96" t="inlineStr">
        <is>
          <t>SKLU2470617</t>
        </is>
      </c>
      <c r="B53" s="184" t="str">
        <f>IF(C53=Charge!$M$1,Charge!$J$1,IF(C53=Charge!$M$23,Charge!$J$23,IF(C53=Charge!$M$17,Charge!$J$17,IF(C53=Charge!$N$17,Charge!$J$17,Charge!$J$7))))</f>
        <v>G1</v>
      </c>
      <c r="C53" s="61" t="str">
        <f>VLOOKUP(A53,'1.Loading'!A:R,14,FALSE)</f>
        <v>LCH04</v>
      </c>
      <c r="D53" s="61" t="str">
        <f>VLOOKUP(A53,'1.Loading'!A:R,17,FALSE)</f>
        <v>HASLS22260901495</v>
      </c>
      <c r="E53" s="62" t="str">
        <f>VLOOKUP(D53,'2.Bookinglist'!A:CT,27,FALSE)</f>
        <v>WHA GC LOGISTICS COMPANY LIMITED</v>
      </c>
      <c r="F53" s="62" t="str">
        <f>VLOOKUP(D53,'2.Bookinglist'!A:CT,28,FALSE)</f>
        <v>PTT GLOBAL CHEMICAL PUBLIC COMPANY LIMITED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JPUKB</v>
      </c>
      <c r="J53" s="61" t="str">
        <f>VLOOKUP(D53,'2.Bookinglist'!A:CT,26,FALSE)</f>
        <v>KRPUS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SWBT</v>
      </c>
      <c r="P53" s="61" t="str">
        <f>VLOOKUP(A53,'1.Loading'!A:R,4,FALSE)</f>
        <v>2616N</v>
      </c>
      <c r="Q53" s="61" t="str">
        <f>VLOOKUP(D53,'2.Bookinglist'!A:CT,12,FALSE)</f>
        <v>NTX</v>
      </c>
      <c r="R53" s="60" t="str">
        <f>IF(LEFT(K53,2)="22","20'","40'")</f>
        <v>20'</v>
      </c>
      <c r="S53" s="185" t="n"/>
      <c r="T53" s="61" t="str">
        <f>VLOOKUP(A53,'1.Loading'!A:R,2,FALSE)</f>
        <v>2026-10-16</v>
      </c>
      <c r="U53" s="63">
        <f>T53-S53</f>
        <v>46311</v>
      </c>
      <c r="V53" s="186" t="n"/>
      <c r="W53" s="61" t="str">
        <f>VLOOKUP(A53,'3.GateMove'!A:D,4,FALSE)</f>
        <v>2026-10-12</v>
      </c>
      <c r="X53" s="63">
        <f>((T53-W53)+1)</f>
        <v>5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0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46312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2026-10-16</v>
      </c>
      <c r="AM53" s="60" t="str">
        <f>VLOOKUP(D53,'2.Bookinglist'!A:BK,63,FALSE)</f>
        <v>LCHY5</v>
      </c>
      <c r="AN53" s="62" t="str">
        <f>VLOOKUP(D53,'2.Bookinglist'!A:AZ,52,FALSE)</f>
        <v>[FIX][FIX]SURVEY+CY :28/09/2026 RTN :09/10/2026
REQUEST SEA BULK CONTAIER + SURVEY EMPTY BEFORE PICK UP
</v>
      </c>
      <c r="AO53" s="62" t="str">
        <f>VLOOKUP(D53,'2.Bookinglist'!A:CY,103,FALSE)</f>
        <v>ROLL OVER FROM PREIVOUS VSL SWIC 2611N BY ALLOCATION TEAM MS.TARN APPROVED COST IS UNDER HA DD.14/10</v>
      </c>
    </row>
    <row r="54" ht="12.95" customHeight="1">
      <c r="A54" s="96" t="inlineStr">
        <is>
          <t>SKLU2491158</t>
        </is>
      </c>
      <c r="B54" s="184" t="str">
        <f>IF(C54=Charge!$M$1,Charge!$J$1,IF(C54=Charge!$M$23,Charge!$J$23,IF(C54=Charge!$M$17,Charge!$J$17,IF(C54=Charge!$N$17,Charge!$J$17,Charge!$J$7))))</f>
        <v>G1</v>
      </c>
      <c r="C54" s="61" t="str">
        <f>VLOOKUP(A54,'1.Loading'!A:R,14,FALSE)</f>
        <v>LCH04</v>
      </c>
      <c r="D54" s="61" t="str">
        <f>VLOOKUP(A54,'1.Loading'!A:R,17,FALSE)</f>
        <v>HASLS22260901495</v>
      </c>
      <c r="E54" s="62" t="str">
        <f>VLOOKUP(D54,'2.Bookinglist'!A:CT,27,FALSE)</f>
        <v>WHA GC LOGISTICS COMPANY LIMITED</v>
      </c>
      <c r="F54" s="62" t="str">
        <f>VLOOKUP(D54,'2.Bookinglist'!A:CT,28,FALSE)</f>
        <v>PTT GLOBAL CHEMICAL PUBLIC COMPANY LIMITED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JPUKB</v>
      </c>
      <c r="J54" s="61" t="str">
        <f>VLOOKUP(D54,'2.Bookinglist'!A:CT,26,FALSE)</f>
        <v>KRPUS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SWBT</v>
      </c>
      <c r="P54" s="61" t="str">
        <f>VLOOKUP(A54,'1.Loading'!A:R,4,FALSE)</f>
        <v>2616N</v>
      </c>
      <c r="Q54" s="61" t="str">
        <f>VLOOKUP(D54,'2.Bookinglist'!A:CT,12,FALSE)</f>
        <v>NTX</v>
      </c>
      <c r="R54" s="60" t="str">
        <f>IF(LEFT(K54,2)="22","20'","40'")</f>
        <v>20'</v>
      </c>
      <c r="S54" s="185" t="n"/>
      <c r="T54" s="61" t="str">
        <f>VLOOKUP(A54,'1.Loading'!A:R,2,FALSE)</f>
        <v>2026-10-16</v>
      </c>
      <c r="U54" s="63">
        <f>T54-S54</f>
        <v>46311</v>
      </c>
      <c r="V54" s="186" t="n"/>
      <c r="W54" s="61" t="str">
        <f>VLOOKUP(A54,'3.GateMove'!A:D,4,FALSE)</f>
        <v>2026-10-11</v>
      </c>
      <c r="X54" s="63">
        <f>((T54-W54)+1)</f>
        <v>6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0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46312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0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2026-10-16</v>
      </c>
      <c r="AM54" s="60" t="str">
        <f>VLOOKUP(D54,'2.Bookinglist'!A:BK,63,FALSE)</f>
        <v>LCHY5</v>
      </c>
      <c r="AN54" s="62" t="str">
        <f>VLOOKUP(D54,'2.Bookinglist'!A:AZ,52,FALSE)</f>
        <v>[FIX][FIX]SURVEY+CY :28/09/2026 RTN :09/10/2026
REQUEST SEA BULK CONTAIER + SURVEY EMPTY BEFORE PICK UP
</v>
      </c>
      <c r="AO54" s="62" t="str">
        <f>VLOOKUP(D54,'2.Bookinglist'!A:CY,103,FALSE)</f>
        <v>ROLL OVER FROM PREIVOUS VSL SWIC 2611N BY ALLOCATION TEAM MS.TARN APPROVED COST IS UNDER HA DD.14/10</v>
      </c>
    </row>
    <row r="55" ht="12.95" customHeight="1">
      <c r="A55" s="96" t="inlineStr">
        <is>
          <t>SKRU9601449</t>
        </is>
      </c>
      <c r="B55" s="184" t="str">
        <f>IF(C55=Charge!$M$1,Charge!$J$1,IF(C55=Charge!$M$23,Charge!$J$23,IF(C55=Charge!$M$17,Charge!$J$17,IF(C55=Charge!$N$17,Charge!$J$17,Charge!$J$7))))</f>
        <v>G1</v>
      </c>
      <c r="C55" s="61" t="str">
        <f>VLOOKUP(A55,'1.Loading'!A:R,14,FALSE)</f>
        <v>LCH04</v>
      </c>
      <c r="D55" s="61" t="str">
        <f>VLOOKUP(A55,'1.Loading'!A:R,17,FALSE)</f>
        <v>HASLS22260901235</v>
      </c>
      <c r="E55" s="62" t="str">
        <f>VLOOKUP(D55,'2.Bookinglist'!A:CT,27,FALSE)</f>
        <v>LAND SEA SKY CO., LTD.</v>
      </c>
      <c r="F55" s="62" t="str">
        <f>VLOOKUP(D55,'2.Bookinglist'!A:CT,28,FALSE)</f>
        <v>SAHA FARMS  INTERNATIONAL CO LTD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KRPTK</v>
      </c>
      <c r="J55" s="61">
        <f>VLOOKUP(D55,'2.Bookinglist'!A:CT,26,FALSE)</f>
        <v>0</v>
      </c>
      <c r="K55" s="61" t="str">
        <f>VLOOKUP(A55,'1.Loading'!A:R,5,FALSE)</f>
        <v>45RE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>RF</v>
      </c>
      <c r="O55" s="61" t="str">
        <f>VLOOKUP(A55,'1.Loading'!A:R,3,FALSE)</f>
        <v>SWBT</v>
      </c>
      <c r="P55" s="61" t="str">
        <f>VLOOKUP(A55,'1.Loading'!A:R,4,FALSE)</f>
        <v>2616N</v>
      </c>
      <c r="Q55" s="61" t="str">
        <f>VLOOKUP(D55,'2.Bookinglist'!A:CT,12,FALSE)</f>
        <v>NTX</v>
      </c>
      <c r="R55" s="60" t="str">
        <f>IF(LEFT(K55,2)="22","20'","40'")</f>
        <v>40'</v>
      </c>
      <c r="S55" s="185" t="n"/>
      <c r="T55" s="61" t="str">
        <f>VLOOKUP(A55,'1.Loading'!A:R,2,FALSE)</f>
        <v>2026-10-16</v>
      </c>
      <c r="U55" s="63">
        <f>T55-S55</f>
        <v>46311</v>
      </c>
      <c r="V55" s="186" t="n"/>
      <c r="W55" s="61" t="str">
        <f>VLOOKUP(A55,'3.GateMove'!A:D,4,FALSE)</f>
        <v>2026-10-14</v>
      </c>
      <c r="X55" s="63">
        <f>((T55-W55)+1)</f>
        <v>3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3</v>
      </c>
      <c r="AE55" s="63">
        <f>(T55-V55)+1</f>
        <v>46312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Sukunpoj Damrongying</v>
      </c>
      <c r="AL55" s="60" t="str">
        <f>VLOOKUP(D55,'2.Bookinglist'!A:CW,101,FALSE)</f>
        <v>2026-10-16</v>
      </c>
      <c r="AM55" s="60" t="str">
        <f>VLOOKUP(D55,'2.Bookinglist'!A:BK,63,FALSE)</f>
        <v>BKK27</v>
      </c>
      <c r="AN55" s="62" t="str">
        <f>VLOOKUP(D55,'2.Bookinglist'!A:AZ,52,FALSE)</f>
        <v>Pickup : 2026-10-12, Return : 2026-10-14 (Temp -18.0 / Vent Close)
 CLS TIME 15/10 @19.00 [1ST RTN 14/10 W/O ELECTRIC] 
 </v>
      </c>
      <c r="AO55" s="62">
        <f>VLOOKUP(D55,'2.Bookinglist'!A:CY,103,FALSE)</f>
        <v>0</v>
      </c>
    </row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2026-10-16T02:21:58Z</dcterms:modified>
  <cp:lastModifiedBy>office4</cp:lastModifiedBy>
  <cp:lastPrinted>2019-11-19T03:03:39Z</cp:lastPrinted>
</cp:coreProperties>
</file>