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BMOU6091972</t>
        </is>
      </c>
      <c r="B2" s="161" t="inlineStr">
        <is>
          <t>2026-10-16</t>
        </is>
      </c>
      <c r="C2" s="96" t="inlineStr">
        <is>
          <t>KUS</t>
        </is>
      </c>
      <c r="D2" s="96" t="inlineStr">
        <is>
          <t>2616N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LCH05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HASLS22260902851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KST</t>
        </is>
      </c>
      <c r="U2" s="97" t="n"/>
      <c r="V2" s="96" t="inlineStr">
        <is>
          <t>NGB15L03</t>
        </is>
      </c>
      <c r="W2" s="96" t="inlineStr">
        <is>
          <t>TOSHIBA LOGISTICS (THAILAND)</t>
        </is>
      </c>
      <c r="X2" s="96" t="inlineStr">
        <is>
          <t>VFD</t>
        </is>
      </c>
      <c r="Y2" s="96" t="inlineStr">
        <is>
          <t>TOSHIBA LOGISTICS VIETNAM CO.,LTD.</t>
        </is>
      </c>
      <c r="Z2" s="96" t="inlineStr">
        <is>
          <t>TOSHIBA LOGISTICS VIETNAM CO.,LTD.</t>
        </is>
      </c>
      <c r="AA2" s="97" t="n">
        <v>6174</v>
      </c>
      <c r="AB2" s="96" t="inlineStr">
        <is>
          <t>LCH05</t>
        </is>
      </c>
      <c r="AC2" s="96" t="inlineStr">
        <is>
          <t>SGN03</t>
        </is>
      </c>
    </row>
    <row r="3" ht="12" customHeight="1">
      <c r="A3" s="96" t="inlineStr">
        <is>
          <t>FCIU7275545</t>
        </is>
      </c>
      <c r="B3" s="161" t="inlineStr">
        <is>
          <t>2026-10-16</t>
        </is>
      </c>
      <c r="C3" s="96" t="inlineStr">
        <is>
          <t>KUS</t>
        </is>
      </c>
      <c r="D3" s="96" t="inlineStr">
        <is>
          <t>2616N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LCH05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HASLS22260902851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KST</t>
        </is>
      </c>
      <c r="U3" s="97" t="n"/>
      <c r="V3" s="96" t="inlineStr">
        <is>
          <t>SHA17L10</t>
        </is>
      </c>
      <c r="W3" s="96" t="inlineStr">
        <is>
          <t>TOSHIBA LOGISTICS (THAILAND)</t>
        </is>
      </c>
      <c r="X3" s="96" t="inlineStr">
        <is>
          <t>VFD</t>
        </is>
      </c>
      <c r="Y3" s="96" t="inlineStr">
        <is>
          <t>TOSHIBA LOGISTICS VIETNAM CO.,LTD.</t>
        </is>
      </c>
      <c r="Z3" s="96" t="inlineStr">
        <is>
          <t>TOSHIBA LOGISTICS VIETNAM CO.,LTD.</t>
        </is>
      </c>
      <c r="AA3" s="97" t="n">
        <v>6468</v>
      </c>
      <c r="AB3" s="96" t="inlineStr">
        <is>
          <t>LCH05</t>
        </is>
      </c>
      <c r="AC3" s="96" t="inlineStr">
        <is>
          <t>SGN03</t>
        </is>
      </c>
    </row>
    <row r="4" ht="12" customHeight="1">
      <c r="A4" s="96" t="inlineStr">
        <is>
          <t>HALU2030140</t>
        </is>
      </c>
      <c r="B4" s="161" t="inlineStr">
        <is>
          <t>2026-10-16</t>
        </is>
      </c>
      <c r="C4" s="96" t="inlineStr">
        <is>
          <t>KUS</t>
        </is>
      </c>
      <c r="D4" s="96" t="inlineStr">
        <is>
          <t>2616N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LCH05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HASLS22260900461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KST</t>
        </is>
      </c>
      <c r="U4" s="97" t="n"/>
      <c r="V4" s="96" t="inlineStr">
        <is>
          <t>TXG14011</t>
        </is>
      </c>
      <c r="W4" s="96" t="inlineStr">
        <is>
          <t>PTT GLOBAL CHEMICAL PUBLIC COMPANY</t>
        </is>
      </c>
      <c r="X4" s="96" t="inlineStr">
        <is>
          <t>VFD</t>
        </is>
      </c>
      <c r="Y4" s="96" t="inlineStr">
        <is>
          <t>TO ORDER OF SACOMBANK -</t>
        </is>
      </c>
      <c r="Z4" s="96" t="inlineStr">
        <is>
          <t>GIA LOI JOINT STOCK COMPANY</t>
        </is>
      </c>
      <c r="AA4" s="97" t="n">
        <v>18072</v>
      </c>
      <c r="AB4" s="96" t="inlineStr">
        <is>
          <t>LCH05</t>
        </is>
      </c>
      <c r="AC4" s="96" t="inlineStr">
        <is>
          <t>SGN03</t>
        </is>
      </c>
    </row>
    <row r="5" ht="12" customHeight="1">
      <c r="A5" s="96" t="inlineStr">
        <is>
          <t>HALU2037381</t>
        </is>
      </c>
      <c r="B5" s="161" t="inlineStr">
        <is>
          <t>2026-10-16</t>
        </is>
      </c>
      <c r="C5" s="96" t="inlineStr">
        <is>
          <t>KUS</t>
        </is>
      </c>
      <c r="D5" s="96" t="inlineStr">
        <is>
          <t>2616N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KRPUS</t>
        </is>
      </c>
      <c r="J5" s="96" t="inlineStr">
        <is>
          <t>JPMIZ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LCH05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HASLS22260900318</t>
        </is>
      </c>
      <c r="R5" s="96" t="inlineStr">
        <is>
          <t>Y</t>
        </is>
      </c>
      <c r="S5" s="96" t="inlineStr">
        <is>
          <t>N</t>
        </is>
      </c>
      <c r="T5" s="96" t="inlineStr">
        <is>
          <t>KST</t>
        </is>
      </c>
      <c r="U5" s="97" t="n"/>
      <c r="V5" s="96" t="inlineStr">
        <is>
          <t>TXG14011</t>
        </is>
      </c>
      <c r="W5" s="96" t="inlineStr">
        <is>
          <t>PTT GLOBAL CHEMICAL PUBLIC COMPANY</t>
        </is>
      </c>
      <c r="X5" s="96" t="inlineStr">
        <is>
          <t>VFD</t>
        </is>
      </c>
      <c r="Y5" s="96" t="inlineStr">
        <is>
          <t>MARUBENI INNOVEXIS CORPORATION</t>
        </is>
      </c>
      <c r="Z5" s="96" t="inlineStr">
        <is>
          <t>MARUBENI INNOVEXIS CORPORATION</t>
        </is>
      </c>
      <c r="AA5" s="97" t="n">
        <v>16160</v>
      </c>
      <c r="AB5" s="96" t="inlineStr">
        <is>
          <t>LCH05</t>
        </is>
      </c>
      <c r="AC5" s="96" t="inlineStr">
        <is>
          <t>MIZ01</t>
        </is>
      </c>
    </row>
    <row r="6" ht="12" customHeight="1">
      <c r="A6" s="96" t="inlineStr">
        <is>
          <t>BMOU5941310</t>
        </is>
      </c>
      <c r="B6" s="161" t="inlineStr">
        <is>
          <t>2026-10-16</t>
        </is>
      </c>
      <c r="C6" s="96" t="inlineStr">
        <is>
          <t>KUS</t>
        </is>
      </c>
      <c r="D6" s="96" t="inlineStr">
        <is>
          <t>2616N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KRPUS</t>
        </is>
      </c>
      <c r="J6" s="96" t="inlineStr">
        <is>
          <t>JPHIJ</t>
        </is>
      </c>
      <c r="K6" s="96" t="inlineStr">
        <is>
          <t>F</t>
        </is>
      </c>
      <c r="L6" s="96" t="inlineStr">
        <is>
          <t>L/T</t>
        </is>
      </c>
      <c r="M6" s="96" t="inlineStr">
        <is>
          <t>VFL</t>
        </is>
      </c>
      <c r="N6" s="96" t="inlineStr">
        <is>
          <t>LCH05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HASLS22260901626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KST</t>
        </is>
      </c>
      <c r="U6" s="97" t="n"/>
      <c r="V6" s="96" t="inlineStr">
        <is>
          <t>SHA15L16</t>
        </is>
      </c>
      <c r="W6" s="96" t="inlineStr">
        <is>
          <t>MOL LOGISTICS (THAILAND) CO., LTD.</t>
        </is>
      </c>
      <c r="X6" s="96" t="inlineStr">
        <is>
          <t>VFD</t>
        </is>
      </c>
      <c r="Y6" s="96" t="inlineStr">
        <is>
          <t>MOL LOGISTICS CO., LTD.</t>
        </is>
      </c>
      <c r="Z6" s="96" t="inlineStr">
        <is>
          <t>MOL LOGISTICS CO., LTD.</t>
        </is>
      </c>
      <c r="AA6" s="97" t="n">
        <v>3244.43</v>
      </c>
      <c r="AB6" s="96" t="inlineStr">
        <is>
          <t>LCH05</t>
        </is>
      </c>
      <c r="AC6" s="96" t="inlineStr">
        <is>
          <t>HIJ02</t>
        </is>
      </c>
    </row>
    <row r="7" ht="12" customHeight="1">
      <c r="A7" s="96" t="inlineStr">
        <is>
          <t>CXDU2283528</t>
        </is>
      </c>
      <c r="B7" s="161" t="inlineStr">
        <is>
          <t>2026-10-16</t>
        </is>
      </c>
      <c r="C7" s="96" t="inlineStr">
        <is>
          <t>KUS</t>
        </is>
      </c>
      <c r="D7" s="96" t="inlineStr">
        <is>
          <t>2616N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KRPUS</t>
        </is>
      </c>
      <c r="J7" s="96" t="inlineStr">
        <is>
          <t>JPMIZ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LCH05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HASLS22260900318</t>
        </is>
      </c>
      <c r="R7" s="96" t="inlineStr">
        <is>
          <t>Y</t>
        </is>
      </c>
      <c r="S7" s="96" t="inlineStr">
        <is>
          <t>N</t>
        </is>
      </c>
      <c r="T7" s="96" t="inlineStr">
        <is>
          <t>KST</t>
        </is>
      </c>
      <c r="U7" s="97" t="n"/>
      <c r="V7" s="96" t="inlineStr">
        <is>
          <t>SHA16L01</t>
        </is>
      </c>
      <c r="W7" s="96" t="inlineStr">
        <is>
          <t>PTT GLOBAL CHEMICAL PUBLIC COMPANY</t>
        </is>
      </c>
      <c r="X7" s="96" t="inlineStr">
        <is>
          <t>VED</t>
        </is>
      </c>
      <c r="Y7" s="96" t="inlineStr">
        <is>
          <t>MARUBENI INNOVEXIS CORPORATION</t>
        </is>
      </c>
      <c r="Z7" s="96" t="inlineStr">
        <is>
          <t>MARUBENI INNOVEXIS CORPORATION</t>
        </is>
      </c>
      <c r="AA7" s="97" t="n">
        <v>16160</v>
      </c>
      <c r="AB7" s="96" t="inlineStr">
        <is>
          <t>LCH05</t>
        </is>
      </c>
      <c r="AC7" s="96" t="inlineStr">
        <is>
          <t>MIZ01</t>
        </is>
      </c>
    </row>
    <row r="8" ht="12" customHeight="1">
      <c r="A8" s="96" t="inlineStr">
        <is>
          <t>SKHU9827586</t>
        </is>
      </c>
      <c r="B8" s="161" t="inlineStr">
        <is>
          <t>2026-10-16</t>
        </is>
      </c>
      <c r="C8" s="96" t="inlineStr">
        <is>
          <t>KUS</t>
        </is>
      </c>
      <c r="D8" s="96" t="inlineStr">
        <is>
          <t>2616N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KRINC</t>
        </is>
      </c>
      <c r="J8" s="96" t="inlineStr">
        <is>
          <t>KRINC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LCH05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HASLS22260902788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KST</t>
        </is>
      </c>
      <c r="U8" s="97" t="n"/>
      <c r="V8" s="96" t="inlineStr">
        <is>
          <t>K0120023</t>
        </is>
      </c>
      <c r="W8" s="96" t="inlineStr">
        <is>
          <t>THAI GULF JELLYFISH CO.,LTD</t>
        </is>
      </c>
      <c r="X8" s="96" t="inlineStr">
        <is>
          <t>VED</t>
        </is>
      </c>
      <c r="Y8" s="96" t="inlineStr">
        <is>
          <t>TO THE ORDER OF KEB HANA BANK</t>
        </is>
      </c>
      <c r="Z8" s="96" t="inlineStr">
        <is>
          <t>JJ OCEAN.</t>
        </is>
      </c>
      <c r="AA8" s="97" t="n">
        <v>23400</v>
      </c>
      <c r="AB8" s="96" t="inlineStr">
        <is>
          <t>LCH05</t>
        </is>
      </c>
      <c r="AC8" s="96" t="inlineStr">
        <is>
          <t>INC07</t>
        </is>
      </c>
    </row>
    <row r="9" ht="12" customHeight="1">
      <c r="A9" s="96" t="inlineStr">
        <is>
          <t>SKHU6329996</t>
        </is>
      </c>
      <c r="B9" s="161" t="inlineStr">
        <is>
          <t>2026-10-16</t>
        </is>
      </c>
      <c r="C9" s="96" t="inlineStr">
        <is>
          <t>KUS</t>
        </is>
      </c>
      <c r="D9" s="96" t="inlineStr">
        <is>
          <t>2616N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KRINC</t>
        </is>
      </c>
      <c r="J9" s="96" t="inlineStr">
        <is>
          <t>KRINC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LCH05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HASLS22260901068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KST</t>
        </is>
      </c>
      <c r="U9" s="97" t="n"/>
      <c r="V9" s="96" t="inlineStr">
        <is>
          <t>K0120023</t>
        </is>
      </c>
      <c r="W9" s="96" t="inlineStr">
        <is>
          <t>SINTOP INTERNATIONAL</t>
        </is>
      </c>
      <c r="X9" s="96" t="inlineStr">
        <is>
          <t>VFD</t>
        </is>
      </c>
      <c r="Y9" s="96" t="inlineStr">
        <is>
          <t>KS WAYS CO.,LTD</t>
        </is>
      </c>
      <c r="Z9" s="96" t="inlineStr">
        <is>
          <t>KS WAYS CO.,LTD</t>
        </is>
      </c>
      <c r="AA9" s="97" t="n">
        <v>21122</v>
      </c>
      <c r="AB9" s="96" t="inlineStr">
        <is>
          <t>LCH05</t>
        </is>
      </c>
      <c r="AC9" s="96" t="inlineStr">
        <is>
          <t>INC07</t>
        </is>
      </c>
    </row>
    <row r="10" ht="12" customHeight="1">
      <c r="A10" s="96" t="inlineStr">
        <is>
          <t>SEKU4974727</t>
        </is>
      </c>
      <c r="B10" s="161" t="inlineStr">
        <is>
          <t>2026-10-16</t>
        </is>
      </c>
      <c r="C10" s="96" t="inlineStr">
        <is>
          <t>KUS</t>
        </is>
      </c>
      <c r="D10" s="96" t="inlineStr">
        <is>
          <t>2616N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KRPUS</t>
        </is>
      </c>
      <c r="J10" s="96" t="inlineStr">
        <is>
          <t>KRPUS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LCH05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HASLS22260902463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KST</t>
        </is>
      </c>
      <c r="U10" s="97" t="n"/>
      <c r="V10" s="96" t="inlineStr">
        <is>
          <t>K0120023</t>
        </is>
      </c>
      <c r="W10" s="96" t="inlineStr">
        <is>
          <t>THAI POLYETHYLENE CO., LTD.</t>
        </is>
      </c>
      <c r="X10" s="96" t="inlineStr">
        <is>
          <t>VFD</t>
        </is>
      </c>
      <c r="Y10" s="96" t="inlineStr">
        <is>
          <t>INTECHNOLOGY CO., LTD.</t>
        </is>
      </c>
      <c r="Z10" s="96" t="inlineStr">
        <is>
          <t>INTECHNOLOGY CO., LTD.</t>
        </is>
      </c>
      <c r="AA10" s="97" t="n">
        <v>25769</v>
      </c>
      <c r="AB10" s="96" t="inlineStr">
        <is>
          <t>LCH05</t>
        </is>
      </c>
      <c r="AC10" s="96" t="inlineStr">
        <is>
          <t>PUS05</t>
        </is>
      </c>
    </row>
    <row r="11" ht="12" customHeight="1">
      <c r="A11" s="96" t="inlineStr">
        <is>
          <t>SKHU6421084</t>
        </is>
      </c>
      <c r="B11" s="161" t="inlineStr">
        <is>
          <t>2026-10-16</t>
        </is>
      </c>
      <c r="C11" s="96" t="inlineStr">
        <is>
          <t>KUS</t>
        </is>
      </c>
      <c r="D11" s="96" t="inlineStr">
        <is>
          <t>2616N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KRINC</t>
        </is>
      </c>
      <c r="J11" s="96" t="inlineStr">
        <is>
          <t>KRINC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LCH05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HASLS22261000112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KST</t>
        </is>
      </c>
      <c r="U11" s="97" t="n"/>
      <c r="V11" s="96" t="inlineStr">
        <is>
          <t>K0120023</t>
        </is>
      </c>
      <c r="W11" s="96" t="inlineStr">
        <is>
          <t>SRI TRANG GLOVES (THAILAND) PUBLIC</t>
        </is>
      </c>
      <c r="X11" s="96" t="inlineStr">
        <is>
          <t>VFD</t>
        </is>
      </c>
      <c r="Y11" s="96" t="inlineStr">
        <is>
          <t>RAPHA CO.,LTD</t>
        </is>
      </c>
      <c r="Z11" s="96" t="inlineStr">
        <is>
          <t>RAPHA CO.,LTD</t>
        </is>
      </c>
      <c r="AA11" s="97" t="n">
        <v>18405.12</v>
      </c>
      <c r="AB11" s="96" t="inlineStr">
        <is>
          <t>LCH05</t>
        </is>
      </c>
      <c r="AC11" s="96" t="inlineStr">
        <is>
          <t>INC07</t>
        </is>
      </c>
    </row>
    <row r="12" ht="12" customHeight="1">
      <c r="A12" s="96" t="inlineStr">
        <is>
          <t>HALU5660029</t>
        </is>
      </c>
      <c r="B12" s="161" t="inlineStr">
        <is>
          <t>2026-10-16</t>
        </is>
      </c>
      <c r="C12" s="96" t="inlineStr">
        <is>
          <t>KUS</t>
        </is>
      </c>
      <c r="D12" s="96" t="inlineStr">
        <is>
          <t>2616N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LCH05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HASLS22261000130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KST</t>
        </is>
      </c>
      <c r="U12" s="97" t="n"/>
      <c r="V12" s="96" t="inlineStr">
        <is>
          <t>K0120023</t>
        </is>
      </c>
      <c r="W12" s="96" t="inlineStr">
        <is>
          <t>PTT GLOBAL CHEMICAL PUBLIC COMPANY</t>
        </is>
      </c>
      <c r="X12" s="96" t="inlineStr">
        <is>
          <t>VFD</t>
        </is>
      </c>
      <c r="Y12" s="96" t="inlineStr">
        <is>
          <t>TO ORDER OF ASIA COMMERCIAL BANK,</t>
        </is>
      </c>
      <c r="Z12" s="96" t="inlineStr">
        <is>
          <t>THIEN AN COMMERCIAL CO., LTD</t>
        </is>
      </c>
      <c r="AA12" s="97" t="n">
        <v>24997.5</v>
      </c>
      <c r="AB12" s="96" t="inlineStr">
        <is>
          <t>LCH05</t>
        </is>
      </c>
      <c r="AC12" s="96" t="inlineStr">
        <is>
          <t>SGN03</t>
        </is>
      </c>
    </row>
    <row r="13" ht="12" customHeight="1">
      <c r="A13" s="96" t="inlineStr">
        <is>
          <t>SKHU9600247</t>
        </is>
      </c>
      <c r="B13" s="161" t="inlineStr">
        <is>
          <t>2026-10-16</t>
        </is>
      </c>
      <c r="C13" s="96" t="inlineStr">
        <is>
          <t>KUS</t>
        </is>
      </c>
      <c r="D13" s="96" t="inlineStr">
        <is>
          <t>2616N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LCH05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HASLS22260902851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KST</t>
        </is>
      </c>
      <c r="U13" s="97" t="n"/>
      <c r="V13" s="96" t="inlineStr">
        <is>
          <t>K0120023</t>
        </is>
      </c>
      <c r="W13" s="96" t="inlineStr">
        <is>
          <t>TOSHIBA LOGISTICS (THAILAND)</t>
        </is>
      </c>
      <c r="X13" s="96" t="inlineStr">
        <is>
          <t>VFD</t>
        </is>
      </c>
      <c r="Y13" s="96" t="inlineStr">
        <is>
          <t>TOSHIBA LOGISTICS VIETNAM CO.,LTD.</t>
        </is>
      </c>
      <c r="Z13" s="96" t="inlineStr">
        <is>
          <t>TOSHIBA LOGISTICS VIETNAM CO.,LTD.</t>
        </is>
      </c>
      <c r="AA13" s="97" t="n">
        <v>6468</v>
      </c>
      <c r="AB13" s="96" t="inlineStr">
        <is>
          <t>LCH05</t>
        </is>
      </c>
      <c r="AC13" s="96" t="inlineStr">
        <is>
          <t>SGN03</t>
        </is>
      </c>
    </row>
    <row r="14" ht="12" customHeight="1">
      <c r="A14" s="96" t="inlineStr">
        <is>
          <t>SKHU9915141</t>
        </is>
      </c>
      <c r="B14" s="161" t="inlineStr">
        <is>
          <t>2026-10-16</t>
        </is>
      </c>
      <c r="C14" s="96" t="inlineStr">
        <is>
          <t>KUS</t>
        </is>
      </c>
      <c r="D14" s="96" t="inlineStr">
        <is>
          <t>2616N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LCH05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HASLS22260902757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KST</t>
        </is>
      </c>
      <c r="U14" s="97" t="n"/>
      <c r="V14" s="96" t="inlineStr">
        <is>
          <t>K0120023</t>
        </is>
      </c>
      <c r="W14" s="96" t="inlineStr">
        <is>
          <t>PTT GLOBAL CHEMICAL PUBLIC COMPANY</t>
        </is>
      </c>
      <c r="X14" s="96" t="inlineStr">
        <is>
          <t>VFD</t>
        </is>
      </c>
      <c r="Y14" s="96" t="inlineStr">
        <is>
          <t>C&amp;H VINA CO.,LTD</t>
        </is>
      </c>
      <c r="Z14" s="96" t="inlineStr">
        <is>
          <t>C&amp;H VINA CO.,LTD</t>
        </is>
      </c>
      <c r="AA14" s="97" t="n">
        <v>25100</v>
      </c>
      <c r="AB14" s="96" t="inlineStr">
        <is>
          <t>LCH05</t>
        </is>
      </c>
      <c r="AC14" s="96" t="inlineStr">
        <is>
          <t>SGN03</t>
        </is>
      </c>
    </row>
    <row r="15" ht="12" customHeight="1">
      <c r="A15" s="96" t="inlineStr">
        <is>
          <t>SKHU9972368</t>
        </is>
      </c>
      <c r="B15" s="161" t="inlineStr">
        <is>
          <t>2026-10-16</t>
        </is>
      </c>
      <c r="C15" s="96" t="inlineStr">
        <is>
          <t>KUS</t>
        </is>
      </c>
      <c r="D15" s="96" t="inlineStr">
        <is>
          <t>2616N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LCH05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HASLS22260902757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KST</t>
        </is>
      </c>
      <c r="U15" s="97" t="n"/>
      <c r="V15" s="96" t="inlineStr">
        <is>
          <t>K0120023</t>
        </is>
      </c>
      <c r="W15" s="96" t="inlineStr">
        <is>
          <t>PTT GLOBAL CHEMICAL PUBLIC COMPANY</t>
        </is>
      </c>
      <c r="X15" s="96" t="inlineStr">
        <is>
          <t>VFD</t>
        </is>
      </c>
      <c r="Y15" s="96" t="inlineStr">
        <is>
          <t>C&amp;H VINA CO.,LTD</t>
        </is>
      </c>
      <c r="Z15" s="96" t="inlineStr">
        <is>
          <t>C&amp;H VINA CO.,LTD</t>
        </is>
      </c>
      <c r="AA15" s="97" t="n">
        <v>25100</v>
      </c>
      <c r="AB15" s="96" t="inlineStr">
        <is>
          <t>LCH05</t>
        </is>
      </c>
      <c r="AC15" s="96" t="inlineStr">
        <is>
          <t>SGN03</t>
        </is>
      </c>
    </row>
    <row r="16" ht="12" customHeight="1">
      <c r="A16" s="96" t="inlineStr">
        <is>
          <t>SKHU6544880</t>
        </is>
      </c>
      <c r="B16" s="161" t="inlineStr">
        <is>
          <t>2026-10-16</t>
        </is>
      </c>
      <c r="C16" s="96" t="inlineStr">
        <is>
          <t>KUS</t>
        </is>
      </c>
      <c r="D16" s="96" t="inlineStr">
        <is>
          <t>2616N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LCH05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HASLS22260902231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KST</t>
        </is>
      </c>
      <c r="U16" s="97" t="n"/>
      <c r="V16" s="96" t="inlineStr">
        <is>
          <t>K0120023</t>
        </is>
      </c>
      <c r="W16" s="96" t="inlineStr">
        <is>
          <t>EAST-LINK CORPORATION CO., LTD.</t>
        </is>
      </c>
      <c r="X16" s="96" t="inlineStr">
        <is>
          <t>VFD</t>
        </is>
      </c>
      <c r="Y16" s="96" t="inlineStr">
        <is>
          <t>DOLPHIN SEA AIR SERVICES</t>
        </is>
      </c>
      <c r="Z16" s="96" t="inlineStr">
        <is>
          <t>DOLPHIN SEA AIR SERVICES</t>
        </is>
      </c>
      <c r="AA16" s="97" t="n">
        <v>8993.85</v>
      </c>
      <c r="AB16" s="96" t="inlineStr">
        <is>
          <t>LCH05</t>
        </is>
      </c>
      <c r="AC16" s="96" t="inlineStr">
        <is>
          <t>SGN03</t>
        </is>
      </c>
    </row>
    <row r="17" ht="12" customHeight="1">
      <c r="A17" s="96" t="inlineStr">
        <is>
          <t>TCLU5783442</t>
        </is>
      </c>
      <c r="B17" s="161" t="inlineStr">
        <is>
          <t>2026-10-16</t>
        </is>
      </c>
      <c r="C17" s="96" t="inlineStr">
        <is>
          <t>KUS</t>
        </is>
      </c>
      <c r="D17" s="96" t="inlineStr">
        <is>
          <t>2616N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LCH05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HASLS22260902231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KST</t>
        </is>
      </c>
      <c r="U17" s="97" t="n"/>
      <c r="V17" s="96" t="inlineStr">
        <is>
          <t>K0120023</t>
        </is>
      </c>
      <c r="W17" s="96" t="inlineStr">
        <is>
          <t>EAST-LINK CORPORATION CO., LTD.</t>
        </is>
      </c>
      <c r="X17" s="96" t="inlineStr">
        <is>
          <t>VFD</t>
        </is>
      </c>
      <c r="Y17" s="96" t="inlineStr">
        <is>
          <t>DOLPHIN SEA AIR SERVICES</t>
        </is>
      </c>
      <c r="Z17" s="96" t="inlineStr">
        <is>
          <t>DOLPHIN SEA AIR SERVICES</t>
        </is>
      </c>
      <c r="AA17" s="97" t="n">
        <v>8141.97</v>
      </c>
      <c r="AB17" s="96" t="inlineStr">
        <is>
          <t>LCH05</t>
        </is>
      </c>
      <c r="AC17" s="96" t="inlineStr">
        <is>
          <t>SGN03</t>
        </is>
      </c>
    </row>
    <row r="18" ht="12" customHeight="1">
      <c r="A18" s="96" t="inlineStr">
        <is>
          <t>SKHU6472203</t>
        </is>
      </c>
      <c r="B18" s="161" t="inlineStr">
        <is>
          <t>2026-10-16</t>
        </is>
      </c>
      <c r="C18" s="96" t="inlineStr">
        <is>
          <t>KUS</t>
        </is>
      </c>
      <c r="D18" s="96" t="inlineStr">
        <is>
          <t>2616N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KRPUS</t>
        </is>
      </c>
      <c r="J18" s="96" t="inlineStr">
        <is>
          <t>RUVVO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LCH05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HASLS22260901905</t>
        </is>
      </c>
      <c r="R18" s="96" t="inlineStr">
        <is>
          <t>Y</t>
        </is>
      </c>
      <c r="S18" s="96" t="inlineStr">
        <is>
          <t>N</t>
        </is>
      </c>
      <c r="T18" s="96" t="inlineStr">
        <is>
          <t>KST</t>
        </is>
      </c>
      <c r="U18" s="97" t="n"/>
      <c r="V18" s="96" t="inlineStr">
        <is>
          <t>K0120023</t>
        </is>
      </c>
      <c r="W18" s="96" t="inlineStr">
        <is>
          <t>COCO BLUES (THAILAND) CO., LTD,</t>
        </is>
      </c>
      <c r="X18" s="96" t="inlineStr">
        <is>
          <t>VED</t>
        </is>
      </c>
      <c r="Y18" s="96" t="inlineStr">
        <is>
          <t>INDIVIDUAL ENTREPRENEUR EVGENII</t>
        </is>
      </c>
      <c r="Z18" s="96" t="inlineStr">
        <is>
          <t>TRADE HOUSE SOLAR ASIA CO., LTD.</t>
        </is>
      </c>
      <c r="AA18" s="97" t="n">
        <v>24993</v>
      </c>
      <c r="AB18" s="96" t="inlineStr">
        <is>
          <t>LCH05</t>
        </is>
      </c>
      <c r="AC18" s="96" t="inlineStr">
        <is>
          <t>VVO01</t>
        </is>
      </c>
    </row>
    <row r="19" ht="12" customHeight="1">
      <c r="A19" s="96" t="inlineStr">
        <is>
          <t>SKHU9209660</t>
        </is>
      </c>
      <c r="B19" s="161" t="inlineStr">
        <is>
          <t>2026-10-16</t>
        </is>
      </c>
      <c r="C19" s="96" t="inlineStr">
        <is>
          <t>KUS</t>
        </is>
      </c>
      <c r="D19" s="96" t="inlineStr">
        <is>
          <t>2616N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KRPUS</t>
        </is>
      </c>
      <c r="J19" s="96" t="inlineStr">
        <is>
          <t>JPHKT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LCH05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HASLS22260902465</t>
        </is>
      </c>
      <c r="R19" s="96" t="inlineStr">
        <is>
          <t>Y</t>
        </is>
      </c>
      <c r="S19" s="96" t="inlineStr">
        <is>
          <t>N</t>
        </is>
      </c>
      <c r="T19" s="96" t="inlineStr">
        <is>
          <t>KST</t>
        </is>
      </c>
      <c r="U19" s="97" t="n"/>
      <c r="V19" s="96" t="inlineStr">
        <is>
          <t>K0120023</t>
        </is>
      </c>
      <c r="W19" s="96" t="inlineStr">
        <is>
          <t>PTT GLOBAL CHEMICAL PUBLIC COMPANY</t>
        </is>
      </c>
      <c r="X19" s="96" t="inlineStr">
        <is>
          <t>ONL</t>
        </is>
      </c>
      <c r="Y19" s="96" t="inlineStr">
        <is>
          <t>MARUBENI INNOVEXIS CORPORATION</t>
        </is>
      </c>
      <c r="Z19" s="96" t="inlineStr">
        <is>
          <t>MARUBENI INNOVEXIS CORPORATION</t>
        </is>
      </c>
      <c r="AA19" s="97" t="n">
        <v>24240</v>
      </c>
      <c r="AB19" s="96" t="inlineStr">
        <is>
          <t>LCH05</t>
        </is>
      </c>
      <c r="AC19" s="96" t="inlineStr">
        <is>
          <t>HKT02</t>
        </is>
      </c>
    </row>
    <row r="20" ht="12" customHeight="1">
      <c r="A20" s="96" t="inlineStr">
        <is>
          <t>SKLU2054923</t>
        </is>
      </c>
      <c r="B20" s="161" t="inlineStr">
        <is>
          <t>2026-10-16</t>
        </is>
      </c>
      <c r="C20" s="96" t="inlineStr">
        <is>
          <t>KUS</t>
        </is>
      </c>
      <c r="D20" s="96" t="inlineStr">
        <is>
          <t>2616N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KRPUS</t>
        </is>
      </c>
      <c r="J20" s="96" t="inlineStr">
        <is>
          <t>JPMOJ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LCH05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HASLS22260902064</t>
        </is>
      </c>
      <c r="R20" s="96" t="inlineStr">
        <is>
          <t>Y</t>
        </is>
      </c>
      <c r="S20" s="96" t="inlineStr">
        <is>
          <t>N</t>
        </is>
      </c>
      <c r="T20" s="96" t="inlineStr">
        <is>
          <t>KST</t>
        </is>
      </c>
      <c r="U20" s="97" t="n"/>
      <c r="V20" s="96" t="inlineStr">
        <is>
          <t>K0120021</t>
        </is>
      </c>
      <c r="W20" s="96" t="inlineStr">
        <is>
          <t>THAI POLYETHYLENE CO.,LTD.</t>
        </is>
      </c>
      <c r="X20" s="96" t="inlineStr">
        <is>
          <t>VFD</t>
        </is>
      </c>
      <c r="Y20" s="96" t="inlineStr">
        <is>
          <t>TOYOTSU CHEMIPLAS CORPORATION,</t>
        </is>
      </c>
      <c r="Z20" s="96" t="inlineStr">
        <is>
          <t>TOYOTSU CHEMIPLAS CORPORATION,</t>
        </is>
      </c>
      <c r="AA20" s="97" t="n">
        <v>15147</v>
      </c>
      <c r="AB20" s="96" t="inlineStr">
        <is>
          <t>LCH05</t>
        </is>
      </c>
      <c r="AC20" s="96" t="inlineStr">
        <is>
          <t>MOJ01</t>
        </is>
      </c>
    </row>
    <row r="21" ht="12" customHeight="1">
      <c r="A21" s="96" t="inlineStr">
        <is>
          <t>SKLU2070884</t>
        </is>
      </c>
      <c r="B21" s="161" t="inlineStr">
        <is>
          <t>2026-10-16</t>
        </is>
      </c>
      <c r="C21" s="96" t="inlineStr">
        <is>
          <t>KUS</t>
        </is>
      </c>
      <c r="D21" s="96" t="inlineStr">
        <is>
          <t>2616N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KRPUS</t>
        </is>
      </c>
      <c r="J21" s="96" t="inlineStr">
        <is>
          <t>JPMOJ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LCH05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HASLS22260902064</t>
        </is>
      </c>
      <c r="R21" s="96" t="inlineStr">
        <is>
          <t>Y</t>
        </is>
      </c>
      <c r="S21" s="96" t="inlineStr">
        <is>
          <t>N</t>
        </is>
      </c>
      <c r="T21" s="96" t="inlineStr">
        <is>
          <t>KST</t>
        </is>
      </c>
      <c r="U21" s="97" t="n"/>
      <c r="V21" s="96" t="inlineStr">
        <is>
          <t>K0120021</t>
        </is>
      </c>
      <c r="W21" s="96" t="inlineStr">
        <is>
          <t>THAI POLYETHYLENE CO.,LTD.</t>
        </is>
      </c>
      <c r="X21" s="96" t="inlineStr">
        <is>
          <t>VFD</t>
        </is>
      </c>
      <c r="Y21" s="96" t="inlineStr">
        <is>
          <t>TOYOTSU CHEMIPLAS CORPORATION,</t>
        </is>
      </c>
      <c r="Z21" s="96" t="inlineStr">
        <is>
          <t>TOYOTSU CHEMIPLAS CORPORATION,</t>
        </is>
      </c>
      <c r="AA21" s="97" t="n">
        <v>15147</v>
      </c>
      <c r="AB21" s="96" t="inlineStr">
        <is>
          <t>LCH05</t>
        </is>
      </c>
      <c r="AC21" s="96" t="inlineStr">
        <is>
          <t>MOJ01</t>
        </is>
      </c>
    </row>
    <row r="22" ht="12" customHeight="1">
      <c r="A22" s="96" t="inlineStr">
        <is>
          <t>SKLU1660274</t>
        </is>
      </c>
      <c r="B22" s="161" t="inlineStr">
        <is>
          <t>2026-10-16</t>
        </is>
      </c>
      <c r="C22" s="96" t="inlineStr">
        <is>
          <t>KUS</t>
        </is>
      </c>
      <c r="D22" s="96" t="inlineStr">
        <is>
          <t>2616N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KRPUS</t>
        </is>
      </c>
      <c r="J22" s="96" t="inlineStr">
        <is>
          <t>JPSBS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LCH05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HASLS22260801436</t>
        </is>
      </c>
      <c r="R22" s="96" t="inlineStr">
        <is>
          <t>Y</t>
        </is>
      </c>
      <c r="S22" s="96" t="inlineStr">
        <is>
          <t>N</t>
        </is>
      </c>
      <c r="T22" s="96" t="inlineStr">
        <is>
          <t>KST</t>
        </is>
      </c>
      <c r="U22" s="97" t="n"/>
      <c r="V22" s="96" t="inlineStr">
        <is>
          <t>K0120021</t>
        </is>
      </c>
      <c r="W22" s="96" t="inlineStr">
        <is>
          <t>TONG THAI RUBBER CO., LTD.</t>
        </is>
      </c>
      <c r="X22" s="96" t="inlineStr">
        <is>
          <t>VED</t>
        </is>
      </c>
      <c r="Y22" s="96" t="inlineStr">
        <is>
          <t>SUMITOMO RUBBER INDUSTRIES LTD</t>
        </is>
      </c>
      <c r="Z22" s="96" t="inlineStr">
        <is>
          <t>SUMITOMO RUBBER INDUSTRIES LTD</t>
        </is>
      </c>
      <c r="AA22" s="97" t="n">
        <v>21312</v>
      </c>
      <c r="AB22" s="96" t="inlineStr">
        <is>
          <t>LCH05</t>
        </is>
      </c>
      <c r="AC22" s="96" t="inlineStr">
        <is>
          <t>SBS01</t>
        </is>
      </c>
    </row>
    <row r="23" ht="12" customHeight="1">
      <c r="A23" s="96" t="inlineStr">
        <is>
          <t>SKLU2426300</t>
        </is>
      </c>
      <c r="B23" s="161" t="inlineStr">
        <is>
          <t>2026-10-16</t>
        </is>
      </c>
      <c r="C23" s="96" t="inlineStr">
        <is>
          <t>KUS</t>
        </is>
      </c>
      <c r="D23" s="96" t="inlineStr">
        <is>
          <t>2616N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LCH05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HASLS22260900461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KST</t>
        </is>
      </c>
      <c r="U23" s="97" t="n"/>
      <c r="V23" s="96" t="inlineStr">
        <is>
          <t>K0120021</t>
        </is>
      </c>
      <c r="W23" s="96" t="inlineStr">
        <is>
          <t>PTT GLOBAL CHEMICAL PUBLIC COMPANY</t>
        </is>
      </c>
      <c r="X23" s="96" t="inlineStr">
        <is>
          <t>VED</t>
        </is>
      </c>
      <c r="Y23" s="96" t="inlineStr">
        <is>
          <t>TO ORDER OF SACOMBANK -</t>
        </is>
      </c>
      <c r="Z23" s="96" t="inlineStr">
        <is>
          <t>GIA LOI JOINT STOCK COMPANY</t>
        </is>
      </c>
      <c r="AA23" s="97" t="n">
        <v>18072</v>
      </c>
      <c r="AB23" s="96" t="inlineStr">
        <is>
          <t>LCH05</t>
        </is>
      </c>
      <c r="AC23" s="96" t="inlineStr">
        <is>
          <t>SGN03</t>
        </is>
      </c>
    </row>
    <row r="24" ht="12" customHeight="1">
      <c r="A24" s="96" t="inlineStr">
        <is>
          <t>SKLU2113440</t>
        </is>
      </c>
      <c r="B24" s="161" t="inlineStr">
        <is>
          <t>2026-10-16</t>
        </is>
      </c>
      <c r="C24" s="96" t="inlineStr">
        <is>
          <t>KUS</t>
        </is>
      </c>
      <c r="D24" s="96" t="inlineStr">
        <is>
          <t>2616N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LCH05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HASLS22260900461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KST</t>
        </is>
      </c>
      <c r="U24" s="97" t="n"/>
      <c r="V24" s="96" t="inlineStr">
        <is>
          <t>K0120021</t>
        </is>
      </c>
      <c r="W24" s="96" t="inlineStr">
        <is>
          <t>PTT GLOBAL CHEMICAL PUBLIC COMPANY</t>
        </is>
      </c>
      <c r="X24" s="96" t="inlineStr">
        <is>
          <t>VFD</t>
        </is>
      </c>
      <c r="Y24" s="96" t="inlineStr">
        <is>
          <t>TO ORDER OF SACOMBANK -</t>
        </is>
      </c>
      <c r="Z24" s="96" t="inlineStr">
        <is>
          <t>GIA LOI JOINT STOCK COMPANY</t>
        </is>
      </c>
      <c r="AA24" s="97" t="n">
        <v>18072</v>
      </c>
      <c r="AB24" s="96" t="inlineStr">
        <is>
          <t>LCH05</t>
        </is>
      </c>
      <c r="AC24" s="96" t="inlineStr">
        <is>
          <t>SGN03</t>
        </is>
      </c>
    </row>
    <row r="25" ht="12" customHeight="1">
      <c r="A25" s="96" t="inlineStr">
        <is>
          <t>SKLU1942848</t>
        </is>
      </c>
      <c r="B25" s="161" t="inlineStr">
        <is>
          <t>2026-10-16</t>
        </is>
      </c>
      <c r="C25" s="96" t="inlineStr">
        <is>
          <t>KUS</t>
        </is>
      </c>
      <c r="D25" s="96" t="inlineStr">
        <is>
          <t>2616N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KRPUS</t>
        </is>
      </c>
      <c r="J25" s="96" t="inlineStr">
        <is>
          <t>JPHKT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LCH05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HASLS22260900146</t>
        </is>
      </c>
      <c r="R25" s="96" t="inlineStr">
        <is>
          <t>Y</t>
        </is>
      </c>
      <c r="S25" s="96" t="inlineStr">
        <is>
          <t>N</t>
        </is>
      </c>
      <c r="T25" s="96" t="inlineStr">
        <is>
          <t>KST</t>
        </is>
      </c>
      <c r="U25" s="97" t="n"/>
      <c r="V25" s="96" t="inlineStr">
        <is>
          <t>K0120021</t>
        </is>
      </c>
      <c r="W25" s="96" t="inlineStr">
        <is>
          <t>PTT GLOBAL CHEMICAL PUBLIC COMPANY</t>
        </is>
      </c>
      <c r="X25" s="96" t="inlineStr">
        <is>
          <t>VFD</t>
        </is>
      </c>
      <c r="Y25" s="96" t="inlineStr">
        <is>
          <t>HANWA CO., LTD.</t>
        </is>
      </c>
      <c r="Z25" s="96" t="inlineStr">
        <is>
          <t>HANWA CO., LTD.</t>
        </is>
      </c>
      <c r="AA25" s="97" t="n">
        <v>16160</v>
      </c>
      <c r="AB25" s="96" t="inlineStr">
        <is>
          <t>LCH05</t>
        </is>
      </c>
      <c r="AC25" s="96" t="inlineStr">
        <is>
          <t>HKT02</t>
        </is>
      </c>
    </row>
    <row r="26" ht="12" customHeight="1">
      <c r="A26" s="96" t="inlineStr">
        <is>
          <t>SKLU2101732</t>
        </is>
      </c>
      <c r="B26" s="161" t="inlineStr">
        <is>
          <t>2026-10-16</t>
        </is>
      </c>
      <c r="C26" s="96" t="inlineStr">
        <is>
          <t>KUS</t>
        </is>
      </c>
      <c r="D26" s="96" t="inlineStr">
        <is>
          <t>2616N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JPHKT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LCH05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HASLS22260900146</t>
        </is>
      </c>
      <c r="R26" s="96" t="inlineStr">
        <is>
          <t>Y</t>
        </is>
      </c>
      <c r="S26" s="96" t="inlineStr">
        <is>
          <t>N</t>
        </is>
      </c>
      <c r="T26" s="96" t="inlineStr">
        <is>
          <t>KST</t>
        </is>
      </c>
      <c r="U26" s="97" t="n"/>
      <c r="V26" s="96" t="inlineStr">
        <is>
          <t>K0120021</t>
        </is>
      </c>
      <c r="W26" s="96" t="inlineStr">
        <is>
          <t>PTT GLOBAL CHEMICAL PUBLIC COMPANY</t>
        </is>
      </c>
      <c r="X26" s="96" t="inlineStr">
        <is>
          <t>VFD</t>
        </is>
      </c>
      <c r="Y26" s="96" t="inlineStr">
        <is>
          <t>HANWA CO., LTD.</t>
        </is>
      </c>
      <c r="Z26" s="96" t="inlineStr">
        <is>
          <t>HANWA CO., LTD.</t>
        </is>
      </c>
      <c r="AA26" s="97" t="n">
        <v>16160</v>
      </c>
      <c r="AB26" s="96" t="inlineStr">
        <is>
          <t>LCH05</t>
        </is>
      </c>
      <c r="AC26" s="96" t="inlineStr">
        <is>
          <t>HKT02</t>
        </is>
      </c>
    </row>
    <row r="27" ht="12" customHeight="1">
      <c r="A27" s="96" t="inlineStr">
        <is>
          <t>SKLU1579521</t>
        </is>
      </c>
      <c r="B27" s="161" t="inlineStr">
        <is>
          <t>2026-10-16</t>
        </is>
      </c>
      <c r="C27" s="96" t="inlineStr">
        <is>
          <t>KUS</t>
        </is>
      </c>
      <c r="D27" s="96" t="inlineStr">
        <is>
          <t>2616N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LCH05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HASLS22261000448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KST</t>
        </is>
      </c>
      <c r="U27" s="97" t="n"/>
      <c r="V27" s="96" t="inlineStr">
        <is>
          <t>K0120021</t>
        </is>
      </c>
      <c r="W27" s="96" t="inlineStr">
        <is>
          <t>KORCHINA FREIGHT(THAILAND)CO.,LTD.</t>
        </is>
      </c>
      <c r="X27" s="96" t="inlineStr">
        <is>
          <t>VED</t>
        </is>
      </c>
      <c r="Y27" s="96" t="inlineStr">
        <is>
          <t>HS HYOSUNG GLOBAL LOGISTICS VINA</t>
        </is>
      </c>
      <c r="Z27" s="96" t="inlineStr">
        <is>
          <t>HS HYOSUNG GLOBAL LOGISTICS VINA</t>
        </is>
      </c>
      <c r="AA27" s="97" t="n">
        <v>3147.2</v>
      </c>
      <c r="AB27" s="96" t="inlineStr">
        <is>
          <t>LCH05</t>
        </is>
      </c>
      <c r="AC27" s="96" t="inlineStr">
        <is>
          <t>SGN03</t>
        </is>
      </c>
    </row>
    <row r="28" ht="12" customHeight="1">
      <c r="A28" s="96" t="inlineStr">
        <is>
          <t>SKLU1522911</t>
        </is>
      </c>
      <c r="B28" s="161" t="inlineStr">
        <is>
          <t>2026-10-16</t>
        </is>
      </c>
      <c r="C28" s="96" t="inlineStr">
        <is>
          <t>KUS</t>
        </is>
      </c>
      <c r="D28" s="96" t="inlineStr">
        <is>
          <t>2616N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KRPUS</t>
        </is>
      </c>
      <c r="J28" s="96" t="inlineStr">
        <is>
          <t>JPIYM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LCH05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HASLS22260901089</t>
        </is>
      </c>
      <c r="R28" s="96" t="inlineStr">
        <is>
          <t>Y</t>
        </is>
      </c>
      <c r="S28" s="96" t="inlineStr">
        <is>
          <t>N</t>
        </is>
      </c>
      <c r="T28" s="96" t="inlineStr">
        <is>
          <t>KST</t>
        </is>
      </c>
      <c r="U28" s="97" t="n"/>
      <c r="V28" s="96" t="inlineStr">
        <is>
          <t>K0120021</t>
        </is>
      </c>
      <c r="W28" s="96" t="inlineStr">
        <is>
          <t>PTT GLOBAL CHEMICAL PUBLIC COMPANY</t>
        </is>
      </c>
      <c r="X28" s="96" t="inlineStr">
        <is>
          <t>VFD</t>
        </is>
      </c>
      <c r="Y28" s="96" t="inlineStr">
        <is>
          <t>MARUBENI INNOVEXIS CORPORATION</t>
        </is>
      </c>
      <c r="Z28" s="96" t="inlineStr">
        <is>
          <t>MARUBENI INNOVEXIS CORPORATION</t>
        </is>
      </c>
      <c r="AA28" s="97" t="n">
        <v>16160</v>
      </c>
      <c r="AB28" s="96" t="inlineStr">
        <is>
          <t>LCH05</t>
        </is>
      </c>
      <c r="AC28" s="96" t="inlineStr">
        <is>
          <t>IYM02</t>
        </is>
      </c>
    </row>
    <row r="29" ht="12" customHeight="1">
      <c r="A29" s="96" t="inlineStr">
        <is>
          <t>SKLU0522687</t>
        </is>
      </c>
      <c r="B29" s="161" t="inlineStr">
        <is>
          <t>2026-10-16</t>
        </is>
      </c>
      <c r="C29" s="96" t="inlineStr">
        <is>
          <t>KUS</t>
        </is>
      </c>
      <c r="D29" s="96" t="inlineStr">
        <is>
          <t>2616N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KRPUS</t>
        </is>
      </c>
      <c r="J29" s="96" t="inlineStr">
        <is>
          <t>JPUKB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LCH05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HASLS22260901989</t>
        </is>
      </c>
      <c r="R29" s="96" t="inlineStr">
        <is>
          <t>Y</t>
        </is>
      </c>
      <c r="S29" s="96" t="inlineStr">
        <is>
          <t>N</t>
        </is>
      </c>
      <c r="T29" s="96" t="inlineStr">
        <is>
          <t>KST</t>
        </is>
      </c>
      <c r="U29" s="97" t="n"/>
      <c r="V29" s="96" t="inlineStr">
        <is>
          <t>K0120021</t>
        </is>
      </c>
      <c r="W29" s="96" t="inlineStr">
        <is>
          <t>PTT GLOBAL CHEMICAL PUBLIC COMPANY</t>
        </is>
      </c>
      <c r="X29" s="96" t="inlineStr">
        <is>
          <t>VED</t>
        </is>
      </c>
      <c r="Y29" s="96" t="inlineStr">
        <is>
          <t>MITSUBISHI CORPORATION PLASTICS</t>
        </is>
      </c>
      <c r="Z29" s="96" t="inlineStr">
        <is>
          <t>MITSUBISHI CORPORATION PLASTICS</t>
        </is>
      </c>
      <c r="AA29" s="97" t="n">
        <v>19276.8</v>
      </c>
      <c r="AB29" s="96" t="inlineStr">
        <is>
          <t>LCH05</t>
        </is>
      </c>
      <c r="AC29" s="96" t="inlineStr">
        <is>
          <t>UKB03</t>
        </is>
      </c>
    </row>
    <row r="30" ht="12" customHeight="1">
      <c r="A30" s="96" t="inlineStr">
        <is>
          <t>SKLU2466833</t>
        </is>
      </c>
      <c r="B30" s="161" t="inlineStr">
        <is>
          <t>2026-10-16</t>
        </is>
      </c>
      <c r="C30" s="96" t="inlineStr">
        <is>
          <t>KUS</t>
        </is>
      </c>
      <c r="D30" s="96" t="inlineStr">
        <is>
          <t>2616N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KRPUS</t>
        </is>
      </c>
      <c r="J30" s="96" t="inlineStr">
        <is>
          <t>JPUKB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LCH05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HASLS22260901989</t>
        </is>
      </c>
      <c r="R30" s="96" t="inlineStr">
        <is>
          <t>Y</t>
        </is>
      </c>
      <c r="S30" s="96" t="inlineStr">
        <is>
          <t>N</t>
        </is>
      </c>
      <c r="T30" s="96" t="inlineStr">
        <is>
          <t>KST</t>
        </is>
      </c>
      <c r="U30" s="97" t="n"/>
      <c r="V30" s="96" t="inlineStr">
        <is>
          <t>K0120021</t>
        </is>
      </c>
      <c r="W30" s="96" t="inlineStr">
        <is>
          <t>PTT GLOBAL CHEMICAL PUBLIC COMPANY</t>
        </is>
      </c>
      <c r="X30" s="96" t="inlineStr">
        <is>
          <t>VED</t>
        </is>
      </c>
      <c r="Y30" s="96" t="inlineStr">
        <is>
          <t>MITSUBISHI CORPORATION PLASTICS</t>
        </is>
      </c>
      <c r="Z30" s="96" t="inlineStr">
        <is>
          <t>MITSUBISHI CORPORATION PLASTICS</t>
        </is>
      </c>
      <c r="AA30" s="97" t="n">
        <v>19276.8</v>
      </c>
      <c r="AB30" s="96" t="inlineStr">
        <is>
          <t>LCH05</t>
        </is>
      </c>
      <c r="AC30" s="96" t="inlineStr">
        <is>
          <t>UKB03</t>
        </is>
      </c>
    </row>
    <row r="31" ht="12" customHeight="1">
      <c r="A31" s="96" t="inlineStr">
        <is>
          <t>SKLU2300483</t>
        </is>
      </c>
      <c r="B31" s="161" t="inlineStr">
        <is>
          <t>2026-10-16</t>
        </is>
      </c>
      <c r="C31" s="96" t="inlineStr">
        <is>
          <t>KUS</t>
        </is>
      </c>
      <c r="D31" s="96" t="inlineStr">
        <is>
          <t>2616N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KRPUS</t>
        </is>
      </c>
      <c r="J31" s="96" t="inlineStr">
        <is>
          <t>JPMOJ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LCH05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HASLS22260902064</t>
        </is>
      </c>
      <c r="R31" s="96" t="inlineStr">
        <is>
          <t>Y</t>
        </is>
      </c>
      <c r="S31" s="96" t="inlineStr">
        <is>
          <t>N</t>
        </is>
      </c>
      <c r="T31" s="96" t="inlineStr">
        <is>
          <t>KST</t>
        </is>
      </c>
      <c r="U31" s="97" t="n"/>
      <c r="V31" s="96" t="inlineStr">
        <is>
          <t>K0120021</t>
        </is>
      </c>
      <c r="W31" s="96" t="inlineStr">
        <is>
          <t>THAI POLYETHYLENE CO.,LTD.</t>
        </is>
      </c>
      <c r="X31" s="96" t="inlineStr">
        <is>
          <t>VFD</t>
        </is>
      </c>
      <c r="Y31" s="96" t="inlineStr">
        <is>
          <t>TOYOTSU CHEMIPLAS CORPORATION,</t>
        </is>
      </c>
      <c r="Z31" s="96" t="inlineStr">
        <is>
          <t>TOYOTSU CHEMIPLAS CORPORATION,</t>
        </is>
      </c>
      <c r="AA31" s="97" t="n">
        <v>15147</v>
      </c>
      <c r="AB31" s="96" t="inlineStr">
        <is>
          <t>LCH05</t>
        </is>
      </c>
      <c r="AC31" s="96" t="inlineStr">
        <is>
          <t>MOJ01</t>
        </is>
      </c>
    </row>
    <row r="32" ht="12" customHeight="1">
      <c r="A32" s="96" t="inlineStr">
        <is>
          <t>SKLU2361410</t>
        </is>
      </c>
      <c r="B32" s="161" t="inlineStr">
        <is>
          <t>2026-10-16</t>
        </is>
      </c>
      <c r="C32" s="96" t="inlineStr">
        <is>
          <t>KUS</t>
        </is>
      </c>
      <c r="D32" s="96" t="inlineStr">
        <is>
          <t>2616N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KRPUS</t>
        </is>
      </c>
      <c r="J32" s="96" t="inlineStr">
        <is>
          <t>JPMOJ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LCH05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HASLS22260902064</t>
        </is>
      </c>
      <c r="R32" s="96" t="inlineStr">
        <is>
          <t>Y</t>
        </is>
      </c>
      <c r="S32" s="96" t="inlineStr">
        <is>
          <t>N</t>
        </is>
      </c>
      <c r="T32" s="96" t="inlineStr">
        <is>
          <t>KST</t>
        </is>
      </c>
      <c r="U32" s="97" t="n"/>
      <c r="V32" s="96" t="inlineStr">
        <is>
          <t>K0120021</t>
        </is>
      </c>
      <c r="W32" s="96" t="inlineStr">
        <is>
          <t>THAI POLYETHYLENE CO.,LTD.</t>
        </is>
      </c>
      <c r="X32" s="96" t="inlineStr">
        <is>
          <t>VFD</t>
        </is>
      </c>
      <c r="Y32" s="96" t="inlineStr">
        <is>
          <t>TOYOTSU CHEMIPLAS CORPORATION,</t>
        </is>
      </c>
      <c r="Z32" s="96" t="inlineStr">
        <is>
          <t>TOYOTSU CHEMIPLAS CORPORATION,</t>
        </is>
      </c>
      <c r="AA32" s="97" t="n">
        <v>15147</v>
      </c>
      <c r="AB32" s="96" t="inlineStr">
        <is>
          <t>LCH05</t>
        </is>
      </c>
      <c r="AC32" s="96" t="inlineStr">
        <is>
          <t>MOJ01</t>
        </is>
      </c>
    </row>
    <row r="33" ht="12" customHeight="1">
      <c r="A33" s="96" t="inlineStr">
        <is>
          <t>SEKU4984514</t>
        </is>
      </c>
      <c r="B33" s="161" t="inlineStr">
        <is>
          <t>2026-10-16</t>
        </is>
      </c>
      <c r="C33" s="96" t="inlineStr">
        <is>
          <t>KUS</t>
        </is>
      </c>
      <c r="D33" s="96" t="inlineStr">
        <is>
          <t>2616N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L/T</t>
        </is>
      </c>
      <c r="M33" s="96" t="inlineStr">
        <is>
          <t>VFL</t>
        </is>
      </c>
      <c r="N33" s="96" t="inlineStr">
        <is>
          <t>LCH05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HASLS22260902226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KST</t>
        </is>
      </c>
      <c r="U33" s="97" t="n"/>
      <c r="V33" s="96" t="inlineStr">
        <is>
          <t>C0721002</t>
        </is>
      </c>
      <c r="W33" s="96" t="inlineStr">
        <is>
          <t>STAR CONCORD (THAILAND) CO., LTD.</t>
        </is>
      </c>
      <c r="X33" s="96" t="inlineStr">
        <is>
          <t>VED</t>
        </is>
      </c>
      <c r="Y33" s="96" t="inlineStr">
        <is>
          <t>STAR CONCORD (VIETNAM) CO., LTD.</t>
        </is>
      </c>
      <c r="Z33" s="96" t="inlineStr">
        <is>
          <t>STAR CONCORD (VIETNAM) CO., LTD.</t>
        </is>
      </c>
      <c r="AA33" s="97" t="n">
        <v>13734</v>
      </c>
      <c r="AB33" s="96" t="inlineStr">
        <is>
          <t>LCH05</t>
        </is>
      </c>
      <c r="AC33" s="96" t="inlineStr">
        <is>
          <t>SGN03</t>
        </is>
      </c>
    </row>
    <row r="34" ht="12" customHeight="1">
      <c r="A34" s="96" t="inlineStr">
        <is>
          <t>HLHU8333961</t>
        </is>
      </c>
      <c r="B34" s="161" t="inlineStr">
        <is>
          <t>2026-10-16</t>
        </is>
      </c>
      <c r="C34" s="96" t="inlineStr">
        <is>
          <t>KUS</t>
        </is>
      </c>
      <c r="D34" s="96" t="inlineStr">
        <is>
          <t>2616N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LCH05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HASLS22260902851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KST</t>
        </is>
      </c>
      <c r="U34" s="97" t="n"/>
      <c r="V34" s="96" t="inlineStr">
        <is>
          <t>C0523001</t>
        </is>
      </c>
      <c r="W34" s="96" t="inlineStr">
        <is>
          <t>TOSHIBA LOGISTICS (THAILAND)</t>
        </is>
      </c>
      <c r="X34" s="96" t="inlineStr">
        <is>
          <t>VFD</t>
        </is>
      </c>
      <c r="Y34" s="96" t="inlineStr">
        <is>
          <t>TOSHIBA LOGISTICS VIETNAM CO.,LTD.</t>
        </is>
      </c>
      <c r="Z34" s="96" t="inlineStr">
        <is>
          <t>TOSHIBA LOGISTICS VIETNAM CO.,LTD.</t>
        </is>
      </c>
      <c r="AA34" s="97" t="n">
        <v>6174</v>
      </c>
      <c r="AB34" s="96" t="inlineStr">
        <is>
          <t>LCH05</t>
        </is>
      </c>
      <c r="AC34" s="96" t="inlineStr">
        <is>
          <t>SGN03</t>
        </is>
      </c>
    </row>
    <row r="35" ht="12" customHeight="1">
      <c r="A35" s="96" t="inlineStr">
        <is>
          <t>HALU2335431</t>
        </is>
      </c>
      <c r="B35" s="161" t="inlineStr">
        <is>
          <t>2026-10-16</t>
        </is>
      </c>
      <c r="C35" s="96" t="inlineStr">
        <is>
          <t>KUS</t>
        </is>
      </c>
      <c r="D35" s="96" t="inlineStr">
        <is>
          <t>2616N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KRPUS</t>
        </is>
      </c>
      <c r="J35" s="96" t="inlineStr">
        <is>
          <t>JPMOJ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LCH05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HASLS22260902064</t>
        </is>
      </c>
      <c r="R35" s="96" t="inlineStr">
        <is>
          <t>Y</t>
        </is>
      </c>
      <c r="S35" s="96" t="inlineStr">
        <is>
          <t>N</t>
        </is>
      </c>
      <c r="T35" s="96" t="inlineStr">
        <is>
          <t>KST</t>
        </is>
      </c>
      <c r="U35" s="97" t="n"/>
      <c r="V35" s="96" t="inlineStr">
        <is>
          <t>C0423001</t>
        </is>
      </c>
      <c r="W35" s="96" t="inlineStr">
        <is>
          <t>THAI POLYETHYLENE CO.,LTD.</t>
        </is>
      </c>
      <c r="X35" s="96" t="inlineStr">
        <is>
          <t>VFD</t>
        </is>
      </c>
      <c r="Y35" s="96" t="inlineStr">
        <is>
          <t>TOYOTSU CHEMIPLAS CORPORATION,</t>
        </is>
      </c>
      <c r="Z35" s="96" t="inlineStr">
        <is>
          <t>TOYOTSU CHEMIPLAS CORPORATION,</t>
        </is>
      </c>
      <c r="AA35" s="97" t="n">
        <v>15147</v>
      </c>
      <c r="AB35" s="96" t="inlineStr">
        <is>
          <t>LCH05</t>
        </is>
      </c>
      <c r="AC35" s="96" t="inlineStr">
        <is>
          <t>MOJ01</t>
        </is>
      </c>
    </row>
    <row r="36" ht="12" customHeight="1">
      <c r="A36" s="96" t="inlineStr">
        <is>
          <t>HALU2336778</t>
        </is>
      </c>
      <c r="B36" s="161" t="inlineStr">
        <is>
          <t>2026-10-16</t>
        </is>
      </c>
      <c r="C36" s="96" t="inlineStr">
        <is>
          <t>KUS</t>
        </is>
      </c>
      <c r="D36" s="96" t="inlineStr">
        <is>
          <t>2616N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LCH05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HASLS22260900461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KST</t>
        </is>
      </c>
      <c r="U36" s="97" t="n"/>
      <c r="V36" s="96" t="inlineStr">
        <is>
          <t>C0423001</t>
        </is>
      </c>
      <c r="W36" s="96" t="inlineStr">
        <is>
          <t>PTT GLOBAL CHEMICAL PUBLIC COMPANY</t>
        </is>
      </c>
      <c r="X36" s="96" t="inlineStr">
        <is>
          <t>VFD</t>
        </is>
      </c>
      <c r="Y36" s="96" t="inlineStr">
        <is>
          <t>TO ORDER OF SACOMBANK -</t>
        </is>
      </c>
      <c r="Z36" s="96" t="inlineStr">
        <is>
          <t>GIA LOI JOINT STOCK COMPANY</t>
        </is>
      </c>
      <c r="AA36" s="97" t="n">
        <v>18072</v>
      </c>
      <c r="AB36" s="96" t="inlineStr">
        <is>
          <t>LCH05</t>
        </is>
      </c>
      <c r="AC36" s="96" t="inlineStr">
        <is>
          <t>SGN03</t>
        </is>
      </c>
    </row>
    <row r="37" ht="12" customHeight="1">
      <c r="A37" s="96" t="inlineStr">
        <is>
          <t>HALU2352927</t>
        </is>
      </c>
      <c r="B37" s="161" t="inlineStr">
        <is>
          <t>2026-10-16</t>
        </is>
      </c>
      <c r="C37" s="96" t="inlineStr">
        <is>
          <t>KUS</t>
        </is>
      </c>
      <c r="D37" s="96" t="inlineStr">
        <is>
          <t>2616N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KRPUS</t>
        </is>
      </c>
      <c r="J37" s="96" t="inlineStr">
        <is>
          <t>JPNAH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LCH05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HASLS22260902234</t>
        </is>
      </c>
      <c r="R37" s="96" t="inlineStr">
        <is>
          <t>Y</t>
        </is>
      </c>
      <c r="S37" s="96" t="inlineStr">
        <is>
          <t>N</t>
        </is>
      </c>
      <c r="T37" s="96" t="inlineStr">
        <is>
          <t>KST</t>
        </is>
      </c>
      <c r="U37" s="97" t="n"/>
      <c r="V37" s="96" t="inlineStr">
        <is>
          <t>C0223008</t>
        </is>
      </c>
      <c r="W37" s="96" t="inlineStr">
        <is>
          <t>THAI POLYETHYLENE CO.,LTD.</t>
        </is>
      </c>
      <c r="X37" s="96" t="inlineStr">
        <is>
          <t>VFD</t>
        </is>
      </c>
      <c r="Y37" s="96" t="inlineStr">
        <is>
          <t>MITSUI &amp; CO. PLASTICS LTD.</t>
        </is>
      </c>
      <c r="Z37" s="96" t="inlineStr">
        <is>
          <t>MITSUI &amp; CO. PLASTICS LTD.</t>
        </is>
      </c>
      <c r="AA37" s="97" t="n">
        <v>15147</v>
      </c>
      <c r="AB37" s="96" t="inlineStr">
        <is>
          <t>LCH05</t>
        </is>
      </c>
      <c r="AC37" s="96" t="inlineStr">
        <is>
          <t>NAH01</t>
        </is>
      </c>
    </row>
    <row r="38" ht="12" customHeight="1">
      <c r="A38" s="96" t="inlineStr">
        <is>
          <t>HALU2346462</t>
        </is>
      </c>
      <c r="B38" s="161" t="inlineStr">
        <is>
          <t>2026-10-16</t>
        </is>
      </c>
      <c r="C38" s="96" t="inlineStr">
        <is>
          <t>KUS</t>
        </is>
      </c>
      <c r="D38" s="96" t="inlineStr">
        <is>
          <t>2616N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KRPUS</t>
        </is>
      </c>
      <c r="J38" s="96" t="inlineStr">
        <is>
          <t>JPUKB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LCH05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HASLS22260901989</t>
        </is>
      </c>
      <c r="R38" s="96" t="inlineStr">
        <is>
          <t>Y</t>
        </is>
      </c>
      <c r="S38" s="96" t="inlineStr">
        <is>
          <t>N</t>
        </is>
      </c>
      <c r="T38" s="96" t="inlineStr">
        <is>
          <t>KST</t>
        </is>
      </c>
      <c r="U38" s="97" t="n"/>
      <c r="V38" s="96" t="inlineStr">
        <is>
          <t>C0123011</t>
        </is>
      </c>
      <c r="W38" s="96" t="inlineStr">
        <is>
          <t>PTT GLOBAL CHEMICAL PUBLIC COMPANY</t>
        </is>
      </c>
      <c r="X38" s="96" t="inlineStr">
        <is>
          <t>VFD</t>
        </is>
      </c>
      <c r="Y38" s="96" t="inlineStr">
        <is>
          <t>MITSUBISHI CORPORATION PLASTICS</t>
        </is>
      </c>
      <c r="Z38" s="96" t="inlineStr">
        <is>
          <t>MITSUBISHI CORPORATION PLASTICS</t>
        </is>
      </c>
      <c r="AA38" s="97" t="n">
        <v>19276.8</v>
      </c>
      <c r="AB38" s="96" t="inlineStr">
        <is>
          <t>LCH05</t>
        </is>
      </c>
      <c r="AC38" s="96" t="inlineStr">
        <is>
          <t>UKB03</t>
        </is>
      </c>
    </row>
    <row r="39" ht="12" customHeight="1">
      <c r="A39" s="96" t="inlineStr">
        <is>
          <t>HALU2361913</t>
        </is>
      </c>
      <c r="B39" s="161" t="inlineStr">
        <is>
          <t>2026-10-16</t>
        </is>
      </c>
      <c r="C39" s="96" t="inlineStr">
        <is>
          <t>KUS</t>
        </is>
      </c>
      <c r="D39" s="96" t="inlineStr">
        <is>
          <t>2616N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LCH05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HASLS22260900461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KST</t>
        </is>
      </c>
      <c r="U39" s="97" t="n"/>
      <c r="V39" s="96" t="inlineStr">
        <is>
          <t>C0324003</t>
        </is>
      </c>
      <c r="W39" s="96" t="inlineStr">
        <is>
          <t>PTT GLOBAL CHEMICAL PUBLIC COMPANY</t>
        </is>
      </c>
      <c r="X39" s="96" t="inlineStr">
        <is>
          <t>VED</t>
        </is>
      </c>
      <c r="Y39" s="96" t="inlineStr">
        <is>
          <t>TO ORDER OF SACOMBANK -</t>
        </is>
      </c>
      <c r="Z39" s="96" t="inlineStr">
        <is>
          <t>GIA LOI JOINT STOCK COMPANY</t>
        </is>
      </c>
      <c r="AA39" s="97" t="n">
        <v>18072</v>
      </c>
      <c r="AB39" s="96" t="inlineStr">
        <is>
          <t>LCH05</t>
        </is>
      </c>
      <c r="AC39" s="96" t="inlineStr">
        <is>
          <t>SGN03</t>
        </is>
      </c>
    </row>
    <row r="40" ht="12" customHeight="1">
      <c r="A40" s="96" t="inlineStr">
        <is>
          <t>HLHU8477228</t>
        </is>
      </c>
      <c r="B40" s="161" t="inlineStr">
        <is>
          <t>2026-10-16</t>
        </is>
      </c>
      <c r="C40" s="96" t="inlineStr">
        <is>
          <t>KUS</t>
        </is>
      </c>
      <c r="D40" s="96" t="inlineStr">
        <is>
          <t>2616N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KRINC</t>
        </is>
      </c>
      <c r="J40" s="96" t="inlineStr">
        <is>
          <t>KRINC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LCH05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HASLS22261000495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KST</t>
        </is>
      </c>
      <c r="U40" s="97" t="n"/>
      <c r="V40" s="96" t="inlineStr">
        <is>
          <t>C0624001</t>
        </is>
      </c>
      <c r="W40" s="96" t="inlineStr">
        <is>
          <t>KORCHINA FREIGHT(THAILAND) CO.,LTD.</t>
        </is>
      </c>
      <c r="X40" s="96" t="inlineStr">
        <is>
          <t>VED</t>
        </is>
      </c>
      <c r="Y40" s="96" t="inlineStr">
        <is>
          <t>PUMAS LOGISTICS CO.,LTD.</t>
        </is>
      </c>
      <c r="Z40" s="96" t="inlineStr">
        <is>
          <t>PUMAS LOGISTICS CO.,LTD.</t>
        </is>
      </c>
      <c r="AA40" s="97" t="n">
        <v>8898.6</v>
      </c>
      <c r="AB40" s="96" t="inlineStr">
        <is>
          <t>LCH05</t>
        </is>
      </c>
      <c r="AC40" s="96" t="inlineStr">
        <is>
          <t>INC07</t>
        </is>
      </c>
    </row>
    <row r="41" ht="12" customHeight="1">
      <c r="A41" s="96" t="inlineStr">
        <is>
          <t>HALU8504396</t>
        </is>
      </c>
      <c r="B41" s="161" t="inlineStr">
        <is>
          <t>2026-10-16</t>
        </is>
      </c>
      <c r="C41" s="96" t="inlineStr">
        <is>
          <t>KUS</t>
        </is>
      </c>
      <c r="D41" s="96" t="inlineStr">
        <is>
          <t>2616N</t>
        </is>
      </c>
      <c r="E41" s="96" t="inlineStr">
        <is>
          <t>45RE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KRPUS</t>
        </is>
      </c>
      <c r="J41" s="96" t="inlineStr">
        <is>
          <t>JPISS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LCH05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HASLS22260902175</t>
        </is>
      </c>
      <c r="R41" s="96" t="inlineStr">
        <is>
          <t>Y</t>
        </is>
      </c>
      <c r="S41" s="96" t="inlineStr">
        <is>
          <t>N</t>
        </is>
      </c>
      <c r="T41" s="96" t="inlineStr">
        <is>
          <t>KST</t>
        </is>
      </c>
      <c r="U41" s="97" t="n"/>
      <c r="V41" s="96" t="inlineStr">
        <is>
          <t>C0825001</t>
        </is>
      </c>
      <c r="W41" s="96" t="inlineStr">
        <is>
          <t>KODAI (THAILAND) CO., LTD.</t>
        </is>
      </c>
      <c r="X41" s="96" t="inlineStr">
        <is>
          <t>VFD</t>
        </is>
      </c>
      <c r="Y41" s="96" t="inlineStr">
        <is>
          <t>KODAI COMPANY LTD.</t>
        </is>
      </c>
      <c r="Z41" s="96" t="inlineStr">
        <is>
          <t>KODAI COMPANY LTD.</t>
        </is>
      </c>
      <c r="AA41" s="97" t="n">
        <v>25479.09</v>
      </c>
      <c r="AB41" s="96" t="inlineStr">
        <is>
          <t>LCH05</t>
        </is>
      </c>
      <c r="AC41" s="96" t="inlineStr">
        <is>
          <t>ISS02</t>
        </is>
      </c>
    </row>
    <row r="42" ht="12" customHeight="1">
      <c r="A42" s="96" t="inlineStr">
        <is>
          <t>HALU8505900</t>
        </is>
      </c>
      <c r="B42" s="161" t="inlineStr">
        <is>
          <t>2026-10-16</t>
        </is>
      </c>
      <c r="C42" s="96" t="inlineStr">
        <is>
          <t>KUS</t>
        </is>
      </c>
      <c r="D42" s="96" t="inlineStr">
        <is>
          <t>2616N</t>
        </is>
      </c>
      <c r="E42" s="96" t="inlineStr">
        <is>
          <t>45RE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KRPUS</t>
        </is>
      </c>
      <c r="J42" s="96" t="inlineStr">
        <is>
          <t>JPISS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LCH05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HASLS22260902175</t>
        </is>
      </c>
      <c r="R42" s="96" t="inlineStr">
        <is>
          <t>Y</t>
        </is>
      </c>
      <c r="S42" s="96" t="inlineStr">
        <is>
          <t>N</t>
        </is>
      </c>
      <c r="T42" s="96" t="inlineStr">
        <is>
          <t>KST</t>
        </is>
      </c>
      <c r="U42" s="97" t="n"/>
      <c r="V42" s="96" t="inlineStr">
        <is>
          <t>C0825001</t>
        </is>
      </c>
      <c r="W42" s="96" t="inlineStr">
        <is>
          <t>KODAI (THAILAND) CO., LTD.</t>
        </is>
      </c>
      <c r="X42" s="96" t="inlineStr">
        <is>
          <t>VFD</t>
        </is>
      </c>
      <c r="Y42" s="96" t="inlineStr">
        <is>
          <t>KODAI COMPANY LTD.</t>
        </is>
      </c>
      <c r="Z42" s="96" t="inlineStr">
        <is>
          <t>KODAI COMPANY LTD.</t>
        </is>
      </c>
      <c r="AA42" s="97" t="n">
        <v>25479.09</v>
      </c>
      <c r="AB42" s="96" t="inlineStr">
        <is>
          <t>LCH05</t>
        </is>
      </c>
      <c r="AC42" s="96" t="inlineStr">
        <is>
          <t>ISS02</t>
        </is>
      </c>
    </row>
    <row r="43" ht="12" customHeight="1">
      <c r="A43" s="96" t="inlineStr">
        <is>
          <t>HALU2531943</t>
        </is>
      </c>
      <c r="B43" s="161" t="inlineStr">
        <is>
          <t>2026-10-16</t>
        </is>
      </c>
      <c r="C43" s="96" t="inlineStr">
        <is>
          <t>KUS</t>
        </is>
      </c>
      <c r="D43" s="96" t="inlineStr">
        <is>
          <t>2616N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LCH05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HASLS22260900461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KST</t>
        </is>
      </c>
      <c r="U43" s="97" t="n"/>
      <c r="V43" s="96" t="inlineStr">
        <is>
          <t>C0125002</t>
        </is>
      </c>
      <c r="W43" s="96" t="inlineStr">
        <is>
          <t>PTT GLOBAL CHEMICAL PUBLIC COMPANY</t>
        </is>
      </c>
      <c r="X43" s="96" t="inlineStr">
        <is>
          <t>VFD</t>
        </is>
      </c>
      <c r="Y43" s="96" t="inlineStr">
        <is>
          <t>TO ORDER OF SACOMBANK -</t>
        </is>
      </c>
      <c r="Z43" s="96" t="inlineStr">
        <is>
          <t>GIA LOI JOINT STOCK COMPANY</t>
        </is>
      </c>
      <c r="AA43" s="97" t="n">
        <v>18072</v>
      </c>
      <c r="AB43" s="96" t="inlineStr">
        <is>
          <t>LCH05</t>
        </is>
      </c>
      <c r="AC43" s="96" t="inlineStr">
        <is>
          <t>SGN03</t>
        </is>
      </c>
    </row>
    <row r="44" ht="12" customHeight="1">
      <c r="A44" s="96" t="inlineStr">
        <is>
          <t>HALU2509934</t>
        </is>
      </c>
      <c r="B44" s="161" t="inlineStr">
        <is>
          <t>2026-10-16</t>
        </is>
      </c>
      <c r="C44" s="96" t="inlineStr">
        <is>
          <t>KUS</t>
        </is>
      </c>
      <c r="D44" s="96" t="inlineStr">
        <is>
          <t>2616N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KRINC</t>
        </is>
      </c>
      <c r="J44" s="96" t="inlineStr">
        <is>
          <t>KRINC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LCH05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HASLS22261000495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KST</t>
        </is>
      </c>
      <c r="U44" s="97" t="n"/>
      <c r="V44" s="96" t="inlineStr">
        <is>
          <t>C0125002</t>
        </is>
      </c>
      <c r="W44" s="96" t="inlineStr">
        <is>
          <t>KORCHINA FREIGHT(THAILAND) CO.,LTD.</t>
        </is>
      </c>
      <c r="X44" s="96" t="inlineStr">
        <is>
          <t>VFD</t>
        </is>
      </c>
      <c r="Y44" s="96" t="inlineStr">
        <is>
          <t>PUMAS LOGISTICS CO.,LTD.</t>
        </is>
      </c>
      <c r="Z44" s="96" t="inlineStr">
        <is>
          <t>PUMAS LOGISTICS CO.,LTD.</t>
        </is>
      </c>
      <c r="AA44" s="97" t="n">
        <v>3480</v>
      </c>
      <c r="AB44" s="96" t="inlineStr">
        <is>
          <t>LCH05</t>
        </is>
      </c>
      <c r="AC44" s="96" t="inlineStr">
        <is>
          <t>INC07</t>
        </is>
      </c>
    </row>
    <row r="45" ht="12" customHeight="1">
      <c r="A45" s="96" t="inlineStr">
        <is>
          <t>HALU2511926</t>
        </is>
      </c>
      <c r="B45" s="161" t="inlineStr">
        <is>
          <t>2026-10-16</t>
        </is>
      </c>
      <c r="C45" s="96" t="inlineStr">
        <is>
          <t>KUS</t>
        </is>
      </c>
      <c r="D45" s="96" t="inlineStr">
        <is>
          <t>2616N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KRPUS</t>
        </is>
      </c>
      <c r="J45" s="96" t="inlineStr">
        <is>
          <t>JPUKB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LCH05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HASLS22260901989</t>
        </is>
      </c>
      <c r="R45" s="96" t="inlineStr">
        <is>
          <t>Y</t>
        </is>
      </c>
      <c r="S45" s="96" t="inlineStr">
        <is>
          <t>N</t>
        </is>
      </c>
      <c r="T45" s="96" t="inlineStr">
        <is>
          <t>KST</t>
        </is>
      </c>
      <c r="U45" s="97" t="n"/>
      <c r="V45" s="96" t="inlineStr">
        <is>
          <t>C0125002</t>
        </is>
      </c>
      <c r="W45" s="96" t="inlineStr">
        <is>
          <t>PTT GLOBAL CHEMICAL PUBLIC COMPANY</t>
        </is>
      </c>
      <c r="X45" s="96" t="inlineStr">
        <is>
          <t>VED</t>
        </is>
      </c>
      <c r="Y45" s="96" t="inlineStr">
        <is>
          <t>MITSUBISHI CORPORATION PLASTICS</t>
        </is>
      </c>
      <c r="Z45" s="96" t="inlineStr">
        <is>
          <t>MITSUBISHI CORPORATION PLASTICS</t>
        </is>
      </c>
      <c r="AA45" s="97" t="n">
        <v>19276.8</v>
      </c>
      <c r="AB45" s="96" t="inlineStr">
        <is>
          <t>LCH05</t>
        </is>
      </c>
      <c r="AC45" s="96" t="inlineStr">
        <is>
          <t>UKB03</t>
        </is>
      </c>
    </row>
    <row r="46" ht="12" customHeight="1">
      <c r="A46" s="96" t="inlineStr">
        <is>
          <t>HALU2430510</t>
        </is>
      </c>
      <c r="B46" s="161" t="inlineStr">
        <is>
          <t>2026-10-16</t>
        </is>
      </c>
      <c r="C46" s="96" t="inlineStr">
        <is>
          <t>KUS</t>
        </is>
      </c>
      <c r="D46" s="96" t="inlineStr">
        <is>
          <t>2616N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KRPUS</t>
        </is>
      </c>
      <c r="J46" s="96" t="inlineStr">
        <is>
          <t>JPIMB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LCH05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HASLS22260902793</t>
        </is>
      </c>
      <c r="R46" s="96" t="inlineStr">
        <is>
          <t>Y</t>
        </is>
      </c>
      <c r="S46" s="96" t="inlineStr">
        <is>
          <t>N</t>
        </is>
      </c>
      <c r="T46" s="96" t="inlineStr">
        <is>
          <t>KST</t>
        </is>
      </c>
      <c r="U46" s="97" t="n"/>
      <c r="V46" s="96" t="inlineStr">
        <is>
          <t>C0124002</t>
        </is>
      </c>
      <c r="W46" s="96" t="inlineStr">
        <is>
          <t>PTT GLOBAL CHEMICAL PUBLIC COMPANY</t>
        </is>
      </c>
      <c r="X46" s="96" t="inlineStr">
        <is>
          <t>VED</t>
        </is>
      </c>
      <c r="Y46" s="96" t="inlineStr">
        <is>
          <t>MITSUBISHI CORPORATION PLASTICS</t>
        </is>
      </c>
      <c r="Z46" s="96" t="inlineStr">
        <is>
          <t>MITSUBISHI CORPORATION PLASTICS</t>
        </is>
      </c>
      <c r="AA46" s="97" t="n">
        <v>16160</v>
      </c>
      <c r="AB46" s="96" t="inlineStr">
        <is>
          <t>LCH05</t>
        </is>
      </c>
      <c r="AC46" s="96" t="inlineStr">
        <is>
          <t>IMB01</t>
        </is>
      </c>
    </row>
    <row r="47" ht="12" customHeight="1">
      <c r="A47" s="96" t="inlineStr">
        <is>
          <t>HALU2472630</t>
        </is>
      </c>
      <c r="B47" s="161" t="inlineStr">
        <is>
          <t>2026-10-16</t>
        </is>
      </c>
      <c r="C47" s="96" t="inlineStr">
        <is>
          <t>KUS</t>
        </is>
      </c>
      <c r="D47" s="96" t="inlineStr">
        <is>
          <t>2616N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KRPUS</t>
        </is>
      </c>
      <c r="J47" s="96" t="inlineStr">
        <is>
          <t>JPUKB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LCH05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HASLS22260901989</t>
        </is>
      </c>
      <c r="R47" s="96" t="inlineStr">
        <is>
          <t>Y</t>
        </is>
      </c>
      <c r="S47" s="96" t="inlineStr">
        <is>
          <t>N</t>
        </is>
      </c>
      <c r="T47" s="96" t="inlineStr">
        <is>
          <t>KST</t>
        </is>
      </c>
      <c r="U47" s="97" t="n"/>
      <c r="V47" s="96" t="inlineStr">
        <is>
          <t>C0524002</t>
        </is>
      </c>
      <c r="W47" s="96" t="inlineStr">
        <is>
          <t>PTT GLOBAL CHEMICAL PUBLIC COMPANY</t>
        </is>
      </c>
      <c r="X47" s="96" t="inlineStr">
        <is>
          <t>VFD</t>
        </is>
      </c>
      <c r="Y47" s="96" t="inlineStr">
        <is>
          <t>MITSUBISHI CORPORATION PLASTICS</t>
        </is>
      </c>
      <c r="Z47" s="96" t="inlineStr">
        <is>
          <t>MITSUBISHI CORPORATION PLASTICS</t>
        </is>
      </c>
      <c r="AA47" s="97" t="n">
        <v>19276.8</v>
      </c>
      <c r="AB47" s="96" t="inlineStr">
        <is>
          <t>LCH05</t>
        </is>
      </c>
      <c r="AC47" s="96" t="inlineStr">
        <is>
          <t>UKB03</t>
        </is>
      </c>
    </row>
    <row r="48" ht="12" customHeight="1">
      <c r="A48" s="96" t="inlineStr">
        <is>
          <t>HALU2469791</t>
        </is>
      </c>
      <c r="B48" s="161" t="inlineStr">
        <is>
          <t>2026-10-16</t>
        </is>
      </c>
      <c r="C48" s="96" t="inlineStr">
        <is>
          <t>KUS</t>
        </is>
      </c>
      <c r="D48" s="96" t="inlineStr">
        <is>
          <t>2616N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KRPUS</t>
        </is>
      </c>
      <c r="J48" s="96" t="inlineStr">
        <is>
          <t>JPUKB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LCH05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HASLS22260901989</t>
        </is>
      </c>
      <c r="R48" s="96" t="inlineStr">
        <is>
          <t>Y</t>
        </is>
      </c>
      <c r="S48" s="96" t="inlineStr">
        <is>
          <t>N</t>
        </is>
      </c>
      <c r="T48" s="96" t="inlineStr">
        <is>
          <t>KST</t>
        </is>
      </c>
      <c r="U48" s="97" t="n"/>
      <c r="V48" s="96" t="inlineStr">
        <is>
          <t>C0424001</t>
        </is>
      </c>
      <c r="W48" s="96" t="inlineStr">
        <is>
          <t>PTT GLOBAL CHEMICAL PUBLIC COMPANY</t>
        </is>
      </c>
      <c r="X48" s="96" t="inlineStr">
        <is>
          <t>VFD</t>
        </is>
      </c>
      <c r="Y48" s="96" t="inlineStr">
        <is>
          <t>MITSUBISHI CORPORATION PLASTICS</t>
        </is>
      </c>
      <c r="Z48" s="96" t="inlineStr">
        <is>
          <t>MITSUBISHI CORPORATION PLASTICS</t>
        </is>
      </c>
      <c r="AA48" s="97" t="n">
        <v>19276.8</v>
      </c>
      <c r="AB48" s="96" t="inlineStr">
        <is>
          <t>LCH05</t>
        </is>
      </c>
      <c r="AC48" s="96" t="inlineStr">
        <is>
          <t>UKB03</t>
        </is>
      </c>
    </row>
    <row r="49" ht="12" customHeight="1">
      <c r="A49" s="96" t="inlineStr">
        <is>
          <t>HALU2472054</t>
        </is>
      </c>
      <c r="B49" s="161" t="inlineStr">
        <is>
          <t>2026-10-16</t>
        </is>
      </c>
      <c r="C49" s="96" t="inlineStr">
        <is>
          <t>KUS</t>
        </is>
      </c>
      <c r="D49" s="96" t="inlineStr">
        <is>
          <t>2616N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KRPUS</t>
        </is>
      </c>
      <c r="J49" s="96" t="inlineStr">
        <is>
          <t>JPUKB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LCH05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HASLS22260901989</t>
        </is>
      </c>
      <c r="R49" s="96" t="inlineStr">
        <is>
          <t>Y</t>
        </is>
      </c>
      <c r="S49" s="96" t="inlineStr">
        <is>
          <t>N</t>
        </is>
      </c>
      <c r="T49" s="96" t="inlineStr">
        <is>
          <t>KST</t>
        </is>
      </c>
      <c r="U49" s="97" t="n"/>
      <c r="V49" s="96" t="inlineStr">
        <is>
          <t>C0424001</t>
        </is>
      </c>
      <c r="W49" s="96" t="inlineStr">
        <is>
          <t>PTT GLOBAL CHEMICAL PUBLIC COMPANY</t>
        </is>
      </c>
      <c r="X49" s="96" t="inlineStr">
        <is>
          <t>VED</t>
        </is>
      </c>
      <c r="Y49" s="96" t="inlineStr">
        <is>
          <t>MITSUBISHI CORPORATION PLASTICS</t>
        </is>
      </c>
      <c r="Z49" s="96" t="inlineStr">
        <is>
          <t>MITSUBISHI CORPORATION PLASTICS</t>
        </is>
      </c>
      <c r="AA49" s="97" t="n">
        <v>19276.8</v>
      </c>
      <c r="AB49" s="96" t="inlineStr">
        <is>
          <t>LCH05</t>
        </is>
      </c>
      <c r="AC49" s="96" t="inlineStr">
        <is>
          <t>UKB03</t>
        </is>
      </c>
    </row>
    <row r="50" ht="12" customHeight="1">
      <c r="A50" s="96" t="inlineStr">
        <is>
          <t>HLHU8518327</t>
        </is>
      </c>
      <c r="B50" s="161" t="inlineStr">
        <is>
          <t>2026-10-16</t>
        </is>
      </c>
      <c r="C50" s="96" t="inlineStr">
        <is>
          <t>KUS</t>
        </is>
      </c>
      <c r="D50" s="96" t="inlineStr">
        <is>
          <t>2616N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KRINC</t>
        </is>
      </c>
      <c r="J50" s="96" t="inlineStr">
        <is>
          <t>KRINC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LCH05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HASLS22260902787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KST</t>
        </is>
      </c>
      <c r="U50" s="97" t="n"/>
      <c r="V50" s="96" t="inlineStr">
        <is>
          <t>C0125003</t>
        </is>
      </c>
      <c r="W50" s="96" t="inlineStr">
        <is>
          <t>THAI GULF JELLYFISH CO.,LTD</t>
        </is>
      </c>
      <c r="X50" s="96" t="inlineStr">
        <is>
          <t>VFD</t>
        </is>
      </c>
      <c r="Y50" s="96" t="inlineStr">
        <is>
          <t>TO THE ORDER OF KEB HANA BANK</t>
        </is>
      </c>
      <c r="Z50" s="96" t="inlineStr">
        <is>
          <t>JJ OCEAN.</t>
        </is>
      </c>
      <c r="AA50" s="97" t="n">
        <v>23400</v>
      </c>
      <c r="AB50" s="96" t="inlineStr">
        <is>
          <t>LCH05</t>
        </is>
      </c>
      <c r="AC50" s="96" t="inlineStr">
        <is>
          <t>INC07</t>
        </is>
      </c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6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HASLS22261000495</t>
        </is>
      </c>
      <c r="B2" s="96" t="inlineStr">
        <is>
          <t>20'x1 40Hx1</t>
        </is>
      </c>
      <c r="C2" s="97" t="n">
        <v>2</v>
      </c>
      <c r="D2" s="97" t="n">
        <v>2</v>
      </c>
      <c r="E2" s="97" t="n"/>
      <c r="F2" s="97" t="n">
        <v>0</v>
      </c>
      <c r="G2" s="97" t="n">
        <v>1</v>
      </c>
      <c r="H2" s="97" t="n">
        <v>0</v>
      </c>
      <c r="I2" s="97" t="n">
        <v>1</v>
      </c>
      <c r="J2" s="97" t="n">
        <v>3</v>
      </c>
      <c r="K2" s="96" t="inlineStr">
        <is>
          <t>N</t>
        </is>
      </c>
      <c r="L2" s="96" t="inlineStr">
        <is>
          <t>KST</t>
        </is>
      </c>
      <c r="M2" s="96" t="inlineStr">
        <is>
          <t>KUS</t>
        </is>
      </c>
      <c r="N2" s="96" t="inlineStr">
        <is>
          <t>2616N</t>
        </is>
      </c>
      <c r="O2" s="96" t="inlineStr">
        <is>
          <t>THLCH</t>
        </is>
      </c>
      <c r="P2" s="96" t="inlineStr">
        <is>
          <t>LCH05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KRINC</t>
        </is>
      </c>
      <c r="T2" s="96" t="inlineStr">
        <is>
          <t>INC07</t>
        </is>
      </c>
      <c r="U2" s="96" t="inlineStr">
        <is>
          <t>KRINC</t>
        </is>
      </c>
      <c r="V2" s="161" t="inlineStr">
        <is>
          <t>2026-10-24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KORCHINA FREIGHT (THAILAND) CO., LTD.</t>
        </is>
      </c>
      <c r="AB2" s="96" t="inlineStr">
        <is>
          <t>BRIDGESTONE AIRCRAFT TIRE MANUFACTURING (THAILAND) CO., LTD.</t>
        </is>
      </c>
      <c r="AC2" s="163" t="n">
        <v>12378.6</v>
      </c>
      <c r="AD2" s="163" t="n">
        <v>18578.6</v>
      </c>
      <c r="AE2" s="96" t="inlineStr">
        <is>
          <t>OK</t>
        </is>
      </c>
      <c r="AF2" s="96" t="n"/>
      <c r="AG2" s="97" t="n"/>
      <c r="AH2" s="96" t="inlineStr">
        <is>
          <t>CON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TH0031</t>
        </is>
      </c>
      <c r="AN2" s="96" t="inlineStr">
        <is>
          <t>Pattarapong Saengthong</t>
        </is>
      </c>
      <c r="AO2" s="96" t="inlineStr">
        <is>
          <t>AIRCRAFT TIRE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 xml:space="preserve">Pickup : 2026-10-12, Return : 2026-10-12 
 ** PLEASE CHECK OPEN GATE BEFORE RETURN CNTR **
</t>
        </is>
      </c>
      <c r="BA2" s="97" t="n"/>
      <c r="BB2" s="96" t="inlineStr">
        <is>
          <t>P</t>
        </is>
      </c>
      <c r="BC2" s="161" t="inlineStr">
        <is>
          <t>2026-10-06</t>
        </is>
      </c>
      <c r="BD2" s="161" t="inlineStr">
        <is>
          <t>2026-10-14</t>
        </is>
      </c>
      <c r="BE2" s="96" t="inlineStr">
        <is>
          <t>Y</t>
        </is>
      </c>
      <c r="BF2" s="96" t="inlineStr">
        <is>
          <t>AIR PURIFIER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LCH27</t>
        </is>
      </c>
      <c r="BL2" s="161" t="inlineStr">
        <is>
          <t>2026-10-12</t>
        </is>
      </c>
      <c r="BM2" s="127" t="n"/>
      <c r="BN2" s="127" t="n">
        <v>1</v>
      </c>
      <c r="BO2" s="127" t="n"/>
      <c r="BP2" s="127" t="n">
        <v>1</v>
      </c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LCH05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seaexport@korchina.co.th;seaexport2@korchina.co.th;seaexport3@korchina.co.th;seaexport4@korchina.co.th</t>
        </is>
      </c>
      <c r="CJ2" s="96" t="inlineStr">
        <is>
          <t>KORCHINA FREIGHT(THAILAND) CO.,LTD.</t>
        </is>
      </c>
      <c r="CK2" s="96" t="inlineStr">
        <is>
          <t>PUMAS LOGISTICS CO.,LTD.</t>
        </is>
      </c>
      <c r="CL2" s="96" t="inlineStr">
        <is>
          <t>PUMAS LOGISTICS CO.,LTD.</t>
        </is>
      </c>
      <c r="CM2" s="97" t="inlineStr">
        <is>
          <t>CLOSED</t>
        </is>
      </c>
      <c r="CN2" s="96" t="inlineStr">
        <is>
          <t>202610121700</t>
        </is>
      </c>
      <c r="CO2" s="96" t="inlineStr">
        <is>
          <t>202610141000</t>
        </is>
      </c>
      <c r="CP2" s="97" t="n"/>
      <c r="CQ2" s="96" t="inlineStr">
        <is>
          <t>S22-2308041</t>
        </is>
      </c>
      <c r="CR2" s="96" t="inlineStr">
        <is>
          <t>THTKT0</t>
        </is>
      </c>
      <c r="CS2" s="96" t="inlineStr">
        <is>
          <t>KORCHINA FREIGHT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n"/>
      <c r="CY2" s="156" t="n"/>
    </row>
    <row r="3" ht="12" customHeight="1">
      <c r="A3" s="116" t="inlineStr">
        <is>
          <t>HASLS22261000130</t>
        </is>
      </c>
      <c r="B3" s="96" t="inlineStr">
        <is>
          <t>40Hx1</t>
        </is>
      </c>
      <c r="C3" s="97" t="n">
        <v>1</v>
      </c>
      <c r="D3" s="97" t="n">
        <v>1</v>
      </c>
      <c r="E3" s="97" t="n"/>
      <c r="F3" s="97" t="n">
        <v>0</v>
      </c>
      <c r="G3" s="97" t="n">
        <v>0</v>
      </c>
      <c r="H3" s="97" t="n">
        <v>0</v>
      </c>
      <c r="I3" s="97" t="n">
        <v>1</v>
      </c>
      <c r="J3" s="97" t="n">
        <v>2</v>
      </c>
      <c r="K3" s="96" t="inlineStr">
        <is>
          <t>N</t>
        </is>
      </c>
      <c r="L3" s="96" t="inlineStr">
        <is>
          <t>KST</t>
        </is>
      </c>
      <c r="M3" s="96" t="inlineStr">
        <is>
          <t>KUS</t>
        </is>
      </c>
      <c r="N3" s="96" t="inlineStr">
        <is>
          <t>2616N</t>
        </is>
      </c>
      <c r="O3" s="96" t="inlineStr">
        <is>
          <t>THLCH</t>
        </is>
      </c>
      <c r="P3" s="96" t="inlineStr">
        <is>
          <t>LCH05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2026-10-17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WHA GC LOGISTICS COMPANY LIMITED</t>
        </is>
      </c>
      <c r="AB3" s="96" t="inlineStr">
        <is>
          <t>PTT GLOBAL CHEMICAL PUBLIC COMPANY LIMITED</t>
        </is>
      </c>
      <c r="AC3" s="163" t="n">
        <v>24997.5</v>
      </c>
      <c r="AD3" s="163" t="n">
        <v>28997.5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TBKK13</t>
        </is>
      </c>
      <c r="AN3" s="96" t="inlineStr">
        <is>
          <t>Dharaporn</t>
        </is>
      </c>
      <c r="AO3" s="96" t="inlineStr">
        <is>
          <t>HIGH DENSITY POLYETHYLENE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CY-RTN 06-08/10/26 / FIRST DATE CAN RETURN CNTR DD.06/10 
**CHECK OPEN GATE BEFORE RETURN CNTR **
</t>
        </is>
      </c>
      <c r="BA3" s="97" t="inlineStr">
        <is>
          <t>ROLL OVER FROM PREVIOUS VSL.PCCP 2610N BY ALLOCATION TEAM MS.TARN APPROVED COST IS UNDER HAL DD.09/10/2026
SI DD.7/10/26 CHANGE VSL NAME FROM SWSP 2609N BY HA DD.24/09
[Split] - HASLS22260902756 / HASLS22260902757
FM 2X20'GP DD.05/10</t>
        </is>
      </c>
      <c r="BB3" s="96" t="inlineStr">
        <is>
          <t>P</t>
        </is>
      </c>
      <c r="BC3" s="161" t="inlineStr">
        <is>
          <t>2026-10-02</t>
        </is>
      </c>
      <c r="BD3" s="161" t="inlineStr">
        <is>
          <t>2026-10-09</t>
        </is>
      </c>
      <c r="BE3" s="96" t="inlineStr">
        <is>
          <t>Y</t>
        </is>
      </c>
      <c r="BF3" s="96" t="inlineStr">
        <is>
          <t>RESIN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2026-10-06</t>
        </is>
      </c>
      <c r="BM3" s="127" t="n"/>
      <c r="BN3" s="127" t="n"/>
      <c r="BO3" s="127" t="n"/>
      <c r="BP3" s="127" t="n">
        <v>1</v>
      </c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LCH05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warayu.p@wha-gc.com</t>
        </is>
      </c>
      <c r="CJ3" s="96" t="inlineStr">
        <is>
          <t>PTT GLOBAL CHEMICAL PUBLIC COMPANY</t>
        </is>
      </c>
      <c r="CK3" s="96" t="inlineStr">
        <is>
          <t>TO ORDER OF ASIA COMMERCIAL BANK,</t>
        </is>
      </c>
      <c r="CL3" s="96" t="inlineStr">
        <is>
          <t>THIEN AN COMMERCIAL CO., LTD</t>
        </is>
      </c>
      <c r="CM3" s="97" t="inlineStr">
        <is>
          <t>CLOSED</t>
        </is>
      </c>
      <c r="CN3" s="96" t="inlineStr">
        <is>
          <t>202610121700</t>
        </is>
      </c>
      <c r="CO3" s="96" t="inlineStr">
        <is>
          <t>202610141000</t>
        </is>
      </c>
      <c r="CP3" s="97" t="n"/>
      <c r="CQ3" s="96" t="inlineStr">
        <is>
          <t>S22-2309036</t>
        </is>
      </c>
      <c r="CR3" s="96" t="inlineStr">
        <is>
          <t>TH02GR</t>
        </is>
      </c>
      <c r="CS3" s="96" t="inlineStr">
        <is>
          <t>WHA GC LOGISTICS COMPANY LIMITED</t>
        </is>
      </c>
      <c r="CT3" s="96" t="inlineStr">
        <is>
          <t>N</t>
        </is>
      </c>
      <c r="CU3" s="97" t="n"/>
      <c r="CV3" s="97" t="n"/>
      <c r="CW3" s="161" t="inlineStr">
        <is>
          <t>2026-10-15</t>
        </is>
      </c>
      <c r="CX3" s="97" t="inlineStr">
        <is>
          <t>390120</t>
        </is>
      </c>
      <c r="CY3" s="183" t="inlineStr">
        <is>
          <t>ROLL OVER FROM PREVIOUS VSL.PCCP 2610N BY ALLOCATION TEAM MS.TARN APPROVED COST IS UNDER HAL DD.09/10/2026</t>
        </is>
      </c>
    </row>
    <row r="4" ht="12" customHeight="1">
      <c r="A4" s="116" t="inlineStr">
        <is>
          <t>HASLS22260902851</t>
        </is>
      </c>
      <c r="B4" s="96" t="inlineStr">
        <is>
          <t>40Hx4</t>
        </is>
      </c>
      <c r="C4" s="97" t="n">
        <v>4</v>
      </c>
      <c r="D4" s="97" t="n">
        <v>4</v>
      </c>
      <c r="E4" s="97" t="n"/>
      <c r="F4" s="97" t="n">
        <v>0</v>
      </c>
      <c r="G4" s="97" t="n">
        <v>0</v>
      </c>
      <c r="H4" s="97" t="n">
        <v>0</v>
      </c>
      <c r="I4" s="97" t="n">
        <v>4</v>
      </c>
      <c r="J4" s="97" t="n">
        <v>8</v>
      </c>
      <c r="K4" s="96" t="inlineStr">
        <is>
          <t>N</t>
        </is>
      </c>
      <c r="L4" s="96" t="inlineStr">
        <is>
          <t>KST</t>
        </is>
      </c>
      <c r="M4" s="96" t="inlineStr">
        <is>
          <t>KUS</t>
        </is>
      </c>
      <c r="N4" s="96" t="inlineStr">
        <is>
          <t>2616N</t>
        </is>
      </c>
      <c r="O4" s="96" t="inlineStr">
        <is>
          <t>THLCH</t>
        </is>
      </c>
      <c r="P4" s="96" t="inlineStr">
        <is>
          <t>LCH05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2026-10-17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TOSHIBA LOGISTICS (THAILAND) CO., LTD.</t>
        </is>
      </c>
      <c r="AB4" s="96" t="inlineStr">
        <is>
          <t>TOSHIBA CONSUMER PRODUCTS (THAILAND) CO., LTD.</t>
        </is>
      </c>
      <c r="AC4" s="163" t="n">
        <v>25284</v>
      </c>
      <c r="AD4" s="163" t="n">
        <v>41284</v>
      </c>
      <c r="AE4" s="96" t="inlineStr">
        <is>
          <t>OK</t>
        </is>
      </c>
      <c r="AF4" s="96" t="n"/>
      <c r="AG4" s="97" t="n"/>
      <c r="AH4" s="96" t="inlineStr">
        <is>
          <t>CON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TH0031</t>
        </is>
      </c>
      <c r="AN4" s="96" t="inlineStr">
        <is>
          <t>Pattarapong Saengthong</t>
        </is>
      </c>
      <c r="AO4" s="96" t="inlineStr">
        <is>
          <t>WASHING MACHINE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2026-10-08, Return : 2026-10-09
**CHECK OPENGATE BEFORE RETURN CNTR**</t>
        </is>
      </c>
      <c r="BA4" s="97" t="inlineStr">
        <is>
          <t>RQST CHANGE VSL NAME FROM SWIC 2611N BY HA DD.8/10
FM LCHY5</t>
        </is>
      </c>
      <c r="BB4" s="96" t="inlineStr">
        <is>
          <t>C</t>
        </is>
      </c>
      <c r="BC4" s="161" t="inlineStr">
        <is>
          <t>2026-09-30</t>
        </is>
      </c>
      <c r="BD4" s="161" t="inlineStr">
        <is>
          <t>2026-10-13</t>
        </is>
      </c>
      <c r="BE4" s="96" t="inlineStr">
        <is>
          <t>Y</t>
        </is>
      </c>
      <c r="BF4" s="96" t="inlineStr">
        <is>
          <t>WASHING MACHINE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LCH28</t>
        </is>
      </c>
      <c r="BL4" s="161" t="inlineStr">
        <is>
          <t>2026-10-08</t>
        </is>
      </c>
      <c r="BM4" s="127" t="n"/>
      <c r="BN4" s="127" t="n"/>
      <c r="BO4" s="127" t="n"/>
      <c r="BP4" s="127" t="n">
        <v>4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LCH05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TLGT-NVOCC@tlog.sbs-group.com</t>
        </is>
      </c>
      <c r="CJ4" s="96" t="inlineStr">
        <is>
          <t>TOSHIBA LOGISTICS (THAILAND)</t>
        </is>
      </c>
      <c r="CK4" s="96" t="inlineStr">
        <is>
          <t>TOSHIBA LOGISTICS VIETNAM CO.,LTD.</t>
        </is>
      </c>
      <c r="CL4" s="96" t="inlineStr">
        <is>
          <t>TOSHIBA LOGISTICS VIETNAM CO.,LTD.</t>
        </is>
      </c>
      <c r="CM4" s="97" t="inlineStr">
        <is>
          <t>CLOSED</t>
        </is>
      </c>
      <c r="CN4" s="96" t="inlineStr">
        <is>
          <t>202610121700</t>
        </is>
      </c>
      <c r="CO4" s="96" t="inlineStr">
        <is>
          <t>202610141000</t>
        </is>
      </c>
      <c r="CP4" s="97" t="n"/>
      <c r="CQ4" s="96" t="inlineStr">
        <is>
          <t>S22-2602022</t>
        </is>
      </c>
      <c r="CR4" s="96" t="inlineStr">
        <is>
          <t>TH00XX</t>
        </is>
      </c>
      <c r="CS4" s="96" t="inlineStr">
        <is>
          <t>TOSHIBA LOGISTICS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7" t="inlineStr">
        <is>
          <t>845011</t>
        </is>
      </c>
      <c r="CY4" s="183" t="n"/>
    </row>
    <row r="5" ht="12" customHeight="1">
      <c r="A5" s="116" t="inlineStr">
        <is>
          <t>HASLS22260902757</t>
        </is>
      </c>
      <c r="B5" s="96" t="inlineStr">
        <is>
          <t>40Hx2</t>
        </is>
      </c>
      <c r="C5" s="97" t="n">
        <v>2</v>
      </c>
      <c r="D5" s="97" t="n">
        <v>2</v>
      </c>
      <c r="E5" s="97" t="n"/>
      <c r="F5" s="97" t="n">
        <v>0</v>
      </c>
      <c r="G5" s="97" t="n">
        <v>0</v>
      </c>
      <c r="H5" s="97" t="n">
        <v>0</v>
      </c>
      <c r="I5" s="97" t="n">
        <v>2</v>
      </c>
      <c r="J5" s="97" t="n">
        <v>4</v>
      </c>
      <c r="K5" s="96" t="inlineStr">
        <is>
          <t>N</t>
        </is>
      </c>
      <c r="L5" s="96" t="inlineStr">
        <is>
          <t>KST</t>
        </is>
      </c>
      <c r="M5" s="96" t="inlineStr">
        <is>
          <t>KUS</t>
        </is>
      </c>
      <c r="N5" s="96" t="inlineStr">
        <is>
          <t>2616N</t>
        </is>
      </c>
      <c r="O5" s="96" t="inlineStr">
        <is>
          <t>THLCH</t>
        </is>
      </c>
      <c r="P5" s="96" t="inlineStr">
        <is>
          <t>LCH05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VNSGN</t>
        </is>
      </c>
      <c r="T5" s="96" t="inlineStr">
        <is>
          <t>SGN03</t>
        </is>
      </c>
      <c r="U5" s="96" t="inlineStr">
        <is>
          <t>VNSGN</t>
        </is>
      </c>
      <c r="V5" s="161" t="inlineStr">
        <is>
          <t>2026-10-17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WHA GC LOGISTICS COMPANY LIMITED</t>
        </is>
      </c>
      <c r="AB5" s="96" t="inlineStr">
        <is>
          <t>PTT GLOBAL CHEMICAL PUBLIC COMPANY LIMITED</t>
        </is>
      </c>
      <c r="AC5" s="163" t="n">
        <v>50200</v>
      </c>
      <c r="AD5" s="163" t="n">
        <v>58200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TBKK13</t>
        </is>
      </c>
      <c r="AN5" s="96" t="inlineStr">
        <is>
          <t>Dharaporn</t>
        </is>
      </c>
      <c r="AO5" s="96" t="inlineStr">
        <is>
          <t>LINEAR LOW DENSITY POLYETHYLENE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 xml:space="preserve">CY-RTN 23-26/09/26 / FIRST DATE CAN RETURN CNTR DD.05/10 
**CHECK OPEN GATE BEFORE RETURN CNTR **
</t>
        </is>
      </c>
      <c r="BA5" s="97" t="inlineStr">
        <is>
          <t xml:space="preserve">ROLL OVER FORM PREVIOUS VSL PCCP 2610N BY ALLOCATION TEAM MS.TARN APPROVED COST IS UNDER HA DD.8/10
SI 02/10 </t>
        </is>
      </c>
      <c r="BB5" s="96" t="inlineStr">
        <is>
          <t>P</t>
        </is>
      </c>
      <c r="BC5" s="161" t="inlineStr">
        <is>
          <t>2026-09-30</t>
        </is>
      </c>
      <c r="BD5" s="161" t="inlineStr">
        <is>
          <t>2026-10-08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LCH27</t>
        </is>
      </c>
      <c r="BL5" s="161" t="inlineStr">
        <is>
          <t>2026-09-23</t>
        </is>
      </c>
      <c r="BM5" s="127" t="n"/>
      <c r="BN5" s="127" t="n"/>
      <c r="BO5" s="127" t="n"/>
      <c r="BP5" s="127" t="n">
        <v>2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n"/>
      <c r="CB5" s="97" t="n"/>
      <c r="CC5" s="96" t="inlineStr">
        <is>
          <t>LCH05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warayu.p@wha-gc.com</t>
        </is>
      </c>
      <c r="CJ5" s="96" t="inlineStr">
        <is>
          <t>PTT GLOBAL CHEMICAL PUBLIC COMPANY</t>
        </is>
      </c>
      <c r="CK5" s="96" t="inlineStr">
        <is>
          <t>C&amp;H VINA CO.,LTD</t>
        </is>
      </c>
      <c r="CL5" s="96" t="inlineStr">
        <is>
          <t>C&amp;H VINA CO.,LTD</t>
        </is>
      </c>
      <c r="CM5" s="97" t="inlineStr">
        <is>
          <t>CLOSED</t>
        </is>
      </c>
      <c r="CN5" s="96" t="inlineStr">
        <is>
          <t>202610121700</t>
        </is>
      </c>
      <c r="CO5" s="96" t="inlineStr">
        <is>
          <t>202610141000</t>
        </is>
      </c>
      <c r="CP5" s="97" t="n"/>
      <c r="CQ5" s="96" t="inlineStr">
        <is>
          <t>S22-2309036</t>
        </is>
      </c>
      <c r="CR5" s="96" t="inlineStr">
        <is>
          <t>TH02GR</t>
        </is>
      </c>
      <c r="CS5" s="96" t="inlineStr">
        <is>
          <t>WHA GC LOGISTICS COMPANY LIMITED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7" t="inlineStr">
        <is>
          <t>390140</t>
        </is>
      </c>
      <c r="CY5" s="183" t="inlineStr">
        <is>
          <t>ROLL OVER FORM PREVIOUS VSL PCCP 2610N BY ALLOCATION TEAM MS.TARN APPROVED COST IS UNDER HA DD.8/10</t>
        </is>
      </c>
    </row>
    <row r="6" ht="12" customHeight="1">
      <c r="A6" s="116" t="inlineStr">
        <is>
          <t>HASLS22260901068</t>
        </is>
      </c>
      <c r="B6" s="96" t="inlineStr">
        <is>
          <t>40Hx1</t>
        </is>
      </c>
      <c r="C6" s="97" t="n">
        <v>1</v>
      </c>
      <c r="D6" s="97" t="n">
        <v>1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KST</t>
        </is>
      </c>
      <c r="M6" s="96" t="inlineStr">
        <is>
          <t>KUS</t>
        </is>
      </c>
      <c r="N6" s="96" t="inlineStr">
        <is>
          <t>2616N</t>
        </is>
      </c>
      <c r="O6" s="96" t="inlineStr">
        <is>
          <t>THLCH</t>
        </is>
      </c>
      <c r="P6" s="96" t="inlineStr">
        <is>
          <t>LCH05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KRINC</t>
        </is>
      </c>
      <c r="T6" s="96" t="inlineStr">
        <is>
          <t>INC07</t>
        </is>
      </c>
      <c r="U6" s="96" t="inlineStr">
        <is>
          <t>KRINC</t>
        </is>
      </c>
      <c r="V6" s="161" t="inlineStr">
        <is>
          <t>2026-10-24</t>
        </is>
      </c>
      <c r="W6" s="96" t="inlineStr">
        <is>
          <t>KR</t>
        </is>
      </c>
      <c r="X6" s="97" t="n"/>
      <c r="Y6" s="97" t="n"/>
      <c r="Z6" s="97" t="n"/>
      <c r="AA6" s="96" t="inlineStr">
        <is>
          <t>SINTOP INTERNATIONAL (THAILAND) CO., LTD.</t>
        </is>
      </c>
      <c r="AB6" s="96" t="inlineStr">
        <is>
          <t>W.A. RUBBERMATE CO., LTD.</t>
        </is>
      </c>
      <c r="AC6" s="163" t="n">
        <v>21122</v>
      </c>
      <c r="AD6" s="163" t="n">
        <v>25122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S1951</t>
        </is>
      </c>
      <c r="AN6" s="96" t="inlineStr">
        <is>
          <t>Lee suk hyun</t>
        </is>
      </c>
      <c r="AO6" s="96" t="inlineStr">
        <is>
          <t>DISPOSABLE GLOVES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>Pickup : 2026-10-10, Return : 2026-10-12</t>
        </is>
      </c>
      <c r="BA6" s="97" t="inlineStr">
        <is>
          <t>FM SWBT 2616N BY HAL DD.08/10CY-RT: 9-12 OCT 2026// GOOD AND CLEAN CONTAINER</t>
        </is>
      </c>
      <c r="BB6" s="96" t="inlineStr">
        <is>
          <t>C</t>
        </is>
      </c>
      <c r="BC6" s="161" t="inlineStr">
        <is>
          <t>2026-09-14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DISPOSABLE GLOVES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2026-10-10</t>
        </is>
      </c>
      <c r="BM6" s="127" t="n"/>
      <c r="BN6" s="127" t="n"/>
      <c r="BO6" s="127" t="n"/>
      <c r="BP6" s="127" t="n">
        <v>1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LCH05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info@sintop.co.th</t>
        </is>
      </c>
      <c r="CJ6" s="96" t="inlineStr">
        <is>
          <t>SINTOP INTERNATIONAL</t>
        </is>
      </c>
      <c r="CK6" s="96" t="inlineStr">
        <is>
          <t>KS WAYS CO.,LTD</t>
        </is>
      </c>
      <c r="CL6" s="96" t="inlineStr">
        <is>
          <t>KS WAYS CO.,LTD</t>
        </is>
      </c>
      <c r="CM6" s="97" t="inlineStr">
        <is>
          <t>CLOSED</t>
        </is>
      </c>
      <c r="CN6" s="96" t="inlineStr">
        <is>
          <t>202610121700</t>
        </is>
      </c>
      <c r="CO6" s="96" t="inlineStr">
        <is>
          <t>202610141000</t>
        </is>
      </c>
      <c r="CP6" s="97" t="n"/>
      <c r="CQ6" s="96" t="inlineStr">
        <is>
          <t>K01-2003254</t>
        </is>
      </c>
      <c r="CR6" s="96" t="inlineStr">
        <is>
          <t>TH00TI</t>
        </is>
      </c>
      <c r="CS6" s="96" t="inlineStr">
        <is>
          <t>SINTOP INTERNATIONAL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7" t="n"/>
      <c r="CY6" s="183" t="n"/>
    </row>
    <row r="7" ht="12" customHeight="1">
      <c r="A7" s="116" t="inlineStr">
        <is>
          <t>HASLS22260900461</t>
        </is>
      </c>
      <c r="B7" s="96" t="inlineStr">
        <is>
          <t>20'x6</t>
        </is>
      </c>
      <c r="C7" s="97" t="n">
        <v>6</v>
      </c>
      <c r="D7" s="97" t="n">
        <v>6</v>
      </c>
      <c r="E7" s="97" t="n"/>
      <c r="F7" s="97" t="n">
        <v>0</v>
      </c>
      <c r="G7" s="97" t="n">
        <v>6</v>
      </c>
      <c r="H7" s="97" t="n">
        <v>0</v>
      </c>
      <c r="I7" s="97" t="n">
        <v>0</v>
      </c>
      <c r="J7" s="97" t="n">
        <v>6</v>
      </c>
      <c r="K7" s="96" t="inlineStr">
        <is>
          <t>N</t>
        </is>
      </c>
      <c r="L7" s="96" t="inlineStr">
        <is>
          <t>KST</t>
        </is>
      </c>
      <c r="M7" s="96" t="inlineStr">
        <is>
          <t>KUS</t>
        </is>
      </c>
      <c r="N7" s="96" t="inlineStr">
        <is>
          <t>2616N</t>
        </is>
      </c>
      <c r="O7" s="96" t="inlineStr">
        <is>
          <t>THLCH</t>
        </is>
      </c>
      <c r="P7" s="96" t="inlineStr">
        <is>
          <t>LCH05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2026-10-17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WHA GC LOGISTICS COMPANY LIMITED</t>
        </is>
      </c>
      <c r="AB7" s="96" t="inlineStr">
        <is>
          <t>PTT GLOBAL CHEMICAL PUBLIC COMPANY LIMITED</t>
        </is>
      </c>
      <c r="AC7" s="163" t="n">
        <v>108432</v>
      </c>
      <c r="AD7" s="163" t="n">
        <v>121632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HIGH DENSITY POLYETHYLENE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CY-RTN 23-26/09/26 / FIRST DATE CAN RETURN CNTR DD.05/10 
**CHECK OPEN GATE BEFORE RETURN CNTR **
</t>
        </is>
      </c>
      <c r="BA7" s="97" t="inlineStr">
        <is>
          <t>ROLL OVER FROM PREVIOUS VSL.PCCP 2610N BY ALLOCATION TEAM MS.TARN APPROVED COST IS UNDER HAL DD.09/10/2026
SI DD.2/10/26 CHANGE VSL NAME FROM SWSP 2609N BY HA DD.24/09
[Split] - HASLS22260902461</t>
        </is>
      </c>
      <c r="BB7" s="96" t="inlineStr">
        <is>
          <t>P</t>
        </is>
      </c>
      <c r="BC7" s="161" t="inlineStr">
        <is>
          <t>2026-09-04</t>
        </is>
      </c>
      <c r="BD7" s="161" t="inlineStr">
        <is>
          <t>2026-10-09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LCH27</t>
        </is>
      </c>
      <c r="BL7" s="161" t="inlineStr">
        <is>
          <t>2026-09-23</t>
        </is>
      </c>
      <c r="BM7" s="127" t="n"/>
      <c r="BN7" s="127" t="n">
        <v>6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LCH05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warayu.p@wha-gc.com</t>
        </is>
      </c>
      <c r="CJ7" s="96" t="inlineStr">
        <is>
          <t>PTT GLOBAL CHEMICAL PUBLIC COMPANY</t>
        </is>
      </c>
      <c r="CK7" s="96" t="inlineStr">
        <is>
          <t>TO ORDER OF SACOMBANK -</t>
        </is>
      </c>
      <c r="CL7" s="96" t="inlineStr">
        <is>
          <t>GIA LOI JOINT STOCK COMPANY</t>
        </is>
      </c>
      <c r="CM7" s="97" t="inlineStr">
        <is>
          <t>CLOSED</t>
        </is>
      </c>
      <c r="CN7" s="96" t="inlineStr">
        <is>
          <t>202610121700</t>
        </is>
      </c>
      <c r="CO7" s="96" t="inlineStr">
        <is>
          <t>202610141000</t>
        </is>
      </c>
      <c r="CP7" s="97" t="n"/>
      <c r="CQ7" s="96" t="inlineStr">
        <is>
          <t>S22-2309036</t>
        </is>
      </c>
      <c r="CR7" s="96" t="inlineStr">
        <is>
          <t>TH02GR</t>
        </is>
      </c>
      <c r="CS7" s="96" t="inlineStr">
        <is>
          <t>WHA GC LOGISTICS COMPANY LIMITED</t>
        </is>
      </c>
      <c r="CT7" s="96" t="inlineStr">
        <is>
          <t>Y</t>
        </is>
      </c>
      <c r="CU7" s="97" t="n"/>
      <c r="CV7" s="97" t="n"/>
      <c r="CW7" s="161" t="inlineStr">
        <is>
          <t>2026-10-15</t>
        </is>
      </c>
      <c r="CX7" s="97" t="inlineStr">
        <is>
          <t>390120</t>
        </is>
      </c>
      <c r="CY7" s="183" t="inlineStr">
        <is>
          <t>ROLL OVER FROM PREVIOUS VSL.PCCP 2610N BY ALLOCATION TEAM MS.TARN APPROVED COST IS UNDER HAL DD.09/10/2026</t>
        </is>
      </c>
    </row>
    <row r="8" ht="12" customHeight="1">
      <c r="A8" s="116" t="inlineStr">
        <is>
          <t>HASLS22260901905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KST</t>
        </is>
      </c>
      <c r="M8" s="96" t="inlineStr">
        <is>
          <t>KUS</t>
        </is>
      </c>
      <c r="N8" s="96" t="inlineStr">
        <is>
          <t>2616N</t>
        </is>
      </c>
      <c r="O8" s="96" t="inlineStr">
        <is>
          <t>THLCH</t>
        </is>
      </c>
      <c r="P8" s="96" t="inlineStr">
        <is>
          <t>LCH05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RUVVO</t>
        </is>
      </c>
      <c r="T8" s="96" t="inlineStr">
        <is>
          <t>VVO01</t>
        </is>
      </c>
      <c r="U8" s="96" t="inlineStr">
        <is>
          <t>RUVVO</t>
        </is>
      </c>
      <c r="V8" s="161" t="inlineStr">
        <is>
          <t>2026-11-02</t>
        </is>
      </c>
      <c r="W8" s="96" t="inlineStr">
        <is>
          <t>RU</t>
        </is>
      </c>
      <c r="X8" s="97" t="n"/>
      <c r="Y8" s="97" t="inlineStr">
        <is>
          <t>PUS05</t>
        </is>
      </c>
      <c r="Z8" s="97" t="inlineStr">
        <is>
          <t>KRPUS</t>
        </is>
      </c>
      <c r="AA8" s="96" t="inlineStr">
        <is>
          <t>RICH FREIGHT FORWARDER CO., LTD.</t>
        </is>
      </c>
      <c r="AB8" s="96" t="inlineStr">
        <is>
          <t>COCO BLUES (THAILAND) CO.,LTD.</t>
        </is>
      </c>
      <c r="AC8" s="163" t="n">
        <v>24123.72</v>
      </c>
      <c r="AD8" s="163" t="n">
        <v>28123.72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E0011</t>
        </is>
      </c>
      <c r="AN8" s="96" t="inlineStr">
        <is>
          <t>KIM JEONG HWAN</t>
        </is>
      </c>
      <c r="AO8" s="96" t="inlineStr">
        <is>
          <t>COSMETIC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[FIX][FIX]KUS/2616N/10/25[FIX] Pickup : 2026-10-10, Return : 2026-10-12 **1ST RETURN CNTR DD.11/10/2026 WIHTOUT RENT**
rqst Good &amp; Clean Container</t>
        </is>
      </c>
      <c r="BA8" s="97" t="inlineStr">
        <is>
          <t>FM SWSP 2609N DD.30/09</t>
        </is>
      </c>
      <c r="BB8" s="96" t="inlineStr">
        <is>
          <t>C</t>
        </is>
      </c>
      <c r="BC8" s="161" t="inlineStr">
        <is>
          <t>2026-09-21</t>
        </is>
      </c>
      <c r="BD8" s="161" t="inlineStr">
        <is>
          <t>2026-10-15</t>
        </is>
      </c>
      <c r="BE8" s="96" t="inlineStr">
        <is>
          <t>Y</t>
        </is>
      </c>
      <c r="BF8" s="96" t="inlineStr">
        <is>
          <t>COSMETICS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2026-10-10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>
        <v>5</v>
      </c>
      <c r="CA8" s="96" t="inlineStr">
        <is>
          <t>Y</t>
        </is>
      </c>
      <c r="CB8" s="97" t="n"/>
      <c r="CC8" s="96" t="inlineStr">
        <is>
          <t>LCH05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inlineStr">
        <is>
          <t>POL: THLCH [KUS/2616N]; T/S(1st): KRPUS [SWTD/9019N]; POD: RUVVO [/]</t>
        </is>
      </c>
      <c r="CI8" s="96" t="inlineStr">
        <is>
          <t>export@bbb-shipping.com</t>
        </is>
      </c>
      <c r="CJ8" s="96" t="inlineStr">
        <is>
          <t>COCO BLUES (THAILAND) CO., LTD,</t>
        </is>
      </c>
      <c r="CK8" s="96" t="inlineStr">
        <is>
          <t>INDIVIDUAL ENTREPRENEUR EVGENII</t>
        </is>
      </c>
      <c r="CL8" s="96" t="inlineStr">
        <is>
          <t>TRADE HOUSE SOLAR ASIA CO., LTD.</t>
        </is>
      </c>
      <c r="CM8" s="97" t="inlineStr">
        <is>
          <t>CLOSED</t>
        </is>
      </c>
      <c r="CN8" s="96" t="inlineStr">
        <is>
          <t>202610121700</t>
        </is>
      </c>
      <c r="CO8" s="96" t="inlineStr">
        <is>
          <t>202610141000</t>
        </is>
      </c>
      <c r="CP8" s="97" t="n"/>
      <c r="CQ8" s="96" t="inlineStr">
        <is>
          <t>K01-ITLP</t>
        </is>
      </c>
      <c r="CR8" s="96" t="inlineStr">
        <is>
          <t>THTRB5</t>
        </is>
      </c>
      <c r="CS8" s="96" t="inlineStr">
        <is>
          <t>RICH FREIGHT FORWARDER CO., LTD.</t>
        </is>
      </c>
      <c r="CT8" s="96" t="inlineStr">
        <is>
          <t>N</t>
        </is>
      </c>
      <c r="CU8" s="97" t="n"/>
      <c r="CV8" s="97" t="n"/>
      <c r="CW8" s="161" t="inlineStr">
        <is>
          <t>2026-10-15</t>
        </is>
      </c>
      <c r="CX8" s="97" t="inlineStr">
        <is>
          <t>330499</t>
        </is>
      </c>
      <c r="CY8" s="183" t="n"/>
    </row>
    <row r="9" ht="12" customHeight="1">
      <c r="A9" s="116" t="inlineStr">
        <is>
          <t>HASLS22260902793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KST</t>
        </is>
      </c>
      <c r="M9" s="96" t="inlineStr">
        <is>
          <t>KUS</t>
        </is>
      </c>
      <c r="N9" s="96" t="inlineStr">
        <is>
          <t>2616N</t>
        </is>
      </c>
      <c r="O9" s="96" t="inlineStr">
        <is>
          <t>THLCH</t>
        </is>
      </c>
      <c r="P9" s="96" t="inlineStr">
        <is>
          <t>LCH05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JPIMB</t>
        </is>
      </c>
      <c r="T9" s="96" t="inlineStr">
        <is>
          <t>IMB01</t>
        </is>
      </c>
      <c r="U9" s="96" t="inlineStr">
        <is>
          <t>JPIMB</t>
        </is>
      </c>
      <c r="V9" s="161" t="inlineStr">
        <is>
          <t>2026-10-30</t>
        </is>
      </c>
      <c r="W9" s="96" t="inlineStr">
        <is>
          <t>JP</t>
        </is>
      </c>
      <c r="X9" s="97" t="n"/>
      <c r="Y9" s="97" t="inlineStr">
        <is>
          <t>PUS05</t>
        </is>
      </c>
      <c r="Z9" s="97" t="inlineStr">
        <is>
          <t>KRPUS</t>
        </is>
      </c>
      <c r="AA9" s="96" t="inlineStr">
        <is>
          <t>WHA GC LOGISTICS COMPANY LIMITED</t>
        </is>
      </c>
      <c r="AB9" s="96" t="inlineStr">
        <is>
          <t>PTT GLOBAL CHEMICAL PUBLIC COMPANY LIMITED</t>
        </is>
      </c>
      <c r="AC9" s="163" t="n">
        <v>16160</v>
      </c>
      <c r="AD9" s="163" t="n">
        <v>18360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n"/>
      <c r="AJ9" s="97" t="n"/>
      <c r="AK9" s="97" t="n"/>
      <c r="AL9" s="97" t="n"/>
      <c r="AM9" s="96" t="inlineStr">
        <is>
          <t>TBKK13</t>
        </is>
      </c>
      <c r="AN9" s="96" t="inlineStr">
        <is>
          <t>Dharaporn</t>
        </is>
      </c>
      <c r="AO9" s="96" t="inlineStr">
        <is>
          <t>LOW DENSITY POLYETHYLENE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CY-RTN 07-09/10/26 (PR2610002581 )
</t>
        </is>
      </c>
      <c r="BA9" s="97" t="inlineStr">
        <is>
          <t>SI DD.9/10/26</t>
        </is>
      </c>
      <c r="BB9" s="96" t="inlineStr">
        <is>
          <t>P</t>
        </is>
      </c>
      <c r="BC9" s="161" t="inlineStr">
        <is>
          <t>2026-09-30</t>
        </is>
      </c>
      <c r="BD9" s="161" t="inlineStr">
        <is>
          <t>2026-10-09</t>
        </is>
      </c>
      <c r="BE9" s="96" t="inlineStr">
        <is>
          <t>Y</t>
        </is>
      </c>
      <c r="BF9" s="96" t="inlineStr">
        <is>
          <t>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2026-10-07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2</v>
      </c>
      <c r="CA9" s="96" t="n"/>
      <c r="CB9" s="97" t="n"/>
      <c r="CC9" s="96" t="inlineStr">
        <is>
          <t>LCH05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inlineStr">
        <is>
          <t>POL: THLCH [KUS/2616N]; T/S(1st): KRPUS [HSWH/2661E]; POD: JPIMB [/]</t>
        </is>
      </c>
      <c r="CI9" s="96" t="inlineStr">
        <is>
          <t>kotchakorn.w@wha-gc.com</t>
        </is>
      </c>
      <c r="CJ9" s="96" t="inlineStr">
        <is>
          <t>PTT GLOBAL CHEMICAL PUBLIC COMPANY</t>
        </is>
      </c>
      <c r="CK9" s="96" t="inlineStr">
        <is>
          <t>MITSUBISHI CORPORATION PLASTICS</t>
        </is>
      </c>
      <c r="CL9" s="96" t="inlineStr">
        <is>
          <t>MITSUBISHI CORPORATION PLASTICS</t>
        </is>
      </c>
      <c r="CM9" s="97" t="n"/>
      <c r="CN9" s="96" t="inlineStr">
        <is>
          <t>202610121700</t>
        </is>
      </c>
      <c r="CO9" s="96" t="inlineStr">
        <is>
          <t>202610141000</t>
        </is>
      </c>
      <c r="CP9" s="97" t="n"/>
      <c r="CQ9" s="96" t="inlineStr">
        <is>
          <t>STANDARD</t>
        </is>
      </c>
      <c r="CR9" s="96" t="inlineStr">
        <is>
          <t>TH02GR</t>
        </is>
      </c>
      <c r="CS9" s="96" t="inlineStr">
        <is>
          <t>WHA GC LOGISTICS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2026-10-15</t>
        </is>
      </c>
      <c r="CX9" s="97" t="inlineStr">
        <is>
          <t>390110</t>
        </is>
      </c>
      <c r="CY9" s="183" t="n"/>
    </row>
    <row r="10" ht="12" customHeight="1">
      <c r="A10" s="116" t="inlineStr">
        <is>
          <t>HASLS22260902226</t>
        </is>
      </c>
      <c r="B10" s="96" t="inlineStr">
        <is>
          <t>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KST</t>
        </is>
      </c>
      <c r="M10" s="96" t="inlineStr">
        <is>
          <t>KUS</t>
        </is>
      </c>
      <c r="N10" s="96" t="inlineStr">
        <is>
          <t>2616N</t>
        </is>
      </c>
      <c r="O10" s="96" t="inlineStr">
        <is>
          <t>THLCH</t>
        </is>
      </c>
      <c r="P10" s="96" t="inlineStr">
        <is>
          <t>LCH05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2026-10-17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STAR CONCORD (THAILAND) CO., LTD.</t>
        </is>
      </c>
      <c r="AB10" s="96" t="inlineStr">
        <is>
          <t>SIAM COATED ABRASIVE CO., LTD.</t>
        </is>
      </c>
      <c r="AC10" s="163" t="n">
        <v>13734</v>
      </c>
      <c r="AD10" s="163" t="n">
        <v>17734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TBKK97</t>
        </is>
      </c>
      <c r="AN10" s="96" t="inlineStr">
        <is>
          <t>Arunphat W. (Aiw)</t>
        </is>
      </c>
      <c r="AO10" s="96" t="inlineStr">
        <is>
          <t>ABRASIVE CLOTH ROLL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Pickup : 2026-10-07, Return : 2026-10-08 
 ** PLEASE CHECK OPEN GATE BEFORE RETURN CNTR **
</t>
        </is>
      </c>
      <c r="BA10" s="97" t="inlineStr">
        <is>
          <t>ROLL OVER FROM PREVIOUS VSL.PCCP 2610N BY ALLOCATION TEAM MS.TARN APPROVED COST IS UNDER HAL DD.09/10/2026
REQ GOOD, CLEAN, NO SMELL, NO RUST CONTAINER</t>
        </is>
      </c>
      <c r="BB10" s="96" t="inlineStr">
        <is>
          <t>P</t>
        </is>
      </c>
      <c r="BC10" s="161" t="inlineStr">
        <is>
          <t>2026-09-23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ABRASIVE CLOTH ROLL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2026-10-07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LCH05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chris.c@starconcord.co.th</t>
        </is>
      </c>
      <c r="CJ10" s="96" t="inlineStr">
        <is>
          <t>STAR CONCORD (THAILAND) CO., LTD.</t>
        </is>
      </c>
      <c r="CK10" s="96" t="inlineStr">
        <is>
          <t>STAR CONCORD (VIETNAM) CO., LTD.</t>
        </is>
      </c>
      <c r="CL10" s="96" t="inlineStr">
        <is>
          <t>STAR CONCORD (VIETNAM) CO., LTD.</t>
        </is>
      </c>
      <c r="CM10" s="97" t="inlineStr">
        <is>
          <t>CLOSED</t>
        </is>
      </c>
      <c r="CN10" s="96" t="inlineStr">
        <is>
          <t>202610121700</t>
        </is>
      </c>
      <c r="CO10" s="96" t="inlineStr">
        <is>
          <t>202610141000</t>
        </is>
      </c>
      <c r="CP10" s="97" t="n"/>
      <c r="CQ10" s="96" t="inlineStr">
        <is>
          <t>S19-1912005</t>
        </is>
      </c>
      <c r="CR10" s="96" t="inlineStr">
        <is>
          <t>THTIYM</t>
        </is>
      </c>
      <c r="CS10" s="96" t="inlineStr">
        <is>
          <t>STAR CONCORD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2026-10-15</t>
        </is>
      </c>
      <c r="CX10" s="97" t="inlineStr">
        <is>
          <t>680510</t>
        </is>
      </c>
      <c r="CY10" s="183" t="inlineStr">
        <is>
          <t>ROLL OVER FROM PREVIOUS VSL.PCCP 2610N BY ALLOCATION TEAM MS.TARN APPROVED COST IS UNDER HAL DD.09/10/2026</t>
        </is>
      </c>
    </row>
    <row r="11" ht="12" customHeight="1">
      <c r="A11" s="116" t="inlineStr">
        <is>
          <t>HASLS22260902788</t>
        </is>
      </c>
      <c r="B11" s="96" t="inlineStr">
        <is>
          <t>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KST</t>
        </is>
      </c>
      <c r="M11" s="96" t="inlineStr">
        <is>
          <t>KUS</t>
        </is>
      </c>
      <c r="N11" s="96" t="inlineStr">
        <is>
          <t>2616N</t>
        </is>
      </c>
      <c r="O11" s="96" t="inlineStr">
        <is>
          <t>THLCH</t>
        </is>
      </c>
      <c r="P11" s="96" t="inlineStr">
        <is>
          <t>LCH05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KRINC</t>
        </is>
      </c>
      <c r="T11" s="96" t="inlineStr">
        <is>
          <t>INC07</t>
        </is>
      </c>
      <c r="U11" s="96" t="inlineStr">
        <is>
          <t>KRINC</t>
        </is>
      </c>
      <c r="V11" s="161" t="inlineStr">
        <is>
          <t>2026-10-24</t>
        </is>
      </c>
      <c r="W11" s="96" t="inlineStr">
        <is>
          <t>KR</t>
        </is>
      </c>
      <c r="X11" s="97" t="n"/>
      <c r="Y11" s="97" t="n"/>
      <c r="Z11" s="97" t="n"/>
      <c r="AA11" s="96" t="inlineStr">
        <is>
          <t>CARGO NETWORK DELIVERY (THAILAND) CO., LTD.</t>
        </is>
      </c>
      <c r="AB11" s="96" t="inlineStr">
        <is>
          <t>THAI GULF JELLYFISH CO., LTD.</t>
        </is>
      </c>
      <c r="AC11" s="163" t="n">
        <v>23400</v>
      </c>
      <c r="AD11" s="163" t="n">
        <v>27400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n"/>
      <c r="AJ11" s="97" t="n"/>
      <c r="AK11" s="97" t="n"/>
      <c r="AL11" s="97" t="n"/>
      <c r="AM11" s="96" t="inlineStr">
        <is>
          <t>TBKK28</t>
        </is>
      </c>
      <c r="AN11" s="96" t="inlineStr">
        <is>
          <t>Nustsireerach</t>
        </is>
      </c>
      <c r="AO11" s="96" t="inlineStr">
        <is>
          <t>SALTED JELLYFISH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2026-10-10, Return : 2026-10-12
**CHECK OPENGATE BEFORE RETURN CNTR**</t>
        </is>
      </c>
      <c r="BA11" s="97" t="inlineStr">
        <is>
          <t>PLEASE KEEP OUR CONTAINER "UNDER DECK &amp; AWAYS FROM HOT AREA"</t>
        </is>
      </c>
      <c r="BB11" s="96" t="inlineStr">
        <is>
          <t>P</t>
        </is>
      </c>
      <c r="BC11" s="161" t="inlineStr">
        <is>
          <t>2026-09-30</t>
        </is>
      </c>
      <c r="BD11" s="161" t="inlineStr">
        <is>
          <t>2026-10-15</t>
        </is>
      </c>
      <c r="BE11" s="96" t="inlineStr">
        <is>
          <t>Y</t>
        </is>
      </c>
      <c r="BF11" s="96" t="inlineStr">
        <is>
          <t>SALTED JELLYFISH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2026-10-10</t>
        </is>
      </c>
      <c r="BM11" s="127" t="n"/>
      <c r="BN11" s="127" t="n"/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LCH05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cs@cndthai.com</t>
        </is>
      </c>
      <c r="CJ11" s="96" t="inlineStr">
        <is>
          <t>THAI GULF JELLYFISH CO.,LTD</t>
        </is>
      </c>
      <c r="CK11" s="96" t="inlineStr">
        <is>
          <t>TO THE ORDER OF KEB HANA BANK</t>
        </is>
      </c>
      <c r="CL11" s="96" t="inlineStr">
        <is>
          <t>JJ OCEAN.</t>
        </is>
      </c>
      <c r="CM11" s="97" t="n"/>
      <c r="CN11" s="96" t="inlineStr">
        <is>
          <t>202610121700</t>
        </is>
      </c>
      <c r="CO11" s="96" t="inlineStr">
        <is>
          <t>202610141000</t>
        </is>
      </c>
      <c r="CP11" s="97" t="n"/>
      <c r="CQ11" s="96" t="inlineStr">
        <is>
          <t>S19-2308004</t>
        </is>
      </c>
      <c r="CR11" s="96" t="inlineStr">
        <is>
          <t>BB0596</t>
        </is>
      </c>
      <c r="CS11" s="96" t="inlineStr">
        <is>
          <t>CARGO NETWORK DELIVERY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2026-10-15</t>
        </is>
      </c>
      <c r="CX11" s="97" t="n"/>
      <c r="CY11" s="183" t="n"/>
    </row>
    <row r="12" ht="12" customHeight="1">
      <c r="A12" s="116" t="inlineStr">
        <is>
          <t>HASLS22260902231</t>
        </is>
      </c>
      <c r="B12" s="96" t="inlineStr">
        <is>
          <t>40Hx2</t>
        </is>
      </c>
      <c r="C12" s="97" t="n">
        <v>2</v>
      </c>
      <c r="D12" s="97" t="n">
        <v>2</v>
      </c>
      <c r="E12" s="97" t="n"/>
      <c r="F12" s="97" t="n">
        <v>0</v>
      </c>
      <c r="G12" s="97" t="n">
        <v>0</v>
      </c>
      <c r="H12" s="97" t="n">
        <v>0</v>
      </c>
      <c r="I12" s="97" t="n">
        <v>2</v>
      </c>
      <c r="J12" s="97" t="n">
        <v>4</v>
      </c>
      <c r="K12" s="96" t="inlineStr">
        <is>
          <t>N</t>
        </is>
      </c>
      <c r="L12" s="96" t="inlineStr">
        <is>
          <t>KST</t>
        </is>
      </c>
      <c r="M12" s="96" t="inlineStr">
        <is>
          <t>KUS</t>
        </is>
      </c>
      <c r="N12" s="96" t="inlineStr">
        <is>
          <t>2616N</t>
        </is>
      </c>
      <c r="O12" s="96" t="inlineStr">
        <is>
          <t>THLCH</t>
        </is>
      </c>
      <c r="P12" s="96" t="inlineStr">
        <is>
          <t>LCH05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2026-10-17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EAST-LINK CORPORATION CO., LTD.</t>
        </is>
      </c>
      <c r="AB12" s="96" t="inlineStr">
        <is>
          <t>TRI-WALL PACKAGING (THAI) LTD.</t>
        </is>
      </c>
      <c r="AC12" s="163" t="n">
        <v>17135.82</v>
      </c>
      <c r="AD12" s="163" t="n">
        <v>25135.82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CON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CORRUGATED PAPER BOARD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2026-10-07, Return : 2026-10-08</t>
        </is>
      </c>
      <c r="BA12" s="97" t="inlineStr">
        <is>
          <t>ROLL OVER FORM PREVIOUS VSL PCCP 2610N BY ALLOCATION TEAM MS.TARN APRPOVED COST IS UNDER HA DD.8/10
FM DJCF 0152N BY HAL DD.25/09
FM LCHY5RQS CLEAN &amp; GOOD CONTAINER CONDITION.</t>
        </is>
      </c>
      <c r="BB12" s="96" t="inlineStr">
        <is>
          <t>C</t>
        </is>
      </c>
      <c r="BC12" s="161" t="inlineStr">
        <is>
          <t>2026-09-24</t>
        </is>
      </c>
      <c r="BD12" s="161" t="inlineStr">
        <is>
          <t>2026-10-12</t>
        </is>
      </c>
      <c r="BE12" s="96" t="inlineStr">
        <is>
          <t>Y</t>
        </is>
      </c>
      <c r="BF12" s="96" t="inlineStr">
        <is>
          <t>CORRUGATED PAPER BOARD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LCH28</t>
        </is>
      </c>
      <c r="BL12" s="161" t="inlineStr">
        <is>
          <t>2026-10-07</t>
        </is>
      </c>
      <c r="BM12" s="127" t="n"/>
      <c r="BN12" s="127" t="n"/>
      <c r="BO12" s="127" t="n"/>
      <c r="BP12" s="127" t="n">
        <v>2</v>
      </c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LCH05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rockwell@eastlink-group.com</t>
        </is>
      </c>
      <c r="CJ12" s="96" t="inlineStr">
        <is>
          <t>EAST-LINK CORPORATION CO., LTD.</t>
        </is>
      </c>
      <c r="CK12" s="96" t="inlineStr">
        <is>
          <t>DOLPHIN SEA AIR SERVICES</t>
        </is>
      </c>
      <c r="CL12" s="96" t="inlineStr">
        <is>
          <t>DOLPHIN SEA AIR SERVICES</t>
        </is>
      </c>
      <c r="CM12" s="97" t="inlineStr">
        <is>
          <t>CLOSED</t>
        </is>
      </c>
      <c r="CN12" s="96" t="inlineStr">
        <is>
          <t>202610121700</t>
        </is>
      </c>
      <c r="CO12" s="96" t="inlineStr">
        <is>
          <t>202610141000</t>
        </is>
      </c>
      <c r="CP12" s="97" t="n"/>
      <c r="CQ12" s="96" t="inlineStr">
        <is>
          <t>S22-2308019</t>
        </is>
      </c>
      <c r="CR12" s="96" t="inlineStr">
        <is>
          <t>TH03OT</t>
        </is>
      </c>
      <c r="CS12" s="96" t="inlineStr">
        <is>
          <t>EAST-LINK CORPORATION CO., LTD.</t>
        </is>
      </c>
      <c r="CT12" s="96" t="inlineStr">
        <is>
          <t>N</t>
        </is>
      </c>
      <c r="CU12" s="97" t="n"/>
      <c r="CV12" s="97" t="n"/>
      <c r="CW12" s="161" t="inlineStr">
        <is>
          <t>2026-10-15</t>
        </is>
      </c>
      <c r="CX12" s="97" t="inlineStr">
        <is>
          <t>480810</t>
        </is>
      </c>
      <c r="CY12" s="183" t="inlineStr">
        <is>
          <t>ROLL OVER FORM PREVIOUS VSL PCCP 2610N BY ALLOCATION TEAM MS.TARN APRPOVED COST IS UNDER HA DD.8/10</t>
        </is>
      </c>
    </row>
    <row r="13" ht="12" customHeight="1">
      <c r="A13" s="116" t="inlineStr">
        <is>
          <t>HASLS22260902465</t>
        </is>
      </c>
      <c r="B13" s="96" t="inlineStr">
        <is>
          <t>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KST</t>
        </is>
      </c>
      <c r="M13" s="96" t="inlineStr">
        <is>
          <t>KUS</t>
        </is>
      </c>
      <c r="N13" s="96" t="inlineStr">
        <is>
          <t>2616N</t>
        </is>
      </c>
      <c r="O13" s="96" t="inlineStr">
        <is>
          <t>THLCH</t>
        </is>
      </c>
      <c r="P13" s="96" t="inlineStr">
        <is>
          <t>LCH05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JPHKT</t>
        </is>
      </c>
      <c r="T13" s="96" t="inlineStr">
        <is>
          <t>HKT02</t>
        </is>
      </c>
      <c r="U13" s="96" t="inlineStr">
        <is>
          <t>JPHKT</t>
        </is>
      </c>
      <c r="V13" s="161" t="inlineStr">
        <is>
          <t>2026-10-30</t>
        </is>
      </c>
      <c r="W13" s="96" t="inlineStr">
        <is>
          <t>JP</t>
        </is>
      </c>
      <c r="X13" s="97" t="n"/>
      <c r="Y13" s="97" t="inlineStr">
        <is>
          <t>PUS05</t>
        </is>
      </c>
      <c r="Z13" s="97" t="inlineStr">
        <is>
          <t>KRPUS</t>
        </is>
      </c>
      <c r="AA13" s="96" t="inlineStr">
        <is>
          <t>WHA GC LOGISTICS COMPANY LIMITED</t>
        </is>
      </c>
      <c r="AB13" s="96" t="inlineStr">
        <is>
          <t>PTT GLOBAL CHEMICAL PUBLIC COMPANY LIMITED</t>
        </is>
      </c>
      <c r="AC13" s="163" t="n">
        <v>24240</v>
      </c>
      <c r="AD13" s="163" t="n">
        <v>28240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LOW DENSITY POLYETHYLENE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[FIX]CY-RTN : 01-04/10/2026 *1ST RETURN CNTR DD.07/10/2026*
GOOD AND CLEAN CONTAINERS</t>
        </is>
      </c>
      <c r="BA13" s="97" t="inlineStr">
        <is>
          <t>ROLL OVER FROM PREVIOUS VSL PCCP 2610N BY ALLOCATION TEAM MS.TARN APRPOVED COST IS UNDER HA DD.8/10
SI DD.2/10/26</t>
        </is>
      </c>
      <c r="BB13" s="96" t="inlineStr">
        <is>
          <t>P</t>
        </is>
      </c>
      <c r="BC13" s="161" t="inlineStr">
        <is>
          <t>2026-09-25</t>
        </is>
      </c>
      <c r="BD13" s="161" t="inlineStr">
        <is>
          <t>2026-10-14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2026-10-01</t>
        </is>
      </c>
      <c r="BM13" s="127" t="n"/>
      <c r="BN13" s="127" t="n"/>
      <c r="BO13" s="127" t="n"/>
      <c r="BP13" s="127" t="n">
        <v>1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>
        <v>2</v>
      </c>
      <c r="CA13" s="96" t="n"/>
      <c r="CB13" s="97" t="n"/>
      <c r="CC13" s="96" t="inlineStr">
        <is>
          <t>LCH05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inlineStr">
        <is>
          <t>POL: THLCH [KUS/2616N]; T/S(1st): KRPUS [HKEP/2686E]; POD: JPHKT [/]</t>
        </is>
      </c>
      <c r="CI13" s="96" t="inlineStr">
        <is>
          <t>kotchakorn.w@wha-gc.com</t>
        </is>
      </c>
      <c r="CJ13" s="96" t="inlineStr">
        <is>
          <t>PTT GLOBAL CHEMICAL PUBLIC COMPANY</t>
        </is>
      </c>
      <c r="CK13" s="96" t="inlineStr">
        <is>
          <t>MARUBENI INNOVEXIS CORPORATION</t>
        </is>
      </c>
      <c r="CL13" s="96" t="inlineStr">
        <is>
          <t>MARUBENI INNOVEXIS CORPORATION</t>
        </is>
      </c>
      <c r="CM13" s="97" t="inlineStr">
        <is>
          <t>CLOSED</t>
        </is>
      </c>
      <c r="CN13" s="96" t="inlineStr">
        <is>
          <t>202610121700</t>
        </is>
      </c>
      <c r="CO13" s="96" t="inlineStr">
        <is>
          <t>202610141000</t>
        </is>
      </c>
      <c r="CP13" s="97" t="n"/>
      <c r="CQ13" s="96" t="inlineStr">
        <is>
          <t>S19-2309008</t>
        </is>
      </c>
      <c r="CR13" s="96" t="inlineStr">
        <is>
          <t>TH02GR</t>
        </is>
      </c>
      <c r="CS13" s="96" t="inlineStr">
        <is>
          <t>WHA GC LOGISTICS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2026-10-15</t>
        </is>
      </c>
      <c r="CX13" s="97" t="inlineStr">
        <is>
          <t>390110</t>
        </is>
      </c>
      <c r="CY13" s="183" t="inlineStr">
        <is>
          <t>ROLL OVER FROM PREVIOUS VSL PCCP 2610N BY ALLOCATION TEAM MS.TARN APRPOVED COST IS UNDER HA DD.8/10</t>
        </is>
      </c>
    </row>
    <row r="14" ht="12" customHeight="1">
      <c r="A14" s="116" t="inlineStr">
        <is>
          <t>HASLS22260801436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KST</t>
        </is>
      </c>
      <c r="M14" s="96" t="inlineStr">
        <is>
          <t>KUS</t>
        </is>
      </c>
      <c r="N14" s="96" t="inlineStr">
        <is>
          <t>2616N</t>
        </is>
      </c>
      <c r="O14" s="96" t="inlineStr">
        <is>
          <t>THLCH</t>
        </is>
      </c>
      <c r="P14" s="96" t="inlineStr">
        <is>
          <t>LCH05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JPSBS</t>
        </is>
      </c>
      <c r="T14" s="96" t="inlineStr">
        <is>
          <t>SBS01</t>
        </is>
      </c>
      <c r="U14" s="96" t="inlineStr">
        <is>
          <t>JPSBS</t>
        </is>
      </c>
      <c r="V14" s="161" t="inlineStr">
        <is>
          <t>2026-11-05</t>
        </is>
      </c>
      <c r="W14" s="96" t="inlineStr">
        <is>
          <t>JP</t>
        </is>
      </c>
      <c r="X14" s="97" t="n"/>
      <c r="Y14" s="97" t="inlineStr">
        <is>
          <t>PUS05</t>
        </is>
      </c>
      <c r="Z14" s="97" t="inlineStr">
        <is>
          <t>KRPUS</t>
        </is>
      </c>
      <c r="AA14" s="96" t="inlineStr">
        <is>
          <t>TONG THAI RUBBER CO., LTD.</t>
        </is>
      </c>
      <c r="AB14" s="96" t="inlineStr">
        <is>
          <t>TONG THAI RUBBER CO., LTD.</t>
        </is>
      </c>
      <c r="AC14" s="163" t="n">
        <v>21312</v>
      </c>
      <c r="AD14" s="163" t="n">
        <v>23512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JTYO12</t>
        </is>
      </c>
      <c r="AN14" s="96" t="inlineStr">
        <is>
          <t>Yasuaki Ueno</t>
        </is>
      </c>
      <c r="AO14" s="96" t="inlineStr">
        <is>
          <t>NATURAL RUBBER RSS3(0103-A)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[FIX][FIX]CY-RTN : 09-10/10/2026</t>
        </is>
      </c>
      <c r="BA14" s="97" t="inlineStr">
        <is>
          <t>SI DD.6/10/26
FM SWMM 2610N BY HAL (DUE TO VSL DELAY)</t>
        </is>
      </c>
      <c r="BB14" s="96" t="inlineStr">
        <is>
          <t>C</t>
        </is>
      </c>
      <c r="BC14" s="161" t="inlineStr">
        <is>
          <t>2026-08-18</t>
        </is>
      </c>
      <c r="BD14" s="161" t="inlineStr">
        <is>
          <t>2026-10-07</t>
        </is>
      </c>
      <c r="BE14" s="96" t="inlineStr">
        <is>
          <t>Y</t>
        </is>
      </c>
      <c r="BF14" s="96" t="inlineStr">
        <is>
          <t>NATURAL RUBBER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LCH27</t>
        </is>
      </c>
      <c r="BL14" s="161" t="inlineStr">
        <is>
          <t>2026-10-09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>
        <v>7</v>
      </c>
      <c r="CA14" s="96" t="n"/>
      <c r="CB14" s="97" t="n"/>
      <c r="CC14" s="96" t="inlineStr">
        <is>
          <t>LCH05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inlineStr">
        <is>
          <t>POL: THLCH [KUS/2616N]; T/S(1st): KRPUS [HSWH/2662E]; POD: JPSBS [/]</t>
        </is>
      </c>
      <c r="CI14" s="96" t="inlineStr">
        <is>
          <t>vanun@tongthai.co.th</t>
        </is>
      </c>
      <c r="CJ14" s="96" t="inlineStr">
        <is>
          <t>TONG THAI RUBBER CO., LTD.</t>
        </is>
      </c>
      <c r="CK14" s="96" t="inlineStr">
        <is>
          <t>SUMITOMO RUBBER INDUSTRIES LTD</t>
        </is>
      </c>
      <c r="CL14" s="96" t="inlineStr">
        <is>
          <t>SUMITOMO RUBBER INDUSTRIES LTD</t>
        </is>
      </c>
      <c r="CM14" s="97" t="n"/>
      <c r="CN14" s="96" t="inlineStr">
        <is>
          <t>202610121700</t>
        </is>
      </c>
      <c r="CO14" s="96" t="inlineStr">
        <is>
          <t>202610141000</t>
        </is>
      </c>
      <c r="CP14" s="97" t="n"/>
      <c r="CQ14" s="96" t="inlineStr">
        <is>
          <t>J01-2510027</t>
        </is>
      </c>
      <c r="CR14" s="96" t="inlineStr">
        <is>
          <t>BB0177</t>
        </is>
      </c>
      <c r="CS14" s="96" t="inlineStr">
        <is>
          <t>TONG THAI RUBBER CO., LTD.</t>
        </is>
      </c>
      <c r="CT14" s="96" t="inlineStr">
        <is>
          <t>N</t>
        </is>
      </c>
      <c r="CU14" s="97" t="n"/>
      <c r="CV14" s="97" t="n"/>
      <c r="CW14" s="161" t="inlineStr">
        <is>
          <t>2026-10-13</t>
        </is>
      </c>
      <c r="CX14" s="97" t="inlineStr">
        <is>
          <t>400121</t>
        </is>
      </c>
      <c r="CY14" s="183" t="n"/>
    </row>
    <row r="15" ht="12" customHeight="1">
      <c r="A15" s="116" t="inlineStr">
        <is>
          <t>HASLS22261000112</t>
        </is>
      </c>
      <c r="B15" s="96" t="inlineStr">
        <is>
          <t>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KST</t>
        </is>
      </c>
      <c r="M15" s="96" t="inlineStr">
        <is>
          <t>KUS</t>
        </is>
      </c>
      <c r="N15" s="96" t="inlineStr">
        <is>
          <t>2616N</t>
        </is>
      </c>
      <c r="O15" s="96" t="inlineStr">
        <is>
          <t>THLCH</t>
        </is>
      </c>
      <c r="P15" s="96" t="inlineStr">
        <is>
          <t>LCH05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KRINC</t>
        </is>
      </c>
      <c r="T15" s="96" t="inlineStr">
        <is>
          <t>INC07</t>
        </is>
      </c>
      <c r="U15" s="96" t="inlineStr">
        <is>
          <t>KRINC</t>
        </is>
      </c>
      <c r="V15" s="161" t="inlineStr">
        <is>
          <t>2026-10-24</t>
        </is>
      </c>
      <c r="W15" s="96" t="inlineStr">
        <is>
          <t>KR</t>
        </is>
      </c>
      <c r="X15" s="97" t="n"/>
      <c r="Y15" s="97" t="n"/>
      <c r="Z15" s="97" t="n"/>
      <c r="AA15" s="96" t="inlineStr">
        <is>
          <t>CANVAS GLOBAL LOGISTICS (THAILAND) CO., LTD.</t>
        </is>
      </c>
      <c r="AB15" s="96" t="inlineStr">
        <is>
          <t>SRI TRANG GLOVES (THAILAND) PUBLIC COMPANY LIMITED</t>
        </is>
      </c>
      <c r="AC15" s="163" t="n">
        <v>18405.12</v>
      </c>
      <c r="AD15" s="163" t="n">
        <v>22405.12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TBKK97</t>
        </is>
      </c>
      <c r="AN15" s="96" t="inlineStr">
        <is>
          <t>Arunphat W. (Aiw)</t>
        </is>
      </c>
      <c r="AO15" s="96" t="inlineStr">
        <is>
          <t>LATEX POWDERED MEDICAL EXAMINATION GLOVES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2026-10-10, Return : 2026-10-13 // FM SWAL 2609N BY HAL DD.12/10
**CHECK OPENGATE BEFORE RETURN CNTR**</t>
        </is>
      </c>
      <c r="BA15" s="97" t="inlineStr">
        <is>
          <t>ขอย้ายลำใกล้เคียงช่วงเรือใกล้ออกได้Sritrang gloves
FM SWAL 2609N BY HAL DD.12/10</t>
        </is>
      </c>
      <c r="BB15" s="96" t="inlineStr">
        <is>
          <t>P</t>
        </is>
      </c>
      <c r="BC15" s="161" t="inlineStr">
        <is>
          <t>2026-10-02</t>
        </is>
      </c>
      <c r="BD15" s="161" t="inlineStr">
        <is>
          <t>2026-10-15</t>
        </is>
      </c>
      <c r="BE15" s="96" t="inlineStr">
        <is>
          <t>Y</t>
        </is>
      </c>
      <c r="BF15" s="96" t="inlineStr">
        <is>
          <t xml:space="preserve">GLOVES 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2026-10-10</t>
        </is>
      </c>
      <c r="BM15" s="127" t="n"/>
      <c r="BN15" s="127" t="n"/>
      <c r="BO15" s="127" t="n"/>
      <c r="BP15" s="127" t="n">
        <v>1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LCH05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cs.log@canvasglobal-log.co.th</t>
        </is>
      </c>
      <c r="CJ15" s="96" t="inlineStr">
        <is>
          <t>SRI TRANG GLOVES (THAILAND) PUBLIC</t>
        </is>
      </c>
      <c r="CK15" s="96" t="inlineStr">
        <is>
          <t>RAPHA CO.,LTD</t>
        </is>
      </c>
      <c r="CL15" s="96" t="inlineStr">
        <is>
          <t>RAPHA CO.,LTD</t>
        </is>
      </c>
      <c r="CM15" s="97" t="inlineStr">
        <is>
          <t>CLOSED</t>
        </is>
      </c>
      <c r="CN15" s="96" t="inlineStr">
        <is>
          <t>202610121700</t>
        </is>
      </c>
      <c r="CO15" s="96" t="inlineStr">
        <is>
          <t>202610141000</t>
        </is>
      </c>
      <c r="CP15" s="97" t="n"/>
      <c r="CQ15" s="96" t="inlineStr">
        <is>
          <t>S22-2609010</t>
        </is>
      </c>
      <c r="CR15" s="96" t="inlineStr">
        <is>
          <t>THTWN1</t>
        </is>
      </c>
      <c r="CS15" s="96" t="inlineStr">
        <is>
          <t>CANVAS GLOBAL LOGISTICS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2026-10-15</t>
        </is>
      </c>
      <c r="CX15" s="97" t="n"/>
      <c r="CY15" s="183" t="n"/>
    </row>
    <row r="16" ht="12" customHeight="1">
      <c r="A16" s="116" t="inlineStr">
        <is>
          <t>HASLS22260900318</t>
        </is>
      </c>
      <c r="B16" s="96" t="inlineStr">
        <is>
          <t>20'x2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2</v>
      </c>
      <c r="H16" s="97" t="n">
        <v>0</v>
      </c>
      <c r="I16" s="97" t="n">
        <v>0</v>
      </c>
      <c r="J16" s="97" t="n">
        <v>2</v>
      </c>
      <c r="K16" s="96" t="inlineStr">
        <is>
          <t>N</t>
        </is>
      </c>
      <c r="L16" s="96" t="inlineStr">
        <is>
          <t>KST</t>
        </is>
      </c>
      <c r="M16" s="96" t="inlineStr">
        <is>
          <t>KUS</t>
        </is>
      </c>
      <c r="N16" s="96" t="inlineStr">
        <is>
          <t>2616N</t>
        </is>
      </c>
      <c r="O16" s="96" t="inlineStr">
        <is>
          <t>THLCH</t>
        </is>
      </c>
      <c r="P16" s="96" t="inlineStr">
        <is>
          <t>LCH05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JPMIZ</t>
        </is>
      </c>
      <c r="T16" s="96" t="inlineStr">
        <is>
          <t>MIZ01</t>
        </is>
      </c>
      <c r="U16" s="96" t="inlineStr">
        <is>
          <t>JPMIZ</t>
        </is>
      </c>
      <c r="V16" s="161" t="inlineStr">
        <is>
          <t>2026-10-31</t>
        </is>
      </c>
      <c r="W16" s="96" t="inlineStr">
        <is>
          <t>JP</t>
        </is>
      </c>
      <c r="X16" s="97" t="n"/>
      <c r="Y16" s="97" t="inlineStr">
        <is>
          <t>PUS05</t>
        </is>
      </c>
      <c r="Z16" s="97" t="inlineStr">
        <is>
          <t>KRPUS</t>
        </is>
      </c>
      <c r="AA16" s="96" t="inlineStr">
        <is>
          <t>WHA GC LOGISTICS COMPANY LIMITED</t>
        </is>
      </c>
      <c r="AB16" s="96" t="inlineStr">
        <is>
          <t>PTT GLOBAL CHEMICAL PUBLIC COMPANY LIMITED</t>
        </is>
      </c>
      <c r="AC16" s="163" t="n">
        <v>32320</v>
      </c>
      <c r="AD16" s="163" t="n">
        <v>36720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LOW DENSITY POLYETHYLENE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CY-RTN 26-30/09/26 (PR2610001367 )
*PLS CHECK OPEN GATE BEFORE RETURN CTNR*</t>
        </is>
      </c>
      <c r="BA16" s="97" t="inlineStr">
        <is>
          <t>ROLL OVER FROM PREVIOUS VSL SWSP 2609N BY ALLOCATION TEAM MS,TARN APPROVED COST IS UNDER HA DD.4/10
SI DD.21/9/26
FM POD : JPFKY DD.ICE DD.10/09/2026
FM SWMM 2609N BY K'ICE DD.15/09/2026</t>
        </is>
      </c>
      <c r="BB16" s="96" t="inlineStr">
        <is>
          <t>P</t>
        </is>
      </c>
      <c r="BC16" s="161" t="inlineStr">
        <is>
          <t>2026-09-03</t>
        </is>
      </c>
      <c r="BD16" s="161" t="inlineStr">
        <is>
          <t>2026-10-15</t>
        </is>
      </c>
      <c r="BE16" s="96" t="inlineStr">
        <is>
          <t>Y</t>
        </is>
      </c>
      <c r="BF16" s="96" t="inlineStr">
        <is>
          <t>RESIN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2026-09-26</t>
        </is>
      </c>
      <c r="BM16" s="127" t="n"/>
      <c r="BN16" s="127" t="n">
        <v>2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>
        <v>2</v>
      </c>
      <c r="CA16" s="96" t="n"/>
      <c r="CB16" s="97" t="n"/>
      <c r="CC16" s="96" t="inlineStr">
        <is>
          <t>LCH05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inlineStr">
        <is>
          <t>POL: THLCH [KUS/2616N]; T/S(1st): KRPUS [HSWH/2661E]; POD: JPMIZ [/]</t>
        </is>
      </c>
      <c r="CI16" s="96" t="inlineStr">
        <is>
          <t>kotchakorn.w@wha-gc.com</t>
        </is>
      </c>
      <c r="CJ16" s="96" t="inlineStr">
        <is>
          <t>PTT GLOBAL CHEMICAL PUBLIC COMPANY</t>
        </is>
      </c>
      <c r="CK16" s="96" t="inlineStr">
        <is>
          <t>MARUBENI INNOVEXIS CORPORATION</t>
        </is>
      </c>
      <c r="CL16" s="96" t="inlineStr">
        <is>
          <t>MARUBENI INNOVEXIS CORPORATION</t>
        </is>
      </c>
      <c r="CM16" s="97" t="inlineStr">
        <is>
          <t>CLOSED</t>
        </is>
      </c>
      <c r="CN16" s="96" t="inlineStr">
        <is>
          <t>202610121700</t>
        </is>
      </c>
      <c r="CO16" s="96" t="inlineStr">
        <is>
          <t>202610141000</t>
        </is>
      </c>
      <c r="CP16" s="97" t="n"/>
      <c r="CQ16" s="96" t="inlineStr">
        <is>
          <t>S19-2309008</t>
        </is>
      </c>
      <c r="CR16" s="96" t="inlineStr">
        <is>
          <t>TH02GR</t>
        </is>
      </c>
      <c r="CS16" s="96" t="inlineStr">
        <is>
          <t>WHA GC LOGISTICS COMPANY LIMITED</t>
        </is>
      </c>
      <c r="CT16" s="96" t="inlineStr">
        <is>
          <t>N</t>
        </is>
      </c>
      <c r="CU16" s="97" t="n"/>
      <c r="CV16" s="97" t="n"/>
      <c r="CW16" s="161" t="inlineStr">
        <is>
          <t>2026-10-15</t>
        </is>
      </c>
      <c r="CX16" s="97" t="inlineStr">
        <is>
          <t>390110</t>
        </is>
      </c>
      <c r="CY16" s="183" t="inlineStr">
        <is>
          <t>ROLL OVER FROM PREVIOUS VSL SWSP 2609N BY ALLOCATION TEAM MS,TARN APPROVED COST IS UNDER HA DD.4/10</t>
        </is>
      </c>
    </row>
    <row r="17" ht="12" customHeight="1">
      <c r="A17" s="116" t="inlineStr">
        <is>
          <t>HASLS22260901089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KST</t>
        </is>
      </c>
      <c r="M17" s="96" t="inlineStr">
        <is>
          <t>KUS</t>
        </is>
      </c>
      <c r="N17" s="96" t="inlineStr">
        <is>
          <t>2616N</t>
        </is>
      </c>
      <c r="O17" s="96" t="inlineStr">
        <is>
          <t>THLCH</t>
        </is>
      </c>
      <c r="P17" s="96" t="inlineStr">
        <is>
          <t>LCH05</t>
        </is>
      </c>
      <c r="Q17" s="96" t="inlineStr">
        <is>
          <t>IA</t>
        </is>
      </c>
      <c r="R17" s="161" t="inlineStr">
        <is>
          <t>2026-10-16</t>
        </is>
      </c>
      <c r="S17" s="96" t="inlineStr">
        <is>
          <t>JPIYM</t>
        </is>
      </c>
      <c r="T17" s="96" t="inlineStr">
        <is>
          <t>IYM02</t>
        </is>
      </c>
      <c r="U17" s="96" t="inlineStr">
        <is>
          <t>JPIYM</t>
        </is>
      </c>
      <c r="V17" s="161" t="inlineStr">
        <is>
          <t>2026-10-31</t>
        </is>
      </c>
      <c r="W17" s="96" t="inlineStr">
        <is>
          <t>JP</t>
        </is>
      </c>
      <c r="X17" s="97" t="n"/>
      <c r="Y17" s="97" t="inlineStr">
        <is>
          <t>PUS05</t>
        </is>
      </c>
      <c r="Z17" s="97" t="inlineStr">
        <is>
          <t>KRPUS</t>
        </is>
      </c>
      <c r="AA17" s="96" t="inlineStr">
        <is>
          <t>WHA GC LOGISTICS COMPANY LIMITED</t>
        </is>
      </c>
      <c r="AB17" s="96" t="inlineStr">
        <is>
          <t>PTT GLOBAL CHEMICAL PUBLIC COMPANY LIMITED</t>
        </is>
      </c>
      <c r="AC17" s="163" t="n">
        <v>16160</v>
      </c>
      <c r="AD17" s="163" t="n">
        <v>18360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TBKK13</t>
        </is>
      </c>
      <c r="AN17" s="96" t="inlineStr">
        <is>
          <t>Dharaporn</t>
        </is>
      </c>
      <c r="AO17" s="96" t="inlineStr">
        <is>
          <t>LLDPE INNOPLUS LL7410D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CY-RTN 05-07/10/26 (EXTEND CLOSING 14/10/26 @17.00)
*PLS CHECK OPEN GATE BEFORE RETURN CTNR*</t>
        </is>
      </c>
      <c r="BA17" s="97" t="inlineStr">
        <is>
          <t>SI DD.2/10/26
FM SWVG 2612N DD.24/09</t>
        </is>
      </c>
      <c r="BB17" s="96" t="inlineStr">
        <is>
          <t>P</t>
        </is>
      </c>
      <c r="BC17" s="161" t="inlineStr">
        <is>
          <t>2026-09-14</t>
        </is>
      </c>
      <c r="BD17" s="161" t="inlineStr">
        <is>
          <t>2026-10-15</t>
        </is>
      </c>
      <c r="BE17" s="96" t="inlineStr">
        <is>
          <t>Y</t>
        </is>
      </c>
      <c r="BF17" s="96" t="inlineStr">
        <is>
          <t>RESIN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LCH28</t>
        </is>
      </c>
      <c r="BL17" s="161" t="inlineStr">
        <is>
          <t>2026-10-05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>
        <v>2</v>
      </c>
      <c r="CA17" s="96" t="n"/>
      <c r="CB17" s="97" t="n"/>
      <c r="CC17" s="96" t="inlineStr">
        <is>
          <t>LCH05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inlineStr">
        <is>
          <t>POL: THLCH [KUS/2616N]; T/S(1st): KRPUS [HSWH/2661E]; POD: JPIYM [/]</t>
        </is>
      </c>
      <c r="CI17" s="96" t="inlineStr">
        <is>
          <t>jariya.c@wha-gc.com</t>
        </is>
      </c>
      <c r="CJ17" s="96" t="inlineStr">
        <is>
          <t>PTT GLOBAL CHEMICAL PUBLIC COMPANY</t>
        </is>
      </c>
      <c r="CK17" s="96" t="inlineStr">
        <is>
          <t>MARUBENI INNOVEXIS CORPORATION</t>
        </is>
      </c>
      <c r="CL17" s="96" t="inlineStr">
        <is>
          <t>MARUBENI INNOVEXIS CORPORATION</t>
        </is>
      </c>
      <c r="CM17" s="97" t="inlineStr">
        <is>
          <t>CLOSED</t>
        </is>
      </c>
      <c r="CN17" s="96" t="inlineStr">
        <is>
          <t>202610121700</t>
        </is>
      </c>
      <c r="CO17" s="96" t="inlineStr">
        <is>
          <t>202610141000</t>
        </is>
      </c>
      <c r="CP17" s="97" t="n"/>
      <c r="CQ17" s="96" t="inlineStr">
        <is>
          <t>S19-2309008</t>
        </is>
      </c>
      <c r="CR17" s="96" t="inlineStr">
        <is>
          <t>TH02GR</t>
        </is>
      </c>
      <c r="CS17" s="96" t="inlineStr">
        <is>
          <t>WHA GC LOGISTICS COMPANY LIMITED</t>
        </is>
      </c>
      <c r="CT17" s="96" t="inlineStr">
        <is>
          <t>N</t>
        </is>
      </c>
      <c r="CU17" s="97" t="n"/>
      <c r="CV17" s="97" t="n"/>
      <c r="CW17" s="161" t="inlineStr">
        <is>
          <t>2026-10-14</t>
        </is>
      </c>
      <c r="CX17" s="97" t="inlineStr">
        <is>
          <t>390140</t>
        </is>
      </c>
      <c r="CY17" s="183" t="n"/>
    </row>
    <row r="18" ht="12" customHeight="1">
      <c r="A18" s="116" t="inlineStr">
        <is>
          <t>HASLS22260902234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KST</t>
        </is>
      </c>
      <c r="M18" s="96" t="inlineStr">
        <is>
          <t>KUS</t>
        </is>
      </c>
      <c r="N18" s="96" t="inlineStr">
        <is>
          <t>2616N</t>
        </is>
      </c>
      <c r="O18" s="96" t="inlineStr">
        <is>
          <t>THLCH</t>
        </is>
      </c>
      <c r="P18" s="96" t="inlineStr">
        <is>
          <t>LCH05</t>
        </is>
      </c>
      <c r="Q18" s="96" t="inlineStr">
        <is>
          <t>IA</t>
        </is>
      </c>
      <c r="R18" s="161" t="inlineStr">
        <is>
          <t>2026-10-16</t>
        </is>
      </c>
      <c r="S18" s="96" t="inlineStr">
        <is>
          <t>JPNAH</t>
        </is>
      </c>
      <c r="T18" s="96" t="inlineStr">
        <is>
          <t>NAH01</t>
        </is>
      </c>
      <c r="U18" s="96" t="inlineStr">
        <is>
          <t>JPNAH</t>
        </is>
      </c>
      <c r="V18" s="161" t="inlineStr">
        <is>
          <t>2026-11-09</t>
        </is>
      </c>
      <c r="W18" s="96" t="inlineStr">
        <is>
          <t>JP</t>
        </is>
      </c>
      <c r="X18" s="97" t="n"/>
      <c r="Y18" s="97" t="inlineStr">
        <is>
          <t>PUS05</t>
        </is>
      </c>
      <c r="Z18" s="97" t="inlineStr">
        <is>
          <t>KRPUS</t>
        </is>
      </c>
      <c r="AA18" s="96" t="inlineStr">
        <is>
          <t>SCGJWD LOGISTICS PUBLIC COMPANY LIMITED</t>
        </is>
      </c>
      <c r="AB18" s="96" t="inlineStr">
        <is>
          <t>THAI POLYETHYLENE CO., LTD.</t>
        </is>
      </c>
      <c r="AC18" s="163" t="n">
        <v>15147</v>
      </c>
      <c r="AD18" s="163" t="n">
        <v>17347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TBKK19</t>
        </is>
      </c>
      <c r="AN18" s="96" t="inlineStr">
        <is>
          <t>Kanokporn</t>
        </is>
      </c>
      <c r="AO18" s="96" t="inlineStr">
        <is>
          <t>HIGH DENSITY POLYETHYLENE RESIN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CY-RTN 07-09/10/26 (  INV  3031062193 ) 
*PLS CHECK OPEN GATE BEFORE RETURN CTNR*</t>
        </is>
      </c>
      <c r="BA18" s="97" t="inlineStr">
        <is>
          <t>FM 2X20'GP DD.29/09</t>
        </is>
      </c>
      <c r="BB18" s="96" t="inlineStr">
        <is>
          <t>P</t>
        </is>
      </c>
      <c r="BC18" s="161" t="inlineStr">
        <is>
          <t>2026-09-24</t>
        </is>
      </c>
      <c r="BD18" s="161" t="inlineStr">
        <is>
          <t>2026-10-14</t>
        </is>
      </c>
      <c r="BE18" s="96" t="inlineStr">
        <is>
          <t>Y</t>
        </is>
      </c>
      <c r="BF18" s="96" t="inlineStr">
        <is>
          <t>RESIN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2026-10-07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>
        <v>8</v>
      </c>
      <c r="CA18" s="96" t="n"/>
      <c r="CB18" s="97" t="n"/>
      <c r="CC18" s="96" t="inlineStr">
        <is>
          <t>LCH05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inlineStr">
        <is>
          <t>POL: THLCH [KUS/2616N]; T/S(1st): KRPUS [IEM/0119S]; POD: JPNAH [/]</t>
        </is>
      </c>
      <c r="CI18" s="96" t="inlineStr">
        <is>
          <t>natwalad@scgjwd.com</t>
        </is>
      </c>
      <c r="CJ18" s="96" t="inlineStr">
        <is>
          <t>THAI POLYETHYLENE CO.,LTD.</t>
        </is>
      </c>
      <c r="CK18" s="96" t="inlineStr">
        <is>
          <t>MITSUI &amp; CO. PLASTICS LTD.</t>
        </is>
      </c>
      <c r="CL18" s="96" t="inlineStr">
        <is>
          <t>MITSUI &amp; CO. PLASTICS LTD.</t>
        </is>
      </c>
      <c r="CM18" s="97" t="inlineStr">
        <is>
          <t>CLOSED</t>
        </is>
      </c>
      <c r="CN18" s="96" t="inlineStr">
        <is>
          <t>202610121700</t>
        </is>
      </c>
      <c r="CO18" s="96" t="inlineStr">
        <is>
          <t>202610141000</t>
        </is>
      </c>
      <c r="CP18" s="97" t="n"/>
      <c r="CQ18" s="96" t="inlineStr">
        <is>
          <t>S19-2308040</t>
        </is>
      </c>
      <c r="CR18" s="96" t="inlineStr">
        <is>
          <t>TH0235</t>
        </is>
      </c>
      <c r="CS18" s="96" t="inlineStr">
        <is>
          <t>SCGJWD LOGISTICS PUBLIC COMPANY LIMITED</t>
        </is>
      </c>
      <c r="CT18" s="96" t="inlineStr">
        <is>
          <t>N</t>
        </is>
      </c>
      <c r="CU18" s="97" t="n"/>
      <c r="CV18" s="97" t="n"/>
      <c r="CW18" s="161" t="inlineStr">
        <is>
          <t>2026-10-15</t>
        </is>
      </c>
      <c r="CX18" s="97" t="inlineStr">
        <is>
          <t>390120</t>
        </is>
      </c>
      <c r="CY18" s="183" t="n"/>
    </row>
    <row r="19" ht="12" customHeight="1">
      <c r="A19" s="116" t="inlineStr">
        <is>
          <t>HASLS22260901989</t>
        </is>
      </c>
      <c r="B19" s="96" t="inlineStr">
        <is>
          <t>20'x7</t>
        </is>
      </c>
      <c r="C19" s="97" t="n">
        <v>7</v>
      </c>
      <c r="D19" s="97" t="n">
        <v>7</v>
      </c>
      <c r="E19" s="97" t="n"/>
      <c r="F19" s="97" t="n">
        <v>0</v>
      </c>
      <c r="G19" s="97" t="n">
        <v>7</v>
      </c>
      <c r="H19" s="97" t="n">
        <v>0</v>
      </c>
      <c r="I19" s="97" t="n">
        <v>0</v>
      </c>
      <c r="J19" s="97" t="n">
        <v>7</v>
      </c>
      <c r="K19" s="96" t="inlineStr">
        <is>
          <t>N</t>
        </is>
      </c>
      <c r="L19" s="96" t="inlineStr">
        <is>
          <t>KST</t>
        </is>
      </c>
      <c r="M19" s="96" t="inlineStr">
        <is>
          <t>KUS</t>
        </is>
      </c>
      <c r="N19" s="96" t="inlineStr">
        <is>
          <t>2616N</t>
        </is>
      </c>
      <c r="O19" s="96" t="inlineStr">
        <is>
          <t>THLCH</t>
        </is>
      </c>
      <c r="P19" s="96" t="inlineStr">
        <is>
          <t>LCH05</t>
        </is>
      </c>
      <c r="Q19" s="96" t="inlineStr">
        <is>
          <t>IA</t>
        </is>
      </c>
      <c r="R19" s="161" t="inlineStr">
        <is>
          <t>2026-10-16</t>
        </is>
      </c>
      <c r="S19" s="96" t="inlineStr">
        <is>
          <t>JPUKB</t>
        </is>
      </c>
      <c r="T19" s="96" t="inlineStr">
        <is>
          <t>UKB03</t>
        </is>
      </c>
      <c r="U19" s="96" t="inlineStr">
        <is>
          <t>JPUKB</t>
        </is>
      </c>
      <c r="V19" s="161" t="inlineStr">
        <is>
          <t>2026-11-04</t>
        </is>
      </c>
      <c r="W19" s="96" t="inlineStr">
        <is>
          <t>JP</t>
        </is>
      </c>
      <c r="X19" s="97" t="n"/>
      <c r="Y19" s="97" t="inlineStr">
        <is>
          <t>PUS05</t>
        </is>
      </c>
      <c r="Z19" s="97" t="inlineStr">
        <is>
          <t>KRPUS</t>
        </is>
      </c>
      <c r="AA19" s="96" t="inlineStr">
        <is>
          <t>WHA GC LOGISTICS COMPANY LIMITED</t>
        </is>
      </c>
      <c r="AB19" s="96" t="inlineStr">
        <is>
          <t>PTT GLOBAL CHEMICAL PUBLIC COMPANY LIMITED</t>
        </is>
      </c>
      <c r="AC19" s="163" t="n">
        <v>134937.6</v>
      </c>
      <c r="AD19" s="163" t="n">
        <v>150337.6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TBKK13</t>
        </is>
      </c>
      <c r="AN19" s="96" t="inlineStr">
        <is>
          <t>Dharaporn</t>
        </is>
      </c>
      <c r="AO19" s="96" t="inlineStr">
        <is>
          <t>HIGH DENSITY POLYETHYLENE</t>
        </is>
      </c>
      <c r="AP19" s="96" t="inlineStr">
        <is>
          <t>T/S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>[FIX]CY-RTN 09-10/10/26 (PR2610002570) cls time dd.14/10 before 1800hrs
*PLS CHECK OPEN GATE BEFORE RETURN CTNR*</t>
        </is>
      </c>
      <c r="BA19" s="97" t="inlineStr">
        <is>
          <t>SI DD.14/10/26
RQST CHANGE VSL NAME FROM SWAL 2609N BY HA DD.8/10
FM POD : JPNGO BY K'NOOK DD.05/10/2026</t>
        </is>
      </c>
      <c r="BB19" s="96" t="inlineStr">
        <is>
          <t>P</t>
        </is>
      </c>
      <c r="BC19" s="161" t="inlineStr">
        <is>
          <t>2026-09-22</t>
        </is>
      </c>
      <c r="BD19" s="161" t="inlineStr">
        <is>
          <t>2026-10-15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LCHY5</t>
        </is>
      </c>
      <c r="BL19" s="161" t="inlineStr">
        <is>
          <t>2026-10-09</t>
        </is>
      </c>
      <c r="BM19" s="127" t="n"/>
      <c r="BN19" s="127" t="n">
        <v>7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>
        <v>7</v>
      </c>
      <c r="CA19" s="96" t="n"/>
      <c r="CB19" s="97" t="n"/>
      <c r="CC19" s="96" t="inlineStr">
        <is>
          <t>LCH05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inlineStr">
        <is>
          <t>POL: THLCH [KUS/2616N]; T/S(1st): KRPUS [HRGL/2651E]; POD: JPUKB [/]</t>
        </is>
      </c>
      <c r="CI19" s="96" t="inlineStr">
        <is>
          <t>natchaya.ki@pttgcgroup.com</t>
        </is>
      </c>
      <c r="CJ19" s="96" t="inlineStr">
        <is>
          <t>PTT GLOBAL CHEMICAL PUBLIC COMPANY</t>
        </is>
      </c>
      <c r="CK19" s="96" t="inlineStr">
        <is>
          <t>MITSUBISHI CORPORATION PLASTICS</t>
        </is>
      </c>
      <c r="CL19" s="96" t="inlineStr">
        <is>
          <t>MITSUBISHI CORPORATION PLASTICS</t>
        </is>
      </c>
      <c r="CM19" s="97" t="inlineStr">
        <is>
          <t>CLOSED</t>
        </is>
      </c>
      <c r="CN19" s="96" t="inlineStr">
        <is>
          <t>202610121700</t>
        </is>
      </c>
      <c r="CO19" s="96" t="inlineStr">
        <is>
          <t>202610141000</t>
        </is>
      </c>
      <c r="CP19" s="97" t="n"/>
      <c r="CQ19" s="96" t="inlineStr">
        <is>
          <t>S19-2309008</t>
        </is>
      </c>
      <c r="CR19" s="96" t="inlineStr">
        <is>
          <t>TH02GR</t>
        </is>
      </c>
      <c r="CS19" s="96" t="inlineStr">
        <is>
          <t>WHA GC LOGISTICS COMPANY LIMITED</t>
        </is>
      </c>
      <c r="CT19" s="96" t="inlineStr">
        <is>
          <t>Y</t>
        </is>
      </c>
      <c r="CU19" s="97" t="n"/>
      <c r="CV19" s="97" t="n"/>
      <c r="CW19" s="161" t="inlineStr">
        <is>
          <t>2026-10-15</t>
        </is>
      </c>
      <c r="CX19" s="97" t="inlineStr">
        <is>
          <t>390120</t>
        </is>
      </c>
      <c r="CY19" s="183" t="n"/>
    </row>
    <row r="20" ht="12" customHeight="1">
      <c r="A20" s="116" t="inlineStr">
        <is>
          <t>HASLS22260902463</t>
        </is>
      </c>
      <c r="B20" s="96" t="inlineStr">
        <is>
          <t>40Hx1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0</v>
      </c>
      <c r="H20" s="97" t="n">
        <v>0</v>
      </c>
      <c r="I20" s="97" t="n">
        <v>1</v>
      </c>
      <c r="J20" s="97" t="n">
        <v>2</v>
      </c>
      <c r="K20" s="96" t="inlineStr">
        <is>
          <t>N</t>
        </is>
      </c>
      <c r="L20" s="96" t="inlineStr">
        <is>
          <t>KST</t>
        </is>
      </c>
      <c r="M20" s="96" t="inlineStr">
        <is>
          <t>KUS</t>
        </is>
      </c>
      <c r="N20" s="96" t="inlineStr">
        <is>
          <t>2616N</t>
        </is>
      </c>
      <c r="O20" s="96" t="inlineStr">
        <is>
          <t>THLCH</t>
        </is>
      </c>
      <c r="P20" s="96" t="inlineStr">
        <is>
          <t>LCH05</t>
        </is>
      </c>
      <c r="Q20" s="96" t="inlineStr">
        <is>
          <t>IA</t>
        </is>
      </c>
      <c r="R20" s="161" t="inlineStr">
        <is>
          <t>2026-10-16</t>
        </is>
      </c>
      <c r="S20" s="96" t="inlineStr">
        <is>
          <t>KRPUS</t>
        </is>
      </c>
      <c r="T20" s="96" t="inlineStr">
        <is>
          <t>PUS05</t>
        </is>
      </c>
      <c r="U20" s="96" t="inlineStr">
        <is>
          <t>KRPUS</t>
        </is>
      </c>
      <c r="V20" s="161" t="inlineStr">
        <is>
          <t>2026-10-26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SCGJWD LOGISTICS PUBLIC COMPANY LIMITED</t>
        </is>
      </c>
      <c r="AB20" s="96" t="inlineStr">
        <is>
          <t>THAI POLYETHYLENE CO., LTD.</t>
        </is>
      </c>
      <c r="AC20" s="163" t="n">
        <v>25769</v>
      </c>
      <c r="AD20" s="163" t="n">
        <v>29769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TBKK19</t>
        </is>
      </c>
      <c r="AN20" s="96" t="inlineStr">
        <is>
          <t>Kanokporn</t>
        </is>
      </c>
      <c r="AO20" s="96" t="inlineStr">
        <is>
          <t>LLDPE, HIGH DENSITY POLYETHYLENE RESIN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CY-RTN : 25-07/10/2026 
RQSTNO RED WALL CONTAINER,CLEAN CONTAINER NO OIL STAINS , NO RUSTY ,NO CUT OR HOLE    
REF : 3031061353</t>
        </is>
      </c>
      <c r="BA20" s="97" t="inlineStr">
        <is>
          <t>ROLL OVER FROM PREVIOUS VSL PCCP 2610N BY ALLOCATION TEAM MS.TARN APRPOVED COST IS UNDER HA DD.8/10
SEKU4974727 MOVE FM BKG : HASLS22260801640NOT SHOW CHARGE, SHOW REAL ETD, SURRENDER BL</t>
        </is>
      </c>
      <c r="BB20" s="96" t="inlineStr">
        <is>
          <t>P</t>
        </is>
      </c>
      <c r="BC20" s="161" t="inlineStr">
        <is>
          <t>2026-09-25</t>
        </is>
      </c>
      <c r="BD20" s="161" t="inlineStr">
        <is>
          <t>2026-10-15</t>
        </is>
      </c>
      <c r="BE20" s="96" t="inlineStr">
        <is>
          <t>Y</t>
        </is>
      </c>
      <c r="BF20" s="96" t="inlineStr">
        <is>
          <t>RESIN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2026-09-25</t>
        </is>
      </c>
      <c r="BM20" s="127" t="n"/>
      <c r="BN20" s="127" t="n"/>
      <c r="BO20" s="127" t="n"/>
      <c r="BP20" s="127" t="n">
        <v>1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n"/>
      <c r="CB20" s="97" t="n"/>
      <c r="CC20" s="96" t="inlineStr">
        <is>
          <t>LCH05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natwalad@scgjwd.com</t>
        </is>
      </c>
      <c r="CJ20" s="96" t="inlineStr">
        <is>
          <t>THAI POLYETHYLENE CO., LTD.</t>
        </is>
      </c>
      <c r="CK20" s="96" t="inlineStr">
        <is>
          <t>INTECHNOLOGY CO., LTD.</t>
        </is>
      </c>
      <c r="CL20" s="96" t="inlineStr">
        <is>
          <t>INTECHNOLOGY CO., LTD.</t>
        </is>
      </c>
      <c r="CM20" s="97" t="inlineStr">
        <is>
          <t>CLOSED</t>
        </is>
      </c>
      <c r="CN20" s="96" t="inlineStr">
        <is>
          <t>202610121700</t>
        </is>
      </c>
      <c r="CO20" s="96" t="inlineStr">
        <is>
          <t>202610141000</t>
        </is>
      </c>
      <c r="CP20" s="97" t="n"/>
      <c r="CQ20" s="96" t="inlineStr">
        <is>
          <t>S19-2308041</t>
        </is>
      </c>
      <c r="CR20" s="96" t="inlineStr">
        <is>
          <t>TH0235</t>
        </is>
      </c>
      <c r="CS20" s="96" t="inlineStr">
        <is>
          <t>SCGJWD LOGISTICS PUBLIC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2026-10-15</t>
        </is>
      </c>
      <c r="CX20" s="97" t="n"/>
      <c r="CY20" s="183" t="inlineStr">
        <is>
          <t>ROLL OVER FROM PREVIOUS VSL PCCP 2610N BY ALLOCATION TEAM MS.TARN APRPOVED COST IS UNDER HA DD.8/10</t>
        </is>
      </c>
    </row>
    <row r="21" ht="12" customHeight="1">
      <c r="A21" s="116" t="inlineStr">
        <is>
          <t>HASLS22260902175</t>
        </is>
      </c>
      <c r="B21" s="96" t="inlineStr">
        <is>
          <t>R40Hx2</t>
        </is>
      </c>
      <c r="C21" s="97" t="n">
        <v>2</v>
      </c>
      <c r="D21" s="97" t="n">
        <v>2</v>
      </c>
      <c r="E21" s="97" t="n"/>
      <c r="F21" s="97" t="n">
        <v>0</v>
      </c>
      <c r="G21" s="97" t="n">
        <v>0</v>
      </c>
      <c r="H21" s="97" t="n">
        <v>0</v>
      </c>
      <c r="I21" s="97" t="n">
        <v>2</v>
      </c>
      <c r="J21" s="97" t="n">
        <v>4</v>
      </c>
      <c r="K21" s="96" t="inlineStr">
        <is>
          <t>N</t>
        </is>
      </c>
      <c r="L21" s="96" t="inlineStr">
        <is>
          <t>KST</t>
        </is>
      </c>
      <c r="M21" s="96" t="inlineStr">
        <is>
          <t>KUS</t>
        </is>
      </c>
      <c r="N21" s="96" t="inlineStr">
        <is>
          <t>2616N</t>
        </is>
      </c>
      <c r="O21" s="96" t="inlineStr">
        <is>
          <t>THLCH</t>
        </is>
      </c>
      <c r="P21" s="96" t="inlineStr">
        <is>
          <t>LCH05</t>
        </is>
      </c>
      <c r="Q21" s="96" t="inlineStr">
        <is>
          <t>IA</t>
        </is>
      </c>
      <c r="R21" s="161" t="inlineStr">
        <is>
          <t>2026-10-16</t>
        </is>
      </c>
      <c r="S21" s="96" t="inlineStr">
        <is>
          <t>JPISS</t>
        </is>
      </c>
      <c r="T21" s="96" t="inlineStr">
        <is>
          <t>ISS02</t>
        </is>
      </c>
      <c r="U21" s="96" t="inlineStr">
        <is>
          <t>JPISS</t>
        </is>
      </c>
      <c r="V21" s="161" t="inlineStr">
        <is>
          <t>2026-11-03</t>
        </is>
      </c>
      <c r="W21" s="96" t="inlineStr">
        <is>
          <t>JP</t>
        </is>
      </c>
      <c r="X21" s="97" t="n"/>
      <c r="Y21" s="97" t="inlineStr">
        <is>
          <t>PUS05</t>
        </is>
      </c>
      <c r="Z21" s="97" t="inlineStr">
        <is>
          <t>KRPUS</t>
        </is>
      </c>
      <c r="AA21" s="96" t="inlineStr">
        <is>
          <t>KODAI (THAILAND) CO., LTD.</t>
        </is>
      </c>
      <c r="AB21" s="96" t="inlineStr">
        <is>
          <t xml:space="preserve">MCKEY FOOD SERVICES   </t>
        </is>
      </c>
      <c r="AC21" s="163" t="n">
        <v>50958.18</v>
      </c>
      <c r="AD21" s="163" t="n">
        <v>58958.18</v>
      </c>
      <c r="AE21" s="96" t="inlineStr">
        <is>
          <t>OK</t>
        </is>
      </c>
      <c r="AF21" s="96" t="n"/>
      <c r="AG21" s="97" t="n"/>
      <c r="AH21" s="96" t="inlineStr">
        <is>
          <t>CON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JTYO08</t>
        </is>
      </c>
      <c r="AN21" s="96" t="inlineStr">
        <is>
          <t>Takatsugu Nakagome(Mr.)</t>
        </is>
      </c>
      <c r="AO21" s="96" t="inlineStr">
        <is>
          <t>FROZEN CHICKEN</t>
        </is>
      </c>
      <c r="AP21" s="96" t="inlineStr">
        <is>
          <t>T/S</t>
        </is>
      </c>
      <c r="AQ21" s="97" t="n"/>
      <c r="AR21" s="97" t="n"/>
      <c r="AS21" s="97" t="inlineStr">
        <is>
          <t>RF// MIN:-25.0 MAX:-25.0 [COVER:CLOSE]</t>
        </is>
      </c>
      <c r="AT21" s="97" t="inlineStr">
        <is>
          <t xml:space="preserve">45REx2 </t>
        </is>
      </c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 xml:space="preserve">[FIX][FIX]Pickup : 2026-10-06, Return : 2026-10-09 RF45REx2 (Temp -25.0 / Vent Close) 
CLS TIME : 10/10/2026 @23.59 </t>
        </is>
      </c>
      <c r="BA21" s="97" t="inlineStr">
        <is>
          <t>POL : DEM 7 (Included PLUG) DET 7 
FM PCCP 2610N BY K'FON DD.06/10/2026</t>
        </is>
      </c>
      <c r="BB21" s="96" t="inlineStr">
        <is>
          <t>C</t>
        </is>
      </c>
      <c r="BC21" s="161" t="inlineStr">
        <is>
          <t>2026-09-23</t>
        </is>
      </c>
      <c r="BD21" s="161" t="inlineStr">
        <is>
          <t>2026-10-15</t>
        </is>
      </c>
      <c r="BE21" s="96" t="inlineStr">
        <is>
          <t>Y</t>
        </is>
      </c>
      <c r="BF21" s="96" t="inlineStr">
        <is>
          <t>FROZEN CHICKEN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LCH27</t>
        </is>
      </c>
      <c r="BL21" s="161" t="inlineStr">
        <is>
          <t>2026-10-06</t>
        </is>
      </c>
      <c r="BM21" s="127" t="n"/>
      <c r="BN21" s="127" t="n"/>
      <c r="BO21" s="127" t="n"/>
      <c r="BP21" s="127" t="n"/>
      <c r="BQ21" s="127" t="n"/>
      <c r="BR21" s="127" t="n">
        <v>2</v>
      </c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>
        <v>5</v>
      </c>
      <c r="CA21" s="96" t="inlineStr">
        <is>
          <t>Y</t>
        </is>
      </c>
      <c r="CB21" s="97" t="n"/>
      <c r="CC21" s="96" t="inlineStr">
        <is>
          <t>LCH05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inlineStr">
        <is>
          <t>POL: THLCH [KUS/2616N]; T/S(1st): KRPUS [HAKT/2637E]; POD: JPISS [/]</t>
        </is>
      </c>
      <c r="CI21" s="96" t="inlineStr">
        <is>
          <t>support@kodai-thailand.co.th</t>
        </is>
      </c>
      <c r="CJ21" s="96" t="inlineStr">
        <is>
          <t>KODAI (THAILAND) CO., LTD.</t>
        </is>
      </c>
      <c r="CK21" s="96" t="inlineStr">
        <is>
          <t>KODAI COMPANY LTD.</t>
        </is>
      </c>
      <c r="CL21" s="96" t="inlineStr">
        <is>
          <t>KODAI COMPANY LTD.</t>
        </is>
      </c>
      <c r="CM21" s="97" t="inlineStr">
        <is>
          <t>CLOSED</t>
        </is>
      </c>
      <c r="CN21" s="96" t="inlineStr">
        <is>
          <t>202610121700</t>
        </is>
      </c>
      <c r="CO21" s="96" t="inlineStr">
        <is>
          <t>202610141000</t>
        </is>
      </c>
      <c r="CP21" s="97" t="inlineStr">
        <is>
          <t>45RE x2: RF(Temp:-25.0' / Cover:CLOSE)</t>
        </is>
      </c>
      <c r="CQ21" s="96" t="inlineStr">
        <is>
          <t>TYO16A0065-1</t>
        </is>
      </c>
      <c r="CR21" s="96" t="inlineStr">
        <is>
          <t>THTJMC</t>
        </is>
      </c>
      <c r="CS21" s="96" t="inlineStr">
        <is>
          <t>KODAI (THAILAND) CO., LTD.</t>
        </is>
      </c>
      <c r="CT21" s="96" t="inlineStr">
        <is>
          <t>N</t>
        </is>
      </c>
      <c r="CU21" s="97" t="n"/>
      <c r="CV21" s="97" t="n"/>
      <c r="CW21" s="161" t="inlineStr">
        <is>
          <t>2026-10-15</t>
        </is>
      </c>
      <c r="CX21" s="97" t="inlineStr">
        <is>
          <t>160232</t>
        </is>
      </c>
      <c r="CY21" s="183" t="n"/>
    </row>
    <row r="22" ht="12" customHeight="1">
      <c r="A22" s="116" t="inlineStr">
        <is>
          <t>HASLS22260902787</t>
        </is>
      </c>
      <c r="B22" s="96" t="inlineStr">
        <is>
          <t>40Hx1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0</v>
      </c>
      <c r="H22" s="97" t="n">
        <v>0</v>
      </c>
      <c r="I22" s="97" t="n">
        <v>1</v>
      </c>
      <c r="J22" s="97" t="n">
        <v>2</v>
      </c>
      <c r="K22" s="96" t="inlineStr">
        <is>
          <t>N</t>
        </is>
      </c>
      <c r="L22" s="96" t="inlineStr">
        <is>
          <t>KST</t>
        </is>
      </c>
      <c r="M22" s="96" t="inlineStr">
        <is>
          <t>KUS</t>
        </is>
      </c>
      <c r="N22" s="96" t="inlineStr">
        <is>
          <t>2616N</t>
        </is>
      </c>
      <c r="O22" s="96" t="inlineStr">
        <is>
          <t>THLCH</t>
        </is>
      </c>
      <c r="P22" s="96" t="inlineStr">
        <is>
          <t>LCH05</t>
        </is>
      </c>
      <c r="Q22" s="96" t="inlineStr">
        <is>
          <t>IA</t>
        </is>
      </c>
      <c r="R22" s="161" t="inlineStr">
        <is>
          <t>2026-10-16</t>
        </is>
      </c>
      <c r="S22" s="96" t="inlineStr">
        <is>
          <t>KRINC</t>
        </is>
      </c>
      <c r="T22" s="96" t="inlineStr">
        <is>
          <t>INC07</t>
        </is>
      </c>
      <c r="U22" s="96" t="inlineStr">
        <is>
          <t>KRINC</t>
        </is>
      </c>
      <c r="V22" s="161" t="inlineStr">
        <is>
          <t>2026-10-24</t>
        </is>
      </c>
      <c r="W22" s="96" t="inlineStr">
        <is>
          <t>KR</t>
        </is>
      </c>
      <c r="X22" s="97" t="n"/>
      <c r="Y22" s="97" t="n"/>
      <c r="Z22" s="97" t="n"/>
      <c r="AA22" s="96" t="inlineStr">
        <is>
          <t>CARGO NETWORK DELIVERY (THAILAND) CO., LTD.</t>
        </is>
      </c>
      <c r="AB22" s="96" t="inlineStr">
        <is>
          <t>THAI GULF JELLYFISH CO., LTD.</t>
        </is>
      </c>
      <c r="AC22" s="163" t="n">
        <v>23400</v>
      </c>
      <c r="AD22" s="163" t="n">
        <v>27400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n"/>
      <c r="AJ22" s="97" t="n"/>
      <c r="AK22" s="97" t="n"/>
      <c r="AL22" s="97" t="n"/>
      <c r="AM22" s="96" t="inlineStr">
        <is>
          <t>TBKK28</t>
        </is>
      </c>
      <c r="AN22" s="96" t="inlineStr">
        <is>
          <t>Nustsireerach</t>
        </is>
      </c>
      <c r="AO22" s="96" t="inlineStr">
        <is>
          <t>SALTED JELLYFISH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2026-10-10, Return : 2026-10-12
**CHECK OPENGATE BEFORE RETURN CNTR**</t>
        </is>
      </c>
      <c r="BA22" s="97" t="inlineStr">
        <is>
          <t>PLEASE KEEP OUR CONTAINER "UNDER DECK &amp; AWAYS FROM HOT AREA"</t>
        </is>
      </c>
      <c r="BB22" s="96" t="inlineStr">
        <is>
          <t>P</t>
        </is>
      </c>
      <c r="BC22" s="161" t="inlineStr">
        <is>
          <t>2026-09-30</t>
        </is>
      </c>
      <c r="BD22" s="161" t="inlineStr">
        <is>
          <t>2026-10-15</t>
        </is>
      </c>
      <c r="BE22" s="96" t="inlineStr">
        <is>
          <t>Y</t>
        </is>
      </c>
      <c r="BF22" s="96" t="inlineStr">
        <is>
          <t>SALTED JELLYFISH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2026-10-10</t>
        </is>
      </c>
      <c r="BM22" s="127" t="n"/>
      <c r="BN22" s="127" t="n"/>
      <c r="BO22" s="127" t="n"/>
      <c r="BP22" s="127" t="n">
        <v>1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LCH05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cs@cndthai.com</t>
        </is>
      </c>
      <c r="CJ22" s="96" t="inlineStr">
        <is>
          <t>THAI GULF JELLYFISH CO.,LTD</t>
        </is>
      </c>
      <c r="CK22" s="96" t="inlineStr">
        <is>
          <t>TO THE ORDER OF KEB HANA BANK</t>
        </is>
      </c>
      <c r="CL22" s="96" t="inlineStr">
        <is>
          <t>JJ OCEAN.</t>
        </is>
      </c>
      <c r="CM22" s="97" t="n"/>
      <c r="CN22" s="96" t="inlineStr">
        <is>
          <t>202610121700</t>
        </is>
      </c>
      <c r="CO22" s="96" t="inlineStr">
        <is>
          <t>202610141000</t>
        </is>
      </c>
      <c r="CP22" s="97" t="n"/>
      <c r="CQ22" s="96" t="inlineStr">
        <is>
          <t>S19-2308004</t>
        </is>
      </c>
      <c r="CR22" s="96" t="inlineStr">
        <is>
          <t>BB0596</t>
        </is>
      </c>
      <c r="CS22" s="96" t="inlineStr">
        <is>
          <t>CARGO NETWORK DELIVERY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2026-10-15</t>
        </is>
      </c>
      <c r="CX22" s="97" t="n"/>
      <c r="CY22" s="183" t="n"/>
    </row>
    <row r="23" ht="12" customHeight="1">
      <c r="A23" s="116" t="inlineStr">
        <is>
          <t>HASLS22260901626</t>
        </is>
      </c>
      <c r="B23" s="96" t="inlineStr">
        <is>
          <t>40Hx1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0</v>
      </c>
      <c r="H23" s="97" t="n">
        <v>0</v>
      </c>
      <c r="I23" s="97" t="n">
        <v>1</v>
      </c>
      <c r="J23" s="97" t="n">
        <v>2</v>
      </c>
      <c r="K23" s="96" t="inlineStr">
        <is>
          <t>N</t>
        </is>
      </c>
      <c r="L23" s="96" t="inlineStr">
        <is>
          <t>KST</t>
        </is>
      </c>
      <c r="M23" s="96" t="inlineStr">
        <is>
          <t>KUS</t>
        </is>
      </c>
      <c r="N23" s="96" t="inlineStr">
        <is>
          <t>2616N</t>
        </is>
      </c>
      <c r="O23" s="96" t="inlineStr">
        <is>
          <t>THLCH</t>
        </is>
      </c>
      <c r="P23" s="96" t="inlineStr">
        <is>
          <t>LCH05</t>
        </is>
      </c>
      <c r="Q23" s="96" t="inlineStr">
        <is>
          <t>IA</t>
        </is>
      </c>
      <c r="R23" s="161" t="inlineStr">
        <is>
          <t>2026-10-16</t>
        </is>
      </c>
      <c r="S23" s="96" t="inlineStr">
        <is>
          <t>JPHIJ</t>
        </is>
      </c>
      <c r="T23" s="96" t="inlineStr">
        <is>
          <t>HIJ02</t>
        </is>
      </c>
      <c r="U23" s="96" t="inlineStr">
        <is>
          <t>JPHIJ</t>
        </is>
      </c>
      <c r="V23" s="161" t="inlineStr">
        <is>
          <t>2026-11-02</t>
        </is>
      </c>
      <c r="W23" s="96" t="inlineStr">
        <is>
          <t>JP</t>
        </is>
      </c>
      <c r="X23" s="97" t="n"/>
      <c r="Y23" s="97" t="inlineStr">
        <is>
          <t>PUS05</t>
        </is>
      </c>
      <c r="Z23" s="97" t="inlineStr">
        <is>
          <t>KRPUS</t>
        </is>
      </c>
      <c r="AA23" s="96" t="inlineStr">
        <is>
          <t>MOL LOGISTICS (THAILAND) CO., LTD.</t>
        </is>
      </c>
      <c r="AB23" s="96" t="inlineStr">
        <is>
          <t>MIKASA INDUSTRIES (THAILAND) CO., LTD.</t>
        </is>
      </c>
      <c r="AC23" s="163" t="n">
        <v>3244.43</v>
      </c>
      <c r="AD23" s="163" t="n">
        <v>7244.43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CON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JOSA18</t>
        </is>
      </c>
      <c r="AN23" s="96" t="inlineStr">
        <is>
          <t>Uetake Takahiro</t>
        </is>
      </c>
      <c r="AO23" s="96" t="inlineStr">
        <is>
          <t>SPORTING GOODS (GENERAL CARGO)</t>
        </is>
      </c>
      <c r="AP23" s="96" t="inlineStr">
        <is>
          <t>T/S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Pickup : 2026-10-12, Return : 2026-10-14 // FM SWIC 2611N BY HAL DD.08/10
Extend closing time 2026-10-14 @ 23.59 // VGM CUT OFF 2026-10-14 @ 12.00</t>
        </is>
      </c>
      <c r="BA23" s="97" t="inlineStr">
        <is>
          <t>FM SWIC 2611N BY HAL DD.08/10
FM SWRG 2609N DD 23/09 
FM PCCP 2610N 23/09</t>
        </is>
      </c>
      <c r="BB23" s="96" t="inlineStr">
        <is>
          <t>C</t>
        </is>
      </c>
      <c r="BC23" s="161" t="inlineStr">
        <is>
          <t>2026-09-18</t>
        </is>
      </c>
      <c r="BD23" s="161" t="inlineStr">
        <is>
          <t>2026-10-15</t>
        </is>
      </c>
      <c r="BE23" s="96" t="inlineStr">
        <is>
          <t>Y</t>
        </is>
      </c>
      <c r="BF23" s="96" t="inlineStr">
        <is>
          <t>SPORTING GOODS (GENERAL CARGO)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2026-10-12</t>
        </is>
      </c>
      <c r="BM23" s="127" t="n"/>
      <c r="BN23" s="127" t="n"/>
      <c r="BO23" s="127" t="n"/>
      <c r="BP23" s="127" t="n">
        <v>1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>
        <v>2</v>
      </c>
      <c r="CA23" s="96" t="inlineStr">
        <is>
          <t>Y</t>
        </is>
      </c>
      <c r="CB23" s="97" t="n"/>
      <c r="CC23" s="96" t="inlineStr">
        <is>
          <t>LCH05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inlineStr">
        <is>
          <t>POL: THLCH [KUS/2616N]; T/S(1st): KRPUS [PCTJ/2648E]; POD: JPHIJ [/]</t>
        </is>
      </c>
      <c r="CI23" s="96" t="inlineStr">
        <is>
          <t>MLGTH_NDN-OPN@molgroup.com</t>
        </is>
      </c>
      <c r="CJ23" s="96" t="inlineStr">
        <is>
          <t>MOL LOGISTICS (THAILAND) CO., LTD.</t>
        </is>
      </c>
      <c r="CK23" s="96" t="inlineStr">
        <is>
          <t>MOL LOGISTICS CO., LTD.</t>
        </is>
      </c>
      <c r="CL23" s="96" t="inlineStr">
        <is>
          <t>MOL LOGISTICS CO., LTD.</t>
        </is>
      </c>
      <c r="CM23" s="97" t="inlineStr">
        <is>
          <t>CLOSED</t>
        </is>
      </c>
      <c r="CN23" s="96" t="inlineStr">
        <is>
          <t>202610121700</t>
        </is>
      </c>
      <c r="CO23" s="96" t="inlineStr">
        <is>
          <t>202610141000</t>
        </is>
      </c>
      <c r="CP23" s="97" t="n"/>
      <c r="CQ23" s="96" t="inlineStr">
        <is>
          <t>OSA14A0316-1</t>
        </is>
      </c>
      <c r="CR23" s="96" t="inlineStr">
        <is>
          <t>THTK0D</t>
        </is>
      </c>
      <c r="CS23" s="96" t="inlineStr">
        <is>
          <t>MOL LOGISTICS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2026-10-15</t>
        </is>
      </c>
      <c r="CX23" s="97" t="inlineStr">
        <is>
          <t>950662</t>
        </is>
      </c>
      <c r="CY23" s="183" t="n"/>
    </row>
    <row r="24" ht="12" customHeight="1">
      <c r="A24" s="116" t="inlineStr">
        <is>
          <t>HASLS22260900146</t>
        </is>
      </c>
      <c r="B24" s="96" t="inlineStr">
        <is>
          <t>20'x2</t>
        </is>
      </c>
      <c r="C24" s="97" t="n">
        <v>2</v>
      </c>
      <c r="D24" s="97" t="n">
        <v>2</v>
      </c>
      <c r="E24" s="97" t="n"/>
      <c r="F24" s="97" t="n">
        <v>0</v>
      </c>
      <c r="G24" s="97" t="n">
        <v>2</v>
      </c>
      <c r="H24" s="97" t="n">
        <v>0</v>
      </c>
      <c r="I24" s="97" t="n">
        <v>0</v>
      </c>
      <c r="J24" s="97" t="n">
        <v>2</v>
      </c>
      <c r="K24" s="96" t="inlineStr">
        <is>
          <t>N</t>
        </is>
      </c>
      <c r="L24" s="96" t="inlineStr">
        <is>
          <t>KST</t>
        </is>
      </c>
      <c r="M24" s="96" t="inlineStr">
        <is>
          <t>KUS</t>
        </is>
      </c>
      <c r="N24" s="96" t="inlineStr">
        <is>
          <t>2616N</t>
        </is>
      </c>
      <c r="O24" s="96" t="inlineStr">
        <is>
          <t>THLCH</t>
        </is>
      </c>
      <c r="P24" s="96" t="inlineStr">
        <is>
          <t>LCH05</t>
        </is>
      </c>
      <c r="Q24" s="96" t="inlineStr">
        <is>
          <t>IA</t>
        </is>
      </c>
      <c r="R24" s="161" t="inlineStr">
        <is>
          <t>2026-10-16</t>
        </is>
      </c>
      <c r="S24" s="96" t="inlineStr">
        <is>
          <t>JPHKT</t>
        </is>
      </c>
      <c r="T24" s="96" t="inlineStr">
        <is>
          <t>HKT02</t>
        </is>
      </c>
      <c r="U24" s="96" t="inlineStr">
        <is>
          <t>JPHKT</t>
        </is>
      </c>
      <c r="V24" s="161" t="inlineStr">
        <is>
          <t>2026-10-30</t>
        </is>
      </c>
      <c r="W24" s="96" t="inlineStr">
        <is>
          <t>JP</t>
        </is>
      </c>
      <c r="X24" s="97" t="n"/>
      <c r="Y24" s="97" t="inlineStr">
        <is>
          <t>PUS05</t>
        </is>
      </c>
      <c r="Z24" s="97" t="inlineStr">
        <is>
          <t>KRPUS</t>
        </is>
      </c>
      <c r="AA24" s="96" t="inlineStr">
        <is>
          <t>WHA GC LOGISTICS COMPANY LIMITED</t>
        </is>
      </c>
      <c r="AB24" s="96" t="inlineStr">
        <is>
          <t>PTT GLOBAL CHEMICAL PUBLIC COMPANY LIMITED</t>
        </is>
      </c>
      <c r="AC24" s="163" t="n">
        <v>32320</v>
      </c>
      <c r="AD24" s="163" t="n">
        <v>36720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HIGH DENSITY POLYETHYLENE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[FIX]CY-RTN 25-28/09/26 (PR2610002240)</t>
        </is>
      </c>
      <c r="BA24" s="97" t="inlineStr">
        <is>
          <t>ROLL OVER FROM PREVIOUS VSL SWSP 2609N BY ALLOCATION TEAM MS,TARN APPROVED COST IS UNDER HA DD.4/10
SI DD.7/9/26</t>
        </is>
      </c>
      <c r="BB24" s="96" t="inlineStr">
        <is>
          <t>P</t>
        </is>
      </c>
      <c r="BC24" s="161" t="inlineStr">
        <is>
          <t>2026-09-02</t>
        </is>
      </c>
      <c r="BD24" s="161" t="inlineStr">
        <is>
          <t>2026-10-14</t>
        </is>
      </c>
      <c r="BE24" s="96" t="inlineStr">
        <is>
          <t>Y</t>
        </is>
      </c>
      <c r="BF24" s="96" t="inlineStr">
        <is>
          <t>RESIN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LCH27</t>
        </is>
      </c>
      <c r="BL24" s="161" t="inlineStr">
        <is>
          <t>2026-09-25</t>
        </is>
      </c>
      <c r="BM24" s="127" t="n"/>
      <c r="BN24" s="127" t="n">
        <v>2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>
        <v>2</v>
      </c>
      <c r="CA24" s="96" t="n"/>
      <c r="CB24" s="97" t="n"/>
      <c r="CC24" s="96" t="inlineStr">
        <is>
          <t>LCH05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inlineStr">
        <is>
          <t>POL: THLCH [KUS/2616N]; T/S(1st): KRPUS [HKEP/2686E]; POD: JPHKT [/]</t>
        </is>
      </c>
      <c r="CI24" s="96" t="inlineStr">
        <is>
          <t>wannicha.p@wha-gc.com</t>
        </is>
      </c>
      <c r="CJ24" s="96" t="inlineStr">
        <is>
          <t>PTT GLOBAL CHEMICAL PUBLIC COMPANY</t>
        </is>
      </c>
      <c r="CK24" s="96" t="inlineStr">
        <is>
          <t>HANWA CO., LTD.</t>
        </is>
      </c>
      <c r="CL24" s="96" t="inlineStr">
        <is>
          <t>HANWA CO., LTD.</t>
        </is>
      </c>
      <c r="CM24" s="97" t="inlineStr">
        <is>
          <t>CLOSED</t>
        </is>
      </c>
      <c r="CN24" s="96" t="inlineStr">
        <is>
          <t>202610121700</t>
        </is>
      </c>
      <c r="CO24" s="96" t="inlineStr">
        <is>
          <t>202610141000</t>
        </is>
      </c>
      <c r="CP24" s="97" t="n"/>
      <c r="CQ24" s="96" t="inlineStr">
        <is>
          <t>S19-2309008</t>
        </is>
      </c>
      <c r="CR24" s="96" t="inlineStr">
        <is>
          <t>TH02GR</t>
        </is>
      </c>
      <c r="CS24" s="96" t="inlineStr">
        <is>
          <t>WHA GC LOGISTICS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2026-10-15</t>
        </is>
      </c>
      <c r="CX24" s="97" t="inlineStr">
        <is>
          <t>390120</t>
        </is>
      </c>
      <c r="CY24" s="183" t="inlineStr">
        <is>
          <t>ROLL OVER FROM PREVIOUS VSL SWSP 2609N BY ALLOCATION TEAM MS,TARN APPROVED COST IS UNDER HA DD.4/10</t>
        </is>
      </c>
    </row>
    <row r="25" ht="12" customHeight="1">
      <c r="A25" s="116" t="inlineStr">
        <is>
          <t>HASLS22260902064</t>
        </is>
      </c>
      <c r="B25" s="96" t="inlineStr">
        <is>
          <t>20'x5</t>
        </is>
      </c>
      <c r="C25" s="97" t="n">
        <v>5</v>
      </c>
      <c r="D25" s="97" t="n">
        <v>5</v>
      </c>
      <c r="E25" s="97" t="n"/>
      <c r="F25" s="97" t="n">
        <v>0</v>
      </c>
      <c r="G25" s="97" t="n">
        <v>5</v>
      </c>
      <c r="H25" s="97" t="n">
        <v>0</v>
      </c>
      <c r="I25" s="97" t="n">
        <v>0</v>
      </c>
      <c r="J25" s="97" t="n">
        <v>5</v>
      </c>
      <c r="K25" s="96" t="inlineStr">
        <is>
          <t>N</t>
        </is>
      </c>
      <c r="L25" s="96" t="inlineStr">
        <is>
          <t>KST</t>
        </is>
      </c>
      <c r="M25" s="96" t="inlineStr">
        <is>
          <t>KUS</t>
        </is>
      </c>
      <c r="N25" s="96" t="inlineStr">
        <is>
          <t>2616N</t>
        </is>
      </c>
      <c r="O25" s="96" t="inlineStr">
        <is>
          <t>THLCH</t>
        </is>
      </c>
      <c r="P25" s="96" t="inlineStr">
        <is>
          <t>LCH05</t>
        </is>
      </c>
      <c r="Q25" s="96" t="inlineStr">
        <is>
          <t>IA</t>
        </is>
      </c>
      <c r="R25" s="161" t="inlineStr">
        <is>
          <t>2026-10-16</t>
        </is>
      </c>
      <c r="S25" s="96" t="inlineStr">
        <is>
          <t>JPMOJ</t>
        </is>
      </c>
      <c r="T25" s="96" t="inlineStr">
        <is>
          <t>MOJ01</t>
        </is>
      </c>
      <c r="U25" s="96" t="inlineStr">
        <is>
          <t>JPMOJ</t>
        </is>
      </c>
      <c r="V25" s="161" t="inlineStr">
        <is>
          <t>2026-10-30</t>
        </is>
      </c>
      <c r="W25" s="96" t="inlineStr">
        <is>
          <t>JP</t>
        </is>
      </c>
      <c r="X25" s="97" t="n"/>
      <c r="Y25" s="97" t="inlineStr">
        <is>
          <t>PUS05</t>
        </is>
      </c>
      <c r="Z25" s="97" t="inlineStr">
        <is>
          <t>KRPUS</t>
        </is>
      </c>
      <c r="AA25" s="96" t="inlineStr">
        <is>
          <t>SCGJWD LOGISTICS PUBLIC COMPANY LIMITED</t>
        </is>
      </c>
      <c r="AB25" s="96" t="inlineStr">
        <is>
          <t>THAI POLYETHYLENE CO., LTD.</t>
        </is>
      </c>
      <c r="AC25" s="163" t="n">
        <v>75735</v>
      </c>
      <c r="AD25" s="163" t="n">
        <v>86735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TBKK19</t>
        </is>
      </c>
      <c r="AN25" s="96" t="inlineStr">
        <is>
          <t>Kanokporn</t>
        </is>
      </c>
      <c r="AO25" s="96" t="inlineStr">
        <is>
          <t>HIGH DENSITY POLYETHYLENE RESIN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CY-RTN 09-12/10/26 (  INV  3031061854 )</t>
        </is>
      </c>
      <c r="BA25" s="97" t="inlineStr">
        <is>
          <t>RQST CHANGE VSL NAME FROM SWIC 2611N BY HA DD.6/10NOT SHOW CHARGE</t>
        </is>
      </c>
      <c r="BB25" s="96" t="inlineStr">
        <is>
          <t>P</t>
        </is>
      </c>
      <c r="BC25" s="161" t="inlineStr">
        <is>
          <t>2026-09-22</t>
        </is>
      </c>
      <c r="BD25" s="161" t="inlineStr">
        <is>
          <t>2026-10-14</t>
        </is>
      </c>
      <c r="BE25" s="96" t="inlineStr">
        <is>
          <t>Y</t>
        </is>
      </c>
      <c r="BF25" s="96" t="inlineStr">
        <is>
          <t>RESIN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LCHY5</t>
        </is>
      </c>
      <c r="BL25" s="161" t="inlineStr">
        <is>
          <t>2026-10-09</t>
        </is>
      </c>
      <c r="BM25" s="127" t="n"/>
      <c r="BN25" s="127" t="n">
        <v>5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>
        <v>2</v>
      </c>
      <c r="CA25" s="96" t="n"/>
      <c r="CB25" s="97" t="n"/>
      <c r="CC25" s="96" t="inlineStr">
        <is>
          <t>LCH05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inlineStr">
        <is>
          <t>POL: THLCH [KUS/2616N]; T/S(1st): KRPUS [DJFS/0750S]; POD: JPMOJ [/]</t>
        </is>
      </c>
      <c r="CI25" s="96" t="inlineStr">
        <is>
          <t>natwalad@scgjwd.com</t>
        </is>
      </c>
      <c r="CJ25" s="96" t="inlineStr">
        <is>
          <t>THAI POLYETHYLENE CO.,LTD.</t>
        </is>
      </c>
      <c r="CK25" s="96" t="inlineStr">
        <is>
          <t>TOYOTSU CHEMIPLAS CORPORATION,</t>
        </is>
      </c>
      <c r="CL25" s="96" t="inlineStr">
        <is>
          <t>TOYOTSU CHEMIPLAS CORPORATION,</t>
        </is>
      </c>
      <c r="CM25" s="97" t="inlineStr">
        <is>
          <t>CLOSED</t>
        </is>
      </c>
      <c r="CN25" s="96" t="inlineStr">
        <is>
          <t>202610121700</t>
        </is>
      </c>
      <c r="CO25" s="96" t="inlineStr">
        <is>
          <t>202610141000</t>
        </is>
      </c>
      <c r="CP25" s="97" t="n"/>
      <c r="CQ25" s="96" t="inlineStr">
        <is>
          <t>S19-2308040</t>
        </is>
      </c>
      <c r="CR25" s="96" t="inlineStr">
        <is>
          <t>TH0235</t>
        </is>
      </c>
      <c r="CS25" s="96" t="inlineStr">
        <is>
          <t>SCGJWD LOGISTICS PUBLIC COMPANY LIMITED</t>
        </is>
      </c>
      <c r="CT25" s="96" t="inlineStr">
        <is>
          <t>N</t>
        </is>
      </c>
      <c r="CU25" s="97" t="n"/>
      <c r="CV25" s="97" t="n"/>
      <c r="CW25" s="161" t="inlineStr">
        <is>
          <t>2026-10-15</t>
        </is>
      </c>
      <c r="CX25" s="97" t="inlineStr">
        <is>
          <t>390120</t>
        </is>
      </c>
      <c r="CY25" s="183" t="n"/>
    </row>
    <row r="26" ht="12" customHeight="1">
      <c r="A26" s="116" t="inlineStr">
        <is>
          <t>HASLS22261000448</t>
        </is>
      </c>
      <c r="B26" s="96" t="inlineStr">
        <is>
          <t>20'x1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1</v>
      </c>
      <c r="H26" s="97" t="n">
        <v>0</v>
      </c>
      <c r="I26" s="97" t="n">
        <v>0</v>
      </c>
      <c r="J26" s="97" t="n">
        <v>1</v>
      </c>
      <c r="K26" s="96" t="inlineStr">
        <is>
          <t>N</t>
        </is>
      </c>
      <c r="L26" s="96" t="inlineStr">
        <is>
          <t>KST</t>
        </is>
      </c>
      <c r="M26" s="96" t="inlineStr">
        <is>
          <t>KUS</t>
        </is>
      </c>
      <c r="N26" s="96" t="inlineStr">
        <is>
          <t>2616N</t>
        </is>
      </c>
      <c r="O26" s="96" t="inlineStr">
        <is>
          <t>THLCH</t>
        </is>
      </c>
      <c r="P26" s="96" t="inlineStr">
        <is>
          <t>LCH05</t>
        </is>
      </c>
      <c r="Q26" s="96" t="inlineStr">
        <is>
          <t>IA</t>
        </is>
      </c>
      <c r="R26" s="161" t="inlineStr">
        <is>
          <t>2026-10-16</t>
        </is>
      </c>
      <c r="S26" s="96" t="inlineStr">
        <is>
          <t>VNSGN</t>
        </is>
      </c>
      <c r="T26" s="96" t="inlineStr">
        <is>
          <t>SGN03</t>
        </is>
      </c>
      <c r="U26" s="96" t="inlineStr">
        <is>
          <t>VNSGN</t>
        </is>
      </c>
      <c r="V26" s="161" t="inlineStr">
        <is>
          <t>2026-10-17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KORCHINA FREIGHT (THAILAND) CO., LTD.</t>
        </is>
      </c>
      <c r="AB26" s="96" t="inlineStr">
        <is>
          <t>BRIDGESTONE INDUSTRIAL PRODUCTS (THAILAND) CO., LTD.</t>
        </is>
      </c>
      <c r="AC26" s="163" t="n">
        <v>3147.2</v>
      </c>
      <c r="AD26" s="163" t="n">
        <v>5347.2</v>
      </c>
      <c r="AE26" s="96" t="inlineStr">
        <is>
          <t>OK</t>
        </is>
      </c>
      <c r="AF26" s="96" t="n"/>
      <c r="AG26" s="97" t="n"/>
      <c r="AH26" s="96" t="inlineStr">
        <is>
          <t>CON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A1029</t>
        </is>
      </c>
      <c r="AN26" s="96" t="inlineStr">
        <is>
          <t>LEE HWA DONG</t>
        </is>
      </c>
      <c r="AO26" s="96" t="inlineStr">
        <is>
          <t>SPOOL / PLASTIC SEPARATOR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 xml:space="preserve">Pickup : 2026-10-12, Return : 2026-10-12 
 ** PLEASE CHECK OPEN GATE BEFORE RETURN CNTR **
</t>
        </is>
      </c>
      <c r="BA26" s="97" t="n"/>
      <c r="BB26" s="96" t="inlineStr">
        <is>
          <t>C</t>
        </is>
      </c>
      <c r="BC26" s="161" t="inlineStr">
        <is>
          <t>2026-10-06</t>
        </is>
      </c>
      <c r="BD26" s="161" t="inlineStr">
        <is>
          <t>2026-10-14</t>
        </is>
      </c>
      <c r="BE26" s="96" t="inlineStr">
        <is>
          <t>Y</t>
        </is>
      </c>
      <c r="BF26" s="96" t="inlineStr">
        <is>
          <t>STEEL BOBBINS / PALLET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LCHY5</t>
        </is>
      </c>
      <c r="BL26" s="161" t="inlineStr">
        <is>
          <t>2026-10-12</t>
        </is>
      </c>
      <c r="BM26" s="127" t="n"/>
      <c r="BN26" s="127" t="n">
        <v>1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LCH05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seaexport@korchina.co.th;seaexport2@korchina.co.th;seaexport3@korchina.co.th;seaexport4@korchina.co.th</t>
        </is>
      </c>
      <c r="CJ26" s="96" t="inlineStr">
        <is>
          <t>KORCHINA FREIGHT(THAILAND)CO.,LTD.</t>
        </is>
      </c>
      <c r="CK26" s="96" t="inlineStr">
        <is>
          <t>HS HYOSUNG GLOBAL LOGISTICS VINA</t>
        </is>
      </c>
      <c r="CL26" s="96" t="inlineStr">
        <is>
          <t>HS HYOSUNG GLOBAL LOGISTICS VINA</t>
        </is>
      </c>
      <c r="CM26" s="97" t="inlineStr">
        <is>
          <t>CLOSED</t>
        </is>
      </c>
      <c r="CN26" s="96" t="inlineStr">
        <is>
          <t>202610121700</t>
        </is>
      </c>
      <c r="CO26" s="96" t="inlineStr">
        <is>
          <t>202610141000</t>
        </is>
      </c>
      <c r="CP26" s="97" t="n"/>
      <c r="CQ26" s="96" t="inlineStr">
        <is>
          <t>A1XZT-22018</t>
        </is>
      </c>
      <c r="CR26" s="96" t="inlineStr">
        <is>
          <t>THTKT0</t>
        </is>
      </c>
      <c r="CS26" s="96" t="inlineStr">
        <is>
          <t>KORCHINA FREIGHT (THAILAND) CO., LTD.</t>
        </is>
      </c>
      <c r="CT26" s="96" t="inlineStr">
        <is>
          <t>N</t>
        </is>
      </c>
      <c r="CU26" s="97" t="n"/>
      <c r="CV26" s="97" t="n"/>
      <c r="CW26" s="161" t="inlineStr">
        <is>
          <t>2026-10-15</t>
        </is>
      </c>
      <c r="CX26" s="97" t="inlineStr">
        <is>
          <t>732690</t>
        </is>
      </c>
      <c r="CY26" s="183" t="n"/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HALU8504396</t>
        </is>
      </c>
      <c r="B2" s="108" t="inlineStr">
        <is>
          <t>LCH05</t>
        </is>
      </c>
      <c r="C2" s="108" t="inlineStr">
        <is>
          <t>IFV</t>
        </is>
      </c>
      <c r="D2" s="172" t="inlineStr">
        <is>
          <t>2026-10-08</t>
        </is>
      </c>
      <c r="E2" s="173" t="inlineStr">
        <is>
          <t>1647</t>
        </is>
      </c>
      <c r="F2" s="96" t="inlineStr">
        <is>
          <t>HASLS22260902175</t>
        </is>
      </c>
      <c r="G2" s="96" t="inlineStr">
        <is>
          <t>KODAI (THAILAND) CO., LTD.</t>
        </is>
      </c>
      <c r="H2" s="111" t="inlineStr">
        <is>
          <t>45RE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HASLS22260902175</t>
        </is>
      </c>
      <c r="N2" s="96" t="inlineStr">
        <is>
          <t xml:space="preserve">R40Hx2 </t>
        </is>
      </c>
      <c r="O2" s="111" t="inlineStr">
        <is>
          <t>2025</t>
        </is>
      </c>
      <c r="P2" s="111" t="inlineStr">
        <is>
          <t>CARRIER</t>
        </is>
      </c>
      <c r="Q2" s="111" t="inlineStr">
        <is>
          <t>69NT40-571-112</t>
        </is>
      </c>
      <c r="R2" s="96" t="inlineStr">
        <is>
          <t>PCCP</t>
        </is>
      </c>
      <c r="S2" s="96" t="inlineStr">
        <is>
          <t>2610N</t>
        </is>
      </c>
      <c r="T2" s="96" t="inlineStr">
        <is>
          <t>LCH05</t>
        </is>
      </c>
      <c r="U2" s="96" t="inlineStr">
        <is>
          <t>THLCH</t>
        </is>
      </c>
      <c r="V2" s="161" t="inlineStr">
        <is>
          <t>2026-10-16</t>
        </is>
      </c>
      <c r="W2" s="96" t="inlineStr">
        <is>
          <t>JPISS</t>
        </is>
      </c>
      <c r="X2" s="161" t="inlineStr">
        <is>
          <t>2026-10-26</t>
        </is>
      </c>
      <c r="Y2" s="97" t="n"/>
      <c r="Z2" s="97" t="n"/>
      <c r="AA2" s="97" t="n"/>
      <c r="AB2" s="97" t="n"/>
      <c r="AC2" s="97" t="n"/>
      <c r="AD2" s="161" t="inlineStr">
        <is>
          <t>2026-10-08</t>
        </is>
      </c>
      <c r="AE2" s="174" t="inlineStr">
        <is>
          <t>2001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KODAI COMPANY LTD.</t>
        </is>
      </c>
      <c r="AK2" s="130" t="n"/>
    </row>
    <row r="3" ht="12" customHeight="1">
      <c r="A3" s="108" t="inlineStr">
        <is>
          <t>BMOU5941310</t>
        </is>
      </c>
      <c r="B3" s="108" t="inlineStr">
        <is>
          <t>LCH05</t>
        </is>
      </c>
      <c r="C3" s="108" t="inlineStr">
        <is>
          <t>IFV</t>
        </is>
      </c>
      <c r="D3" s="172" t="inlineStr">
        <is>
          <t>2026-10-13</t>
        </is>
      </c>
      <c r="E3" s="173" t="inlineStr">
        <is>
          <t>0658</t>
        </is>
      </c>
      <c r="F3" s="96" t="inlineStr">
        <is>
          <t>HASLS22260901626</t>
        </is>
      </c>
      <c r="G3" s="96" t="inlineStr">
        <is>
          <t>MOL LOGISTICS (THAILAND) CO., LTD.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HASLS22260901626</t>
        </is>
      </c>
      <c r="N3" s="96" t="inlineStr">
        <is>
          <t xml:space="preserve">40Hx1 </t>
        </is>
      </c>
      <c r="O3" s="111" t="inlineStr">
        <is>
          <t>2014</t>
        </is>
      </c>
      <c r="P3" s="111" t="n"/>
      <c r="Q3" s="111" t="n"/>
      <c r="R3" s="96" t="inlineStr">
        <is>
          <t>KUS</t>
        </is>
      </c>
      <c r="S3" s="96" t="inlineStr">
        <is>
          <t>2616N</t>
        </is>
      </c>
      <c r="T3" s="96" t="inlineStr">
        <is>
          <t>LCH05</t>
        </is>
      </c>
      <c r="U3" s="96" t="inlineStr">
        <is>
          <t>THLCH</t>
        </is>
      </c>
      <c r="V3" s="161" t="inlineStr">
        <is>
          <t>2026-10-16</t>
        </is>
      </c>
      <c r="W3" s="96" t="inlineStr">
        <is>
          <t>JPHIJ</t>
        </is>
      </c>
      <c r="X3" s="161" t="inlineStr">
        <is>
          <t>2026-10-26</t>
        </is>
      </c>
      <c r="Y3" s="97" t="n"/>
      <c r="Z3" s="97" t="n"/>
      <c r="AA3" s="97" t="n"/>
      <c r="AB3" s="97" t="n"/>
      <c r="AC3" s="97" t="n"/>
      <c r="AD3" s="161" t="inlineStr">
        <is>
          <t>2026-10-13</t>
        </is>
      </c>
      <c r="AE3" s="174" t="inlineStr">
        <is>
          <t>1401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MOL LOGISTICS CO., LTD.</t>
        </is>
      </c>
      <c r="AK3" s="130" t="n"/>
    </row>
    <row r="4" ht="12" customHeight="1">
      <c r="A4" s="108" t="inlineStr">
        <is>
          <t>BMOU6091972</t>
        </is>
      </c>
      <c r="B4" s="108" t="inlineStr">
        <is>
          <t>LCH05</t>
        </is>
      </c>
      <c r="C4" s="108" t="inlineStr">
        <is>
          <t>IFV</t>
        </is>
      </c>
      <c r="D4" s="172" t="inlineStr">
        <is>
          <t>2026-10-13</t>
        </is>
      </c>
      <c r="E4" s="173" t="inlineStr">
        <is>
          <t>0737</t>
        </is>
      </c>
      <c r="F4" s="96" t="inlineStr">
        <is>
          <t>HASLS22260902851</t>
        </is>
      </c>
      <c r="G4" s="96" t="inlineStr">
        <is>
          <t>TOSHIBA LOGISTICS (THAILAND) CO., LTD.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HASLS22260902851</t>
        </is>
      </c>
      <c r="N4" s="96" t="inlineStr">
        <is>
          <t xml:space="preserve">40Hx4 </t>
        </is>
      </c>
      <c r="O4" s="111" t="inlineStr">
        <is>
          <t>2015</t>
        </is>
      </c>
      <c r="P4" s="111" t="n"/>
      <c r="Q4" s="111" t="n"/>
      <c r="R4" s="96" t="inlineStr">
        <is>
          <t>KUS</t>
        </is>
      </c>
      <c r="S4" s="96" t="inlineStr">
        <is>
          <t>2616N</t>
        </is>
      </c>
      <c r="T4" s="96" t="inlineStr">
        <is>
          <t>LCH05</t>
        </is>
      </c>
      <c r="U4" s="96" t="inlineStr">
        <is>
          <t>THLCH</t>
        </is>
      </c>
      <c r="V4" s="161" t="inlineStr">
        <is>
          <t>2026-10-16</t>
        </is>
      </c>
      <c r="W4" s="96" t="inlineStr">
        <is>
          <t>VNSGN</t>
        </is>
      </c>
      <c r="X4" s="161" t="inlineStr">
        <is>
          <t>2026-10-17</t>
        </is>
      </c>
      <c r="Y4" s="97" t="n"/>
      <c r="Z4" s="97" t="n"/>
      <c r="AA4" s="97" t="n"/>
      <c r="AB4" s="97" t="n"/>
      <c r="AC4" s="97" t="n"/>
      <c r="AD4" s="161" t="inlineStr">
        <is>
          <t>2026-10-13</t>
        </is>
      </c>
      <c r="AE4" s="174" t="inlineStr">
        <is>
          <t>1401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TOSHIBA LOGISTICS VIETNAM CO.,LTD.</t>
        </is>
      </c>
      <c r="AK4" s="130" t="n"/>
    </row>
    <row r="5" ht="12" customHeight="1">
      <c r="A5" s="108" t="inlineStr">
        <is>
          <t>CXDU2283528</t>
        </is>
      </c>
      <c r="B5" s="108" t="inlineStr">
        <is>
          <t>LCH05</t>
        </is>
      </c>
      <c r="C5" s="108" t="inlineStr">
        <is>
          <t>IFV</t>
        </is>
      </c>
      <c r="D5" s="172" t="inlineStr">
        <is>
          <t>2026-10-08</t>
        </is>
      </c>
      <c r="E5" s="173" t="inlineStr">
        <is>
          <t>1534</t>
        </is>
      </c>
      <c r="F5" s="96" t="inlineStr">
        <is>
          <t>HASLS22260900318</t>
        </is>
      </c>
      <c r="G5" s="96" t="inlineStr">
        <is>
          <t>WHA GC LOGISTICS COMPANY LIMITED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HASLS22260900318</t>
        </is>
      </c>
      <c r="N5" s="96" t="inlineStr">
        <is>
          <t xml:space="preserve">20'x2 </t>
        </is>
      </c>
      <c r="O5" s="111" t="inlineStr">
        <is>
          <t>2014</t>
        </is>
      </c>
      <c r="P5" s="111" t="n"/>
      <c r="Q5" s="111" t="n"/>
      <c r="R5" s="96" t="inlineStr">
        <is>
          <t>PCCP</t>
        </is>
      </c>
      <c r="S5" s="96" t="inlineStr">
        <is>
          <t>2610N</t>
        </is>
      </c>
      <c r="T5" s="96" t="inlineStr">
        <is>
          <t>LCH05</t>
        </is>
      </c>
      <c r="U5" s="96" t="inlineStr">
        <is>
          <t>THLCH</t>
        </is>
      </c>
      <c r="V5" s="161" t="inlineStr">
        <is>
          <t>2026-10-16</t>
        </is>
      </c>
      <c r="W5" s="96" t="inlineStr">
        <is>
          <t>JPMIZ</t>
        </is>
      </c>
      <c r="X5" s="161" t="inlineStr">
        <is>
          <t>2026-10-26</t>
        </is>
      </c>
      <c r="Y5" s="97" t="n"/>
      <c r="Z5" s="97" t="n"/>
      <c r="AA5" s="97" t="n"/>
      <c r="AB5" s="97" t="n"/>
      <c r="AC5" s="97" t="n"/>
      <c r="AD5" s="161" t="inlineStr">
        <is>
          <t>2026-10-08</t>
        </is>
      </c>
      <c r="AE5" s="174" t="inlineStr">
        <is>
          <t>2001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MARUBENI INNOVEXIS CORPORATION</t>
        </is>
      </c>
      <c r="AK5" s="130" t="n"/>
    </row>
    <row r="6" ht="12" customHeight="1">
      <c r="A6" s="108" t="inlineStr">
        <is>
          <t>FCIU7275545</t>
        </is>
      </c>
      <c r="B6" s="108" t="inlineStr">
        <is>
          <t>LCH05</t>
        </is>
      </c>
      <c r="C6" s="108" t="inlineStr">
        <is>
          <t>IFV</t>
        </is>
      </c>
      <c r="D6" s="172" t="inlineStr">
        <is>
          <t>2026-10-12</t>
        </is>
      </c>
      <c r="E6" s="173" t="inlineStr">
        <is>
          <t>2114</t>
        </is>
      </c>
      <c r="F6" s="96" t="inlineStr">
        <is>
          <t>HASLS22260902851</t>
        </is>
      </c>
      <c r="G6" s="96" t="inlineStr">
        <is>
          <t>TOSHIBA LOGISTICS (THAILAND) CO., LTD.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HASLS22260902851</t>
        </is>
      </c>
      <c r="N6" s="96" t="inlineStr">
        <is>
          <t xml:space="preserve">40Hx4 </t>
        </is>
      </c>
      <c r="O6" s="111" t="inlineStr">
        <is>
          <t>2017</t>
        </is>
      </c>
      <c r="P6" s="111" t="n"/>
      <c r="Q6" s="111" t="n"/>
      <c r="R6" s="96" t="inlineStr">
        <is>
          <t>KUS</t>
        </is>
      </c>
      <c r="S6" s="96" t="inlineStr">
        <is>
          <t>2616N</t>
        </is>
      </c>
      <c r="T6" s="96" t="inlineStr">
        <is>
          <t>LCH05</t>
        </is>
      </c>
      <c r="U6" s="96" t="inlineStr">
        <is>
          <t>THLCH</t>
        </is>
      </c>
      <c r="V6" s="161" t="inlineStr">
        <is>
          <t>2026-10-16</t>
        </is>
      </c>
      <c r="W6" s="96" t="inlineStr">
        <is>
          <t>VNSGN</t>
        </is>
      </c>
      <c r="X6" s="161" t="inlineStr">
        <is>
          <t>2026-10-17</t>
        </is>
      </c>
      <c r="Y6" s="97" t="n"/>
      <c r="Z6" s="97" t="n"/>
      <c r="AA6" s="97" t="n"/>
      <c r="AB6" s="97" t="n"/>
      <c r="AC6" s="97" t="n"/>
      <c r="AD6" s="161" t="inlineStr">
        <is>
          <t>2026-10-13</t>
        </is>
      </c>
      <c r="AE6" s="174" t="inlineStr">
        <is>
          <t>0201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TOSHIBA LOGISTICS VIETNAM CO.,LTD.</t>
        </is>
      </c>
      <c r="AK6" s="130" t="n"/>
    </row>
    <row r="7" ht="12" customHeight="1">
      <c r="A7" s="108" t="inlineStr">
        <is>
          <t>HALU2030140</t>
        </is>
      </c>
      <c r="B7" s="108" t="inlineStr">
        <is>
          <t>LCH05</t>
        </is>
      </c>
      <c r="C7" s="108" t="inlineStr">
        <is>
          <t>IFV</t>
        </is>
      </c>
      <c r="D7" s="172" t="inlineStr">
        <is>
          <t>2026-10-08</t>
        </is>
      </c>
      <c r="E7" s="173" t="inlineStr">
        <is>
          <t>1543</t>
        </is>
      </c>
      <c r="F7" s="96" t="inlineStr">
        <is>
          <t>HASLS22260900461</t>
        </is>
      </c>
      <c r="G7" s="96" t="inlineStr">
        <is>
          <t>WHA GC LOGISTICS COMPANY LIMITED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HASLS22260900461</t>
        </is>
      </c>
      <c r="N7" s="96" t="inlineStr">
        <is>
          <t xml:space="preserve">20'x6 </t>
        </is>
      </c>
      <c r="O7" s="111" t="inlineStr">
        <is>
          <t>2014</t>
        </is>
      </c>
      <c r="P7" s="111" t="n"/>
      <c r="Q7" s="111" t="n"/>
      <c r="R7" s="96" t="inlineStr">
        <is>
          <t>PCCP</t>
        </is>
      </c>
      <c r="S7" s="96" t="inlineStr">
        <is>
          <t>2610N</t>
        </is>
      </c>
      <c r="T7" s="96" t="inlineStr">
        <is>
          <t>LCH05</t>
        </is>
      </c>
      <c r="U7" s="96" t="inlineStr">
        <is>
          <t>THLCH</t>
        </is>
      </c>
      <c r="V7" s="161" t="inlineStr">
        <is>
          <t>2026-10-16</t>
        </is>
      </c>
      <c r="W7" s="96" t="inlineStr">
        <is>
          <t>VNSGN</t>
        </is>
      </c>
      <c r="X7" s="161" t="inlineStr">
        <is>
          <t>2026-10-17</t>
        </is>
      </c>
      <c r="Y7" s="97" t="n"/>
      <c r="Z7" s="97" t="n"/>
      <c r="AA7" s="97" t="n"/>
      <c r="AB7" s="97" t="n"/>
      <c r="AC7" s="97" t="n"/>
      <c r="AD7" s="161" t="inlineStr">
        <is>
          <t>2026-10-08</t>
        </is>
      </c>
      <c r="AE7" s="174" t="inlineStr">
        <is>
          <t>2001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TO ORDER OF SACOMBANK -</t>
        </is>
      </c>
      <c r="AK7" s="130" t="n"/>
    </row>
    <row r="8" ht="12" customHeight="1">
      <c r="A8" s="108" t="inlineStr">
        <is>
          <t>HALU2037381</t>
        </is>
      </c>
      <c r="B8" s="108" t="inlineStr">
        <is>
          <t>LCH05</t>
        </is>
      </c>
      <c r="C8" s="108" t="inlineStr">
        <is>
          <t>IFV</t>
        </is>
      </c>
      <c r="D8" s="172" t="inlineStr">
        <is>
          <t>2026-10-08</t>
        </is>
      </c>
      <c r="E8" s="173" t="inlineStr">
        <is>
          <t>1534</t>
        </is>
      </c>
      <c r="F8" s="96" t="inlineStr">
        <is>
          <t>HASLS22260900318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HASLS22260900318</t>
        </is>
      </c>
      <c r="N8" s="96" t="inlineStr">
        <is>
          <t xml:space="preserve">20'x2 </t>
        </is>
      </c>
      <c r="O8" s="111" t="inlineStr">
        <is>
          <t>2014</t>
        </is>
      </c>
      <c r="P8" s="111" t="n"/>
      <c r="Q8" s="111" t="n"/>
      <c r="R8" s="96" t="inlineStr">
        <is>
          <t>PCCP</t>
        </is>
      </c>
      <c r="S8" s="96" t="inlineStr">
        <is>
          <t>2610N</t>
        </is>
      </c>
      <c r="T8" s="96" t="inlineStr">
        <is>
          <t>LCH05</t>
        </is>
      </c>
      <c r="U8" s="96" t="inlineStr">
        <is>
          <t>THLCH</t>
        </is>
      </c>
      <c r="V8" s="161" t="inlineStr">
        <is>
          <t>2026-10-16</t>
        </is>
      </c>
      <c r="W8" s="96" t="inlineStr">
        <is>
          <t>JPMIZ</t>
        </is>
      </c>
      <c r="X8" s="161" t="inlineStr">
        <is>
          <t>2026-10-26</t>
        </is>
      </c>
      <c r="Y8" s="97" t="n"/>
      <c r="Z8" s="97" t="n"/>
      <c r="AA8" s="97" t="n"/>
      <c r="AB8" s="97" t="n"/>
      <c r="AC8" s="97" t="n"/>
      <c r="AD8" s="161" t="inlineStr">
        <is>
          <t>2026-10-08</t>
        </is>
      </c>
      <c r="AE8" s="174" t="inlineStr">
        <is>
          <t>2001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MARUBENI INNOVEXIS CORPORATION</t>
        </is>
      </c>
      <c r="AK8" s="130" t="n"/>
    </row>
    <row r="9" ht="12" customHeight="1">
      <c r="A9" s="108" t="inlineStr">
        <is>
          <t>HALU2335431</t>
        </is>
      </c>
      <c r="B9" s="108" t="inlineStr">
        <is>
          <t>LCH05</t>
        </is>
      </c>
      <c r="C9" s="108" t="inlineStr">
        <is>
          <t>IFV</t>
        </is>
      </c>
      <c r="D9" s="172" t="inlineStr">
        <is>
          <t>2026-10-12</t>
        </is>
      </c>
      <c r="E9" s="173" t="inlineStr">
        <is>
          <t>0733</t>
        </is>
      </c>
      <c r="F9" s="96" t="inlineStr">
        <is>
          <t>HASLS22260902064</t>
        </is>
      </c>
      <c r="G9" s="96" t="inlineStr">
        <is>
          <t>SCGJWD LOGISTICS PUBLIC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HASLS22260902064</t>
        </is>
      </c>
      <c r="N9" s="96" t="inlineStr">
        <is>
          <t xml:space="preserve">20'x5 </t>
        </is>
      </c>
      <c r="O9" s="111" t="inlineStr">
        <is>
          <t>2023</t>
        </is>
      </c>
      <c r="P9" s="111" t="n"/>
      <c r="Q9" s="111" t="n"/>
      <c r="R9" s="96" t="inlineStr">
        <is>
          <t>KUS</t>
        </is>
      </c>
      <c r="S9" s="96" t="inlineStr">
        <is>
          <t>2616N</t>
        </is>
      </c>
      <c r="T9" s="96" t="inlineStr">
        <is>
          <t>LCH05</t>
        </is>
      </c>
      <c r="U9" s="96" t="inlineStr">
        <is>
          <t>THLCH</t>
        </is>
      </c>
      <c r="V9" s="161" t="inlineStr">
        <is>
          <t>2026-10-16</t>
        </is>
      </c>
      <c r="W9" s="96" t="inlineStr">
        <is>
          <t>JPMOJ</t>
        </is>
      </c>
      <c r="X9" s="161" t="inlineStr">
        <is>
          <t>2026-10-26</t>
        </is>
      </c>
      <c r="Y9" s="97" t="n"/>
      <c r="Z9" s="97" t="n"/>
      <c r="AA9" s="97" t="n"/>
      <c r="AB9" s="97" t="n"/>
      <c r="AC9" s="97" t="n"/>
      <c r="AD9" s="161" t="inlineStr">
        <is>
          <t>2026-10-12</t>
        </is>
      </c>
      <c r="AE9" s="174" t="inlineStr">
        <is>
          <t>1616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TOYOTSU CHEMIPLAS CORPORATION,</t>
        </is>
      </c>
      <c r="AK9" s="130" t="n"/>
    </row>
    <row r="10" ht="12" customHeight="1">
      <c r="A10" s="108" t="inlineStr">
        <is>
          <t>HALU2336778</t>
        </is>
      </c>
      <c r="B10" s="108" t="inlineStr">
        <is>
          <t>LCH05</t>
        </is>
      </c>
      <c r="C10" s="108" t="inlineStr">
        <is>
          <t>IFV</t>
        </is>
      </c>
      <c r="D10" s="172" t="inlineStr">
        <is>
          <t>2026-10-08</t>
        </is>
      </c>
      <c r="E10" s="173" t="inlineStr">
        <is>
          <t>1159</t>
        </is>
      </c>
      <c r="F10" s="96" t="inlineStr">
        <is>
          <t>HASLS22260900461</t>
        </is>
      </c>
      <c r="G10" s="96" t="inlineStr">
        <is>
          <t>WHA GC LOGISTICS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HASLS22260900461</t>
        </is>
      </c>
      <c r="N10" s="96" t="inlineStr">
        <is>
          <t xml:space="preserve">20'x6 </t>
        </is>
      </c>
      <c r="O10" s="111" t="inlineStr">
        <is>
          <t>2023</t>
        </is>
      </c>
      <c r="P10" s="111" t="n"/>
      <c r="Q10" s="111" t="n"/>
      <c r="R10" s="96" t="inlineStr">
        <is>
          <t>PCCP</t>
        </is>
      </c>
      <c r="S10" s="96" t="inlineStr">
        <is>
          <t>2610N</t>
        </is>
      </c>
      <c r="T10" s="96" t="inlineStr">
        <is>
          <t>LCH05</t>
        </is>
      </c>
      <c r="U10" s="96" t="inlineStr">
        <is>
          <t>THLCH</t>
        </is>
      </c>
      <c r="V10" s="161" t="inlineStr">
        <is>
          <t>2026-10-16</t>
        </is>
      </c>
      <c r="W10" s="96" t="inlineStr">
        <is>
          <t>VNSGN</t>
        </is>
      </c>
      <c r="X10" s="161" t="inlineStr">
        <is>
          <t>2026-10-17</t>
        </is>
      </c>
      <c r="Y10" s="97" t="n"/>
      <c r="Z10" s="97" t="n"/>
      <c r="AA10" s="97" t="n"/>
      <c r="AB10" s="97" t="n"/>
      <c r="AC10" s="97" t="n"/>
      <c r="AD10" s="161" t="inlineStr">
        <is>
          <t>2026-10-08</t>
        </is>
      </c>
      <c r="AE10" s="174" t="inlineStr">
        <is>
          <t>2001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TO ORDER OF SACOMBANK -</t>
        </is>
      </c>
      <c r="AK10" s="130" t="n"/>
    </row>
    <row r="11" ht="12" customHeight="1">
      <c r="A11" s="108" t="inlineStr">
        <is>
          <t>HALU2346462</t>
        </is>
      </c>
      <c r="B11" s="108" t="inlineStr">
        <is>
          <t>LCH05</t>
        </is>
      </c>
      <c r="C11" s="108" t="inlineStr">
        <is>
          <t>IFV</t>
        </is>
      </c>
      <c r="D11" s="172" t="inlineStr">
        <is>
          <t>2026-10-14</t>
        </is>
      </c>
      <c r="E11" s="173" t="inlineStr">
        <is>
          <t>0815</t>
        </is>
      </c>
      <c r="F11" s="96" t="inlineStr">
        <is>
          <t>HASLS22260901989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HASLS22260901989</t>
        </is>
      </c>
      <c r="N11" s="96" t="inlineStr">
        <is>
          <t xml:space="preserve">20'x7 </t>
        </is>
      </c>
      <c r="O11" s="111" t="inlineStr">
        <is>
          <t>2023</t>
        </is>
      </c>
      <c r="P11" s="111" t="n"/>
      <c r="Q11" s="111" t="n"/>
      <c r="R11" s="96" t="inlineStr">
        <is>
          <t>KUS</t>
        </is>
      </c>
      <c r="S11" s="96" t="inlineStr">
        <is>
          <t>2616N</t>
        </is>
      </c>
      <c r="T11" s="96" t="inlineStr">
        <is>
          <t>LCH05</t>
        </is>
      </c>
      <c r="U11" s="96" t="inlineStr">
        <is>
          <t>THLCH</t>
        </is>
      </c>
      <c r="V11" s="161" t="inlineStr">
        <is>
          <t>2026-10-16</t>
        </is>
      </c>
      <c r="W11" s="96" t="inlineStr">
        <is>
          <t>JPUKB</t>
        </is>
      </c>
      <c r="X11" s="161" t="inlineStr">
        <is>
          <t>2026-10-26</t>
        </is>
      </c>
      <c r="Y11" s="97" t="n"/>
      <c r="Z11" s="97" t="n"/>
      <c r="AA11" s="97" t="n"/>
      <c r="AB11" s="97" t="n"/>
      <c r="AC11" s="97" t="n"/>
      <c r="AD11" s="161" t="inlineStr">
        <is>
          <t>2026-10-14</t>
        </is>
      </c>
      <c r="AE11" s="174" t="inlineStr">
        <is>
          <t>1401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MITSUBISHI CORPORATION PLASTICS</t>
        </is>
      </c>
      <c r="AK11" s="130" t="n"/>
    </row>
    <row r="12" ht="12" customHeight="1">
      <c r="A12" s="108" t="inlineStr">
        <is>
          <t>HALU2352927</t>
        </is>
      </c>
      <c r="B12" s="108" t="inlineStr">
        <is>
          <t>LCH05</t>
        </is>
      </c>
      <c r="C12" s="108" t="inlineStr">
        <is>
          <t>IFV</t>
        </is>
      </c>
      <c r="D12" s="172" t="inlineStr">
        <is>
          <t>2026-10-11</t>
        </is>
      </c>
      <c r="E12" s="173" t="inlineStr">
        <is>
          <t>1050</t>
        </is>
      </c>
      <c r="F12" s="96" t="inlineStr">
        <is>
          <t>HASLS22260902234</t>
        </is>
      </c>
      <c r="G12" s="96" t="inlineStr">
        <is>
          <t>SCGJWD LOGISTICS PUBLIC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HASLS22260902234</t>
        </is>
      </c>
      <c r="N12" s="96" t="inlineStr">
        <is>
          <t xml:space="preserve">20'x1 </t>
        </is>
      </c>
      <c r="O12" s="111" t="inlineStr">
        <is>
          <t>2023</t>
        </is>
      </c>
      <c r="P12" s="111" t="n"/>
      <c r="Q12" s="111" t="n"/>
      <c r="R12" s="96" t="inlineStr">
        <is>
          <t>KUS</t>
        </is>
      </c>
      <c r="S12" s="96" t="inlineStr">
        <is>
          <t>2616N</t>
        </is>
      </c>
      <c r="T12" s="96" t="inlineStr">
        <is>
          <t>LCH05</t>
        </is>
      </c>
      <c r="U12" s="96" t="inlineStr">
        <is>
          <t>THLCH</t>
        </is>
      </c>
      <c r="V12" s="161" t="inlineStr">
        <is>
          <t>2026-10-16</t>
        </is>
      </c>
      <c r="W12" s="96" t="inlineStr">
        <is>
          <t>JPNAH</t>
        </is>
      </c>
      <c r="X12" s="161" t="inlineStr">
        <is>
          <t>2026-10-26</t>
        </is>
      </c>
      <c r="Y12" s="97" t="n"/>
      <c r="Z12" s="97" t="n"/>
      <c r="AA12" s="97" t="n"/>
      <c r="AB12" s="97" t="n"/>
      <c r="AC12" s="97" t="n"/>
      <c r="AD12" s="161" t="inlineStr">
        <is>
          <t>2026-10-11</t>
        </is>
      </c>
      <c r="AE12" s="174" t="inlineStr">
        <is>
          <t>1401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MITSUI &amp; CO. PLASTICS LTD.</t>
        </is>
      </c>
      <c r="AK12" s="130" t="n"/>
    </row>
    <row r="13" ht="12" customHeight="1">
      <c r="A13" s="108" t="inlineStr">
        <is>
          <t>HALU2361913</t>
        </is>
      </c>
      <c r="B13" s="108" t="inlineStr">
        <is>
          <t>LCH05</t>
        </is>
      </c>
      <c r="C13" s="108" t="inlineStr">
        <is>
          <t>IFV</t>
        </is>
      </c>
      <c r="D13" s="172" t="inlineStr">
        <is>
          <t>2026-10-08</t>
        </is>
      </c>
      <c r="E13" s="173" t="inlineStr">
        <is>
          <t>0912</t>
        </is>
      </c>
      <c r="F13" s="96" t="inlineStr">
        <is>
          <t>HASLS22260900461</t>
        </is>
      </c>
      <c r="G13" s="96" t="inlineStr">
        <is>
          <t>WHA GC LOGISTICS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HASLS22260900461</t>
        </is>
      </c>
      <c r="N13" s="96" t="inlineStr">
        <is>
          <t xml:space="preserve">20'x6 </t>
        </is>
      </c>
      <c r="O13" s="111" t="inlineStr">
        <is>
          <t>2023</t>
        </is>
      </c>
      <c r="P13" s="111" t="n"/>
      <c r="Q13" s="111" t="n"/>
      <c r="R13" s="96" t="inlineStr">
        <is>
          <t>PCCP</t>
        </is>
      </c>
      <c r="S13" s="96" t="inlineStr">
        <is>
          <t>2610N</t>
        </is>
      </c>
      <c r="T13" s="96" t="inlineStr">
        <is>
          <t>LCH05</t>
        </is>
      </c>
      <c r="U13" s="96" t="inlineStr">
        <is>
          <t>THLCH</t>
        </is>
      </c>
      <c r="V13" s="161" t="inlineStr">
        <is>
          <t>2026-10-16</t>
        </is>
      </c>
      <c r="W13" s="96" t="inlineStr">
        <is>
          <t>VNSGN</t>
        </is>
      </c>
      <c r="X13" s="161" t="inlineStr">
        <is>
          <t>2026-10-17</t>
        </is>
      </c>
      <c r="Y13" s="97" t="n"/>
      <c r="Z13" s="97" t="n"/>
      <c r="AA13" s="97" t="n"/>
      <c r="AB13" s="97" t="n"/>
      <c r="AC13" s="97" t="n"/>
      <c r="AD13" s="161" t="inlineStr">
        <is>
          <t>2026-10-08</t>
        </is>
      </c>
      <c r="AE13" s="174" t="inlineStr">
        <is>
          <t>1401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TO ORDER OF SACOMBANK -</t>
        </is>
      </c>
      <c r="AK13" s="130" t="n"/>
    </row>
    <row r="14" ht="12" customHeight="1">
      <c r="A14" s="108" t="inlineStr">
        <is>
          <t>HALU2430510</t>
        </is>
      </c>
      <c r="B14" s="108" t="inlineStr">
        <is>
          <t>LCH05</t>
        </is>
      </c>
      <c r="C14" s="108" t="inlineStr">
        <is>
          <t>IFV</t>
        </is>
      </c>
      <c r="D14" s="172" t="inlineStr">
        <is>
          <t>2026-10-11</t>
        </is>
      </c>
      <c r="E14" s="173" t="inlineStr">
        <is>
          <t>0353</t>
        </is>
      </c>
      <c r="F14" s="96" t="inlineStr">
        <is>
          <t>HASLS22260902793</t>
        </is>
      </c>
      <c r="G14" s="96" t="inlineStr">
        <is>
          <t>WHA GC LOGISTICS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HASLS22260902793</t>
        </is>
      </c>
      <c r="N14" s="96" t="inlineStr">
        <is>
          <t xml:space="preserve">20'x1 </t>
        </is>
      </c>
      <c r="O14" s="111" t="inlineStr">
        <is>
          <t>2024</t>
        </is>
      </c>
      <c r="P14" s="111" t="n"/>
      <c r="Q14" s="111" t="n"/>
      <c r="R14" s="96" t="inlineStr">
        <is>
          <t>KUS</t>
        </is>
      </c>
      <c r="S14" s="96" t="inlineStr">
        <is>
          <t>2616N</t>
        </is>
      </c>
      <c r="T14" s="96" t="inlineStr">
        <is>
          <t>LCH05</t>
        </is>
      </c>
      <c r="U14" s="96" t="inlineStr">
        <is>
          <t>THLCH</t>
        </is>
      </c>
      <c r="V14" s="161" t="inlineStr">
        <is>
          <t>2026-10-16</t>
        </is>
      </c>
      <c r="W14" s="96" t="inlineStr">
        <is>
          <t>JPIMB</t>
        </is>
      </c>
      <c r="X14" s="161" t="inlineStr">
        <is>
          <t>2026-10-26</t>
        </is>
      </c>
      <c r="Y14" s="97" t="n"/>
      <c r="Z14" s="97" t="n"/>
      <c r="AA14" s="97" t="n"/>
      <c r="AB14" s="97" t="n"/>
      <c r="AC14" s="97" t="n"/>
      <c r="AD14" s="161" t="inlineStr">
        <is>
          <t>2026-10-11</t>
        </is>
      </c>
      <c r="AE14" s="174" t="inlineStr">
        <is>
          <t>0801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MITSUBISHI CORPORATION PLASTICS</t>
        </is>
      </c>
      <c r="AK14" s="130" t="n"/>
    </row>
    <row r="15" ht="12" customHeight="1">
      <c r="A15" s="108" t="inlineStr">
        <is>
          <t>HALU2469791</t>
        </is>
      </c>
      <c r="B15" s="108" t="inlineStr">
        <is>
          <t>LCH05</t>
        </is>
      </c>
      <c r="C15" s="108" t="inlineStr">
        <is>
          <t>IFV</t>
        </is>
      </c>
      <c r="D15" s="172" t="inlineStr">
        <is>
          <t>2026-10-14</t>
        </is>
      </c>
      <c r="E15" s="173" t="inlineStr">
        <is>
          <t>0815</t>
        </is>
      </c>
      <c r="F15" s="96" t="inlineStr">
        <is>
          <t>HASLS22260901989</t>
        </is>
      </c>
      <c r="G15" s="96" t="inlineStr">
        <is>
          <t>WHA GC LOGISTICS COMPANY LIMITED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HASLS22260901989</t>
        </is>
      </c>
      <c r="N15" s="96" t="inlineStr">
        <is>
          <t xml:space="preserve">20'x7 </t>
        </is>
      </c>
      <c r="O15" s="111" t="inlineStr">
        <is>
          <t>2024</t>
        </is>
      </c>
      <c r="P15" s="111" t="n"/>
      <c r="Q15" s="111" t="n"/>
      <c r="R15" s="96" t="inlineStr">
        <is>
          <t>KUS</t>
        </is>
      </c>
      <c r="S15" s="96" t="inlineStr">
        <is>
          <t>2616N</t>
        </is>
      </c>
      <c r="T15" s="96" t="inlineStr">
        <is>
          <t>LCH05</t>
        </is>
      </c>
      <c r="U15" s="96" t="inlineStr">
        <is>
          <t>THLCH</t>
        </is>
      </c>
      <c r="V15" s="161" t="inlineStr">
        <is>
          <t>2026-10-16</t>
        </is>
      </c>
      <c r="W15" s="96" t="inlineStr">
        <is>
          <t>JPUKB</t>
        </is>
      </c>
      <c r="X15" s="161" t="inlineStr">
        <is>
          <t>2026-10-26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1401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MITSUBISHI CORPORATION PLASTICS</t>
        </is>
      </c>
      <c r="AK15" s="130" t="n"/>
    </row>
    <row r="16" ht="12" customHeight="1">
      <c r="A16" s="108" t="inlineStr">
        <is>
          <t>HALU2472054</t>
        </is>
      </c>
      <c r="B16" s="108" t="inlineStr">
        <is>
          <t>LCH05</t>
        </is>
      </c>
      <c r="C16" s="108" t="inlineStr">
        <is>
          <t>IFV</t>
        </is>
      </c>
      <c r="D16" s="172" t="inlineStr">
        <is>
          <t>2026-10-14</t>
        </is>
      </c>
      <c r="E16" s="173" t="inlineStr">
        <is>
          <t>1625</t>
        </is>
      </c>
      <c r="F16" s="96" t="inlineStr">
        <is>
          <t>HASLS22260901989</t>
        </is>
      </c>
      <c r="G16" s="96" t="inlineStr">
        <is>
          <t>WHA GC LOGISTICS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HASLS22260901989</t>
        </is>
      </c>
      <c r="N16" s="96" t="inlineStr">
        <is>
          <t xml:space="preserve">20'x7 </t>
        </is>
      </c>
      <c r="O16" s="111" t="inlineStr">
        <is>
          <t>2024</t>
        </is>
      </c>
      <c r="P16" s="111" t="n"/>
      <c r="Q16" s="111" t="n"/>
      <c r="R16" s="96" t="inlineStr">
        <is>
          <t>KUS</t>
        </is>
      </c>
      <c r="S16" s="96" t="inlineStr">
        <is>
          <t>2616N</t>
        </is>
      </c>
      <c r="T16" s="96" t="inlineStr">
        <is>
          <t>LCH05</t>
        </is>
      </c>
      <c r="U16" s="96" t="inlineStr">
        <is>
          <t>THLCH</t>
        </is>
      </c>
      <c r="V16" s="161" t="inlineStr">
        <is>
          <t>2026-10-16</t>
        </is>
      </c>
      <c r="W16" s="96" t="inlineStr">
        <is>
          <t>JPUKB</t>
        </is>
      </c>
      <c r="X16" s="161" t="inlineStr">
        <is>
          <t>2026-10-26</t>
        </is>
      </c>
      <c r="Y16" s="97" t="n"/>
      <c r="Z16" s="97" t="n"/>
      <c r="AA16" s="97" t="n"/>
      <c r="AB16" s="97" t="n"/>
      <c r="AC16" s="97" t="n"/>
      <c r="AD16" s="161" t="inlineStr">
        <is>
          <t>2026-10-14</t>
        </is>
      </c>
      <c r="AE16" s="174" t="inlineStr">
        <is>
          <t>2001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MITSUBISHI CORPORATION PLASTICS</t>
        </is>
      </c>
      <c r="AK16" s="130" t="n"/>
    </row>
    <row r="17" ht="12" customHeight="1">
      <c r="A17" s="108" t="inlineStr">
        <is>
          <t>HALU2472630</t>
        </is>
      </c>
      <c r="B17" s="108" t="inlineStr">
        <is>
          <t>LCH05</t>
        </is>
      </c>
      <c r="C17" s="108" t="inlineStr">
        <is>
          <t>IFV</t>
        </is>
      </c>
      <c r="D17" s="172" t="inlineStr">
        <is>
          <t>2026-10-14</t>
        </is>
      </c>
      <c r="E17" s="173" t="inlineStr">
        <is>
          <t>0637</t>
        </is>
      </c>
      <c r="F17" s="96" t="inlineStr">
        <is>
          <t>HASLS22260901989</t>
        </is>
      </c>
      <c r="G17" s="96" t="inlineStr">
        <is>
          <t>WHA GC LOGISTICS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HASLS22260901989</t>
        </is>
      </c>
      <c r="N17" s="96" t="inlineStr">
        <is>
          <t xml:space="preserve">20'x7 </t>
        </is>
      </c>
      <c r="O17" s="111" t="inlineStr">
        <is>
          <t>2024</t>
        </is>
      </c>
      <c r="P17" s="111" t="n"/>
      <c r="Q17" s="111" t="n"/>
      <c r="R17" s="96" t="inlineStr">
        <is>
          <t>KUS</t>
        </is>
      </c>
      <c r="S17" s="96" t="inlineStr">
        <is>
          <t>2616N</t>
        </is>
      </c>
      <c r="T17" s="96" t="inlineStr">
        <is>
          <t>LCH05</t>
        </is>
      </c>
      <c r="U17" s="96" t="inlineStr">
        <is>
          <t>THLCH</t>
        </is>
      </c>
      <c r="V17" s="161" t="inlineStr">
        <is>
          <t>2026-10-16</t>
        </is>
      </c>
      <c r="W17" s="96" t="inlineStr">
        <is>
          <t>JPUKB</t>
        </is>
      </c>
      <c r="X17" s="161" t="inlineStr">
        <is>
          <t>2026-10-26</t>
        </is>
      </c>
      <c r="Y17" s="97" t="n"/>
      <c r="Z17" s="97" t="n"/>
      <c r="AA17" s="97" t="n"/>
      <c r="AB17" s="97" t="n"/>
      <c r="AC17" s="97" t="n"/>
      <c r="AD17" s="161" t="inlineStr">
        <is>
          <t>2026-10-14</t>
        </is>
      </c>
      <c r="AE17" s="174" t="inlineStr">
        <is>
          <t>1401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MITSUBISHI CORPORATION PLASTICS</t>
        </is>
      </c>
      <c r="AK17" s="130" t="n"/>
    </row>
    <row r="18" ht="12" customHeight="1">
      <c r="A18" s="108" t="inlineStr">
        <is>
          <t>HALU2509934</t>
        </is>
      </c>
      <c r="B18" s="108" t="inlineStr">
        <is>
          <t>LCH05</t>
        </is>
      </c>
      <c r="C18" s="108" t="inlineStr">
        <is>
          <t>IFV</t>
        </is>
      </c>
      <c r="D18" s="172" t="inlineStr">
        <is>
          <t>2026-10-13</t>
        </is>
      </c>
      <c r="E18" s="173" t="inlineStr">
        <is>
          <t>0737</t>
        </is>
      </c>
      <c r="F18" s="96" t="inlineStr">
        <is>
          <t>HASLS22261000495</t>
        </is>
      </c>
      <c r="G18" s="96" t="inlineStr">
        <is>
          <t>KORCHINA FREIGHT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HASLS22261000495</t>
        </is>
      </c>
      <c r="N18" s="96" t="inlineStr">
        <is>
          <t xml:space="preserve">40Hx1 20'x1 </t>
        </is>
      </c>
      <c r="O18" s="111" t="inlineStr">
        <is>
          <t>2025</t>
        </is>
      </c>
      <c r="P18" s="111" t="n"/>
      <c r="Q18" s="111" t="n"/>
      <c r="R18" s="96" t="inlineStr">
        <is>
          <t>KUS</t>
        </is>
      </c>
      <c r="S18" s="96" t="inlineStr">
        <is>
          <t>2616N</t>
        </is>
      </c>
      <c r="T18" s="96" t="inlineStr">
        <is>
          <t>LCH05</t>
        </is>
      </c>
      <c r="U18" s="96" t="inlineStr">
        <is>
          <t>THLCH</t>
        </is>
      </c>
      <c r="V18" s="161" t="inlineStr">
        <is>
          <t>2026-10-16</t>
        </is>
      </c>
      <c r="W18" s="96" t="inlineStr">
        <is>
          <t>KRINC</t>
        </is>
      </c>
      <c r="X18" s="161" t="inlineStr">
        <is>
          <t>2026-10-24</t>
        </is>
      </c>
      <c r="Y18" s="97" t="n"/>
      <c r="Z18" s="97" t="n"/>
      <c r="AA18" s="97" t="n"/>
      <c r="AB18" s="97" t="n"/>
      <c r="AC18" s="97" t="n"/>
      <c r="AD18" s="161" t="inlineStr">
        <is>
          <t>2026-10-13</t>
        </is>
      </c>
      <c r="AE18" s="174" t="inlineStr">
        <is>
          <t>1401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PUMAS LOGISTICS CO.,LTD.</t>
        </is>
      </c>
      <c r="AK18" s="130" t="n"/>
    </row>
    <row r="19" ht="12" customHeight="1">
      <c r="A19" s="108" t="inlineStr">
        <is>
          <t>HALU2511926</t>
        </is>
      </c>
      <c r="B19" s="108" t="inlineStr">
        <is>
          <t>LCH05</t>
        </is>
      </c>
      <c r="C19" s="108" t="inlineStr">
        <is>
          <t>IFV</t>
        </is>
      </c>
      <c r="D19" s="172" t="inlineStr">
        <is>
          <t>2026-10-14</t>
        </is>
      </c>
      <c r="E19" s="173" t="inlineStr">
        <is>
          <t>0637</t>
        </is>
      </c>
      <c r="F19" s="96" t="inlineStr">
        <is>
          <t>HASLS22260901989</t>
        </is>
      </c>
      <c r="G19" s="96" t="inlineStr">
        <is>
          <t>WHA GC LOGISTICS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HASLS22260901989</t>
        </is>
      </c>
      <c r="N19" s="96" t="inlineStr">
        <is>
          <t xml:space="preserve">20'x7 </t>
        </is>
      </c>
      <c r="O19" s="111" t="inlineStr">
        <is>
          <t>2025</t>
        </is>
      </c>
      <c r="P19" s="111" t="n"/>
      <c r="Q19" s="111" t="n"/>
      <c r="R19" s="96" t="inlineStr">
        <is>
          <t>KUS</t>
        </is>
      </c>
      <c r="S19" s="96" t="inlineStr">
        <is>
          <t>2616N</t>
        </is>
      </c>
      <c r="T19" s="96" t="inlineStr">
        <is>
          <t>LCH05</t>
        </is>
      </c>
      <c r="U19" s="96" t="inlineStr">
        <is>
          <t>THLCH</t>
        </is>
      </c>
      <c r="V19" s="161" t="inlineStr">
        <is>
          <t>2026-10-16</t>
        </is>
      </c>
      <c r="W19" s="96" t="inlineStr">
        <is>
          <t>JPUKB</t>
        </is>
      </c>
      <c r="X19" s="161" t="inlineStr">
        <is>
          <t>2026-10-26</t>
        </is>
      </c>
      <c r="Y19" s="97" t="n"/>
      <c r="Z19" s="97" t="n"/>
      <c r="AA19" s="97" t="n"/>
      <c r="AB19" s="97" t="n"/>
      <c r="AC19" s="97" t="n"/>
      <c r="AD19" s="161" t="inlineStr">
        <is>
          <t>2026-10-14</t>
        </is>
      </c>
      <c r="AE19" s="174" t="inlineStr">
        <is>
          <t>1401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MITSUBISHI CORPORATION PLASTICS</t>
        </is>
      </c>
      <c r="AK19" s="130" t="n"/>
    </row>
    <row r="20" ht="12" customHeight="1">
      <c r="A20" s="108" t="inlineStr">
        <is>
          <t>HALU2531943</t>
        </is>
      </c>
      <c r="B20" s="108" t="inlineStr">
        <is>
          <t>LCH05</t>
        </is>
      </c>
      <c r="C20" s="108" t="inlineStr">
        <is>
          <t>IFV</t>
        </is>
      </c>
      <c r="D20" s="172" t="inlineStr">
        <is>
          <t>2026-10-08</t>
        </is>
      </c>
      <c r="E20" s="173" t="inlineStr">
        <is>
          <t>1159</t>
        </is>
      </c>
      <c r="F20" s="96" t="inlineStr">
        <is>
          <t>HASLS22260900461</t>
        </is>
      </c>
      <c r="G20" s="96" t="inlineStr">
        <is>
          <t>WHA GC LOGISTICS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HASLS22260900461</t>
        </is>
      </c>
      <c r="N20" s="96" t="inlineStr">
        <is>
          <t xml:space="preserve">20'x6 </t>
        </is>
      </c>
      <c r="O20" s="111" t="inlineStr">
        <is>
          <t>2025</t>
        </is>
      </c>
      <c r="P20" s="111" t="n"/>
      <c r="Q20" s="111" t="n"/>
      <c r="R20" s="96" t="inlineStr">
        <is>
          <t>PCCP</t>
        </is>
      </c>
      <c r="S20" s="96" t="inlineStr">
        <is>
          <t>2610N</t>
        </is>
      </c>
      <c r="T20" s="96" t="inlineStr">
        <is>
          <t>LCH05</t>
        </is>
      </c>
      <c r="U20" s="96" t="inlineStr">
        <is>
          <t>THLCH</t>
        </is>
      </c>
      <c r="V20" s="161" t="inlineStr">
        <is>
          <t>2026-10-16</t>
        </is>
      </c>
      <c r="W20" s="96" t="inlineStr">
        <is>
          <t>VNSGN</t>
        </is>
      </c>
      <c r="X20" s="161" t="inlineStr">
        <is>
          <t>2026-10-17</t>
        </is>
      </c>
      <c r="Y20" s="97" t="n"/>
      <c r="Z20" s="97" t="n"/>
      <c r="AA20" s="97" t="n"/>
      <c r="AB20" s="97" t="n"/>
      <c r="AC20" s="97" t="n"/>
      <c r="AD20" s="161" t="inlineStr">
        <is>
          <t>2026-10-08</t>
        </is>
      </c>
      <c r="AE20" s="174" t="inlineStr">
        <is>
          <t>2001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 ORDER OF SACOMBANK -</t>
        </is>
      </c>
      <c r="AK20" s="130" t="n"/>
    </row>
    <row r="21" ht="12" customHeight="1">
      <c r="A21" s="108" t="inlineStr">
        <is>
          <t>HALU5660029</t>
        </is>
      </c>
      <c r="B21" s="108" t="inlineStr">
        <is>
          <t>LCH05</t>
        </is>
      </c>
      <c r="C21" s="108" t="inlineStr">
        <is>
          <t>IFV</t>
        </is>
      </c>
      <c r="D21" s="172" t="inlineStr">
        <is>
          <t>2026-10-09</t>
        </is>
      </c>
      <c r="E21" s="173" t="inlineStr">
        <is>
          <t>1924</t>
        </is>
      </c>
      <c r="F21" s="96" t="inlineStr">
        <is>
          <t>HASLS22261000130</t>
        </is>
      </c>
      <c r="G21" s="96" t="inlineStr">
        <is>
          <t>WHA GC LOGISTICS COMPANY LIMITED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HASLS22261000130</t>
        </is>
      </c>
      <c r="N21" s="96" t="inlineStr">
        <is>
          <t xml:space="preserve">40Hx1 </t>
        </is>
      </c>
      <c r="O21" s="111" t="inlineStr">
        <is>
          <t>2018</t>
        </is>
      </c>
      <c r="P21" s="111" t="n"/>
      <c r="Q21" s="111" t="n"/>
      <c r="R21" s="96" t="inlineStr">
        <is>
          <t>PCCP</t>
        </is>
      </c>
      <c r="S21" s="96" t="inlineStr">
        <is>
          <t>2610N</t>
        </is>
      </c>
      <c r="T21" s="96" t="inlineStr">
        <is>
          <t>LCH05</t>
        </is>
      </c>
      <c r="U21" s="96" t="inlineStr">
        <is>
          <t>THLCH</t>
        </is>
      </c>
      <c r="V21" s="161" t="inlineStr">
        <is>
          <t>2026-10-16</t>
        </is>
      </c>
      <c r="W21" s="96" t="inlineStr">
        <is>
          <t>VNSGN</t>
        </is>
      </c>
      <c r="X21" s="161" t="inlineStr">
        <is>
          <t>2026-10-17</t>
        </is>
      </c>
      <c r="Y21" s="97" t="n"/>
      <c r="Z21" s="97" t="n"/>
      <c r="AA21" s="97" t="n"/>
      <c r="AB21" s="97" t="n"/>
      <c r="AC21" s="97" t="n"/>
      <c r="AD21" s="161" t="inlineStr">
        <is>
          <t>2026-10-10</t>
        </is>
      </c>
      <c r="AE21" s="174" t="inlineStr">
        <is>
          <t>0201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TO ORDER OF ASIA COMMERCIAL BANK,</t>
        </is>
      </c>
      <c r="AK21" s="130" t="n"/>
    </row>
    <row r="22" ht="12" customHeight="1">
      <c r="A22" s="108" t="inlineStr">
        <is>
          <t>HALU8505900</t>
        </is>
      </c>
      <c r="B22" s="108" t="inlineStr">
        <is>
          <t>LCH05</t>
        </is>
      </c>
      <c r="C22" s="108" t="inlineStr">
        <is>
          <t>IFV</t>
        </is>
      </c>
      <c r="D22" s="172" t="inlineStr">
        <is>
          <t>2026-10-08</t>
        </is>
      </c>
      <c r="E22" s="173" t="inlineStr">
        <is>
          <t>1738</t>
        </is>
      </c>
      <c r="F22" s="96" t="inlineStr">
        <is>
          <t>HASLS22260902175</t>
        </is>
      </c>
      <c r="G22" s="96" t="inlineStr">
        <is>
          <t>KODAI (THAILAND) CO., LTD.</t>
        </is>
      </c>
      <c r="H22" s="111" t="inlineStr">
        <is>
          <t>45RE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HASLS22260902175</t>
        </is>
      </c>
      <c r="N22" s="96" t="inlineStr">
        <is>
          <t xml:space="preserve">R40Hx2 </t>
        </is>
      </c>
      <c r="O22" s="111" t="inlineStr">
        <is>
          <t>2025</t>
        </is>
      </c>
      <c r="P22" s="111" t="inlineStr">
        <is>
          <t>CARRIER</t>
        </is>
      </c>
      <c r="Q22" s="111" t="inlineStr">
        <is>
          <t>69NT40-571-112</t>
        </is>
      </c>
      <c r="R22" s="96" t="inlineStr">
        <is>
          <t>PCCP</t>
        </is>
      </c>
      <c r="S22" s="96" t="inlineStr">
        <is>
          <t>2610N</t>
        </is>
      </c>
      <c r="T22" s="96" t="inlineStr">
        <is>
          <t>LCH05</t>
        </is>
      </c>
      <c r="U22" s="96" t="inlineStr">
        <is>
          <t>THLCH</t>
        </is>
      </c>
      <c r="V22" s="161" t="inlineStr">
        <is>
          <t>2026-10-16</t>
        </is>
      </c>
      <c r="W22" s="96" t="inlineStr">
        <is>
          <t>JPISS</t>
        </is>
      </c>
      <c r="X22" s="161" t="inlineStr">
        <is>
          <t>2026-10-26</t>
        </is>
      </c>
      <c r="Y22" s="97" t="n"/>
      <c r="Z22" s="97" t="n"/>
      <c r="AA22" s="97" t="n"/>
      <c r="AB22" s="97" t="n"/>
      <c r="AC22" s="97" t="n"/>
      <c r="AD22" s="161" t="inlineStr">
        <is>
          <t>2026-10-09</t>
        </is>
      </c>
      <c r="AE22" s="174" t="inlineStr">
        <is>
          <t>0201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KODAI COMPANY LTD.</t>
        </is>
      </c>
      <c r="AK22" s="130" t="n"/>
    </row>
    <row r="23" ht="12" customHeight="1">
      <c r="A23" s="108" t="inlineStr">
        <is>
          <t>HLHU8333961</t>
        </is>
      </c>
      <c r="B23" s="108" t="inlineStr">
        <is>
          <t>LCH05</t>
        </is>
      </c>
      <c r="C23" s="108" t="inlineStr">
        <is>
          <t>IFV</t>
        </is>
      </c>
      <c r="D23" s="172" t="inlineStr">
        <is>
          <t>2026-10-13</t>
        </is>
      </c>
      <c r="E23" s="173" t="inlineStr">
        <is>
          <t>0705</t>
        </is>
      </c>
      <c r="F23" s="96" t="inlineStr">
        <is>
          <t>HASLS22260902851</t>
        </is>
      </c>
      <c r="G23" s="96" t="inlineStr">
        <is>
          <t>TOSHIBA LOGISTICS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HASLS22260902851</t>
        </is>
      </c>
      <c r="N23" s="96" t="inlineStr">
        <is>
          <t xml:space="preserve">40Hx4 </t>
        </is>
      </c>
      <c r="O23" s="111" t="inlineStr">
        <is>
          <t>2023</t>
        </is>
      </c>
      <c r="P23" s="111" t="n"/>
      <c r="Q23" s="111" t="n"/>
      <c r="R23" s="96" t="inlineStr">
        <is>
          <t>KUS</t>
        </is>
      </c>
      <c r="S23" s="96" t="inlineStr">
        <is>
          <t>2616N</t>
        </is>
      </c>
      <c r="T23" s="96" t="inlineStr">
        <is>
          <t>LCH05</t>
        </is>
      </c>
      <c r="U23" s="96" t="inlineStr">
        <is>
          <t>THLCH</t>
        </is>
      </c>
      <c r="V23" s="161" t="inlineStr">
        <is>
          <t>2026-10-16</t>
        </is>
      </c>
      <c r="W23" s="96" t="inlineStr">
        <is>
          <t>VNSGN</t>
        </is>
      </c>
      <c r="X23" s="161" t="inlineStr">
        <is>
          <t>2026-10-17</t>
        </is>
      </c>
      <c r="Y23" s="97" t="n"/>
      <c r="Z23" s="97" t="n"/>
      <c r="AA23" s="97" t="n"/>
      <c r="AB23" s="97" t="n"/>
      <c r="AC23" s="97" t="n"/>
      <c r="AD23" s="161" t="inlineStr">
        <is>
          <t>2026-10-13</t>
        </is>
      </c>
      <c r="AE23" s="174" t="inlineStr">
        <is>
          <t>1401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TOSHIBA LOGISTICS VIETNAM CO.,LTD.</t>
        </is>
      </c>
      <c r="AK23" s="130" t="n"/>
    </row>
    <row r="24" ht="12" customHeight="1">
      <c r="A24" s="108" t="inlineStr">
        <is>
          <t>HLHU8477228</t>
        </is>
      </c>
      <c r="B24" s="108" t="inlineStr">
        <is>
          <t>LCH05</t>
        </is>
      </c>
      <c r="C24" s="108" t="inlineStr">
        <is>
          <t>IFV</t>
        </is>
      </c>
      <c r="D24" s="172" t="inlineStr">
        <is>
          <t>2026-10-12</t>
        </is>
      </c>
      <c r="E24" s="173" t="inlineStr">
        <is>
          <t>2022</t>
        </is>
      </c>
      <c r="F24" s="96" t="inlineStr">
        <is>
          <t>HASLS22261000495</t>
        </is>
      </c>
      <c r="G24" s="96" t="inlineStr">
        <is>
          <t>KORCHINA FREIGHT (THAILAND)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HASLS22261000495</t>
        </is>
      </c>
      <c r="N24" s="96" t="inlineStr">
        <is>
          <t xml:space="preserve">40Hx1 20'x1 </t>
        </is>
      </c>
      <c r="O24" s="111" t="inlineStr">
        <is>
          <t>2024</t>
        </is>
      </c>
      <c r="P24" s="111" t="n"/>
      <c r="Q24" s="111" t="n"/>
      <c r="R24" s="96" t="inlineStr">
        <is>
          <t>KUS</t>
        </is>
      </c>
      <c r="S24" s="96" t="inlineStr">
        <is>
          <t>2616N</t>
        </is>
      </c>
      <c r="T24" s="96" t="inlineStr">
        <is>
          <t>LCH05</t>
        </is>
      </c>
      <c r="U24" s="96" t="inlineStr">
        <is>
          <t>THLCH</t>
        </is>
      </c>
      <c r="V24" s="161" t="inlineStr">
        <is>
          <t>2026-10-16</t>
        </is>
      </c>
      <c r="W24" s="96" t="inlineStr">
        <is>
          <t>KRINC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2026-10-13</t>
        </is>
      </c>
      <c r="AE24" s="174" t="inlineStr">
        <is>
          <t>0201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PUMAS LOGISTICS CO.,LTD.</t>
        </is>
      </c>
      <c r="AK24" s="130" t="n"/>
    </row>
    <row r="25" ht="12" customHeight="1">
      <c r="A25" s="108" t="inlineStr">
        <is>
          <t>HLHU8518327</t>
        </is>
      </c>
      <c r="B25" s="108" t="inlineStr">
        <is>
          <t>LCH05</t>
        </is>
      </c>
      <c r="C25" s="108" t="inlineStr">
        <is>
          <t>IFV</t>
        </is>
      </c>
      <c r="D25" s="172" t="inlineStr">
        <is>
          <t>2026-10-12</t>
        </is>
      </c>
      <c r="E25" s="173" t="inlineStr">
        <is>
          <t>1718</t>
        </is>
      </c>
      <c r="F25" s="96" t="inlineStr">
        <is>
          <t>HASLS22260902787</t>
        </is>
      </c>
      <c r="G25" s="96" t="inlineStr">
        <is>
          <t>CARGO NETWORK DELIVERY (THAILAND) CO., 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HASLS22260902787</t>
        </is>
      </c>
      <c r="N25" s="96" t="inlineStr">
        <is>
          <t xml:space="preserve">40Hx1 </t>
        </is>
      </c>
      <c r="O25" s="111" t="inlineStr">
        <is>
          <t>2025</t>
        </is>
      </c>
      <c r="P25" s="111" t="n"/>
      <c r="Q25" s="111" t="n"/>
      <c r="R25" s="96" t="inlineStr">
        <is>
          <t>KUS</t>
        </is>
      </c>
      <c r="S25" s="96" t="inlineStr">
        <is>
          <t>2616N</t>
        </is>
      </c>
      <c r="T25" s="96" t="inlineStr">
        <is>
          <t>LCH05</t>
        </is>
      </c>
      <c r="U25" s="96" t="inlineStr">
        <is>
          <t>THLCH</t>
        </is>
      </c>
      <c r="V25" s="161" t="inlineStr">
        <is>
          <t>2026-10-16</t>
        </is>
      </c>
      <c r="W25" s="96" t="inlineStr">
        <is>
          <t>KRINC</t>
        </is>
      </c>
      <c r="X25" s="161" t="inlineStr">
        <is>
          <t>2026-10-24</t>
        </is>
      </c>
      <c r="Y25" s="97" t="n"/>
      <c r="Z25" s="97" t="n"/>
      <c r="AA25" s="97" t="n"/>
      <c r="AB25" s="97" t="n"/>
      <c r="AC25" s="97" t="n"/>
      <c r="AD25" s="161" t="inlineStr">
        <is>
          <t>2026-10-12</t>
        </is>
      </c>
      <c r="AE25" s="174" t="inlineStr">
        <is>
          <t>2001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TO THE ORDER OF KEB HANA BANK</t>
        </is>
      </c>
      <c r="AK25" s="130" t="n"/>
    </row>
    <row r="26" ht="12" customHeight="1">
      <c r="A26" s="108" t="inlineStr">
        <is>
          <t>SEKU4974727</t>
        </is>
      </c>
      <c r="B26" s="108" t="inlineStr">
        <is>
          <t>LCH05</t>
        </is>
      </c>
      <c r="C26" s="108" t="inlineStr">
        <is>
          <t>IFV</t>
        </is>
      </c>
      <c r="D26" s="172" t="inlineStr">
        <is>
          <t>2026-10-08</t>
        </is>
      </c>
      <c r="E26" s="173" t="inlineStr">
        <is>
          <t>0634</t>
        </is>
      </c>
      <c r="F26" s="96" t="inlineStr">
        <is>
          <t>HASLS22260902463</t>
        </is>
      </c>
      <c r="G26" s="96" t="inlineStr">
        <is>
          <t>SCGJWD LOGISTICS PUBLIC COMPANY LIMITED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HASLS22260902463</t>
        </is>
      </c>
      <c r="N26" s="96" t="inlineStr">
        <is>
          <t xml:space="preserve">40Hx1 </t>
        </is>
      </c>
      <c r="O26" s="111" t="inlineStr">
        <is>
          <t>2021</t>
        </is>
      </c>
      <c r="P26" s="111" t="n"/>
      <c r="Q26" s="111" t="n"/>
      <c r="R26" s="96" t="inlineStr">
        <is>
          <t>PCCP</t>
        </is>
      </c>
      <c r="S26" s="96" t="inlineStr">
        <is>
          <t>2610N</t>
        </is>
      </c>
      <c r="T26" s="96" t="inlineStr">
        <is>
          <t>LCH05</t>
        </is>
      </c>
      <c r="U26" s="96" t="inlineStr">
        <is>
          <t>THLCH</t>
        </is>
      </c>
      <c r="V26" s="161" t="inlineStr">
        <is>
          <t>2026-10-16</t>
        </is>
      </c>
      <c r="W26" s="96" t="inlineStr">
        <is>
          <t>KRPUS</t>
        </is>
      </c>
      <c r="X26" s="161" t="inlineStr">
        <is>
          <t>2026-10-26</t>
        </is>
      </c>
      <c r="Y26" s="97" t="n"/>
      <c r="Z26" s="97" t="n"/>
      <c r="AA26" s="97" t="n"/>
      <c r="AB26" s="97" t="n"/>
      <c r="AC26" s="97" t="n"/>
      <c r="AD26" s="161" t="inlineStr">
        <is>
          <t>2026-10-08</t>
        </is>
      </c>
      <c r="AE26" s="174" t="inlineStr">
        <is>
          <t>1401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INTECHNOLOGY CO., LTD.</t>
        </is>
      </c>
      <c r="AK26" s="130" t="n"/>
    </row>
    <row r="27" ht="12" customHeight="1">
      <c r="A27" s="108" t="inlineStr">
        <is>
          <t>SEKU4984514</t>
        </is>
      </c>
      <c r="B27" s="108" t="inlineStr">
        <is>
          <t>LCH05</t>
        </is>
      </c>
      <c r="C27" s="108" t="inlineStr">
        <is>
          <t>IFV</t>
        </is>
      </c>
      <c r="D27" s="172" t="inlineStr">
        <is>
          <t>2026-10-08</t>
        </is>
      </c>
      <c r="E27" s="173" t="inlineStr">
        <is>
          <t>2118</t>
        </is>
      </c>
      <c r="F27" s="96" t="inlineStr">
        <is>
          <t>HASLS22260902226</t>
        </is>
      </c>
      <c r="G27" s="96" t="inlineStr">
        <is>
          <t>STAR CONCORD (THAILAND) CO., 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HASLS22260902226</t>
        </is>
      </c>
      <c r="N27" s="96" t="inlineStr">
        <is>
          <t xml:space="preserve">40Hx1 </t>
        </is>
      </c>
      <c r="O27" s="111" t="inlineStr">
        <is>
          <t>2021</t>
        </is>
      </c>
      <c r="P27" s="111" t="n"/>
      <c r="Q27" s="111" t="n"/>
      <c r="R27" s="96" t="inlineStr">
        <is>
          <t>PCCP</t>
        </is>
      </c>
      <c r="S27" s="96" t="inlineStr">
        <is>
          <t>2610N</t>
        </is>
      </c>
      <c r="T27" s="96" t="inlineStr">
        <is>
          <t>LCH05</t>
        </is>
      </c>
      <c r="U27" s="96" t="inlineStr">
        <is>
          <t>THLCH</t>
        </is>
      </c>
      <c r="V27" s="161" t="inlineStr">
        <is>
          <t>2026-10-16</t>
        </is>
      </c>
      <c r="W27" s="96" t="inlineStr">
        <is>
          <t>VNSGN</t>
        </is>
      </c>
      <c r="X27" s="161" t="inlineStr">
        <is>
          <t>2026-10-17</t>
        </is>
      </c>
      <c r="Y27" s="97" t="n"/>
      <c r="Z27" s="97" t="n"/>
      <c r="AA27" s="97" t="n"/>
      <c r="AB27" s="97" t="n"/>
      <c r="AC27" s="97" t="n"/>
      <c r="AD27" s="161" t="inlineStr">
        <is>
          <t>2026-10-09</t>
        </is>
      </c>
      <c r="AE27" s="174" t="inlineStr">
        <is>
          <t>0201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STAR CONCORD (VIETNAM) CO., LTD.</t>
        </is>
      </c>
      <c r="AK27" s="130" t="n"/>
    </row>
    <row r="28" ht="12" customHeight="1">
      <c r="A28" s="108" t="inlineStr">
        <is>
          <t>SKHU6329996</t>
        </is>
      </c>
      <c r="B28" s="108" t="inlineStr">
        <is>
          <t>LCH05</t>
        </is>
      </c>
      <c r="C28" s="108" t="inlineStr">
        <is>
          <t>IFV</t>
        </is>
      </c>
      <c r="D28" s="172" t="inlineStr">
        <is>
          <t>2026-10-13</t>
        </is>
      </c>
      <c r="E28" s="173" t="inlineStr">
        <is>
          <t>1058</t>
        </is>
      </c>
      <c r="F28" s="96" t="inlineStr">
        <is>
          <t>HASLS22260901068</t>
        </is>
      </c>
      <c r="G28" s="96" t="inlineStr">
        <is>
          <t>SINTOP INTERNATIONAL (THAILAND) CO., 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HASLS22260901068</t>
        </is>
      </c>
      <c r="N28" s="96" t="inlineStr">
        <is>
          <t xml:space="preserve">40Hx1 </t>
        </is>
      </c>
      <c r="O28" s="111" t="inlineStr">
        <is>
          <t>2023</t>
        </is>
      </c>
      <c r="P28" s="111" t="n"/>
      <c r="Q28" s="111" t="n"/>
      <c r="R28" s="96" t="inlineStr">
        <is>
          <t>KUS</t>
        </is>
      </c>
      <c r="S28" s="96" t="inlineStr">
        <is>
          <t>2616N</t>
        </is>
      </c>
      <c r="T28" s="96" t="inlineStr">
        <is>
          <t>LCH05</t>
        </is>
      </c>
      <c r="U28" s="96" t="inlineStr">
        <is>
          <t>THLCH</t>
        </is>
      </c>
      <c r="V28" s="161" t="inlineStr">
        <is>
          <t>2026-10-16</t>
        </is>
      </c>
      <c r="W28" s="96" t="inlineStr">
        <is>
          <t>KRINC</t>
        </is>
      </c>
      <c r="X28" s="161" t="inlineStr">
        <is>
          <t>2026-10-24</t>
        </is>
      </c>
      <c r="Y28" s="97" t="n"/>
      <c r="Z28" s="97" t="n"/>
      <c r="AA28" s="97" t="n"/>
      <c r="AB28" s="97" t="n"/>
      <c r="AC28" s="97" t="n"/>
      <c r="AD28" s="161" t="inlineStr">
        <is>
          <t>2026-10-13</t>
        </is>
      </c>
      <c r="AE28" s="174" t="inlineStr">
        <is>
          <t>2001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KS WAYS CO.,LTD</t>
        </is>
      </c>
      <c r="AK28" s="130" t="n"/>
    </row>
    <row r="29" ht="12" customHeight="1">
      <c r="A29" s="108" t="inlineStr">
        <is>
          <t>SKHU6421084</t>
        </is>
      </c>
      <c r="B29" s="108" t="inlineStr">
        <is>
          <t>LCH05</t>
        </is>
      </c>
      <c r="C29" s="108" t="inlineStr">
        <is>
          <t>IFV</t>
        </is>
      </c>
      <c r="D29" s="172" t="inlineStr">
        <is>
          <t>2026-10-13</t>
        </is>
      </c>
      <c r="E29" s="173" t="inlineStr">
        <is>
          <t>1525</t>
        </is>
      </c>
      <c r="F29" s="96" t="inlineStr">
        <is>
          <t>HASLS22261000112</t>
        </is>
      </c>
      <c r="G29" s="96" t="inlineStr">
        <is>
          <t>CANVAS GLOBAL LOGISTICS (THAILAND)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HASLS22261000112</t>
        </is>
      </c>
      <c r="N29" s="96" t="inlineStr">
        <is>
          <t xml:space="preserve">40Hx1 </t>
        </is>
      </c>
      <c r="O29" s="111" t="inlineStr">
        <is>
          <t>2024</t>
        </is>
      </c>
      <c r="P29" s="111" t="n"/>
      <c r="Q29" s="111" t="n"/>
      <c r="R29" s="96" t="inlineStr">
        <is>
          <t>KUS</t>
        </is>
      </c>
      <c r="S29" s="96" t="inlineStr">
        <is>
          <t>2616N</t>
        </is>
      </c>
      <c r="T29" s="96" t="inlineStr">
        <is>
          <t>LCH05</t>
        </is>
      </c>
      <c r="U29" s="96" t="inlineStr">
        <is>
          <t>THLCH</t>
        </is>
      </c>
      <c r="V29" s="161" t="inlineStr">
        <is>
          <t>2026-10-16</t>
        </is>
      </c>
      <c r="W29" s="96" t="inlineStr">
        <is>
          <t>KRINC</t>
        </is>
      </c>
      <c r="X29" s="161" t="inlineStr">
        <is>
          <t>2026-10-24</t>
        </is>
      </c>
      <c r="Y29" s="97" t="n"/>
      <c r="Z29" s="97" t="n"/>
      <c r="AA29" s="97" t="n"/>
      <c r="AB29" s="97" t="n"/>
      <c r="AC29" s="97" t="n"/>
      <c r="AD29" s="161" t="inlineStr">
        <is>
          <t>2026-10-13</t>
        </is>
      </c>
      <c r="AE29" s="174" t="inlineStr">
        <is>
          <t>2001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RAPHA CO.,LTD</t>
        </is>
      </c>
      <c r="AK29" s="130" t="n"/>
    </row>
    <row r="30" ht="12" customHeight="1">
      <c r="A30" s="108" t="inlineStr">
        <is>
          <t>SKHU6472203</t>
        </is>
      </c>
      <c r="B30" s="108" t="inlineStr">
        <is>
          <t>LCH05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0836</t>
        </is>
      </c>
      <c r="F30" s="96" t="inlineStr">
        <is>
          <t>HASLS22260901905</t>
        </is>
      </c>
      <c r="G30" s="96" t="inlineStr">
        <is>
          <t>RICH FREIGHT FORWARDER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HASLS22260901905</t>
        </is>
      </c>
      <c r="N30" s="96" t="inlineStr">
        <is>
          <t xml:space="preserve">40Hx1 </t>
        </is>
      </c>
      <c r="O30" s="111" t="inlineStr">
        <is>
          <t>2024</t>
        </is>
      </c>
      <c r="P30" s="111" t="n"/>
      <c r="Q30" s="111" t="n"/>
      <c r="R30" s="96" t="inlineStr">
        <is>
          <t>KUS</t>
        </is>
      </c>
      <c r="S30" s="96" t="inlineStr">
        <is>
          <t>2616N</t>
        </is>
      </c>
      <c r="T30" s="96" t="inlineStr">
        <is>
          <t>LCH05</t>
        </is>
      </c>
      <c r="U30" s="96" t="inlineStr">
        <is>
          <t>THLCH</t>
        </is>
      </c>
      <c r="V30" s="161" t="inlineStr">
        <is>
          <t>2026-10-16</t>
        </is>
      </c>
      <c r="W30" s="96" t="inlineStr">
        <is>
          <t>RUVVO</t>
        </is>
      </c>
      <c r="X30" s="161" t="inlineStr">
        <is>
          <t>2026-10-26</t>
        </is>
      </c>
      <c r="Y30" s="97" t="n"/>
      <c r="Z30" s="97" t="n"/>
      <c r="AA30" s="97" t="n"/>
      <c r="AB30" s="97" t="n"/>
      <c r="AC30" s="97" t="n"/>
      <c r="AD30" s="161" t="inlineStr">
        <is>
          <t>2026-10-13</t>
        </is>
      </c>
      <c r="AE30" s="174" t="inlineStr">
        <is>
          <t>1401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INDIVIDUAL ENTREPRENEUR EVGENII</t>
        </is>
      </c>
      <c r="AK30" s="130" t="n"/>
    </row>
    <row r="31" ht="12" customHeight="1">
      <c r="A31" s="108" t="inlineStr">
        <is>
          <t>SKHU6544880</t>
        </is>
      </c>
      <c r="B31" s="108" t="inlineStr">
        <is>
          <t>LCH05</t>
        </is>
      </c>
      <c r="C31" s="108" t="inlineStr">
        <is>
          <t>IFV</t>
        </is>
      </c>
      <c r="D31" s="172" t="inlineStr">
        <is>
          <t>2026-10-08</t>
        </is>
      </c>
      <c r="E31" s="173" t="inlineStr">
        <is>
          <t>1714</t>
        </is>
      </c>
      <c r="F31" s="96" t="inlineStr">
        <is>
          <t>HASLS22260902231</t>
        </is>
      </c>
      <c r="G31" s="96" t="inlineStr">
        <is>
          <t>EAST-LINK CORPORATION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HASLS22260902231</t>
        </is>
      </c>
      <c r="N31" s="96" t="inlineStr">
        <is>
          <t xml:space="preserve">40Hx2 </t>
        </is>
      </c>
      <c r="O31" s="111" t="inlineStr">
        <is>
          <t>2025</t>
        </is>
      </c>
      <c r="P31" s="111" t="n"/>
      <c r="Q31" s="111" t="n"/>
      <c r="R31" s="96" t="inlineStr">
        <is>
          <t>PCCP</t>
        </is>
      </c>
      <c r="S31" s="96" t="inlineStr">
        <is>
          <t>2610N</t>
        </is>
      </c>
      <c r="T31" s="96" t="inlineStr">
        <is>
          <t>LCH05</t>
        </is>
      </c>
      <c r="U31" s="96" t="inlineStr">
        <is>
          <t>THLCH</t>
        </is>
      </c>
      <c r="V31" s="161" t="inlineStr">
        <is>
          <t>2026-10-16</t>
        </is>
      </c>
      <c r="W31" s="96" t="inlineStr">
        <is>
          <t>VNSGN</t>
        </is>
      </c>
      <c r="X31" s="161" t="inlineStr">
        <is>
          <t>2026-10-17</t>
        </is>
      </c>
      <c r="Y31" s="97" t="n"/>
      <c r="Z31" s="97" t="n"/>
      <c r="AA31" s="97" t="n"/>
      <c r="AB31" s="97" t="n"/>
      <c r="AC31" s="97" t="n"/>
      <c r="AD31" s="161" t="inlineStr">
        <is>
          <t>2026-10-09</t>
        </is>
      </c>
      <c r="AE31" s="174" t="inlineStr">
        <is>
          <t>0201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DOLPHIN SEA AIR SERVICES</t>
        </is>
      </c>
      <c r="AK31" s="130" t="n"/>
    </row>
    <row r="32" ht="12" customHeight="1">
      <c r="A32" s="108" t="inlineStr">
        <is>
          <t>SKHU9209660</t>
        </is>
      </c>
      <c r="B32" s="108" t="inlineStr">
        <is>
          <t>LCH05</t>
        </is>
      </c>
      <c r="C32" s="108" t="inlineStr">
        <is>
          <t>IFV</t>
        </is>
      </c>
      <c r="D32" s="172" t="inlineStr">
        <is>
          <t>2026-10-08</t>
        </is>
      </c>
      <c r="E32" s="173" t="inlineStr">
        <is>
          <t>0254</t>
        </is>
      </c>
      <c r="F32" s="96" t="inlineStr">
        <is>
          <t>HASLS22260902465</t>
        </is>
      </c>
      <c r="G32" s="96" t="inlineStr">
        <is>
          <t>WHA GC LOGISTICS COMPANY LIMITED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HASLS22260902465</t>
        </is>
      </c>
      <c r="N32" s="96" t="inlineStr">
        <is>
          <t xml:space="preserve">40Hx1 </t>
        </is>
      </c>
      <c r="O32" s="111" t="inlineStr">
        <is>
          <t>2012</t>
        </is>
      </c>
      <c r="P32" s="111" t="n"/>
      <c r="Q32" s="111" t="n"/>
      <c r="R32" s="96" t="inlineStr">
        <is>
          <t>PCCP</t>
        </is>
      </c>
      <c r="S32" s="96" t="inlineStr">
        <is>
          <t>2610N</t>
        </is>
      </c>
      <c r="T32" s="96" t="inlineStr">
        <is>
          <t>LCH05</t>
        </is>
      </c>
      <c r="U32" s="96" t="inlineStr">
        <is>
          <t>THLCH</t>
        </is>
      </c>
      <c r="V32" s="161" t="inlineStr">
        <is>
          <t>2026-10-16</t>
        </is>
      </c>
      <c r="W32" s="96" t="inlineStr">
        <is>
          <t>JPHKT</t>
        </is>
      </c>
      <c r="X32" s="161" t="inlineStr">
        <is>
          <t>2026-10-26</t>
        </is>
      </c>
      <c r="Y32" s="97" t="n"/>
      <c r="Z32" s="97" t="n"/>
      <c r="AA32" s="97" t="n"/>
      <c r="AB32" s="97" t="n"/>
      <c r="AC32" s="97" t="n"/>
      <c r="AD32" s="161" t="inlineStr">
        <is>
          <t>2026-10-08</t>
        </is>
      </c>
      <c r="AE32" s="174" t="inlineStr">
        <is>
          <t>0801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MARUBENI INNOVEXIS CORPORATION</t>
        </is>
      </c>
      <c r="AK32" s="130" t="n"/>
    </row>
    <row r="33" ht="12" customHeight="1">
      <c r="A33" s="108" t="inlineStr">
        <is>
          <t>SKHU9600247</t>
        </is>
      </c>
      <c r="B33" s="108" t="inlineStr">
        <is>
          <t>LCH05</t>
        </is>
      </c>
      <c r="C33" s="108" t="inlineStr">
        <is>
          <t>IFV</t>
        </is>
      </c>
      <c r="D33" s="172" t="inlineStr">
        <is>
          <t>2026-10-13</t>
        </is>
      </c>
      <c r="E33" s="173" t="inlineStr">
        <is>
          <t>0247</t>
        </is>
      </c>
      <c r="F33" s="96" t="inlineStr">
        <is>
          <t>HASLS22260902851</t>
        </is>
      </c>
      <c r="G33" s="96" t="inlineStr">
        <is>
          <t>TOSHIBA LOGISTICS (THAILAND) CO., 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HASLS22260902851</t>
        </is>
      </c>
      <c r="N33" s="96" t="inlineStr">
        <is>
          <t xml:space="preserve">40Hx4 </t>
        </is>
      </c>
      <c r="O33" s="111" t="inlineStr">
        <is>
          <t>2016</t>
        </is>
      </c>
      <c r="P33" s="111" t="n"/>
      <c r="Q33" s="111" t="n"/>
      <c r="R33" s="96" t="inlineStr">
        <is>
          <t>KUS</t>
        </is>
      </c>
      <c r="S33" s="96" t="inlineStr">
        <is>
          <t>2616N</t>
        </is>
      </c>
      <c r="T33" s="96" t="inlineStr">
        <is>
          <t>LCH05</t>
        </is>
      </c>
      <c r="U33" s="96" t="inlineStr">
        <is>
          <t>THLCH</t>
        </is>
      </c>
      <c r="V33" s="161" t="inlineStr">
        <is>
          <t>2026-10-16</t>
        </is>
      </c>
      <c r="W33" s="96" t="inlineStr">
        <is>
          <t>VNSGN</t>
        </is>
      </c>
      <c r="X33" s="161" t="inlineStr">
        <is>
          <t>2026-10-17</t>
        </is>
      </c>
      <c r="Y33" s="97" t="n"/>
      <c r="Z33" s="97" t="n"/>
      <c r="AA33" s="97" t="n"/>
      <c r="AB33" s="97" t="n"/>
      <c r="AC33" s="97" t="n"/>
      <c r="AD33" s="161" t="inlineStr">
        <is>
          <t>2026-10-13</t>
        </is>
      </c>
      <c r="AE33" s="174" t="inlineStr">
        <is>
          <t>0802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TOSHIBA LOGISTICS VIETNAM CO.,LTD.</t>
        </is>
      </c>
      <c r="AK33" s="130" t="n"/>
    </row>
    <row r="34" ht="12" customHeight="1">
      <c r="A34" s="108" t="inlineStr">
        <is>
          <t>SKHU9827586</t>
        </is>
      </c>
      <c r="B34" s="108" t="inlineStr">
        <is>
          <t>LCH05</t>
        </is>
      </c>
      <c r="C34" s="108" t="inlineStr">
        <is>
          <t>IFV</t>
        </is>
      </c>
      <c r="D34" s="172" t="inlineStr">
        <is>
          <t>2026-10-12</t>
        </is>
      </c>
      <c r="E34" s="173" t="inlineStr">
        <is>
          <t>2045</t>
        </is>
      </c>
      <c r="F34" s="96" t="inlineStr">
        <is>
          <t>HASLS22260902788</t>
        </is>
      </c>
      <c r="G34" s="96" t="inlineStr">
        <is>
          <t>CARGO NETWORK DELIVERY (THAILAND) CO., 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HASLS22260902788</t>
        </is>
      </c>
      <c r="N34" s="96" t="inlineStr">
        <is>
          <t xml:space="preserve">40Hx1 </t>
        </is>
      </c>
      <c r="O34" s="111" t="inlineStr">
        <is>
          <t>2018</t>
        </is>
      </c>
      <c r="P34" s="111" t="n"/>
      <c r="Q34" s="111" t="n"/>
      <c r="R34" s="96" t="inlineStr">
        <is>
          <t>KUS</t>
        </is>
      </c>
      <c r="S34" s="96" t="inlineStr">
        <is>
          <t>2616N</t>
        </is>
      </c>
      <c r="T34" s="96" t="inlineStr">
        <is>
          <t>LCH05</t>
        </is>
      </c>
      <c r="U34" s="96" t="inlineStr">
        <is>
          <t>THLCH</t>
        </is>
      </c>
      <c r="V34" s="161" t="inlineStr">
        <is>
          <t>2026-10-16</t>
        </is>
      </c>
      <c r="W34" s="96" t="inlineStr">
        <is>
          <t>KRINC</t>
        </is>
      </c>
      <c r="X34" s="161" t="inlineStr">
        <is>
          <t>2026-10-24</t>
        </is>
      </c>
      <c r="Y34" s="97" t="n"/>
      <c r="Z34" s="97" t="n"/>
      <c r="AA34" s="97" t="n"/>
      <c r="AB34" s="97" t="n"/>
      <c r="AC34" s="97" t="n"/>
      <c r="AD34" s="161" t="inlineStr">
        <is>
          <t>2026-10-13</t>
        </is>
      </c>
      <c r="AE34" s="174" t="inlineStr">
        <is>
          <t>0201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TO THE ORDER OF KEB HANA BANK</t>
        </is>
      </c>
      <c r="AK34" s="130" t="n"/>
    </row>
    <row r="35" ht="12" customHeight="1">
      <c r="A35" s="108" t="inlineStr">
        <is>
          <t>SKHU9915141</t>
        </is>
      </c>
      <c r="B35" s="108" t="inlineStr">
        <is>
          <t>LCH05</t>
        </is>
      </c>
      <c r="C35" s="108" t="inlineStr">
        <is>
          <t>IFV</t>
        </is>
      </c>
      <c r="D35" s="172" t="inlineStr">
        <is>
          <t>2026-10-10</t>
        </is>
      </c>
      <c r="E35" s="173" t="inlineStr">
        <is>
          <t>0146</t>
        </is>
      </c>
      <c r="F35" s="96" t="inlineStr">
        <is>
          <t>HASLS22260902757</t>
        </is>
      </c>
      <c r="G35" s="96" t="inlineStr">
        <is>
          <t>WHA GC LOGISTICS COMPANY LIMITED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HASLS22260902757</t>
        </is>
      </c>
      <c r="N35" s="96" t="inlineStr">
        <is>
          <t xml:space="preserve">40Hx2 </t>
        </is>
      </c>
      <c r="O35" s="111" t="inlineStr">
        <is>
          <t>2019</t>
        </is>
      </c>
      <c r="P35" s="111" t="n"/>
      <c r="Q35" s="111" t="n"/>
      <c r="R35" s="96" t="inlineStr">
        <is>
          <t>PCCP</t>
        </is>
      </c>
      <c r="S35" s="96" t="inlineStr">
        <is>
          <t>2610N</t>
        </is>
      </c>
      <c r="T35" s="96" t="inlineStr">
        <is>
          <t>LCH05</t>
        </is>
      </c>
      <c r="U35" s="96" t="inlineStr">
        <is>
          <t>THLCH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2026-10-17</t>
        </is>
      </c>
      <c r="Y35" s="97" t="n"/>
      <c r="Z35" s="97" t="n"/>
      <c r="AA35" s="97" t="n"/>
      <c r="AB35" s="97" t="n"/>
      <c r="AC35" s="97" t="n"/>
      <c r="AD35" s="161" t="inlineStr">
        <is>
          <t>2026-10-10</t>
        </is>
      </c>
      <c r="AE35" s="174" t="inlineStr">
        <is>
          <t>0801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C&amp;H VINA CO.,LTD</t>
        </is>
      </c>
      <c r="AK35" s="130" t="n"/>
    </row>
    <row r="36" ht="12" customHeight="1">
      <c r="A36" s="108" t="inlineStr">
        <is>
          <t>SKHU9972368</t>
        </is>
      </c>
      <c r="B36" s="108" t="inlineStr">
        <is>
          <t>LCH05</t>
        </is>
      </c>
      <c r="C36" s="108" t="inlineStr">
        <is>
          <t>IFV</t>
        </is>
      </c>
      <c r="D36" s="172" t="inlineStr">
        <is>
          <t>2026-10-10</t>
        </is>
      </c>
      <c r="E36" s="173" t="inlineStr">
        <is>
          <t>0130</t>
        </is>
      </c>
      <c r="F36" s="96" t="inlineStr">
        <is>
          <t>HASLS22260902757</t>
        </is>
      </c>
      <c r="G36" s="96" t="inlineStr">
        <is>
          <t>WHA GC LOGISTICS COMPANY LIMITED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HASLS22260902757</t>
        </is>
      </c>
      <c r="N36" s="96" t="inlineStr">
        <is>
          <t xml:space="preserve">40Hx2 </t>
        </is>
      </c>
      <c r="O36" s="111" t="inlineStr">
        <is>
          <t>2019</t>
        </is>
      </c>
      <c r="P36" s="111" t="n"/>
      <c r="Q36" s="111" t="n"/>
      <c r="R36" s="96" t="inlineStr">
        <is>
          <t>PCCP</t>
        </is>
      </c>
      <c r="S36" s="96" t="inlineStr">
        <is>
          <t>2610N</t>
        </is>
      </c>
      <c r="T36" s="96" t="inlineStr">
        <is>
          <t>LCH05</t>
        </is>
      </c>
      <c r="U36" s="96" t="inlineStr">
        <is>
          <t>THLCH</t>
        </is>
      </c>
      <c r="V36" s="161" t="inlineStr">
        <is>
          <t>2026-10-16</t>
        </is>
      </c>
      <c r="W36" s="96" t="inlineStr">
        <is>
          <t>VNSGN</t>
        </is>
      </c>
      <c r="X36" s="161" t="inlineStr">
        <is>
          <t>2026-10-17</t>
        </is>
      </c>
      <c r="Y36" s="97" t="n"/>
      <c r="Z36" s="97" t="n"/>
      <c r="AA36" s="97" t="n"/>
      <c r="AB36" s="97" t="n"/>
      <c r="AC36" s="97" t="n"/>
      <c r="AD36" s="161" t="inlineStr">
        <is>
          <t>2026-10-10</t>
        </is>
      </c>
      <c r="AE36" s="174" t="inlineStr">
        <is>
          <t>0801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C&amp;H VINA CO.,LTD</t>
        </is>
      </c>
      <c r="AK36" s="130" t="n"/>
    </row>
    <row r="37" ht="12" customHeight="1">
      <c r="A37" s="108" t="inlineStr">
        <is>
          <t>SKLU0522687</t>
        </is>
      </c>
      <c r="B37" s="108" t="inlineStr">
        <is>
          <t>LCH05</t>
        </is>
      </c>
      <c r="C37" s="108" t="inlineStr">
        <is>
          <t>IFV</t>
        </is>
      </c>
      <c r="D37" s="172" t="inlineStr">
        <is>
          <t>2026-10-14</t>
        </is>
      </c>
      <c r="E37" s="173" t="inlineStr">
        <is>
          <t>1055</t>
        </is>
      </c>
      <c r="F37" s="96" t="inlineStr">
        <is>
          <t>HASLS22260901989</t>
        </is>
      </c>
      <c r="G37" s="96" t="inlineStr">
        <is>
          <t>WHA GC LOGISTICS COMPANY LIMITED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HASLS22260901989</t>
        </is>
      </c>
      <c r="N37" s="96" t="inlineStr">
        <is>
          <t xml:space="preserve">20'x7 </t>
        </is>
      </c>
      <c r="O37" s="111" t="inlineStr">
        <is>
          <t>2025</t>
        </is>
      </c>
      <c r="P37" s="111" t="n"/>
      <c r="Q37" s="111" t="n"/>
      <c r="R37" s="96" t="inlineStr">
        <is>
          <t>KUS</t>
        </is>
      </c>
      <c r="S37" s="96" t="inlineStr">
        <is>
          <t>2616N</t>
        </is>
      </c>
      <c r="T37" s="96" t="inlineStr">
        <is>
          <t>LCH05</t>
        </is>
      </c>
      <c r="U37" s="96" t="inlineStr">
        <is>
          <t>THLCH</t>
        </is>
      </c>
      <c r="V37" s="161" t="inlineStr">
        <is>
          <t>2026-10-16</t>
        </is>
      </c>
      <c r="W37" s="96" t="inlineStr">
        <is>
          <t>JPUKB</t>
        </is>
      </c>
      <c r="X37" s="161" t="inlineStr">
        <is>
          <t>2026-10-26</t>
        </is>
      </c>
      <c r="Y37" s="97" t="n"/>
      <c r="Z37" s="97" t="n"/>
      <c r="AA37" s="97" t="n"/>
      <c r="AB37" s="97" t="n"/>
      <c r="AC37" s="97" t="n"/>
      <c r="AD37" s="161" t="inlineStr">
        <is>
          <t>2026-10-14</t>
        </is>
      </c>
      <c r="AE37" s="174" t="inlineStr">
        <is>
          <t>1401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MITSUBISHI CORPORATION PLASTICS</t>
        </is>
      </c>
      <c r="AK37" s="130" t="n"/>
    </row>
    <row r="38" ht="12" customHeight="1">
      <c r="A38" s="108" t="inlineStr">
        <is>
          <t>SKLU1522911</t>
        </is>
      </c>
      <c r="B38" s="108" t="inlineStr">
        <is>
          <t>LCH05</t>
        </is>
      </c>
      <c r="C38" s="108" t="inlineStr">
        <is>
          <t>IFV</t>
        </is>
      </c>
      <c r="D38" s="172" t="inlineStr">
        <is>
          <t>2026-10-13</t>
        </is>
      </c>
      <c r="E38" s="173" t="inlineStr">
        <is>
          <t>1207</t>
        </is>
      </c>
      <c r="F38" s="96" t="inlineStr">
        <is>
          <t>HASLS22260901089</t>
        </is>
      </c>
      <c r="G38" s="96" t="inlineStr">
        <is>
          <t>WHA GC LOGISTICS COMPANY LIMITED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HASLS22260901089</t>
        </is>
      </c>
      <c r="N38" s="96" t="inlineStr">
        <is>
          <t xml:space="preserve">20'x1 </t>
        </is>
      </c>
      <c r="O38" s="111" t="inlineStr">
        <is>
          <t>2015</t>
        </is>
      </c>
      <c r="P38" s="111" t="n"/>
      <c r="Q38" s="111" t="n"/>
      <c r="R38" s="96" t="inlineStr">
        <is>
          <t>KUS</t>
        </is>
      </c>
      <c r="S38" s="96" t="inlineStr">
        <is>
          <t>2616N</t>
        </is>
      </c>
      <c r="T38" s="96" t="inlineStr">
        <is>
          <t>LCH05</t>
        </is>
      </c>
      <c r="U38" s="96" t="inlineStr">
        <is>
          <t>THLCH</t>
        </is>
      </c>
      <c r="V38" s="161" t="inlineStr">
        <is>
          <t>2026-10-16</t>
        </is>
      </c>
      <c r="W38" s="96" t="inlineStr">
        <is>
          <t>JPIYM</t>
        </is>
      </c>
      <c r="X38" s="161" t="inlineStr">
        <is>
          <t>2026-10-26</t>
        </is>
      </c>
      <c r="Y38" s="97" t="n"/>
      <c r="Z38" s="97" t="n"/>
      <c r="AA38" s="97" t="n"/>
      <c r="AB38" s="97" t="n"/>
      <c r="AC38" s="97" t="n"/>
      <c r="AD38" s="161" t="inlineStr">
        <is>
          <t>2026-10-13</t>
        </is>
      </c>
      <c r="AE38" s="174" t="inlineStr">
        <is>
          <t>2001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MARUBENI INNOVEXIS CORPORATION</t>
        </is>
      </c>
      <c r="AK38" s="130" t="n"/>
    </row>
    <row r="39" ht="12" customHeight="1">
      <c r="A39" s="108" t="inlineStr">
        <is>
          <t>SKLU1579521</t>
        </is>
      </c>
      <c r="B39" s="108" t="inlineStr">
        <is>
          <t>LCH05</t>
        </is>
      </c>
      <c r="C39" s="108" t="inlineStr">
        <is>
          <t>IFV</t>
        </is>
      </c>
      <c r="D39" s="172" t="inlineStr">
        <is>
          <t>2026-10-12</t>
        </is>
      </c>
      <c r="E39" s="173" t="inlineStr">
        <is>
          <t>2148</t>
        </is>
      </c>
      <c r="F39" s="96" t="inlineStr">
        <is>
          <t>HASLS22261000448</t>
        </is>
      </c>
      <c r="G39" s="96" t="inlineStr">
        <is>
          <t>KORCHINA FREIGHT (THAILAND) CO., LTD.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HASLS22261000448</t>
        </is>
      </c>
      <c r="N39" s="96" t="inlineStr">
        <is>
          <t xml:space="preserve">20'x1 </t>
        </is>
      </c>
      <c r="O39" s="111" t="inlineStr">
        <is>
          <t>2015</t>
        </is>
      </c>
      <c r="P39" s="111" t="n"/>
      <c r="Q39" s="111" t="n"/>
      <c r="R39" s="96" t="inlineStr">
        <is>
          <t>KUS</t>
        </is>
      </c>
      <c r="S39" s="96" t="inlineStr">
        <is>
          <t>2616N</t>
        </is>
      </c>
      <c r="T39" s="96" t="inlineStr">
        <is>
          <t>LCH05</t>
        </is>
      </c>
      <c r="U39" s="96" t="inlineStr">
        <is>
          <t>THLCH</t>
        </is>
      </c>
      <c r="V39" s="161" t="inlineStr">
        <is>
          <t>2026-10-16</t>
        </is>
      </c>
      <c r="W39" s="96" t="inlineStr">
        <is>
          <t>VNSGN</t>
        </is>
      </c>
      <c r="X39" s="161" t="inlineStr">
        <is>
          <t>2026-10-17</t>
        </is>
      </c>
      <c r="Y39" s="97" t="n"/>
      <c r="Z39" s="97" t="n"/>
      <c r="AA39" s="97" t="n"/>
      <c r="AB39" s="97" t="n"/>
      <c r="AC39" s="97" t="n"/>
      <c r="AD39" s="161" t="inlineStr">
        <is>
          <t>2026-10-13</t>
        </is>
      </c>
      <c r="AE39" s="174" t="inlineStr">
        <is>
          <t>0201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HS HYOSUNG GLOBAL LOGISTICS VINA</t>
        </is>
      </c>
      <c r="AK39" s="130" t="n"/>
    </row>
    <row r="40" ht="12" customHeight="1">
      <c r="A40" s="108" t="inlineStr">
        <is>
          <t>SKLU1660274</t>
        </is>
      </c>
      <c r="B40" s="108" t="inlineStr">
        <is>
          <t>LCH05</t>
        </is>
      </c>
      <c r="C40" s="108" t="inlineStr">
        <is>
          <t>IFV</t>
        </is>
      </c>
      <c r="D40" s="172" t="inlineStr">
        <is>
          <t>2026-10-14</t>
        </is>
      </c>
      <c r="E40" s="173" t="inlineStr">
        <is>
          <t>0522</t>
        </is>
      </c>
      <c r="F40" s="96" t="inlineStr">
        <is>
          <t>HASLS22260801436</t>
        </is>
      </c>
      <c r="G40" s="96" t="inlineStr">
        <is>
          <t>TONG THAI RUBBER CO., LTD.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HASLS22260801436</t>
        </is>
      </c>
      <c r="N40" s="96" t="inlineStr">
        <is>
          <t xml:space="preserve">20'x1 </t>
        </is>
      </c>
      <c r="O40" s="111" t="inlineStr">
        <is>
          <t>2016</t>
        </is>
      </c>
      <c r="P40" s="111" t="n"/>
      <c r="Q40" s="111" t="n"/>
      <c r="R40" s="96" t="inlineStr">
        <is>
          <t>KUS</t>
        </is>
      </c>
      <c r="S40" s="96" t="inlineStr">
        <is>
          <t>2616N</t>
        </is>
      </c>
      <c r="T40" s="96" t="inlineStr">
        <is>
          <t>LCH05</t>
        </is>
      </c>
      <c r="U40" s="96" t="inlineStr">
        <is>
          <t>THLCH</t>
        </is>
      </c>
      <c r="V40" s="161" t="inlineStr">
        <is>
          <t>2026-10-16</t>
        </is>
      </c>
      <c r="W40" s="96" t="inlineStr">
        <is>
          <t>JPSBS</t>
        </is>
      </c>
      <c r="X40" s="161" t="inlineStr">
        <is>
          <t>2026-10-26</t>
        </is>
      </c>
      <c r="Y40" s="97" t="n"/>
      <c r="Z40" s="97" t="n"/>
      <c r="AA40" s="97" t="n"/>
      <c r="AB40" s="97" t="n"/>
      <c r="AC40" s="97" t="n"/>
      <c r="AD40" s="161" t="inlineStr">
        <is>
          <t>2026-10-14</t>
        </is>
      </c>
      <c r="AE40" s="174" t="inlineStr">
        <is>
          <t>0802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SUMITOMO RUBBER INDUSTRIES LTD</t>
        </is>
      </c>
      <c r="AK40" s="130" t="n"/>
    </row>
    <row r="41" ht="12" customHeight="1">
      <c r="A41" s="108" t="inlineStr">
        <is>
          <t>SKLU1942848</t>
        </is>
      </c>
      <c r="B41" s="108" t="inlineStr">
        <is>
          <t>LCH05</t>
        </is>
      </c>
      <c r="C41" s="108" t="inlineStr">
        <is>
          <t>IFV</t>
        </is>
      </c>
      <c r="D41" s="172" t="inlineStr">
        <is>
          <t>2026-10-09</t>
        </is>
      </c>
      <c r="E41" s="173" t="inlineStr">
        <is>
          <t>1152</t>
        </is>
      </c>
      <c r="F41" s="96" t="inlineStr">
        <is>
          <t>HASLS22260900146</t>
        </is>
      </c>
      <c r="G41" s="96" t="inlineStr">
        <is>
          <t>WHA GC LOGISTICS COMPANY LIMITED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HASLS22260900146</t>
        </is>
      </c>
      <c r="N41" s="96" t="inlineStr">
        <is>
          <t xml:space="preserve">20'x2 </t>
        </is>
      </c>
      <c r="O41" s="111" t="inlineStr">
        <is>
          <t>2019</t>
        </is>
      </c>
      <c r="P41" s="111" t="n"/>
      <c r="Q41" s="111" t="n"/>
      <c r="R41" s="96" t="inlineStr">
        <is>
          <t>KUS</t>
        </is>
      </c>
      <c r="S41" s="96" t="inlineStr">
        <is>
          <t>2616N</t>
        </is>
      </c>
      <c r="T41" s="96" t="inlineStr">
        <is>
          <t>LCH05</t>
        </is>
      </c>
      <c r="U41" s="96" t="inlineStr">
        <is>
          <t>THLCH</t>
        </is>
      </c>
      <c r="V41" s="161" t="inlineStr">
        <is>
          <t>2026-10-16</t>
        </is>
      </c>
      <c r="W41" s="96" t="inlineStr">
        <is>
          <t>JPHKT</t>
        </is>
      </c>
      <c r="X41" s="161" t="inlineStr">
        <is>
          <t>2026-10-26</t>
        </is>
      </c>
      <c r="Y41" s="97" t="n"/>
      <c r="Z41" s="97" t="n"/>
      <c r="AA41" s="97" t="n"/>
      <c r="AB41" s="97" t="n"/>
      <c r="AC41" s="97" t="n"/>
      <c r="AD41" s="161" t="inlineStr">
        <is>
          <t>2026-10-09</t>
        </is>
      </c>
      <c r="AE41" s="174" t="inlineStr">
        <is>
          <t>2001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HANWA CO., LTD.</t>
        </is>
      </c>
      <c r="AK41" s="130" t="n"/>
    </row>
    <row r="42" ht="12" customHeight="1">
      <c r="A42" s="108" t="inlineStr">
        <is>
          <t>SKLU2054923</t>
        </is>
      </c>
      <c r="B42" s="108" t="inlineStr">
        <is>
          <t>LCH05</t>
        </is>
      </c>
      <c r="C42" s="108" t="inlineStr">
        <is>
          <t>IFV</t>
        </is>
      </c>
      <c r="D42" s="172" t="inlineStr">
        <is>
          <t>2026-10-11</t>
        </is>
      </c>
      <c r="E42" s="173" t="inlineStr">
        <is>
          <t>1601</t>
        </is>
      </c>
      <c r="F42" s="96" t="inlineStr">
        <is>
          <t>HASLS22260902064</t>
        </is>
      </c>
      <c r="G42" s="96" t="inlineStr">
        <is>
          <t>SCGJWD LOGISTICS PUBLIC COMPANY LIMITED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HASLS22260902064</t>
        </is>
      </c>
      <c r="N42" s="96" t="inlineStr">
        <is>
          <t xml:space="preserve">20'x5 </t>
        </is>
      </c>
      <c r="O42" s="111" t="inlineStr">
        <is>
          <t>2019</t>
        </is>
      </c>
      <c r="P42" s="111" t="n"/>
      <c r="Q42" s="111" t="n"/>
      <c r="R42" s="96" t="inlineStr">
        <is>
          <t>KUS</t>
        </is>
      </c>
      <c r="S42" s="96" t="inlineStr">
        <is>
          <t>2616N</t>
        </is>
      </c>
      <c r="T42" s="96" t="inlineStr">
        <is>
          <t>LCH05</t>
        </is>
      </c>
      <c r="U42" s="96" t="inlineStr">
        <is>
          <t>THLCH</t>
        </is>
      </c>
      <c r="V42" s="161" t="inlineStr">
        <is>
          <t>2026-10-16</t>
        </is>
      </c>
      <c r="W42" s="96" t="inlineStr">
        <is>
          <t>JPMOJ</t>
        </is>
      </c>
      <c r="X42" s="161" t="inlineStr">
        <is>
          <t>2026-10-26</t>
        </is>
      </c>
      <c r="Y42" s="97" t="n"/>
      <c r="Z42" s="97" t="n"/>
      <c r="AA42" s="97" t="n"/>
      <c r="AB42" s="97" t="n"/>
      <c r="AC42" s="97" t="n"/>
      <c r="AD42" s="161" t="inlineStr">
        <is>
          <t>2026-10-11</t>
        </is>
      </c>
      <c r="AE42" s="174" t="inlineStr">
        <is>
          <t>2000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TOYOTSU CHEMIPLAS CORPORATION,</t>
        </is>
      </c>
      <c r="AK42" s="130" t="n"/>
    </row>
    <row r="43" ht="12" customHeight="1">
      <c r="A43" s="108" t="inlineStr">
        <is>
          <t>SKLU2070884</t>
        </is>
      </c>
      <c r="B43" s="108" t="inlineStr">
        <is>
          <t>LCH05</t>
        </is>
      </c>
      <c r="C43" s="108" t="inlineStr">
        <is>
          <t>IFV</t>
        </is>
      </c>
      <c r="D43" s="172" t="inlineStr">
        <is>
          <t>2026-10-11</t>
        </is>
      </c>
      <c r="E43" s="173" t="inlineStr">
        <is>
          <t>1050</t>
        </is>
      </c>
      <c r="F43" s="96" t="inlineStr">
        <is>
          <t>HASLS22260902064</t>
        </is>
      </c>
      <c r="G43" s="96" t="inlineStr">
        <is>
          <t>SCGJWD LOGISTICS PUBLIC COMPANY LIMITED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HASLS22260902064</t>
        </is>
      </c>
      <c r="N43" s="96" t="inlineStr">
        <is>
          <t xml:space="preserve">20'x5 </t>
        </is>
      </c>
      <c r="O43" s="111" t="inlineStr">
        <is>
          <t>2019</t>
        </is>
      </c>
      <c r="P43" s="111" t="n"/>
      <c r="Q43" s="111" t="n"/>
      <c r="R43" s="96" t="inlineStr">
        <is>
          <t>KUS</t>
        </is>
      </c>
      <c r="S43" s="96" t="inlineStr">
        <is>
          <t>2616N</t>
        </is>
      </c>
      <c r="T43" s="96" t="inlineStr">
        <is>
          <t>LCH05</t>
        </is>
      </c>
      <c r="U43" s="96" t="inlineStr">
        <is>
          <t>THLCH</t>
        </is>
      </c>
      <c r="V43" s="161" t="inlineStr">
        <is>
          <t>2026-10-16</t>
        </is>
      </c>
      <c r="W43" s="96" t="inlineStr">
        <is>
          <t>JPMOJ</t>
        </is>
      </c>
      <c r="X43" s="161" t="inlineStr">
        <is>
          <t>2026-10-26</t>
        </is>
      </c>
      <c r="Y43" s="97" t="n"/>
      <c r="Z43" s="97" t="n"/>
      <c r="AA43" s="97" t="n"/>
      <c r="AB43" s="97" t="n"/>
      <c r="AC43" s="97" t="n"/>
      <c r="AD43" s="161" t="inlineStr">
        <is>
          <t>2026-10-11</t>
        </is>
      </c>
      <c r="AE43" s="174" t="inlineStr">
        <is>
          <t>1401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TOYOTSU CHEMIPLAS CORPORATION,</t>
        </is>
      </c>
      <c r="AK43" s="130" t="n"/>
    </row>
    <row r="44" ht="12" customHeight="1">
      <c r="A44" s="108" t="inlineStr">
        <is>
          <t>SKLU2101732</t>
        </is>
      </c>
      <c r="B44" s="108" t="inlineStr">
        <is>
          <t>LCH05</t>
        </is>
      </c>
      <c r="C44" s="108" t="inlineStr">
        <is>
          <t>IFV</t>
        </is>
      </c>
      <c r="D44" s="172" t="inlineStr">
        <is>
          <t>2026-10-09</t>
        </is>
      </c>
      <c r="E44" s="173" t="inlineStr">
        <is>
          <t>1152</t>
        </is>
      </c>
      <c r="F44" s="96" t="inlineStr">
        <is>
          <t>HASLS22260900146</t>
        </is>
      </c>
      <c r="G44" s="96" t="inlineStr">
        <is>
          <t>WHA GC LOGISTICS COMPANY LIMITED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HASLS22260900146</t>
        </is>
      </c>
      <c r="N44" s="96" t="inlineStr">
        <is>
          <t xml:space="preserve">20'x2 </t>
        </is>
      </c>
      <c r="O44" s="111" t="inlineStr">
        <is>
          <t>2021</t>
        </is>
      </c>
      <c r="P44" s="111" t="n"/>
      <c r="Q44" s="111" t="n"/>
      <c r="R44" s="96" t="inlineStr">
        <is>
          <t>KUS</t>
        </is>
      </c>
      <c r="S44" s="96" t="inlineStr">
        <is>
          <t>2616N</t>
        </is>
      </c>
      <c r="T44" s="96" t="inlineStr">
        <is>
          <t>LCH05</t>
        </is>
      </c>
      <c r="U44" s="96" t="inlineStr">
        <is>
          <t>THLCH</t>
        </is>
      </c>
      <c r="V44" s="161" t="inlineStr">
        <is>
          <t>2026-10-16</t>
        </is>
      </c>
      <c r="W44" s="96" t="inlineStr">
        <is>
          <t>JPHKT</t>
        </is>
      </c>
      <c r="X44" s="161" t="inlineStr">
        <is>
          <t>2026-10-26</t>
        </is>
      </c>
      <c r="Y44" s="97" t="n"/>
      <c r="Z44" s="97" t="n"/>
      <c r="AA44" s="97" t="n"/>
      <c r="AB44" s="97" t="n"/>
      <c r="AC44" s="97" t="n"/>
      <c r="AD44" s="161" t="inlineStr">
        <is>
          <t>2026-10-09</t>
        </is>
      </c>
      <c r="AE44" s="174" t="inlineStr">
        <is>
          <t>2001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HANWA CO., LTD.</t>
        </is>
      </c>
      <c r="AK44" s="130" t="n"/>
    </row>
    <row r="45" ht="12" customHeight="1">
      <c r="A45" s="108" t="inlineStr">
        <is>
          <t>SKLU2113440</t>
        </is>
      </c>
      <c r="B45" s="108" t="inlineStr">
        <is>
          <t>LCH05</t>
        </is>
      </c>
      <c r="C45" s="108" t="inlineStr">
        <is>
          <t>IFV</t>
        </is>
      </c>
      <c r="D45" s="172" t="inlineStr">
        <is>
          <t>2026-10-08</t>
        </is>
      </c>
      <c r="E45" s="173" t="inlineStr">
        <is>
          <t>1543</t>
        </is>
      </c>
      <c r="F45" s="96" t="inlineStr">
        <is>
          <t>HASLS22260900461</t>
        </is>
      </c>
      <c r="G45" s="96" t="inlineStr">
        <is>
          <t>WHA GC LOGISTICS COMPANY LIMITED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HASLS22260900461</t>
        </is>
      </c>
      <c r="N45" s="96" t="inlineStr">
        <is>
          <t xml:space="preserve">20'x6 </t>
        </is>
      </c>
      <c r="O45" s="111" t="inlineStr">
        <is>
          <t>2021</t>
        </is>
      </c>
      <c r="P45" s="111" t="n"/>
      <c r="Q45" s="111" t="n"/>
      <c r="R45" s="96" t="inlineStr">
        <is>
          <t>PCCP</t>
        </is>
      </c>
      <c r="S45" s="96" t="inlineStr">
        <is>
          <t>2610N</t>
        </is>
      </c>
      <c r="T45" s="96" t="inlineStr">
        <is>
          <t>LCH05</t>
        </is>
      </c>
      <c r="U45" s="96" t="inlineStr">
        <is>
          <t>THLCH</t>
        </is>
      </c>
      <c r="V45" s="161" t="inlineStr">
        <is>
          <t>2026-10-16</t>
        </is>
      </c>
      <c r="W45" s="96" t="inlineStr">
        <is>
          <t>VNSGN</t>
        </is>
      </c>
      <c r="X45" s="161" t="inlineStr">
        <is>
          <t>2026-10-17</t>
        </is>
      </c>
      <c r="Y45" s="97" t="n"/>
      <c r="Z45" s="97" t="n"/>
      <c r="AA45" s="97" t="n"/>
      <c r="AB45" s="97" t="n"/>
      <c r="AC45" s="97" t="n"/>
      <c r="AD45" s="161" t="inlineStr">
        <is>
          <t>2026-10-08</t>
        </is>
      </c>
      <c r="AE45" s="174" t="inlineStr">
        <is>
          <t>2001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TO ORDER OF SACOMBANK -</t>
        </is>
      </c>
      <c r="AK45" s="130" t="n"/>
    </row>
    <row r="46" ht="12" customHeight="1">
      <c r="A46" s="108" t="inlineStr">
        <is>
          <t>SKLU2300483</t>
        </is>
      </c>
      <c r="B46" s="108" t="inlineStr">
        <is>
          <t>LCH05</t>
        </is>
      </c>
      <c r="C46" s="108" t="inlineStr">
        <is>
          <t>IFV</t>
        </is>
      </c>
      <c r="D46" s="172" t="inlineStr">
        <is>
          <t>2026-10-12</t>
        </is>
      </c>
      <c r="E46" s="173" t="inlineStr">
        <is>
          <t>0733</t>
        </is>
      </c>
      <c r="F46" s="96" t="inlineStr">
        <is>
          <t>HASLS22260902064</t>
        </is>
      </c>
      <c r="G46" s="96" t="inlineStr">
        <is>
          <t>SCGJWD LOGISTICS PUBLIC COMPANY LIMITED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HASLS22260902064</t>
        </is>
      </c>
      <c r="N46" s="96" t="inlineStr">
        <is>
          <t xml:space="preserve">20'x5 </t>
        </is>
      </c>
      <c r="O46" s="111" t="inlineStr">
        <is>
          <t>2023</t>
        </is>
      </c>
      <c r="P46" s="111" t="n"/>
      <c r="Q46" s="111" t="n"/>
      <c r="R46" s="96" t="inlineStr">
        <is>
          <t>KUS</t>
        </is>
      </c>
      <c r="S46" s="96" t="inlineStr">
        <is>
          <t>2616N</t>
        </is>
      </c>
      <c r="T46" s="96" t="inlineStr">
        <is>
          <t>LCH05</t>
        </is>
      </c>
      <c r="U46" s="96" t="inlineStr">
        <is>
          <t>THLCH</t>
        </is>
      </c>
      <c r="V46" s="161" t="inlineStr">
        <is>
          <t>2026-10-16</t>
        </is>
      </c>
      <c r="W46" s="96" t="inlineStr">
        <is>
          <t>JPMOJ</t>
        </is>
      </c>
      <c r="X46" s="161" t="inlineStr">
        <is>
          <t>2026-10-26</t>
        </is>
      </c>
      <c r="Y46" s="97" t="n"/>
      <c r="Z46" s="97" t="n"/>
      <c r="AA46" s="97" t="n"/>
      <c r="AB46" s="97" t="n"/>
      <c r="AC46" s="97" t="n"/>
      <c r="AD46" s="161" t="inlineStr">
        <is>
          <t>2026-10-12</t>
        </is>
      </c>
      <c r="AE46" s="174" t="inlineStr">
        <is>
          <t>1616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TOYOTSU CHEMIPLAS CORPORATION,</t>
        </is>
      </c>
      <c r="AK46" s="130" t="n"/>
    </row>
    <row r="47" ht="12" customHeight="1">
      <c r="A47" s="108" t="inlineStr">
        <is>
          <t>SKLU2361410</t>
        </is>
      </c>
      <c r="B47" s="108" t="inlineStr">
        <is>
          <t>LCH05</t>
        </is>
      </c>
      <c r="C47" s="108" t="inlineStr">
        <is>
          <t>IFV</t>
        </is>
      </c>
      <c r="D47" s="172" t="inlineStr">
        <is>
          <t>2026-10-11</t>
        </is>
      </c>
      <c r="E47" s="173" t="inlineStr">
        <is>
          <t>1601</t>
        </is>
      </c>
      <c r="F47" s="96" t="inlineStr">
        <is>
          <t>HASLS22260902064</t>
        </is>
      </c>
      <c r="G47" s="96" t="inlineStr">
        <is>
          <t>SCGJWD LOGISTICS PUBLIC COMPANY LIMITED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HASLS22260902064</t>
        </is>
      </c>
      <c r="N47" s="96" t="inlineStr">
        <is>
          <t xml:space="preserve">20'x5 </t>
        </is>
      </c>
      <c r="O47" s="111" t="inlineStr">
        <is>
          <t>2023</t>
        </is>
      </c>
      <c r="P47" s="111" t="n"/>
      <c r="Q47" s="111" t="n"/>
      <c r="R47" s="96" t="inlineStr">
        <is>
          <t>KUS</t>
        </is>
      </c>
      <c r="S47" s="96" t="inlineStr">
        <is>
          <t>2616N</t>
        </is>
      </c>
      <c r="T47" s="96" t="inlineStr">
        <is>
          <t>LCH05</t>
        </is>
      </c>
      <c r="U47" s="96" t="inlineStr">
        <is>
          <t>THLCH</t>
        </is>
      </c>
      <c r="V47" s="161" t="inlineStr">
        <is>
          <t>2026-10-16</t>
        </is>
      </c>
      <c r="W47" s="96" t="inlineStr">
        <is>
          <t>JPMOJ</t>
        </is>
      </c>
      <c r="X47" s="161" t="inlineStr">
        <is>
          <t>2026-10-26</t>
        </is>
      </c>
      <c r="Y47" s="97" t="n"/>
      <c r="Z47" s="97" t="n"/>
      <c r="AA47" s="97" t="n"/>
      <c r="AB47" s="97" t="n"/>
      <c r="AC47" s="97" t="n"/>
      <c r="AD47" s="161" t="inlineStr">
        <is>
          <t>2026-10-11</t>
        </is>
      </c>
      <c r="AE47" s="174" t="inlineStr">
        <is>
          <t>2000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TOYOTSU CHEMIPLAS CORPORATION,</t>
        </is>
      </c>
      <c r="AK47" s="130" t="n"/>
    </row>
    <row r="48" ht="12" customHeight="1">
      <c r="A48" s="108" t="inlineStr">
        <is>
          <t>SKLU2426300</t>
        </is>
      </c>
      <c r="B48" s="108" t="inlineStr">
        <is>
          <t>LCH05</t>
        </is>
      </c>
      <c r="C48" s="108" t="inlineStr">
        <is>
          <t>IFV</t>
        </is>
      </c>
      <c r="D48" s="172" t="inlineStr">
        <is>
          <t>2026-10-08</t>
        </is>
      </c>
      <c r="E48" s="173" t="inlineStr">
        <is>
          <t>0915</t>
        </is>
      </c>
      <c r="F48" s="96" t="inlineStr">
        <is>
          <t>HASLS22260900461</t>
        </is>
      </c>
      <c r="G48" s="96" t="inlineStr">
        <is>
          <t>WHA GC LOGISTICS COMPANY LIMITED</t>
        </is>
      </c>
      <c r="H48" s="111" t="inlineStr">
        <is>
          <t>22GP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HASLS22260900461</t>
        </is>
      </c>
      <c r="N48" s="96" t="inlineStr">
        <is>
          <t xml:space="preserve">20'x6 </t>
        </is>
      </c>
      <c r="O48" s="111" t="inlineStr">
        <is>
          <t>2024</t>
        </is>
      </c>
      <c r="P48" s="111" t="n"/>
      <c r="Q48" s="111" t="n"/>
      <c r="R48" s="96" t="inlineStr">
        <is>
          <t>PCCP</t>
        </is>
      </c>
      <c r="S48" s="96" t="inlineStr">
        <is>
          <t>2610N</t>
        </is>
      </c>
      <c r="T48" s="96" t="inlineStr">
        <is>
          <t>LCH05</t>
        </is>
      </c>
      <c r="U48" s="96" t="inlineStr">
        <is>
          <t>THLCH</t>
        </is>
      </c>
      <c r="V48" s="161" t="inlineStr">
        <is>
          <t>2026-10-16</t>
        </is>
      </c>
      <c r="W48" s="96" t="inlineStr">
        <is>
          <t>VNSGN</t>
        </is>
      </c>
      <c r="X48" s="161" t="inlineStr">
        <is>
          <t>2026-10-17</t>
        </is>
      </c>
      <c r="Y48" s="97" t="n"/>
      <c r="Z48" s="97" t="n"/>
      <c r="AA48" s="97" t="n"/>
      <c r="AB48" s="97" t="n"/>
      <c r="AC48" s="97" t="n"/>
      <c r="AD48" s="161" t="inlineStr">
        <is>
          <t>2026-10-08</t>
        </is>
      </c>
      <c r="AE48" s="174" t="inlineStr">
        <is>
          <t>1401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TO ORDER OF SACOMBANK -</t>
        </is>
      </c>
      <c r="AK48" s="130" t="n"/>
    </row>
    <row r="49" ht="12" customHeight="1">
      <c r="A49" s="108" t="inlineStr">
        <is>
          <t>SKLU2466833</t>
        </is>
      </c>
      <c r="B49" s="108" t="inlineStr">
        <is>
          <t>LCH05</t>
        </is>
      </c>
      <c r="C49" s="108" t="inlineStr">
        <is>
          <t>IFV</t>
        </is>
      </c>
      <c r="D49" s="172" t="inlineStr">
        <is>
          <t>2026-10-14</t>
        </is>
      </c>
      <c r="E49" s="173" t="inlineStr">
        <is>
          <t>1055</t>
        </is>
      </c>
      <c r="F49" s="96" t="inlineStr">
        <is>
          <t>HASLS22260901989</t>
        </is>
      </c>
      <c r="G49" s="96" t="inlineStr">
        <is>
          <t>WHA GC LOGISTICS COMPANY LIMITED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HASLS22260901989</t>
        </is>
      </c>
      <c r="N49" s="96" t="inlineStr">
        <is>
          <t xml:space="preserve">20'x7 </t>
        </is>
      </c>
      <c r="O49" s="111" t="inlineStr">
        <is>
          <t>2024</t>
        </is>
      </c>
      <c r="P49" s="111" t="n"/>
      <c r="Q49" s="111" t="n"/>
      <c r="R49" s="96" t="inlineStr">
        <is>
          <t>KUS</t>
        </is>
      </c>
      <c r="S49" s="96" t="inlineStr">
        <is>
          <t>2616N</t>
        </is>
      </c>
      <c r="T49" s="96" t="inlineStr">
        <is>
          <t>LCH05</t>
        </is>
      </c>
      <c r="U49" s="96" t="inlineStr">
        <is>
          <t>THLCH</t>
        </is>
      </c>
      <c r="V49" s="161" t="inlineStr">
        <is>
          <t>2026-10-16</t>
        </is>
      </c>
      <c r="W49" s="96" t="inlineStr">
        <is>
          <t>JPUKB</t>
        </is>
      </c>
      <c r="X49" s="161" t="inlineStr">
        <is>
          <t>2026-10-26</t>
        </is>
      </c>
      <c r="Y49" s="97" t="n"/>
      <c r="Z49" s="97" t="n"/>
      <c r="AA49" s="97" t="n"/>
      <c r="AB49" s="97" t="n"/>
      <c r="AC49" s="97" t="n"/>
      <c r="AD49" s="161" t="inlineStr">
        <is>
          <t>2026-10-14</t>
        </is>
      </c>
      <c r="AE49" s="174" t="inlineStr">
        <is>
          <t>1401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MITSUBISHI CORPORATION PLASTICS</t>
        </is>
      </c>
      <c r="AK49" s="130" t="n"/>
    </row>
    <row r="50" ht="12" customHeight="1">
      <c r="A50" s="108" t="inlineStr">
        <is>
          <t>TCLU5783442</t>
        </is>
      </c>
      <c r="B50" s="108" t="inlineStr">
        <is>
          <t>LCH05</t>
        </is>
      </c>
      <c r="C50" s="108" t="inlineStr">
        <is>
          <t>IFV</t>
        </is>
      </c>
      <c r="D50" s="172" t="inlineStr">
        <is>
          <t>2026-10-08</t>
        </is>
      </c>
      <c r="E50" s="173" t="inlineStr">
        <is>
          <t>1623</t>
        </is>
      </c>
      <c r="F50" s="96" t="inlineStr">
        <is>
          <t>HASLS22260902231</t>
        </is>
      </c>
      <c r="G50" s="96" t="inlineStr">
        <is>
          <t>EAST-LINK CORPORATION CO., LTD.</t>
        </is>
      </c>
      <c r="H50" s="111" t="inlineStr">
        <is>
          <t>45GP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HASLS22260902231</t>
        </is>
      </c>
      <c r="N50" s="96" t="inlineStr">
        <is>
          <t xml:space="preserve">40Hx2 </t>
        </is>
      </c>
      <c r="O50" s="111" t="inlineStr">
        <is>
          <t>2010</t>
        </is>
      </c>
      <c r="P50" s="111" t="n"/>
      <c r="Q50" s="111" t="n"/>
      <c r="R50" s="96" t="inlineStr">
        <is>
          <t>PCCP</t>
        </is>
      </c>
      <c r="S50" s="96" t="inlineStr">
        <is>
          <t>2610N</t>
        </is>
      </c>
      <c r="T50" s="96" t="inlineStr">
        <is>
          <t>LCH05</t>
        </is>
      </c>
      <c r="U50" s="96" t="inlineStr">
        <is>
          <t>THLCH</t>
        </is>
      </c>
      <c r="V50" s="161" t="inlineStr">
        <is>
          <t>2026-10-16</t>
        </is>
      </c>
      <c r="W50" s="96" t="inlineStr">
        <is>
          <t>VNSGN</t>
        </is>
      </c>
      <c r="X50" s="161" t="inlineStr">
        <is>
          <t>2026-10-17</t>
        </is>
      </c>
      <c r="Y50" s="97" t="n"/>
      <c r="Z50" s="97" t="n"/>
      <c r="AA50" s="97" t="n"/>
      <c r="AB50" s="97" t="n"/>
      <c r="AC50" s="97" t="n"/>
      <c r="AD50" s="161" t="inlineStr">
        <is>
          <t>2026-10-08</t>
        </is>
      </c>
      <c r="AE50" s="174" t="inlineStr">
        <is>
          <t>2001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DOLPHIN SEA AIR SERVICES</t>
        </is>
      </c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6000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6000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BMOU5941310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LCH05</v>
      </c>
      <c r="D3" s="61" t="str">
        <f>VLOOKUP(A3,'1.Loading'!A:R,17,FALSE)</f>
        <v>HASLS22260901626</v>
      </c>
      <c r="E3" s="62" t="str">
        <f>VLOOKUP(D3,'2.Bookinglist'!A:CT,27,FALSE)</f>
        <v>MOL LOGISTICS (THAILAND) CO., LTD.</v>
      </c>
      <c r="F3" s="62" t="str">
        <f>VLOOKUP(D3,'2.Bookinglist'!A:CT,28,FALSE)</f>
        <v>MIKASA INDUSTRIES (THAILAND)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JPHIJ</v>
      </c>
      <c r="J3" s="61" t="str">
        <f>VLOOKUP(D3,'2.Bookinglist'!A:CT,26,FALSE)</f>
        <v>KRPUS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KUS</v>
      </c>
      <c r="P3" s="61" t="str">
        <f>VLOOKUP(A3,'1.Loading'!A:R,4,FALSE)</f>
        <v>2616N</v>
      </c>
      <c r="Q3" s="61" t="str">
        <f>VLOOKUP(D3,'2.Bookinglist'!A:CT,12,FALSE)</f>
        <v>KST</v>
      </c>
      <c r="R3" s="60" t="str">
        <f>IF(LEFT(K3,2)="22","20'","40'")</f>
        <v>40'</v>
      </c>
      <c r="S3" s="101" t="n"/>
      <c r="T3" s="61" t="str">
        <f>VLOOKUP(A3,'1.Loading'!A:R,2,FALSE)</f>
        <v>2026-10-16</v>
      </c>
      <c r="U3" s="63">
        <f>T3-S3</f>
        <v>46311</v>
      </c>
      <c r="V3" s="178" t="n"/>
      <c r="W3" s="61" t="str">
        <f>VLOOKUP(A3,'3.GateMove'!A:D,4,FALSE)</f>
        <v>2026-10-13</v>
      </c>
      <c r="X3" s="63">
        <f>((T3-W3)+1)</f>
        <v>4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46312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Uetake Takahiro</v>
      </c>
      <c r="AL3" s="60" t="str">
        <f>VLOOKUP(D3,'2.Bookinglist'!A:CW,101,FALSE)</f>
        <v>2026-10-15</v>
      </c>
      <c r="AM3" s="60" t="str">
        <f>VLOOKUP(D3,'2.Bookinglist'!A:BK,63,FALSE)</f>
        <v>LCHY5</v>
      </c>
      <c r="AN3" s="62" t="str">
        <f>VLOOKUP(D3,'2.Bookinglist'!A:AZ,52,FALSE)</f>
        <v>Pickup : 2026-10-12, Return : 2026-10-14 // FM SWIC 2611N BY HAL DD.08/10
Extend closing time 2026-10-14 @ 23.59 // VGM CUT OFF 2026-10-14 @ 12.00</v>
      </c>
      <c r="AO3" s="62">
        <f>VLOOKUP(D3,'2.Bookinglist'!A:CY,103,FALSE)</f>
        <v>0</v>
      </c>
    </row>
    <row r="4" ht="12.95" customHeight="1">
      <c r="A4" s="96" t="inlineStr">
        <is>
          <t>BMOU6091972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LCH05</v>
      </c>
      <c r="D4" s="61" t="str">
        <f>VLOOKUP(A4,'1.Loading'!A:R,17,FALSE)</f>
        <v>HASLS22260902851</v>
      </c>
      <c r="E4" s="62" t="str">
        <f>VLOOKUP(D4,'2.Bookinglist'!A:CT,27,FALSE)</f>
        <v>TOSHIBA LOGISTICS (THAILAND) CO., LTD.</v>
      </c>
      <c r="F4" s="62" t="str">
        <f>VLOOKUP(D4,'2.Bookinglist'!A:CT,28,FALSE)</f>
        <v>TOSHIBA CONSUMER PRODUCTS (THAILAND)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KUS</v>
      </c>
      <c r="P4" s="61" t="str">
        <f>VLOOKUP(A4,'1.Loading'!A:R,4,FALSE)</f>
        <v>2616N</v>
      </c>
      <c r="Q4" s="61" t="str">
        <f>VLOOKUP(D4,'2.Bookinglist'!A:CT,12,FALSE)</f>
        <v>KST</v>
      </c>
      <c r="R4" s="60" t="str">
        <f>IF(LEFT(K4,2)="22","20'","40'")</f>
        <v>40'</v>
      </c>
      <c r="S4" s="185" t="n"/>
      <c r="T4" s="61" t="str">
        <f>VLOOKUP(A4,'1.Loading'!A:R,2,FALSE)</f>
        <v>2026-10-16</v>
      </c>
      <c r="U4" s="63">
        <f>T4-S4</f>
        <v>46311</v>
      </c>
      <c r="V4" s="186" t="n"/>
      <c r="W4" s="61" t="str">
        <f>VLOOKUP(A4,'3.GateMove'!A:D,4,FALSE)</f>
        <v>2026-10-13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46312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Pattarapong Saengthong</v>
      </c>
      <c r="AL4" s="60" t="str">
        <f>VLOOKUP(D4,'2.Bookinglist'!A:CW,101,FALSE)</f>
        <v>2026-10-15</v>
      </c>
      <c r="AM4" s="60" t="str">
        <f>VLOOKUP(D4,'2.Bookinglist'!A:BK,63,FALSE)</f>
        <v>LCH28</v>
      </c>
      <c r="AN4" s="62" t="str">
        <f>VLOOKUP(D4,'2.Bookinglist'!A:AZ,52,FALSE)</f>
        <v>Pickup : 2026-10-08, Return : 2026-10-09
**CHECK OPENGATE BEFORE RETURN CNTR**</v>
      </c>
      <c r="AO4" s="62">
        <f>VLOOKUP(D4,'2.Bookinglist'!A:CY,103,FALSE)</f>
        <v>0</v>
      </c>
    </row>
    <row r="5" ht="12.95" customHeight="1">
      <c r="A5" s="96" t="inlineStr">
        <is>
          <t>CXDU2283528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LCH05</v>
      </c>
      <c r="D5" s="61" t="str">
        <f>VLOOKUP(A5,'1.Loading'!A:R,17,FALSE)</f>
        <v>HASLS22260900318</v>
      </c>
      <c r="E5" s="62" t="str">
        <f>VLOOKUP(D5,'2.Bookinglist'!A:CT,27,FALSE)</f>
        <v>WHA GC LOGISTICS COMPANY LIMITED</v>
      </c>
      <c r="F5" s="62" t="str">
        <f>VLOOKUP(D5,'2.Bookinglist'!A:CT,28,FALSE)</f>
        <v>PTT GLOBAL CHEMICAL PUBLIC COMPANY LIMITED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JPMIZ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KUS</v>
      </c>
      <c r="P5" s="61" t="str">
        <f>VLOOKUP(A5,'1.Loading'!A:R,4,FALSE)</f>
        <v>2616N</v>
      </c>
      <c r="Q5" s="61" t="str">
        <f>VLOOKUP(D5,'2.Bookinglist'!A:CT,12,FALSE)</f>
        <v>KST</v>
      </c>
      <c r="R5" s="60" t="str">
        <f>IF(LEFT(K5,2)="22","20'","40'")</f>
        <v>20'</v>
      </c>
      <c r="S5" s="185" t="n"/>
      <c r="T5" s="61" t="str">
        <f>VLOOKUP(A5,'1.Loading'!A:R,2,FALSE)</f>
        <v>2026-10-16</v>
      </c>
      <c r="U5" s="63">
        <f>T5-S5</f>
        <v>46311</v>
      </c>
      <c r="V5" s="186" t="n"/>
      <c r="W5" s="61" t="str">
        <f>VLOOKUP(A5,'3.GateMove'!A:D,4,FALSE)</f>
        <v>2026-10-08</v>
      </c>
      <c r="X5" s="63">
        <f>((T5-W5)+1)</f>
        <v>9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2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250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46312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250</v>
      </c>
      <c r="AJ5" s="188" t="n"/>
      <c r="AK5" s="62" t="str">
        <f>VLOOKUP(D5,'2.Bookinglist'!A:CT,40,FALSE)</f>
        <v>Dharaporn</v>
      </c>
      <c r="AL5" s="60" t="str">
        <f>VLOOKUP(D5,'2.Bookinglist'!A:CW,101,FALSE)</f>
        <v>2026-10-15</v>
      </c>
      <c r="AM5" s="60" t="str">
        <f>VLOOKUP(D5,'2.Bookinglist'!A:BK,63,FALSE)</f>
        <v>LCHY5</v>
      </c>
      <c r="AN5" s="62" t="str">
        <f>VLOOKUP(D5,'2.Bookinglist'!A:AZ,52,FALSE)</f>
        <v>CY-RTN 26-30/09/26 (PR2610001367 )
*PLS CHECK OPEN GATE BEFORE RETURN CTNR*</v>
      </c>
      <c r="AO5" s="62" t="str">
        <f>VLOOKUP(D5,'2.Bookinglist'!A:CY,103,FALSE)</f>
        <v>ROLL OVER FROM PREVIOUS VSL SWSP 2609N BY ALLOCATION TEAM MS,TARN APPROVED COST IS UNDER HA DD.4/10</v>
      </c>
    </row>
    <row r="6" ht="12.95" customHeight="1">
      <c r="A6" s="96" t="inlineStr">
        <is>
          <t>FCIU7275545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LCH05</v>
      </c>
      <c r="D6" s="61" t="str">
        <f>VLOOKUP(A6,'1.Loading'!A:R,17,FALSE)</f>
        <v>HASLS22260902851</v>
      </c>
      <c r="E6" s="62" t="str">
        <f>VLOOKUP(D6,'2.Bookinglist'!A:CT,27,FALSE)</f>
        <v>TOSHIBA LOGISTICS (THAILAND) CO., LTD.</v>
      </c>
      <c r="F6" s="62" t="str">
        <f>VLOOKUP(D6,'2.Bookinglist'!A:CT,28,FALSE)</f>
        <v>TOSHIBA CONSUMER PRODUCTS (THAILAND)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KUS</v>
      </c>
      <c r="P6" s="61" t="str">
        <f>VLOOKUP(A6,'1.Loading'!A:R,4,FALSE)</f>
        <v>2616N</v>
      </c>
      <c r="Q6" s="61" t="str">
        <f>VLOOKUP(D6,'2.Bookinglist'!A:CT,12,FALSE)</f>
        <v>KST</v>
      </c>
      <c r="R6" s="60" t="str">
        <f>IF(LEFT(K6,2)="22","20'","40'")</f>
        <v>40'</v>
      </c>
      <c r="S6" s="185" t="n"/>
      <c r="T6" s="61" t="str">
        <f>VLOOKUP(A6,'1.Loading'!A:R,2,FALSE)</f>
        <v>2026-10-16</v>
      </c>
      <c r="U6" s="63">
        <f>T6-S6</f>
        <v>46311</v>
      </c>
      <c r="V6" s="186" t="n"/>
      <c r="W6" s="61" t="str">
        <f>VLOOKUP(A6,'3.GateMove'!A:D,4,FALSE)</f>
        <v>2026-10-12</v>
      </c>
      <c r="X6" s="63">
        <f>((T6-W6)+1)</f>
        <v>5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46312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Pattarapong Saengthong</v>
      </c>
      <c r="AL6" s="60" t="str">
        <f>VLOOKUP(D6,'2.Bookinglist'!A:CW,101,FALSE)</f>
        <v>2026-10-15</v>
      </c>
      <c r="AM6" s="60" t="str">
        <f>VLOOKUP(D6,'2.Bookinglist'!A:BK,63,FALSE)</f>
        <v>LCH28</v>
      </c>
      <c r="AN6" s="62" t="str">
        <f>VLOOKUP(D6,'2.Bookinglist'!A:AZ,52,FALSE)</f>
        <v>Pickup : 2026-10-08, Return : 2026-10-09
**CHECK OPENGATE BEFORE RETURN CNTR**</v>
      </c>
      <c r="AO6" s="62">
        <f>VLOOKUP(D6,'2.Bookinglist'!A:CY,103,FALSE)</f>
        <v>0</v>
      </c>
    </row>
    <row r="7" ht="12.95" customHeight="1">
      <c r="A7" s="96" t="inlineStr">
        <is>
          <t>HALU2030140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LCH05</v>
      </c>
      <c r="D7" s="61" t="str">
        <f>VLOOKUP(A7,'1.Loading'!A:R,17,FALSE)</f>
        <v>HASLS22260900461</v>
      </c>
      <c r="E7" s="62" t="str">
        <f>VLOOKUP(D7,'2.Bookinglist'!A:CT,27,FALSE)</f>
        <v>WHA GC LOGISTICS COMPANY LIMITED</v>
      </c>
      <c r="F7" s="62" t="str">
        <f>VLOOKUP(D7,'2.Bookinglist'!A:CT,28,FALSE)</f>
        <v>PTT GLOBAL CHEMICAL PUBLIC COMPANY LIMITED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KUS</v>
      </c>
      <c r="P7" s="61" t="str">
        <f>VLOOKUP(A7,'1.Loading'!A:R,4,FALSE)</f>
        <v>2616N</v>
      </c>
      <c r="Q7" s="61" t="str">
        <f>VLOOKUP(D7,'2.Bookinglist'!A:CT,12,FALSE)</f>
        <v>KST</v>
      </c>
      <c r="R7" s="60" t="str">
        <f>IF(LEFT(K7,2)="22","20'","40'")</f>
        <v>20'</v>
      </c>
      <c r="S7" s="185" t="n"/>
      <c r="T7" s="61" t="str">
        <f>VLOOKUP(A7,'1.Loading'!A:R,2,FALSE)</f>
        <v>2026-10-16</v>
      </c>
      <c r="U7" s="63">
        <f>T7-S7</f>
        <v>46311</v>
      </c>
      <c r="V7" s="186" t="n"/>
      <c r="W7" s="61" t="str">
        <f>VLOOKUP(A7,'3.GateMove'!A:D,4,FALSE)</f>
        <v>2026-10-08</v>
      </c>
      <c r="X7" s="63">
        <f>((T7-W7)+1)</f>
        <v>9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2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250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46312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250</v>
      </c>
      <c r="AJ7" s="188" t="n"/>
      <c r="AK7" s="62" t="str">
        <f>VLOOKUP(D7,'2.Bookinglist'!A:CT,40,FALSE)</f>
        <v>Dharaporn</v>
      </c>
      <c r="AL7" s="60" t="str">
        <f>VLOOKUP(D7,'2.Bookinglist'!A:CW,101,FALSE)</f>
        <v>2026-10-15</v>
      </c>
      <c r="AM7" s="60" t="str">
        <f>VLOOKUP(D7,'2.Bookinglist'!A:BK,63,FALSE)</f>
        <v>LCH27</v>
      </c>
      <c r="AN7" s="62" t="str">
        <f>VLOOKUP(D7,'2.Bookinglist'!A:AZ,52,FALSE)</f>
        <v>CY-RTN 23-26/09/26 / FIRST DATE CAN RETURN CNTR DD.05/10 
**CHECK OPEN GATE BEFORE RETURN CNTR **
</v>
      </c>
      <c r="AO7" s="62" t="str">
        <f>VLOOKUP(D7,'2.Bookinglist'!A:CY,103,FALSE)</f>
        <v>ROLL OVER FROM PREVIOUS VSL.PCCP 2610N BY ALLOCATION TEAM MS.TARN APPROVED COST IS UNDER HAL DD.09/10/2026</v>
      </c>
    </row>
    <row r="8" ht="12.95" customHeight="1">
      <c r="A8" s="96" t="inlineStr">
        <is>
          <t>HALU2037381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LCH05</v>
      </c>
      <c r="D8" s="61" t="str">
        <f>VLOOKUP(A8,'1.Loading'!A:R,17,FALSE)</f>
        <v>HASLS22260900318</v>
      </c>
      <c r="E8" s="62" t="str">
        <f>VLOOKUP(D8,'2.Bookinglist'!A:CT,27,FALSE)</f>
        <v>WHA GC LOGISTICS COMPANY LIMITED</v>
      </c>
      <c r="F8" s="62" t="str">
        <f>VLOOKUP(D8,'2.Bookinglist'!A:CT,28,FALSE)</f>
        <v>PTT GLOBAL CHEMICAL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JPMIZ</v>
      </c>
      <c r="J8" s="61" t="str">
        <f>VLOOKUP(D8,'2.Bookinglist'!A:CT,26,FALSE)</f>
        <v>KRPUS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KUS</v>
      </c>
      <c r="P8" s="61" t="str">
        <f>VLOOKUP(A8,'1.Loading'!A:R,4,FALSE)</f>
        <v>2616N</v>
      </c>
      <c r="Q8" s="61" t="str">
        <f>VLOOKUP(D8,'2.Bookinglist'!A:CT,12,FALSE)</f>
        <v>KST</v>
      </c>
      <c r="R8" s="60" t="str">
        <f>IF(LEFT(K8,2)="22","20'","40'")</f>
        <v>20'</v>
      </c>
      <c r="S8" s="185" t="n"/>
      <c r="T8" s="61" t="str">
        <f>VLOOKUP(A8,'1.Loading'!A:R,2,FALSE)</f>
        <v>2026-10-16</v>
      </c>
      <c r="U8" s="63">
        <f>T8-S8</f>
        <v>46311</v>
      </c>
      <c r="V8" s="186" t="n"/>
      <c r="W8" s="61" t="str">
        <f>VLOOKUP(A8,'3.GateMove'!A:D,4,FALSE)</f>
        <v>2026-10-08</v>
      </c>
      <c r="X8" s="63">
        <f>((T8-W8)+1)</f>
        <v>9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2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250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46312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250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2026-10-15</v>
      </c>
      <c r="AM8" s="60" t="str">
        <f>VLOOKUP(D8,'2.Bookinglist'!A:BK,63,FALSE)</f>
        <v>LCHY5</v>
      </c>
      <c r="AN8" s="62" t="str">
        <f>VLOOKUP(D8,'2.Bookinglist'!A:AZ,52,FALSE)</f>
        <v>CY-RTN 26-30/09/26 (PR2610001367 )
*PLS CHECK OPEN GATE BEFORE RETURN CTNR*</v>
      </c>
      <c r="AO8" s="62" t="str">
        <f>VLOOKUP(D8,'2.Bookinglist'!A:CY,103,FALSE)</f>
        <v>ROLL OVER FROM PREVIOUS VSL SWSP 2609N BY ALLOCATION TEAM MS,TARN APPROVED COST IS UNDER HA DD.4/10</v>
      </c>
    </row>
    <row r="9" ht="12.95" customHeight="1">
      <c r="A9" s="96" t="inlineStr">
        <is>
          <t>HALU2335431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LCH05</v>
      </c>
      <c r="D9" s="61" t="str">
        <f>VLOOKUP(A9,'1.Loading'!A:R,17,FALSE)</f>
        <v>HASLS22260902064</v>
      </c>
      <c r="E9" s="62" t="str">
        <f>VLOOKUP(D9,'2.Bookinglist'!A:CT,27,FALSE)</f>
        <v>SCGJWD LOGISTICS PUBLIC COMPANY LIMITED</v>
      </c>
      <c r="F9" s="62" t="str">
        <f>VLOOKUP(D9,'2.Bookinglist'!A:CT,28,FALSE)</f>
        <v>THAI POLYETHYLENE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JPMOJ</v>
      </c>
      <c r="J9" s="61" t="str">
        <f>VLOOKUP(D9,'2.Bookinglist'!A:CT,26,FALSE)</f>
        <v>KRPUS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KUS</v>
      </c>
      <c r="P9" s="61" t="str">
        <f>VLOOKUP(A9,'1.Loading'!A:R,4,FALSE)</f>
        <v>2616N</v>
      </c>
      <c r="Q9" s="61" t="str">
        <f>VLOOKUP(D9,'2.Bookinglist'!A:CT,12,FALSE)</f>
        <v>KST</v>
      </c>
      <c r="R9" s="60" t="str">
        <f>IF(LEFT(K9,2)="22","20'","40'")</f>
        <v>20'</v>
      </c>
      <c r="S9" s="185" t="n"/>
      <c r="T9" s="61" t="str">
        <f>VLOOKUP(A9,'1.Loading'!A:R,2,FALSE)</f>
        <v>2026-10-16</v>
      </c>
      <c r="U9" s="63">
        <f>T9-S9</f>
        <v>46311</v>
      </c>
      <c r="V9" s="186" t="n"/>
      <c r="W9" s="61" t="str">
        <f>VLOOKUP(A9,'3.GateMove'!A:D,4,FALSE)</f>
        <v>2026-10-12</v>
      </c>
      <c r="X9" s="63">
        <f>((T9-W9)+1)</f>
        <v>5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46312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Kanokporn</v>
      </c>
      <c r="AL9" s="60" t="str">
        <f>VLOOKUP(D9,'2.Bookinglist'!A:CW,101,FALSE)</f>
        <v>2026-10-15</v>
      </c>
      <c r="AM9" s="60" t="str">
        <f>VLOOKUP(D9,'2.Bookinglist'!A:BK,63,FALSE)</f>
        <v>LCHY5</v>
      </c>
      <c r="AN9" s="62" t="str">
        <f>VLOOKUP(D9,'2.Bookinglist'!A:AZ,52,FALSE)</f>
        <v>CY-RTN 09-12/10/26 (  INV  3031061854 )</v>
      </c>
      <c r="AO9" s="62">
        <f>VLOOKUP(D9,'2.Bookinglist'!A:CY,103,FALSE)</f>
        <v>0</v>
      </c>
    </row>
    <row r="10" ht="12.95" customHeight="1">
      <c r="A10" s="96" t="inlineStr">
        <is>
          <t>HALU2336778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LCH05</v>
      </c>
      <c r="D10" s="61" t="str">
        <f>VLOOKUP(A10,'1.Loading'!A:R,17,FALSE)</f>
        <v>HASLS22260900461</v>
      </c>
      <c r="E10" s="62" t="str">
        <f>VLOOKUP(D10,'2.Bookinglist'!A:CT,27,FALSE)</f>
        <v>WHA GC LOGISTICS COMPANY LIMITED</v>
      </c>
      <c r="F10" s="62" t="str">
        <f>VLOOKUP(D10,'2.Bookinglist'!A:CT,28,FALSE)</f>
        <v>PTT GLOBAL CHEMICAL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KUS</v>
      </c>
      <c r="P10" s="61" t="str">
        <f>VLOOKUP(A10,'1.Loading'!A:R,4,FALSE)</f>
        <v>2616N</v>
      </c>
      <c r="Q10" s="61" t="str">
        <f>VLOOKUP(D10,'2.Bookinglist'!A:CT,12,FALSE)</f>
        <v>KST</v>
      </c>
      <c r="R10" s="60" t="str">
        <f>IF(LEFT(K10,2)="22","20'","40'")</f>
        <v>20'</v>
      </c>
      <c r="S10" s="185" t="n"/>
      <c r="T10" s="61" t="str">
        <f>VLOOKUP(A10,'1.Loading'!A:R,2,FALSE)</f>
        <v>2026-10-16</v>
      </c>
      <c r="U10" s="63">
        <f>T10-S10</f>
        <v>46311</v>
      </c>
      <c r="V10" s="186" t="n"/>
      <c r="W10" s="61" t="str">
        <f>VLOOKUP(A10,'3.GateMove'!A:D,4,FALSE)</f>
        <v>2026-10-08</v>
      </c>
      <c r="X10" s="63">
        <f>((T10-W10)+1)</f>
        <v>9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2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250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46312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250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2026-10-15</v>
      </c>
      <c r="AM10" s="60" t="str">
        <f>VLOOKUP(D10,'2.Bookinglist'!A:BK,63,FALSE)</f>
        <v>LCH27</v>
      </c>
      <c r="AN10" s="62" t="str">
        <f>VLOOKUP(D10,'2.Bookinglist'!A:AZ,52,FALSE)</f>
        <v>CY-RTN 23-26/09/26 / FIRST DATE CAN RETURN CNTR DD.05/10 
**CHECK OPEN GATE BEFORE RETURN CNTR **
</v>
      </c>
      <c r="AO10" s="62" t="str">
        <f>VLOOKUP(D10,'2.Bookinglist'!A:CY,103,FALSE)</f>
        <v>ROLL OVER FROM PREVIOUS VSL.PCCP 2610N BY ALLOCATION TEAM MS.TARN APPROVED COST IS UNDER HAL DD.09/10/2026</v>
      </c>
    </row>
    <row r="11" ht="12.95" customHeight="1">
      <c r="A11" s="96" t="inlineStr">
        <is>
          <t>HALU2346462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LCH05</v>
      </c>
      <c r="D11" s="61" t="str">
        <f>VLOOKUP(A11,'1.Loading'!A:R,17,FALSE)</f>
        <v>HASLS22260901989</v>
      </c>
      <c r="E11" s="62" t="str">
        <f>VLOOKUP(D11,'2.Bookinglist'!A:CT,27,FALSE)</f>
        <v>WHA GC LOGISTICS COMPANY LIMITED</v>
      </c>
      <c r="F11" s="62" t="str">
        <f>VLOOKUP(D11,'2.Bookinglist'!A:CT,28,FALSE)</f>
        <v>PTT GLOBAL CHEMICAL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JPUKB</v>
      </c>
      <c r="J11" s="61" t="str">
        <f>VLOOKUP(D11,'2.Bookinglist'!A:CT,26,FALSE)</f>
        <v>KRPUS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KUS</v>
      </c>
      <c r="P11" s="61" t="str">
        <f>VLOOKUP(A11,'1.Loading'!A:R,4,FALSE)</f>
        <v>2616N</v>
      </c>
      <c r="Q11" s="61" t="str">
        <f>VLOOKUP(D11,'2.Bookinglist'!A:CT,12,FALSE)</f>
        <v>KST</v>
      </c>
      <c r="R11" s="60" t="str">
        <f>IF(LEFT(K11,2)="22","20'","40'")</f>
        <v>20'</v>
      </c>
      <c r="S11" s="185" t="n"/>
      <c r="T11" s="61" t="str">
        <f>VLOOKUP(A11,'1.Loading'!A:R,2,FALSE)</f>
        <v>2026-10-16</v>
      </c>
      <c r="U11" s="63">
        <f>T11-S11</f>
        <v>46311</v>
      </c>
      <c r="V11" s="186" t="n"/>
      <c r="W11" s="61" t="str">
        <f>VLOOKUP(A11,'3.GateMove'!A:D,4,FALSE)</f>
        <v>2026-10-14</v>
      </c>
      <c r="X11" s="63">
        <f>((T11-W11)+1)</f>
        <v>3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46312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2026-10-15</v>
      </c>
      <c r="AM11" s="60" t="str">
        <f>VLOOKUP(D11,'2.Bookinglist'!A:BK,63,FALSE)</f>
        <v>LCHY5</v>
      </c>
      <c r="AN11" s="62" t="str">
        <f>VLOOKUP(D11,'2.Bookinglist'!A:AZ,52,FALSE)</f>
        <v>[FIX]CY-RTN 09-10/10/26 (PR2610002570) cls time dd.14/10 before 1800hrs
*PLS CHECK OPEN GATE BEFORE RETURN CTNR*</v>
      </c>
      <c r="AO11" s="62">
        <f>VLOOKUP(D11,'2.Bookinglist'!A:CY,103,FALSE)</f>
        <v>0</v>
      </c>
    </row>
    <row r="12" ht="12.95" customHeight="1">
      <c r="A12" s="96" t="inlineStr">
        <is>
          <t>HALU2352927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LCH05</v>
      </c>
      <c r="D12" s="61" t="str">
        <f>VLOOKUP(A12,'1.Loading'!A:R,17,FALSE)</f>
        <v>HASLS22260902234</v>
      </c>
      <c r="E12" s="62" t="str">
        <f>VLOOKUP(D12,'2.Bookinglist'!A:CT,27,FALSE)</f>
        <v>SCGJWD LOGISTICS PUBLIC COMPANY LIMITED</v>
      </c>
      <c r="F12" s="62" t="str">
        <f>VLOOKUP(D12,'2.Bookinglist'!A:CT,28,FALSE)</f>
        <v>THAI POLYETHYLENE CO.,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JPNAH</v>
      </c>
      <c r="J12" s="61" t="str">
        <f>VLOOKUP(D12,'2.Bookinglist'!A:CT,26,FALSE)</f>
        <v>KRPUS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KUS</v>
      </c>
      <c r="P12" s="61" t="str">
        <f>VLOOKUP(A12,'1.Loading'!A:R,4,FALSE)</f>
        <v>2616N</v>
      </c>
      <c r="Q12" s="61" t="str">
        <f>VLOOKUP(D12,'2.Bookinglist'!A:CT,12,FALSE)</f>
        <v>KST</v>
      </c>
      <c r="R12" s="60" t="str">
        <f>IF(LEFT(K12,2)="22","20'","40'")</f>
        <v>20'</v>
      </c>
      <c r="S12" s="185" t="n"/>
      <c r="T12" s="61" t="str">
        <f>VLOOKUP(A12,'1.Loading'!A:R,2,FALSE)</f>
        <v>2026-10-16</v>
      </c>
      <c r="U12" s="63">
        <f>T12-S12</f>
        <v>46311</v>
      </c>
      <c r="V12" s="186" t="n"/>
      <c r="W12" s="61" t="str">
        <f>VLOOKUP(A12,'3.GateMove'!A:D,4,FALSE)</f>
        <v>2026-10-11</v>
      </c>
      <c r="X12" s="63">
        <f>((T12-W12)+1)</f>
        <v>6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46312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Kanokporn</v>
      </c>
      <c r="AL12" s="60" t="str">
        <f>VLOOKUP(D12,'2.Bookinglist'!A:CW,101,FALSE)</f>
        <v>2026-10-15</v>
      </c>
      <c r="AM12" s="60" t="str">
        <f>VLOOKUP(D12,'2.Bookinglist'!A:BK,63,FALSE)</f>
        <v>LCHY5</v>
      </c>
      <c r="AN12" s="62" t="str">
        <f>VLOOKUP(D12,'2.Bookinglist'!A:AZ,52,FALSE)</f>
        <v>CY-RTN 07-09/10/26 (  INV  3031062193 ) 
*PLS CHECK OPEN GATE BEFORE RETURN CTNR*</v>
      </c>
      <c r="AO12" s="62">
        <f>VLOOKUP(D12,'2.Bookinglist'!A:CY,103,FALSE)</f>
        <v>0</v>
      </c>
    </row>
    <row r="13" ht="12.95" customHeight="1">
      <c r="A13" s="96" t="inlineStr">
        <is>
          <t>HALU2361913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LCH05</v>
      </c>
      <c r="D13" s="61" t="str">
        <f>VLOOKUP(A13,'1.Loading'!A:R,17,FALSE)</f>
        <v>HASLS22260900461</v>
      </c>
      <c r="E13" s="62" t="str">
        <f>VLOOKUP(D13,'2.Bookinglist'!A:CT,27,FALSE)</f>
        <v>WHA GC LOGISTICS COMPANY LIMITED</v>
      </c>
      <c r="F13" s="62" t="str">
        <f>VLOOKUP(D13,'2.Bookinglist'!A:CT,28,FALSE)</f>
        <v>PTT GLOBAL CHEMICAL PUBLIC COMPANY LIMITED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KUS</v>
      </c>
      <c r="P13" s="61" t="str">
        <f>VLOOKUP(A13,'1.Loading'!A:R,4,FALSE)</f>
        <v>2616N</v>
      </c>
      <c r="Q13" s="61" t="str">
        <f>VLOOKUP(D13,'2.Bookinglist'!A:CT,12,FALSE)</f>
        <v>KST</v>
      </c>
      <c r="R13" s="60" t="str">
        <f>IF(LEFT(K13,2)="22","20'","40'")</f>
        <v>20'</v>
      </c>
      <c r="S13" s="185" t="n"/>
      <c r="T13" s="61" t="str">
        <f>VLOOKUP(A13,'1.Loading'!A:R,2,FALSE)</f>
        <v>2026-10-16</v>
      </c>
      <c r="U13" s="63">
        <f>T13-S13</f>
        <v>46311</v>
      </c>
      <c r="V13" s="186" t="n"/>
      <c r="W13" s="61" t="str">
        <f>VLOOKUP(A13,'3.GateMove'!A:D,4,FALSE)</f>
        <v>2026-10-08</v>
      </c>
      <c r="X13" s="63">
        <f>((T13-W13)+1)</f>
        <v>9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46312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250</v>
      </c>
      <c r="AJ13" s="188" t="n"/>
      <c r="AK13" s="62" t="str">
        <f>VLOOKUP(D13,'2.Bookinglist'!A:CT,40,FALSE)</f>
        <v>Dharaporn</v>
      </c>
      <c r="AL13" s="60" t="str">
        <f>VLOOKUP(D13,'2.Bookinglist'!A:CW,101,FALSE)</f>
        <v>2026-10-15</v>
      </c>
      <c r="AM13" s="60" t="str">
        <f>VLOOKUP(D13,'2.Bookinglist'!A:BK,63,FALSE)</f>
        <v>LCH27</v>
      </c>
      <c r="AN13" s="62" t="str">
        <f>VLOOKUP(D13,'2.Bookinglist'!A:AZ,52,FALSE)</f>
        <v>CY-RTN 23-26/09/26 / FIRST DATE CAN RETURN CNTR DD.05/10 
**CHECK OPEN GATE BEFORE RETURN CNTR **
</v>
      </c>
      <c r="AO13" s="62" t="str">
        <f>VLOOKUP(D13,'2.Bookinglist'!A:CY,103,FALSE)</f>
        <v>ROLL OVER FROM PREVIOUS VSL.PCCP 2610N BY ALLOCATION TEAM MS.TARN APPROVED COST IS UNDER HAL DD.09/10/2026</v>
      </c>
    </row>
    <row r="14" ht="12.95" customHeight="1">
      <c r="A14" s="96" t="inlineStr">
        <is>
          <t>HALU2430510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LCH05</v>
      </c>
      <c r="D14" s="61" t="str">
        <f>VLOOKUP(A14,'1.Loading'!A:R,17,FALSE)</f>
        <v>HASLS22260902793</v>
      </c>
      <c r="E14" s="62" t="str">
        <f>VLOOKUP(D14,'2.Bookinglist'!A:CT,27,FALSE)</f>
        <v>WHA GC LOGISTICS COMPANY LIMITED</v>
      </c>
      <c r="F14" s="62" t="str">
        <f>VLOOKUP(D14,'2.Bookinglist'!A:CT,28,FALSE)</f>
        <v>PTT GLOBAL CHEMICAL PUBLIC COMPANY LIMITED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JPIMB</v>
      </c>
      <c r="J14" s="61" t="str">
        <f>VLOOKUP(D14,'2.Bookinglist'!A:CT,26,FALSE)</f>
        <v>KRPUS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KUS</v>
      </c>
      <c r="P14" s="61" t="str">
        <f>VLOOKUP(A14,'1.Loading'!A:R,4,FALSE)</f>
        <v>2616N</v>
      </c>
      <c r="Q14" s="61" t="str">
        <f>VLOOKUP(D14,'2.Bookinglist'!A:CT,12,FALSE)</f>
        <v>KST</v>
      </c>
      <c r="R14" s="60" t="str">
        <f>IF(LEFT(K14,2)="22","20'","40'")</f>
        <v>20'</v>
      </c>
      <c r="S14" s="185" t="n"/>
      <c r="T14" s="61" t="str">
        <f>VLOOKUP(A14,'1.Loading'!A:R,2,FALSE)</f>
        <v>2026-10-16</v>
      </c>
      <c r="U14" s="63">
        <f>T14-S14</f>
        <v>46311</v>
      </c>
      <c r="V14" s="186" t="n"/>
      <c r="W14" s="61" t="str">
        <f>VLOOKUP(A14,'3.GateMove'!A:D,4,FALSE)</f>
        <v>2026-10-11</v>
      </c>
      <c r="X14" s="63">
        <f>((T14-W14)+1)</f>
        <v>6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46312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Dharaporn</v>
      </c>
      <c r="AL14" s="60" t="str">
        <f>VLOOKUP(D14,'2.Bookinglist'!A:CW,101,FALSE)</f>
        <v>2026-10-15</v>
      </c>
      <c r="AM14" s="60" t="str">
        <f>VLOOKUP(D14,'2.Bookinglist'!A:BK,63,FALSE)</f>
        <v>LCHY5</v>
      </c>
      <c r="AN14" s="62" t="str">
        <f>VLOOKUP(D14,'2.Bookinglist'!A:AZ,52,FALSE)</f>
        <v>CY-RTN 07-09/10/26 (PR2610002581 )
</v>
      </c>
      <c r="AO14" s="62">
        <f>VLOOKUP(D14,'2.Bookinglist'!A:CY,103,FALSE)</f>
        <v>0</v>
      </c>
    </row>
    <row r="15" ht="12.95" customHeight="1">
      <c r="A15" s="96" t="inlineStr">
        <is>
          <t>HALU2469791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LCH05</v>
      </c>
      <c r="D15" s="61" t="str">
        <f>VLOOKUP(A15,'1.Loading'!A:R,17,FALSE)</f>
        <v>HASLS22260901989</v>
      </c>
      <c r="E15" s="62" t="str">
        <f>VLOOKUP(D15,'2.Bookinglist'!A:CT,27,FALSE)</f>
        <v>WHA GC LOGISTICS COMPANY LIMITED</v>
      </c>
      <c r="F15" s="62" t="str">
        <f>VLOOKUP(D15,'2.Bookinglist'!A:CT,28,FALSE)</f>
        <v>PTT GLOBAL CHEMICAL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JPUKB</v>
      </c>
      <c r="J15" s="61" t="str">
        <f>VLOOKUP(D15,'2.Bookinglist'!A:CT,26,FALSE)</f>
        <v>KRPUS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KUS</v>
      </c>
      <c r="P15" s="61" t="str">
        <f>VLOOKUP(A15,'1.Loading'!A:R,4,FALSE)</f>
        <v>2616N</v>
      </c>
      <c r="Q15" s="61" t="str">
        <f>VLOOKUP(D15,'2.Bookinglist'!A:CT,12,FALSE)</f>
        <v>KST</v>
      </c>
      <c r="R15" s="60" t="str">
        <f>IF(LEFT(K15,2)="22","20'","40'")</f>
        <v>20'</v>
      </c>
      <c r="S15" s="185" t="n"/>
      <c r="T15" s="61" t="str">
        <f>VLOOKUP(A15,'1.Loading'!A:R,2,FALSE)</f>
        <v>2026-10-16</v>
      </c>
      <c r="U15" s="63">
        <f>T15-S15</f>
        <v>46311</v>
      </c>
      <c r="V15" s="186" t="n"/>
      <c r="W15" s="61" t="str">
        <f>VLOOKUP(A15,'3.GateMove'!A:D,4,FALSE)</f>
        <v>2026-10-14</v>
      </c>
      <c r="X15" s="63">
        <f>((T15-W15)+1)</f>
        <v>3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46312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2026-10-15</v>
      </c>
      <c r="AM15" s="60" t="str">
        <f>VLOOKUP(D15,'2.Bookinglist'!A:BK,63,FALSE)</f>
        <v>LCHY5</v>
      </c>
      <c r="AN15" s="62" t="str">
        <f>VLOOKUP(D15,'2.Bookinglist'!A:AZ,52,FALSE)</f>
        <v>[FIX]CY-RTN 09-10/10/26 (PR2610002570) cls time dd.14/10 before 1800hrs
*PLS CHECK OPEN GATE BEFORE RETURN CTNR*</v>
      </c>
      <c r="AO15" s="62">
        <f>VLOOKUP(D15,'2.Bookinglist'!A:CY,103,FALSE)</f>
        <v>0</v>
      </c>
    </row>
    <row r="16" ht="12.95" customHeight="1">
      <c r="A16" s="96" t="inlineStr">
        <is>
          <t>HALU2472054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LCH05</v>
      </c>
      <c r="D16" s="61" t="str">
        <f>VLOOKUP(A16,'1.Loading'!A:R,17,FALSE)</f>
        <v>HASLS22260901989</v>
      </c>
      <c r="E16" s="62" t="str">
        <f>VLOOKUP(D16,'2.Bookinglist'!A:CT,27,FALSE)</f>
        <v>WHA GC LOGISTICS COMPANY LIMITED</v>
      </c>
      <c r="F16" s="62" t="str">
        <f>VLOOKUP(D16,'2.Bookinglist'!A:CT,28,FALSE)</f>
        <v>PTT GLOBAL CHEMICAL PUBLIC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JPUKB</v>
      </c>
      <c r="J16" s="61" t="str">
        <f>VLOOKUP(D16,'2.Bookinglist'!A:CT,26,FALSE)</f>
        <v>KRPUS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KUS</v>
      </c>
      <c r="P16" s="61" t="str">
        <f>VLOOKUP(A16,'1.Loading'!A:R,4,FALSE)</f>
        <v>2616N</v>
      </c>
      <c r="Q16" s="61" t="str">
        <f>VLOOKUP(D16,'2.Bookinglist'!A:CT,12,FALSE)</f>
        <v>KST</v>
      </c>
      <c r="R16" s="60" t="str">
        <f>IF(LEFT(K16,2)="22","20'","40'")</f>
        <v>20'</v>
      </c>
      <c r="S16" s="185" t="n"/>
      <c r="T16" s="61" t="str">
        <f>VLOOKUP(A16,'1.Loading'!A:R,2,FALSE)</f>
        <v>2026-10-16</v>
      </c>
      <c r="U16" s="63">
        <f>T16-S16</f>
        <v>46311</v>
      </c>
      <c r="V16" s="186" t="n"/>
      <c r="W16" s="61" t="str">
        <f>VLOOKUP(A16,'3.GateMove'!A:D,4,FALSE)</f>
        <v>2026-10-14</v>
      </c>
      <c r="X16" s="63">
        <f>((T16-W16)+1)</f>
        <v>3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46312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2026-10-15</v>
      </c>
      <c r="AM16" s="60" t="str">
        <f>VLOOKUP(D16,'2.Bookinglist'!A:BK,63,FALSE)</f>
        <v>LCHY5</v>
      </c>
      <c r="AN16" s="62" t="str">
        <f>VLOOKUP(D16,'2.Bookinglist'!A:AZ,52,FALSE)</f>
        <v>[FIX]CY-RTN 09-10/10/26 (PR2610002570) cls time dd.14/10 before 1800hrs
*PLS CHECK OPEN GATE BEFORE RETURN CTNR*</v>
      </c>
      <c r="AO16" s="62">
        <f>VLOOKUP(D16,'2.Bookinglist'!A:CY,103,FALSE)</f>
        <v>0</v>
      </c>
    </row>
    <row r="17" ht="12.95" customHeight="1">
      <c r="A17" s="96" t="inlineStr">
        <is>
          <t>HALU2472630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LCH05</v>
      </c>
      <c r="D17" s="61" t="str">
        <f>VLOOKUP(A17,'1.Loading'!A:R,17,FALSE)</f>
        <v>HASLS22260901989</v>
      </c>
      <c r="E17" s="62" t="str">
        <f>VLOOKUP(D17,'2.Bookinglist'!A:CT,27,FALSE)</f>
        <v>WHA GC LOGISTICS COMPANY LIMITED</v>
      </c>
      <c r="F17" s="62" t="str">
        <f>VLOOKUP(D17,'2.Bookinglist'!A:CT,28,FALSE)</f>
        <v>PTT GLOBAL CHEMICAL PUBLIC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JPUKB</v>
      </c>
      <c r="J17" s="61" t="str">
        <f>VLOOKUP(D17,'2.Bookinglist'!A:CT,26,FALSE)</f>
        <v>KRPUS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KUS</v>
      </c>
      <c r="P17" s="61" t="str">
        <f>VLOOKUP(A17,'1.Loading'!A:R,4,FALSE)</f>
        <v>2616N</v>
      </c>
      <c r="Q17" s="61" t="str">
        <f>VLOOKUP(D17,'2.Bookinglist'!A:CT,12,FALSE)</f>
        <v>KST</v>
      </c>
      <c r="R17" s="60" t="str">
        <f>IF(LEFT(K17,2)="22","20'","40'")</f>
        <v>20'</v>
      </c>
      <c r="S17" s="185" t="n"/>
      <c r="T17" s="61" t="str">
        <f>VLOOKUP(A17,'1.Loading'!A:R,2,FALSE)</f>
        <v>2026-10-16</v>
      </c>
      <c r="U17" s="63">
        <f>T17-S17</f>
        <v>46311</v>
      </c>
      <c r="V17" s="186" t="n"/>
      <c r="W17" s="61" t="str">
        <f>VLOOKUP(A17,'3.GateMove'!A:D,4,FALSE)</f>
        <v>2026-10-14</v>
      </c>
      <c r="X17" s="63">
        <f>((T17-W17)+1)</f>
        <v>3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46312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2026-10-15</v>
      </c>
      <c r="AM17" s="60" t="str">
        <f>VLOOKUP(D17,'2.Bookinglist'!A:BK,63,FALSE)</f>
        <v>LCHY5</v>
      </c>
      <c r="AN17" s="62" t="str">
        <f>VLOOKUP(D17,'2.Bookinglist'!A:AZ,52,FALSE)</f>
        <v>[FIX]CY-RTN 09-10/10/26 (PR2610002570) cls time dd.14/10 before 1800hrs
*PLS CHECK OPEN GATE BEFORE RETURN CTNR*</v>
      </c>
      <c r="AO17" s="62">
        <f>VLOOKUP(D17,'2.Bookinglist'!A:CY,103,FALSE)</f>
        <v>0</v>
      </c>
    </row>
    <row r="18" ht="12.95" customHeight="1">
      <c r="A18" s="96" t="inlineStr">
        <is>
          <t>HALU2509934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LCH05</v>
      </c>
      <c r="D18" s="61" t="str">
        <f>VLOOKUP(A18,'1.Loading'!A:R,17,FALSE)</f>
        <v>HASLS22261000495</v>
      </c>
      <c r="E18" s="62" t="str">
        <f>VLOOKUP(D18,'2.Bookinglist'!A:CT,27,FALSE)</f>
        <v>KORCHINA FREIGHT (THAILAND) CO., LTD.</v>
      </c>
      <c r="F18" s="62" t="str">
        <f>VLOOKUP(D18,'2.Bookinglist'!A:CT,28,FALSE)</f>
        <v>BRIDGESTONE AIRCRAFT TIRE MANUFACTURING (THAILAND)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KRINC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KUS</v>
      </c>
      <c r="P18" s="61" t="str">
        <f>VLOOKUP(A18,'1.Loading'!A:R,4,FALSE)</f>
        <v>2616N</v>
      </c>
      <c r="Q18" s="61" t="str">
        <f>VLOOKUP(D18,'2.Bookinglist'!A:CT,12,FALSE)</f>
        <v>KST</v>
      </c>
      <c r="R18" s="60" t="str">
        <f>IF(LEFT(K18,2)="22","20'","40'")</f>
        <v>20'</v>
      </c>
      <c r="S18" s="185" t="n"/>
      <c r="T18" s="61" t="str">
        <f>VLOOKUP(A18,'1.Loading'!A:R,2,FALSE)</f>
        <v>2026-10-16</v>
      </c>
      <c r="U18" s="63">
        <f>T18-S18</f>
        <v>46311</v>
      </c>
      <c r="V18" s="186" t="n"/>
      <c r="W18" s="61" t="str">
        <f>VLOOKUP(A18,'3.GateMove'!A:D,4,FALSE)</f>
        <v>2026-10-13</v>
      </c>
      <c r="X18" s="63">
        <f>((T18-W18)+1)</f>
        <v>4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46312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Pattarapong Saengthong</v>
      </c>
      <c r="AL18" s="60" t="str">
        <f>VLOOKUP(D18,'2.Bookinglist'!A:CW,101,FALSE)</f>
        <v>2026-10-15</v>
      </c>
      <c r="AM18" s="60" t="str">
        <f>VLOOKUP(D18,'2.Bookinglist'!A:BK,63,FALSE)</f>
        <v>LCH27</v>
      </c>
      <c r="AN18" s="62" t="str">
        <f>VLOOKUP(D18,'2.Bookinglist'!A:AZ,52,FALSE)</f>
        <v>Pickup : 2026-10-12, Return : 2026-10-12 
 ** PLEASE CHECK OPEN GATE BEFORE RETURN CNTR **
</v>
      </c>
      <c r="AO18" s="62">
        <f>VLOOKUP(D18,'2.Bookinglist'!A:CY,103,FALSE)</f>
        <v>0</v>
      </c>
    </row>
    <row r="19" ht="12.95" customHeight="1">
      <c r="A19" s="96" t="inlineStr">
        <is>
          <t>HALU2511926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LCH05</v>
      </c>
      <c r="D19" s="61" t="str">
        <f>VLOOKUP(A19,'1.Loading'!A:R,17,FALSE)</f>
        <v>HASLS22260901989</v>
      </c>
      <c r="E19" s="62" t="str">
        <f>VLOOKUP(D19,'2.Bookinglist'!A:CT,27,FALSE)</f>
        <v>WHA GC LOGISTICS COMPANY LIMITED</v>
      </c>
      <c r="F19" s="62" t="str">
        <f>VLOOKUP(D19,'2.Bookinglist'!A:CT,28,FALSE)</f>
        <v>PTT GLOBAL CHEMICAL PUBLIC COMPANY LIMITED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JPUKB</v>
      </c>
      <c r="J19" s="61" t="str">
        <f>VLOOKUP(D19,'2.Bookinglist'!A:CT,26,FALSE)</f>
        <v>KRPUS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KUS</v>
      </c>
      <c r="P19" s="61" t="str">
        <f>VLOOKUP(A19,'1.Loading'!A:R,4,FALSE)</f>
        <v>2616N</v>
      </c>
      <c r="Q19" s="61" t="str">
        <f>VLOOKUP(D19,'2.Bookinglist'!A:CT,12,FALSE)</f>
        <v>KST</v>
      </c>
      <c r="R19" s="60" t="str">
        <f>IF(LEFT(K19,2)="22","20'","40'")</f>
        <v>20'</v>
      </c>
      <c r="S19" s="185" t="n"/>
      <c r="T19" s="61" t="str">
        <f>VLOOKUP(A19,'1.Loading'!A:R,2,FALSE)</f>
        <v>2026-10-16</v>
      </c>
      <c r="U19" s="63">
        <f>T19-S19</f>
        <v>46311</v>
      </c>
      <c r="V19" s="186" t="n"/>
      <c r="W19" s="61" t="str">
        <f>VLOOKUP(A19,'3.GateMove'!A:D,4,FALSE)</f>
        <v>2026-10-14</v>
      </c>
      <c r="X19" s="63">
        <f>((T19-W19)+1)</f>
        <v>3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46312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Dharaporn</v>
      </c>
      <c r="AL19" s="60" t="str">
        <f>VLOOKUP(D19,'2.Bookinglist'!A:CW,101,FALSE)</f>
        <v>2026-10-15</v>
      </c>
      <c r="AM19" s="60" t="str">
        <f>VLOOKUP(D19,'2.Bookinglist'!A:BK,63,FALSE)</f>
        <v>LCHY5</v>
      </c>
      <c r="AN19" s="62" t="str">
        <f>VLOOKUP(D19,'2.Bookinglist'!A:AZ,52,FALSE)</f>
        <v>[FIX]CY-RTN 09-10/10/26 (PR2610002570) cls time dd.14/10 before 1800hrs
*PLS CHECK OPEN GATE BEFORE RETURN CTNR*</v>
      </c>
      <c r="AO19" s="62">
        <f>VLOOKUP(D19,'2.Bookinglist'!A:CY,103,FALSE)</f>
        <v>0</v>
      </c>
    </row>
    <row r="20" ht="12.95" customHeight="1">
      <c r="A20" s="96" t="inlineStr">
        <is>
          <t>HALU2531943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LCH05</v>
      </c>
      <c r="D20" s="61" t="str">
        <f>VLOOKUP(A20,'1.Loading'!A:R,17,FALSE)</f>
        <v>HASLS22260900461</v>
      </c>
      <c r="E20" s="62" t="str">
        <f>VLOOKUP(D20,'2.Bookinglist'!A:CT,27,FALSE)</f>
        <v>WHA GC LOGISTICS COMPANY LIMITED</v>
      </c>
      <c r="F20" s="62" t="str">
        <f>VLOOKUP(D20,'2.Bookinglist'!A:CT,28,FALSE)</f>
        <v>PTT GLOBAL CHEMICAL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KUS</v>
      </c>
      <c r="P20" s="61" t="str">
        <f>VLOOKUP(A20,'1.Loading'!A:R,4,FALSE)</f>
        <v>2616N</v>
      </c>
      <c r="Q20" s="61" t="str">
        <f>VLOOKUP(D20,'2.Bookinglist'!A:CT,12,FALSE)</f>
        <v>KST</v>
      </c>
      <c r="R20" s="60" t="str">
        <f>IF(LEFT(K20,2)="22","20'","40'")</f>
        <v>20'</v>
      </c>
      <c r="S20" s="185" t="n"/>
      <c r="T20" s="61" t="str">
        <f>VLOOKUP(A20,'1.Loading'!A:R,2,FALSE)</f>
        <v>2026-10-16</v>
      </c>
      <c r="U20" s="63">
        <f>T20-S20</f>
        <v>46311</v>
      </c>
      <c r="V20" s="186" t="n"/>
      <c r="W20" s="61" t="str">
        <f>VLOOKUP(A20,'3.GateMove'!A:D,4,FALSE)</f>
        <v>2026-10-08</v>
      </c>
      <c r="X20" s="63">
        <f>((T20-W20)+1)</f>
        <v>9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2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250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46312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250</v>
      </c>
      <c r="AJ20" s="188" t="n"/>
      <c r="AK20" s="62" t="str">
        <f>VLOOKUP(D20,'2.Bookinglist'!A:CT,40,FALSE)</f>
        <v>Dharaporn</v>
      </c>
      <c r="AL20" s="60" t="str">
        <f>VLOOKUP(D20,'2.Bookinglist'!A:CW,101,FALSE)</f>
        <v>2026-10-15</v>
      </c>
      <c r="AM20" s="60" t="str">
        <f>VLOOKUP(D20,'2.Bookinglist'!A:BK,63,FALSE)</f>
        <v>LCH27</v>
      </c>
      <c r="AN20" s="62" t="str">
        <f>VLOOKUP(D20,'2.Bookinglist'!A:AZ,52,FALSE)</f>
        <v>CY-RTN 23-26/09/26 / FIRST DATE CAN RETURN CNTR DD.05/10 
**CHECK OPEN GATE BEFORE RETURN CNTR **
</v>
      </c>
      <c r="AO20" s="62" t="str">
        <f>VLOOKUP(D20,'2.Bookinglist'!A:CY,103,FALSE)</f>
        <v>ROLL OVER FROM PREVIOUS VSL.PCCP 2610N BY ALLOCATION TEAM MS.TARN APPROVED COST IS UNDER HAL DD.09/10/2026</v>
      </c>
    </row>
    <row r="21" ht="12.95" customHeight="1">
      <c r="A21" s="96" t="inlineStr">
        <is>
          <t>HALU5660029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LCH05</v>
      </c>
      <c r="D21" s="61" t="str">
        <f>VLOOKUP(A21,'1.Loading'!A:R,17,FALSE)</f>
        <v>HASLS22261000130</v>
      </c>
      <c r="E21" s="62" t="str">
        <f>VLOOKUP(D21,'2.Bookinglist'!A:CT,27,FALSE)</f>
        <v>WHA GC LOGISTICS COMPANY LIMITED</v>
      </c>
      <c r="F21" s="62" t="str">
        <f>VLOOKUP(D21,'2.Bookinglist'!A:CT,28,FALSE)</f>
        <v>PTT GLOBAL CHEMICAL PUBLIC COMPANY LIMITED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KUS</v>
      </c>
      <c r="P21" s="61" t="str">
        <f>VLOOKUP(A21,'1.Loading'!A:R,4,FALSE)</f>
        <v>2616N</v>
      </c>
      <c r="Q21" s="61" t="str">
        <f>VLOOKUP(D21,'2.Bookinglist'!A:CT,12,FALSE)</f>
        <v>KST</v>
      </c>
      <c r="R21" s="60" t="str">
        <f>IF(LEFT(K21,2)="22","20'","40'")</f>
        <v>40'</v>
      </c>
      <c r="S21" s="185" t="n"/>
      <c r="T21" s="61" t="str">
        <f>VLOOKUP(A21,'1.Loading'!A:R,2,FALSE)</f>
        <v>2026-10-16</v>
      </c>
      <c r="U21" s="63">
        <f>T21-S21</f>
        <v>46311</v>
      </c>
      <c r="V21" s="186" t="n"/>
      <c r="W21" s="61" t="str">
        <f>VLOOKUP(A21,'3.GateMove'!A:D,4,FALSE)</f>
        <v>2026-10-09</v>
      </c>
      <c r="X21" s="63">
        <f>((T21-W21)+1)</f>
        <v>8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1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250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46312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250</v>
      </c>
      <c r="AJ21" s="188" t="n"/>
      <c r="AK21" s="62" t="str">
        <f>VLOOKUP(D21,'2.Bookinglist'!A:CT,40,FALSE)</f>
        <v>Dharaporn</v>
      </c>
      <c r="AL21" s="60" t="str">
        <f>VLOOKUP(D21,'2.Bookinglist'!A:CW,101,FALSE)</f>
        <v>2026-10-15</v>
      </c>
      <c r="AM21" s="60" t="str">
        <f>VLOOKUP(D21,'2.Bookinglist'!A:BK,63,FALSE)</f>
        <v>LCH27</v>
      </c>
      <c r="AN21" s="62" t="str">
        <f>VLOOKUP(D21,'2.Bookinglist'!A:AZ,52,FALSE)</f>
        <v>CY-RTN 06-08/10/26 / FIRST DATE CAN RETURN CNTR DD.06/10 
**CHECK OPEN GATE BEFORE RETURN CNTR **
</v>
      </c>
      <c r="AO21" s="62" t="str">
        <f>VLOOKUP(D21,'2.Bookinglist'!A:CY,103,FALSE)</f>
        <v>ROLL OVER FROM PREVIOUS VSL.PCCP 2610N BY ALLOCATION TEAM MS.TARN APPROVED COST IS UNDER HAL DD.09/10/2026</v>
      </c>
    </row>
    <row r="22" ht="12.95" customHeight="1">
      <c r="A22" s="96" t="inlineStr">
        <is>
          <t>HALU8504396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LCH05</v>
      </c>
      <c r="D22" s="61" t="str">
        <f>VLOOKUP(A22,'1.Loading'!A:R,17,FALSE)</f>
        <v>HASLS22260902175</v>
      </c>
      <c r="E22" s="62" t="str">
        <f>VLOOKUP(D22,'2.Bookinglist'!A:CT,27,FALSE)</f>
        <v>KODAI (THAILAND) CO., LTD.</v>
      </c>
      <c r="F22" s="62" t="str">
        <f>VLOOKUP(D22,'2.Bookinglist'!A:CT,28,FALSE)</f>
        <v>MCKEY FOOD SERVICES   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JPISS</v>
      </c>
      <c r="J22" s="61" t="str">
        <f>VLOOKUP(D22,'2.Bookinglist'!A:CT,26,FALSE)</f>
        <v>KRPUS</v>
      </c>
      <c r="K22" s="61" t="str">
        <f>VLOOKUP(A22,'1.Loading'!A:R,5,FALSE)</f>
        <v>45RE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>RF</v>
      </c>
      <c r="O22" s="61" t="str">
        <f>VLOOKUP(A22,'1.Loading'!A:R,3,FALSE)</f>
        <v>KUS</v>
      </c>
      <c r="P22" s="61" t="str">
        <f>VLOOKUP(A22,'1.Loading'!A:R,4,FALSE)</f>
        <v>2616N</v>
      </c>
      <c r="Q22" s="61" t="str">
        <f>VLOOKUP(D22,'2.Bookinglist'!A:CT,12,FALSE)</f>
        <v>KST</v>
      </c>
      <c r="R22" s="60" t="str">
        <f>IF(LEFT(K22,2)="22","20'","40'")</f>
        <v>40'</v>
      </c>
      <c r="S22" s="185" t="n"/>
      <c r="T22" s="61" t="str">
        <f>VLOOKUP(A22,'1.Loading'!A:R,2,FALSE)</f>
        <v>2026-10-16</v>
      </c>
      <c r="U22" s="63">
        <f>T22-S22</f>
        <v>46311</v>
      </c>
      <c r="V22" s="186" t="n"/>
      <c r="W22" s="61" t="str">
        <f>VLOOKUP(A22,'3.GateMove'!A:D,4,FALSE)</f>
        <v>2026-10-08</v>
      </c>
      <c r="X22" s="63">
        <f>((T22-W22)+1)</f>
        <v>9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500</v>
      </c>
      <c r="AB22" s="184" t="n"/>
      <c r="AC22" s="184" t="n"/>
      <c r="AD22" s="60">
        <f>IF(M22="DG",3,IF(N22="RF",3,5))+IF(AND(LEFT(C22,3)="BKK",N22="RF",Q22="KTS"),1,0)+IF(Q22="KHS",1,0)</f>
        <v>3</v>
      </c>
      <c r="AE22" s="63">
        <f>(T22-V22)+1</f>
        <v>46312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500</v>
      </c>
      <c r="AJ22" s="188" t="n"/>
      <c r="AK22" s="62" t="str">
        <f>VLOOKUP(D22,'2.Bookinglist'!A:CT,40,FALSE)</f>
        <v>Takatsugu Nakagome(Mr.)</v>
      </c>
      <c r="AL22" s="60" t="str">
        <f>VLOOKUP(D22,'2.Bookinglist'!A:CW,101,FALSE)</f>
        <v>2026-10-15</v>
      </c>
      <c r="AM22" s="60" t="str">
        <f>VLOOKUP(D22,'2.Bookinglist'!A:BK,63,FALSE)</f>
        <v>LCH27</v>
      </c>
      <c r="AN22" s="62" t="str">
        <f>VLOOKUP(D22,'2.Bookinglist'!A:AZ,52,FALSE)</f>
        <v>[FIX][FIX]Pickup : 2026-10-06, Return : 2026-10-09 RF45REx2 (Temp -25.0 / Vent Close) 
CLS TIME : 10/10/2026 @23.59 </v>
      </c>
      <c r="AO22" s="62">
        <f>VLOOKUP(D22,'2.Bookinglist'!A:CY,103,FALSE)</f>
        <v>0</v>
      </c>
    </row>
    <row r="23" ht="12.95" customHeight="1">
      <c r="A23" s="96" t="inlineStr">
        <is>
          <t>HALU8505900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LCH05</v>
      </c>
      <c r="D23" s="61" t="str">
        <f>VLOOKUP(A23,'1.Loading'!A:R,17,FALSE)</f>
        <v>HASLS22260902175</v>
      </c>
      <c r="E23" s="62" t="str">
        <f>VLOOKUP(D23,'2.Bookinglist'!A:CT,27,FALSE)</f>
        <v>KODAI (THAILAND) CO., LTD.</v>
      </c>
      <c r="F23" s="62" t="str">
        <f>VLOOKUP(D23,'2.Bookinglist'!A:CT,28,FALSE)</f>
        <v>MCKEY FOOD SERVICES   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JPISS</v>
      </c>
      <c r="J23" s="61" t="str">
        <f>VLOOKUP(D23,'2.Bookinglist'!A:CT,26,FALSE)</f>
        <v>KRPUS</v>
      </c>
      <c r="K23" s="61" t="str">
        <f>VLOOKUP(A23,'1.Loading'!A:R,5,FALSE)</f>
        <v>45RE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>RF</v>
      </c>
      <c r="O23" s="61" t="str">
        <f>VLOOKUP(A23,'1.Loading'!A:R,3,FALSE)</f>
        <v>KUS</v>
      </c>
      <c r="P23" s="61" t="str">
        <f>VLOOKUP(A23,'1.Loading'!A:R,4,FALSE)</f>
        <v>2616N</v>
      </c>
      <c r="Q23" s="61" t="str">
        <f>VLOOKUP(D23,'2.Bookinglist'!A:CT,12,FALSE)</f>
        <v>KST</v>
      </c>
      <c r="R23" s="60" t="str">
        <f>IF(LEFT(K23,2)="22","20'","40'")</f>
        <v>40'</v>
      </c>
      <c r="S23" s="185" t="n"/>
      <c r="T23" s="61" t="str">
        <f>VLOOKUP(A23,'1.Loading'!A:R,2,FALSE)</f>
        <v>2026-10-16</v>
      </c>
      <c r="U23" s="63">
        <f>T23-S23</f>
        <v>46311</v>
      </c>
      <c r="V23" s="186" t="n"/>
      <c r="W23" s="61" t="str">
        <f>VLOOKUP(A23,'3.GateMove'!A:D,4,FALSE)</f>
        <v>2026-10-08</v>
      </c>
      <c r="X23" s="63">
        <f>((T23-W23)+1)</f>
        <v>9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2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500</v>
      </c>
      <c r="AB23" s="184" t="n"/>
      <c r="AC23" s="184" t="n"/>
      <c r="AD23" s="60">
        <f>IF(M23="DG",3,IF(N23="RF",3,5))+IF(AND(LEFT(C23,3)="BKK",N23="RF",Q23="KTS"),1,0)+IF(Q23="KHS",1,0)</f>
        <v>3</v>
      </c>
      <c r="AE23" s="63">
        <f>(T23-V23)+1</f>
        <v>46312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500</v>
      </c>
      <c r="AJ23" s="188" t="n"/>
      <c r="AK23" s="62" t="str">
        <f>VLOOKUP(D23,'2.Bookinglist'!A:CT,40,FALSE)</f>
        <v>Takatsugu Nakagome(Mr.)</v>
      </c>
      <c r="AL23" s="60" t="str">
        <f>VLOOKUP(D23,'2.Bookinglist'!A:CW,101,FALSE)</f>
        <v>2026-10-15</v>
      </c>
      <c r="AM23" s="60" t="str">
        <f>VLOOKUP(D23,'2.Bookinglist'!A:BK,63,FALSE)</f>
        <v>LCH27</v>
      </c>
      <c r="AN23" s="62" t="str">
        <f>VLOOKUP(D23,'2.Bookinglist'!A:AZ,52,FALSE)</f>
        <v>[FIX][FIX]Pickup : 2026-10-06, Return : 2026-10-09 RF45REx2 (Temp -25.0 / Vent Close) 
CLS TIME : 10/10/2026 @23.59 </v>
      </c>
      <c r="AO23" s="62">
        <f>VLOOKUP(D23,'2.Bookinglist'!A:CY,103,FALSE)</f>
        <v>0</v>
      </c>
    </row>
    <row r="24" ht="12.95" customHeight="1">
      <c r="A24" s="96" t="inlineStr">
        <is>
          <t>HLHU8333961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LCH05</v>
      </c>
      <c r="D24" s="61" t="str">
        <f>VLOOKUP(A24,'1.Loading'!A:R,17,FALSE)</f>
        <v>HASLS22260902851</v>
      </c>
      <c r="E24" s="62" t="str">
        <f>VLOOKUP(D24,'2.Bookinglist'!A:CT,27,FALSE)</f>
        <v>TOSHIBA LOGISTICS (THAILAND) CO., LTD.</v>
      </c>
      <c r="F24" s="62" t="str">
        <f>VLOOKUP(D24,'2.Bookinglist'!A:CT,28,FALSE)</f>
        <v>TOSHIBA CONSUMER PRODUCTS (THAILAND) CO.,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KUS</v>
      </c>
      <c r="P24" s="61" t="str">
        <f>VLOOKUP(A24,'1.Loading'!A:R,4,FALSE)</f>
        <v>2616N</v>
      </c>
      <c r="Q24" s="61" t="str">
        <f>VLOOKUP(D24,'2.Bookinglist'!A:CT,12,FALSE)</f>
        <v>KST</v>
      </c>
      <c r="R24" s="60" t="str">
        <f>IF(LEFT(K24,2)="22","20'","40'")</f>
        <v>40'</v>
      </c>
      <c r="S24" s="185" t="n"/>
      <c r="T24" s="61" t="str">
        <f>VLOOKUP(A24,'1.Loading'!A:R,2,FALSE)</f>
        <v>2026-10-16</v>
      </c>
      <c r="U24" s="63">
        <f>T24-S24</f>
        <v>46311</v>
      </c>
      <c r="V24" s="186" t="n"/>
      <c r="W24" s="61" t="str">
        <f>VLOOKUP(A24,'3.GateMove'!A:D,4,FALSE)</f>
        <v>2026-10-13</v>
      </c>
      <c r="X24" s="63">
        <f>((T24-W24)+1)</f>
        <v>4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46312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Pattarapong Saengthong</v>
      </c>
      <c r="AL24" s="60" t="str">
        <f>VLOOKUP(D24,'2.Bookinglist'!A:CW,101,FALSE)</f>
        <v>2026-10-15</v>
      </c>
      <c r="AM24" s="60" t="str">
        <f>VLOOKUP(D24,'2.Bookinglist'!A:BK,63,FALSE)</f>
        <v>LCH28</v>
      </c>
      <c r="AN24" s="62" t="str">
        <f>VLOOKUP(D24,'2.Bookinglist'!A:AZ,52,FALSE)</f>
        <v>Pickup : 2026-10-08, Return : 2026-10-09
**CHECK OPENGATE BEFORE RETURN CNTR**</v>
      </c>
      <c r="AO24" s="62">
        <f>VLOOKUP(D24,'2.Bookinglist'!A:CY,103,FALSE)</f>
        <v>0</v>
      </c>
    </row>
    <row r="25" ht="12.95" customHeight="1">
      <c r="A25" s="96" t="inlineStr">
        <is>
          <t>HLHU8477228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LCH05</v>
      </c>
      <c r="D25" s="61" t="str">
        <f>VLOOKUP(A25,'1.Loading'!A:R,17,FALSE)</f>
        <v>HASLS22261000495</v>
      </c>
      <c r="E25" s="62" t="str">
        <f>VLOOKUP(D25,'2.Bookinglist'!A:CT,27,FALSE)</f>
        <v>KORCHINA FREIGHT (THAILAND) CO., LTD.</v>
      </c>
      <c r="F25" s="62" t="str">
        <f>VLOOKUP(D25,'2.Bookinglist'!A:CT,28,FALSE)</f>
        <v>BRIDGESTONE AIRCRAFT TIRE MANUFACTURING (THAILAND)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KRINC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KUS</v>
      </c>
      <c r="P25" s="61" t="str">
        <f>VLOOKUP(A25,'1.Loading'!A:R,4,FALSE)</f>
        <v>2616N</v>
      </c>
      <c r="Q25" s="61" t="str">
        <f>VLOOKUP(D25,'2.Bookinglist'!A:CT,12,FALSE)</f>
        <v>KST</v>
      </c>
      <c r="R25" s="60" t="str">
        <f>IF(LEFT(K25,2)="22","20'","40'")</f>
        <v>40'</v>
      </c>
      <c r="S25" s="185" t="n"/>
      <c r="T25" s="61" t="str">
        <f>VLOOKUP(A25,'1.Loading'!A:R,2,FALSE)</f>
        <v>2026-10-16</v>
      </c>
      <c r="U25" s="63">
        <f>T25-S25</f>
        <v>46311</v>
      </c>
      <c r="V25" s="186" t="n"/>
      <c r="W25" s="61" t="str">
        <f>VLOOKUP(A25,'3.GateMove'!A:D,4,FALSE)</f>
        <v>2026-10-12</v>
      </c>
      <c r="X25" s="63">
        <f>((T25-W25)+1)</f>
        <v>5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46312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Pattarapong Saengthong</v>
      </c>
      <c r="AL25" s="60" t="str">
        <f>VLOOKUP(D25,'2.Bookinglist'!A:CW,101,FALSE)</f>
        <v>2026-10-15</v>
      </c>
      <c r="AM25" s="60" t="str">
        <f>VLOOKUP(D25,'2.Bookinglist'!A:BK,63,FALSE)</f>
        <v>LCH27</v>
      </c>
      <c r="AN25" s="62" t="str">
        <f>VLOOKUP(D25,'2.Bookinglist'!A:AZ,52,FALSE)</f>
        <v>Pickup : 2026-10-12, Return : 2026-10-12 
 ** PLEASE CHECK OPEN GATE BEFORE RETURN CNTR **
</v>
      </c>
      <c r="AO25" s="62">
        <f>VLOOKUP(D25,'2.Bookinglist'!A:CY,103,FALSE)</f>
        <v>0</v>
      </c>
    </row>
    <row r="26" ht="12.95" customHeight="1">
      <c r="A26" s="96" t="inlineStr">
        <is>
          <t>HLHU8518327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LCH05</v>
      </c>
      <c r="D26" s="61" t="str">
        <f>VLOOKUP(A26,'1.Loading'!A:R,17,FALSE)</f>
        <v>HASLS22260902787</v>
      </c>
      <c r="E26" s="62" t="str">
        <f>VLOOKUP(D26,'2.Bookinglist'!A:CT,27,FALSE)</f>
        <v>CARGO NETWORK DELIVERY (THAILAND) CO., LTD.</v>
      </c>
      <c r="F26" s="62" t="str">
        <f>VLOOKUP(D26,'2.Bookinglist'!A:CT,28,FALSE)</f>
        <v>THAI GULF JELLYFISH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KRINC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KUS</v>
      </c>
      <c r="P26" s="61" t="str">
        <f>VLOOKUP(A26,'1.Loading'!A:R,4,FALSE)</f>
        <v>2616N</v>
      </c>
      <c r="Q26" s="61" t="str">
        <f>VLOOKUP(D26,'2.Bookinglist'!A:CT,12,FALSE)</f>
        <v>KST</v>
      </c>
      <c r="R26" s="60" t="str">
        <f>IF(LEFT(K26,2)="22","20'","40'")</f>
        <v>40'</v>
      </c>
      <c r="S26" s="185" t="n"/>
      <c r="T26" s="61" t="str">
        <f>VLOOKUP(A26,'1.Loading'!A:R,2,FALSE)</f>
        <v>2026-10-16</v>
      </c>
      <c r="U26" s="63">
        <f>T26-S26</f>
        <v>46311</v>
      </c>
      <c r="V26" s="186" t="n"/>
      <c r="W26" s="61" t="str">
        <f>VLOOKUP(A26,'3.GateMove'!A:D,4,FALSE)</f>
        <v>2026-10-12</v>
      </c>
      <c r="X26" s="63">
        <f>((T26-W26)+1)</f>
        <v>5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46312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Nustsireerach</v>
      </c>
      <c r="AL26" s="60" t="str">
        <f>VLOOKUP(D26,'2.Bookinglist'!A:CW,101,FALSE)</f>
        <v>2026-10-15</v>
      </c>
      <c r="AM26" s="60" t="str">
        <f>VLOOKUP(D26,'2.Bookinglist'!A:BK,63,FALSE)</f>
        <v>LCHY5</v>
      </c>
      <c r="AN26" s="62" t="str">
        <f>VLOOKUP(D26,'2.Bookinglist'!A:AZ,52,FALSE)</f>
        <v>Pickup : 2026-10-10, Return : 2026-10-12
**CHECK OPENGATE BEFORE RETURN CNTR**</v>
      </c>
      <c r="AO26" s="62">
        <f>VLOOKUP(D26,'2.Bookinglist'!A:CY,103,FALSE)</f>
        <v>0</v>
      </c>
    </row>
    <row r="27" ht="12.95" customHeight="1">
      <c r="A27" s="96" t="inlineStr">
        <is>
          <t>SEKU4974727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LCH05</v>
      </c>
      <c r="D27" s="61" t="str">
        <f>VLOOKUP(A27,'1.Loading'!A:R,17,FALSE)</f>
        <v>HASLS22260902463</v>
      </c>
      <c r="E27" s="62" t="str">
        <f>VLOOKUP(D27,'2.Bookinglist'!A:CT,27,FALSE)</f>
        <v>SCGJWD LOGISTICS PUBLIC COMPANY LIMITED</v>
      </c>
      <c r="F27" s="62" t="str">
        <f>VLOOKUP(D27,'2.Bookinglist'!A:CT,28,FALSE)</f>
        <v>THAI POLYETHYLENE CO., 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KRPUS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KUS</v>
      </c>
      <c r="P27" s="61" t="str">
        <f>VLOOKUP(A27,'1.Loading'!A:R,4,FALSE)</f>
        <v>2616N</v>
      </c>
      <c r="Q27" s="61" t="str">
        <f>VLOOKUP(D27,'2.Bookinglist'!A:CT,12,FALSE)</f>
        <v>KST</v>
      </c>
      <c r="R27" s="60" t="str">
        <f>IF(LEFT(K27,2)="22","20'","40'")</f>
        <v>40'</v>
      </c>
      <c r="S27" s="185" t="n"/>
      <c r="T27" s="61" t="str">
        <f>VLOOKUP(A27,'1.Loading'!A:R,2,FALSE)</f>
        <v>2026-10-16</v>
      </c>
      <c r="U27" s="63">
        <f>T27-S27</f>
        <v>46311</v>
      </c>
      <c r="V27" s="186" t="n"/>
      <c r="W27" s="61" t="str">
        <f>VLOOKUP(A27,'3.GateMove'!A:D,4,FALSE)</f>
        <v>2026-10-08</v>
      </c>
      <c r="X27" s="63">
        <f>((T27-W27)+1)</f>
        <v>9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500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46312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500</v>
      </c>
      <c r="AJ27" s="188" t="n"/>
      <c r="AK27" s="62" t="str">
        <f>VLOOKUP(D27,'2.Bookinglist'!A:CT,40,FALSE)</f>
        <v>Kanokporn</v>
      </c>
      <c r="AL27" s="60" t="str">
        <f>VLOOKUP(D27,'2.Bookinglist'!A:CW,101,FALSE)</f>
        <v>2026-10-15</v>
      </c>
      <c r="AM27" s="60" t="str">
        <f>VLOOKUP(D27,'2.Bookinglist'!A:BK,63,FALSE)</f>
        <v>LCHY5</v>
      </c>
      <c r="AN27" s="62" t="str">
        <f>VLOOKUP(D27,'2.Bookinglist'!A:AZ,52,FALSE)</f>
        <v>CY-RTN : 25-07/10/2026 
RQSTNO RED WALL CONTAINER,CLEAN CONTAINER NO OIL STAINS , NO RUSTY ,NO CUT OR HOLE    
REF : 3031061353</v>
      </c>
      <c r="AO27" s="62" t="str">
        <f>VLOOKUP(D27,'2.Bookinglist'!A:CY,103,FALSE)</f>
        <v>ROLL OVER FROM PREVIOUS VSL PCCP 2610N BY ALLOCATION TEAM MS.TARN APRPOVED COST IS UNDER HA DD.8/10</v>
      </c>
    </row>
    <row r="28" ht="12.95" customHeight="1">
      <c r="A28" s="96" t="inlineStr">
        <is>
          <t>SEKU4984514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LCH05</v>
      </c>
      <c r="D28" s="61" t="str">
        <f>VLOOKUP(A28,'1.Loading'!A:R,17,FALSE)</f>
        <v>HASLS22260902226</v>
      </c>
      <c r="E28" s="62" t="str">
        <f>VLOOKUP(D28,'2.Bookinglist'!A:CT,27,FALSE)</f>
        <v>STAR CONCORD (THAILAND) CO., LTD.</v>
      </c>
      <c r="F28" s="62" t="str">
        <f>VLOOKUP(D28,'2.Bookinglist'!A:CT,28,FALSE)</f>
        <v>SIAM COATED ABRASIVE CO., 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KUS</v>
      </c>
      <c r="P28" s="61" t="str">
        <f>VLOOKUP(A28,'1.Loading'!A:R,4,FALSE)</f>
        <v>2616N</v>
      </c>
      <c r="Q28" s="61" t="str">
        <f>VLOOKUP(D28,'2.Bookinglist'!A:CT,12,FALSE)</f>
        <v>KST</v>
      </c>
      <c r="R28" s="60" t="str">
        <f>IF(LEFT(K28,2)="22","20'","40'")</f>
        <v>40'</v>
      </c>
      <c r="S28" s="185" t="n"/>
      <c r="T28" s="61" t="str">
        <f>VLOOKUP(A28,'1.Loading'!A:R,2,FALSE)</f>
        <v>2026-10-16</v>
      </c>
      <c r="U28" s="63">
        <f>T28-S28</f>
        <v>46311</v>
      </c>
      <c r="V28" s="186" t="n"/>
      <c r="W28" s="61" t="str">
        <f>VLOOKUP(A28,'3.GateMove'!A:D,4,FALSE)</f>
        <v>2026-10-08</v>
      </c>
      <c r="X28" s="63">
        <f>((T28-W28)+1)</f>
        <v>9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500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46312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500</v>
      </c>
      <c r="AJ28" s="188" t="n"/>
      <c r="AK28" s="62" t="str">
        <f>VLOOKUP(D28,'2.Bookinglist'!A:CT,40,FALSE)</f>
        <v>Arunphat W. (Aiw)</v>
      </c>
      <c r="AL28" s="60" t="str">
        <f>VLOOKUP(D28,'2.Bookinglist'!A:CW,101,FALSE)</f>
        <v>2026-10-15</v>
      </c>
      <c r="AM28" s="60" t="str">
        <f>VLOOKUP(D28,'2.Bookinglist'!A:BK,63,FALSE)</f>
        <v>LCHY5</v>
      </c>
      <c r="AN28" s="62" t="str">
        <f>VLOOKUP(D28,'2.Bookinglist'!A:AZ,52,FALSE)</f>
        <v>Pickup : 2026-10-07, Return : 2026-10-08 
 ** PLEASE CHECK OPEN GATE BEFORE RETURN CNTR **
</v>
      </c>
      <c r="AO28" s="62" t="str">
        <f>VLOOKUP(D28,'2.Bookinglist'!A:CY,103,FALSE)</f>
        <v>ROLL OVER FROM PREVIOUS VSL.PCCP 2610N BY ALLOCATION TEAM MS.TARN APPROVED COST IS UNDER HAL DD.09/10/2026</v>
      </c>
    </row>
    <row r="29" ht="12.95" customHeight="1">
      <c r="A29" s="96" t="inlineStr">
        <is>
          <t>SKHU6329996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LCH05</v>
      </c>
      <c r="D29" s="61" t="str">
        <f>VLOOKUP(A29,'1.Loading'!A:R,17,FALSE)</f>
        <v>HASLS22260901068</v>
      </c>
      <c r="E29" s="62" t="str">
        <f>VLOOKUP(D29,'2.Bookinglist'!A:CT,27,FALSE)</f>
        <v>SINTOP INTERNATIONAL (THAILAND) CO., LTD.</v>
      </c>
      <c r="F29" s="62" t="str">
        <f>VLOOKUP(D29,'2.Bookinglist'!A:CT,28,FALSE)</f>
        <v>W.A. RUBBERMATE CO., 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KRINC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KUS</v>
      </c>
      <c r="P29" s="61" t="str">
        <f>VLOOKUP(A29,'1.Loading'!A:R,4,FALSE)</f>
        <v>2616N</v>
      </c>
      <c r="Q29" s="61" t="str">
        <f>VLOOKUP(D29,'2.Bookinglist'!A:CT,12,FALSE)</f>
        <v>KST</v>
      </c>
      <c r="R29" s="60" t="str">
        <f>IF(LEFT(K29,2)="22","20'","40'")</f>
        <v>40'</v>
      </c>
      <c r="S29" s="185" t="n"/>
      <c r="T29" s="61" t="str">
        <f>VLOOKUP(A29,'1.Loading'!A:R,2,FALSE)</f>
        <v>2026-10-16</v>
      </c>
      <c r="U29" s="63">
        <f>T29-S29</f>
        <v>46311</v>
      </c>
      <c r="V29" s="186" t="n"/>
      <c r="W29" s="61" t="str">
        <f>VLOOKUP(A29,'3.GateMove'!A:D,4,FALSE)</f>
        <v>2026-10-13</v>
      </c>
      <c r="X29" s="63">
        <f>((T29-W29)+1)</f>
        <v>4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46312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Lee suk hyun</v>
      </c>
      <c r="AL29" s="60" t="str">
        <f>VLOOKUP(D29,'2.Bookinglist'!A:CW,101,FALSE)</f>
        <v>2026-10-15</v>
      </c>
      <c r="AM29" s="60" t="str">
        <f>VLOOKUP(D29,'2.Bookinglist'!A:BK,63,FALSE)</f>
        <v>LCHY5</v>
      </c>
      <c r="AN29" s="62" t="str">
        <f>VLOOKUP(D29,'2.Bookinglist'!A:AZ,52,FALSE)</f>
        <v>Pickup : 2026-10-10, Return : 2026-10-12</v>
      </c>
      <c r="AO29" s="62">
        <f>VLOOKUP(D29,'2.Bookinglist'!A:CY,103,FALSE)</f>
        <v>0</v>
      </c>
    </row>
    <row r="30" ht="12.95" customHeight="1">
      <c r="A30" s="96" t="inlineStr">
        <is>
          <t>SKHU6421084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LCH05</v>
      </c>
      <c r="D30" s="61" t="str">
        <f>VLOOKUP(A30,'1.Loading'!A:R,17,FALSE)</f>
        <v>HASLS22261000112</v>
      </c>
      <c r="E30" s="62" t="str">
        <f>VLOOKUP(D30,'2.Bookinglist'!A:CT,27,FALSE)</f>
        <v>CANVAS GLOBAL LOGISTICS (THAILAND) CO., LTD.</v>
      </c>
      <c r="F30" s="62" t="str">
        <f>VLOOKUP(D30,'2.Bookinglist'!A:CT,28,FALSE)</f>
        <v>SRI TRANG GLOVES (THAILAND) PUBLIC COMPANY LIMITED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KRINC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KUS</v>
      </c>
      <c r="P30" s="61" t="str">
        <f>VLOOKUP(A30,'1.Loading'!A:R,4,FALSE)</f>
        <v>2616N</v>
      </c>
      <c r="Q30" s="61" t="str">
        <f>VLOOKUP(D30,'2.Bookinglist'!A:CT,12,FALSE)</f>
        <v>KST</v>
      </c>
      <c r="R30" s="60" t="str">
        <f>IF(LEFT(K30,2)="22","20'","40'")</f>
        <v>40'</v>
      </c>
      <c r="S30" s="185" t="n"/>
      <c r="T30" s="61" t="str">
        <f>VLOOKUP(A30,'1.Loading'!A:R,2,FALSE)</f>
        <v>2026-10-16</v>
      </c>
      <c r="U30" s="63">
        <f>T30-S30</f>
        <v>46311</v>
      </c>
      <c r="V30" s="186" t="n"/>
      <c r="W30" s="61" t="str">
        <f>VLOOKUP(A30,'3.GateMove'!A:D,4,FALSE)</f>
        <v>2026-10-13</v>
      </c>
      <c r="X30" s="63">
        <f>((T30-W30)+1)</f>
        <v>4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46312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Arunphat W. (Aiw)</v>
      </c>
      <c r="AL30" s="60" t="str">
        <f>VLOOKUP(D30,'2.Bookinglist'!A:CW,101,FALSE)</f>
        <v>2026-10-15</v>
      </c>
      <c r="AM30" s="60" t="str">
        <f>VLOOKUP(D30,'2.Bookinglist'!A:BK,63,FALSE)</f>
        <v>LCHY5</v>
      </c>
      <c r="AN30" s="62" t="str">
        <f>VLOOKUP(D30,'2.Bookinglist'!A:AZ,52,FALSE)</f>
        <v>Pickup : 2026-10-10, Return : 2026-10-13 // FM SWAL 2609N BY HAL DD.12/10
**CHECK OPENGATE BEFORE RETURN CNTR**</v>
      </c>
      <c r="AO30" s="62">
        <f>VLOOKUP(D30,'2.Bookinglist'!A:CY,103,FALSE)</f>
        <v>0</v>
      </c>
    </row>
    <row r="31" ht="12.95" customHeight="1">
      <c r="A31" s="96" t="inlineStr">
        <is>
          <t>SKHU6472203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LCH05</v>
      </c>
      <c r="D31" s="61" t="str">
        <f>VLOOKUP(A31,'1.Loading'!A:R,17,FALSE)</f>
        <v>HASLS22260901905</v>
      </c>
      <c r="E31" s="62" t="str">
        <f>VLOOKUP(D31,'2.Bookinglist'!A:CT,27,FALSE)</f>
        <v>RICH FREIGHT FORWARDER CO., LTD.</v>
      </c>
      <c r="F31" s="62" t="str">
        <f>VLOOKUP(D31,'2.Bookinglist'!A:CT,28,FALSE)</f>
        <v>COCO BLUES (THAILAND) CO.,LTD.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RUVVO</v>
      </c>
      <c r="J31" s="61" t="str">
        <f>VLOOKUP(D31,'2.Bookinglist'!A:CT,26,FALSE)</f>
        <v>KRPUS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KUS</v>
      </c>
      <c r="P31" s="61" t="str">
        <f>VLOOKUP(A31,'1.Loading'!A:R,4,FALSE)</f>
        <v>2616N</v>
      </c>
      <c r="Q31" s="61" t="str">
        <f>VLOOKUP(D31,'2.Bookinglist'!A:CT,12,FALSE)</f>
        <v>KST</v>
      </c>
      <c r="R31" s="60" t="str">
        <f>IF(LEFT(K31,2)="22","20'","40'")</f>
        <v>40'</v>
      </c>
      <c r="S31" s="185" t="n"/>
      <c r="T31" s="61" t="str">
        <f>VLOOKUP(A31,'1.Loading'!A:R,2,FALSE)</f>
        <v>2026-10-16</v>
      </c>
      <c r="U31" s="63">
        <f>T31-S31</f>
        <v>46311</v>
      </c>
      <c r="V31" s="186" t="n"/>
      <c r="W31" s="61" t="str">
        <f>VLOOKUP(A31,'3.GateMove'!A:D,4,FALSE)</f>
        <v>2026-10-13</v>
      </c>
      <c r="X31" s="63">
        <f>((T31-W31)+1)</f>
        <v>4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46312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KIM JEONG HWAN</v>
      </c>
      <c r="AL31" s="60" t="str">
        <f>VLOOKUP(D31,'2.Bookinglist'!A:CW,101,FALSE)</f>
        <v>2026-10-15</v>
      </c>
      <c r="AM31" s="60" t="str">
        <f>VLOOKUP(D31,'2.Bookinglist'!A:BK,63,FALSE)</f>
        <v>LCHY5</v>
      </c>
      <c r="AN31" s="62" t="str">
        <f>VLOOKUP(D31,'2.Bookinglist'!A:AZ,52,FALSE)</f>
        <v>[FIX][FIX]KUS/2616N/10/25[FIX] Pickup : 2026-10-10, Return : 2026-10-12 **1ST RETURN CNTR DD.11/10/2026 WIHTOUT RENT**
rqst Good &amp; Clean Container</v>
      </c>
      <c r="AO31" s="62">
        <f>VLOOKUP(D31,'2.Bookinglist'!A:CY,103,FALSE)</f>
        <v>0</v>
      </c>
    </row>
    <row r="32" ht="12.95" customHeight="1">
      <c r="A32" s="96" t="inlineStr">
        <is>
          <t>SKHU6544880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LCH05</v>
      </c>
      <c r="D32" s="61" t="str">
        <f>VLOOKUP(A32,'1.Loading'!A:R,17,FALSE)</f>
        <v>HASLS22260902231</v>
      </c>
      <c r="E32" s="62" t="str">
        <f>VLOOKUP(D32,'2.Bookinglist'!A:CT,27,FALSE)</f>
        <v>EAST-LINK CORPORATION CO., LTD.</v>
      </c>
      <c r="F32" s="62" t="str">
        <f>VLOOKUP(D32,'2.Bookinglist'!A:CT,28,FALSE)</f>
        <v>TRI-WALL PACKAGING (THAI)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KUS</v>
      </c>
      <c r="P32" s="61" t="str">
        <f>VLOOKUP(A32,'1.Loading'!A:R,4,FALSE)</f>
        <v>2616N</v>
      </c>
      <c r="Q32" s="61" t="str">
        <f>VLOOKUP(D32,'2.Bookinglist'!A:CT,12,FALSE)</f>
        <v>KST</v>
      </c>
      <c r="R32" s="60" t="str">
        <f>IF(LEFT(K32,2)="22","20'","40'")</f>
        <v>40'</v>
      </c>
      <c r="S32" s="185" t="n"/>
      <c r="T32" s="61" t="str">
        <f>VLOOKUP(A32,'1.Loading'!A:R,2,FALSE)</f>
        <v>2026-10-16</v>
      </c>
      <c r="U32" s="63">
        <f>T32-S32</f>
        <v>46311</v>
      </c>
      <c r="V32" s="186" t="n"/>
      <c r="W32" s="61" t="str">
        <f>VLOOKUP(A32,'3.GateMove'!A:D,4,FALSE)</f>
        <v>2026-10-08</v>
      </c>
      <c r="X32" s="63">
        <f>((T32-W32)+1)</f>
        <v>9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2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500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46312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500</v>
      </c>
      <c r="AJ32" s="188" t="n"/>
      <c r="AK32" s="62" t="str">
        <f>VLOOKUP(D32,'2.Bookinglist'!A:CT,40,FALSE)</f>
        <v>Dharaporn</v>
      </c>
      <c r="AL32" s="60" t="str">
        <f>VLOOKUP(D32,'2.Bookinglist'!A:CW,101,FALSE)</f>
        <v>2026-10-15</v>
      </c>
      <c r="AM32" s="60" t="str">
        <f>VLOOKUP(D32,'2.Bookinglist'!A:BK,63,FALSE)</f>
        <v>LCH28</v>
      </c>
      <c r="AN32" s="62" t="str">
        <f>VLOOKUP(D32,'2.Bookinglist'!A:AZ,52,FALSE)</f>
        <v>Pickup : 2026-10-07, Return : 2026-10-08</v>
      </c>
      <c r="AO32" s="62" t="str">
        <f>VLOOKUP(D32,'2.Bookinglist'!A:CY,103,FALSE)</f>
        <v>ROLL OVER FORM PREVIOUS VSL PCCP 2610N BY ALLOCATION TEAM MS.TARN APRPOVED COST IS UNDER HA DD.8/10</v>
      </c>
    </row>
    <row r="33" ht="12.95" customHeight="1">
      <c r="A33" s="96" t="inlineStr">
        <is>
          <t>SKHU9209660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LCH05</v>
      </c>
      <c r="D33" s="61" t="str">
        <f>VLOOKUP(A33,'1.Loading'!A:R,17,FALSE)</f>
        <v>HASLS22260902465</v>
      </c>
      <c r="E33" s="62" t="str">
        <f>VLOOKUP(D33,'2.Bookinglist'!A:CT,27,FALSE)</f>
        <v>WHA GC LOGISTICS COMPANY LIMITED</v>
      </c>
      <c r="F33" s="62" t="str">
        <f>VLOOKUP(D33,'2.Bookinglist'!A:CT,28,FALSE)</f>
        <v>PTT GLOBAL CHEMICAL PUBLIC COMPANY LIMITED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JPHKT</v>
      </c>
      <c r="J33" s="61" t="str">
        <f>VLOOKUP(D33,'2.Bookinglist'!A:CT,26,FALSE)</f>
        <v>KRPUS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KUS</v>
      </c>
      <c r="P33" s="61" t="str">
        <f>VLOOKUP(A33,'1.Loading'!A:R,4,FALSE)</f>
        <v>2616N</v>
      </c>
      <c r="Q33" s="61" t="str">
        <f>VLOOKUP(D33,'2.Bookinglist'!A:CT,12,FALSE)</f>
        <v>KST</v>
      </c>
      <c r="R33" s="60" t="str">
        <f>IF(LEFT(K33,2)="22","20'","40'")</f>
        <v>40'</v>
      </c>
      <c r="S33" s="185" t="n"/>
      <c r="T33" s="61" t="str">
        <f>VLOOKUP(A33,'1.Loading'!A:R,2,FALSE)</f>
        <v>2026-10-16</v>
      </c>
      <c r="U33" s="63">
        <f>T33-S33</f>
        <v>46311</v>
      </c>
      <c r="V33" s="186" t="n"/>
      <c r="W33" s="61" t="str">
        <f>VLOOKUP(A33,'3.GateMove'!A:D,4,FALSE)</f>
        <v>2026-10-08</v>
      </c>
      <c r="X33" s="63">
        <f>((T33-W33)+1)</f>
        <v>9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2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500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46312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500</v>
      </c>
      <c r="AJ33" s="188" t="n"/>
      <c r="AK33" s="62" t="str">
        <f>VLOOKUP(D33,'2.Bookinglist'!A:CT,40,FALSE)</f>
        <v>Dharaporn</v>
      </c>
      <c r="AL33" s="60" t="str">
        <f>VLOOKUP(D33,'2.Bookinglist'!A:CW,101,FALSE)</f>
        <v>2026-10-15</v>
      </c>
      <c r="AM33" s="60" t="str">
        <f>VLOOKUP(D33,'2.Bookinglist'!A:BK,63,FALSE)</f>
        <v>LCHY5</v>
      </c>
      <c r="AN33" s="62" t="str">
        <f>VLOOKUP(D33,'2.Bookinglist'!A:AZ,52,FALSE)</f>
        <v>[FIX]CY-RTN : 01-04/10/2026 *1ST RETURN CNTR DD.07/10/2026*
GOOD AND CLEAN CONTAINERS</v>
      </c>
      <c r="AO33" s="62" t="str">
        <f>VLOOKUP(D33,'2.Bookinglist'!A:CY,103,FALSE)</f>
        <v>ROLL OVER FROM PREVIOUS VSL PCCP 2610N BY ALLOCATION TEAM MS.TARN APRPOVED COST IS UNDER HA DD.8/10</v>
      </c>
    </row>
    <row r="34" ht="12.95" customHeight="1">
      <c r="A34" s="96" t="inlineStr">
        <is>
          <t>SKHU9600247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LCH05</v>
      </c>
      <c r="D34" s="61" t="str">
        <f>VLOOKUP(A34,'1.Loading'!A:R,17,FALSE)</f>
        <v>HASLS22260902851</v>
      </c>
      <c r="E34" s="62" t="str">
        <f>VLOOKUP(D34,'2.Bookinglist'!A:CT,27,FALSE)</f>
        <v>TOSHIBA LOGISTICS (THAILAND) CO., LTD.</v>
      </c>
      <c r="F34" s="62" t="str">
        <f>VLOOKUP(D34,'2.Bookinglist'!A:CT,28,FALSE)</f>
        <v>TOSHIBA CONSUMER PRODUCTS (THAILAND)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KUS</v>
      </c>
      <c r="P34" s="61" t="str">
        <f>VLOOKUP(A34,'1.Loading'!A:R,4,FALSE)</f>
        <v>2616N</v>
      </c>
      <c r="Q34" s="61" t="str">
        <f>VLOOKUP(D34,'2.Bookinglist'!A:CT,12,FALSE)</f>
        <v>KST</v>
      </c>
      <c r="R34" s="60" t="str">
        <f>IF(LEFT(K34,2)="22","20'","40'")</f>
        <v>40'</v>
      </c>
      <c r="S34" s="185" t="n"/>
      <c r="T34" s="61" t="str">
        <f>VLOOKUP(A34,'1.Loading'!A:R,2,FALSE)</f>
        <v>2026-10-16</v>
      </c>
      <c r="U34" s="63">
        <f>T34-S34</f>
        <v>46311</v>
      </c>
      <c r="V34" s="186" t="n"/>
      <c r="W34" s="61" t="str">
        <f>VLOOKUP(A34,'3.GateMove'!A:D,4,FALSE)</f>
        <v>2026-10-13</v>
      </c>
      <c r="X34" s="63">
        <f>((T34-W34)+1)</f>
        <v>4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46312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Pattarapong Saengthong</v>
      </c>
      <c r="AL34" s="60" t="str">
        <f>VLOOKUP(D34,'2.Bookinglist'!A:CW,101,FALSE)</f>
        <v>2026-10-15</v>
      </c>
      <c r="AM34" s="60" t="str">
        <f>VLOOKUP(D34,'2.Bookinglist'!A:BK,63,FALSE)</f>
        <v>LCH28</v>
      </c>
      <c r="AN34" s="62" t="str">
        <f>VLOOKUP(D34,'2.Bookinglist'!A:AZ,52,FALSE)</f>
        <v>Pickup : 2026-10-08, Return : 2026-10-09
**CHECK OPENGATE BEFORE RETURN CNTR**</v>
      </c>
      <c r="AO34" s="62">
        <f>VLOOKUP(D34,'2.Bookinglist'!A:CY,103,FALSE)</f>
        <v>0</v>
      </c>
    </row>
    <row r="35" ht="12.95" customHeight="1">
      <c r="A35" s="96" t="inlineStr">
        <is>
          <t>SKHU9827586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LCH05</v>
      </c>
      <c r="D35" s="61" t="str">
        <f>VLOOKUP(A35,'1.Loading'!A:R,17,FALSE)</f>
        <v>HASLS22260902788</v>
      </c>
      <c r="E35" s="62" t="str">
        <f>VLOOKUP(D35,'2.Bookinglist'!A:CT,27,FALSE)</f>
        <v>CARGO NETWORK DELIVERY (THAILAND) CO., LTD.</v>
      </c>
      <c r="F35" s="62" t="str">
        <f>VLOOKUP(D35,'2.Bookinglist'!A:CT,28,FALSE)</f>
        <v>THAI GULF JELLYFISH CO.,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KRINC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KUS</v>
      </c>
      <c r="P35" s="61" t="str">
        <f>VLOOKUP(A35,'1.Loading'!A:R,4,FALSE)</f>
        <v>2616N</v>
      </c>
      <c r="Q35" s="61" t="str">
        <f>VLOOKUP(D35,'2.Bookinglist'!A:CT,12,FALSE)</f>
        <v>KST</v>
      </c>
      <c r="R35" s="60" t="str">
        <f>IF(LEFT(K35,2)="22","20'","40'")</f>
        <v>40'</v>
      </c>
      <c r="S35" s="185" t="n"/>
      <c r="T35" s="61" t="str">
        <f>VLOOKUP(A35,'1.Loading'!A:R,2,FALSE)</f>
        <v>2026-10-16</v>
      </c>
      <c r="U35" s="63">
        <f>T35-S35</f>
        <v>46311</v>
      </c>
      <c r="V35" s="186" t="n"/>
      <c r="W35" s="61" t="str">
        <f>VLOOKUP(A35,'3.GateMove'!A:D,4,FALSE)</f>
        <v>2026-10-12</v>
      </c>
      <c r="X35" s="63">
        <f>((T35-W35)+1)</f>
        <v>5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46312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Nustsireerach</v>
      </c>
      <c r="AL35" s="60" t="str">
        <f>VLOOKUP(D35,'2.Bookinglist'!A:CW,101,FALSE)</f>
        <v>2026-10-15</v>
      </c>
      <c r="AM35" s="60" t="str">
        <f>VLOOKUP(D35,'2.Bookinglist'!A:BK,63,FALSE)</f>
        <v>LCHY5</v>
      </c>
      <c r="AN35" s="62" t="str">
        <f>VLOOKUP(D35,'2.Bookinglist'!A:AZ,52,FALSE)</f>
        <v>Pickup : 2026-10-10, Return : 2026-10-12
**CHECK OPENGATE BEFORE RETURN CNTR**</v>
      </c>
      <c r="AO35" s="62">
        <f>VLOOKUP(D35,'2.Bookinglist'!A:CY,103,FALSE)</f>
        <v>0</v>
      </c>
    </row>
    <row r="36" ht="12.95" customHeight="1">
      <c r="A36" s="96" t="inlineStr">
        <is>
          <t>SKHU9915141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LCH05</v>
      </c>
      <c r="D36" s="61" t="str">
        <f>VLOOKUP(A36,'1.Loading'!A:R,17,FALSE)</f>
        <v>HASLS22260902757</v>
      </c>
      <c r="E36" s="62" t="str">
        <f>VLOOKUP(D36,'2.Bookinglist'!A:CT,27,FALSE)</f>
        <v>WHA GC LOGISTICS COMPANY LIMITED</v>
      </c>
      <c r="F36" s="62" t="str">
        <f>VLOOKUP(D36,'2.Bookinglist'!A:CT,28,FALSE)</f>
        <v>PTT GLOBAL CHEMICAL PUBLIC COMPANY LIMITED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KUS</v>
      </c>
      <c r="P36" s="61" t="str">
        <f>VLOOKUP(A36,'1.Loading'!A:R,4,FALSE)</f>
        <v>2616N</v>
      </c>
      <c r="Q36" s="61" t="str">
        <f>VLOOKUP(D36,'2.Bookinglist'!A:CT,12,FALSE)</f>
        <v>KST</v>
      </c>
      <c r="R36" s="60" t="str">
        <f>IF(LEFT(K36,2)="22","20'","40'")</f>
        <v>40'</v>
      </c>
      <c r="S36" s="185" t="n"/>
      <c r="T36" s="61" t="str">
        <f>VLOOKUP(A36,'1.Loading'!A:R,2,FALSE)</f>
        <v>2026-10-16</v>
      </c>
      <c r="U36" s="63">
        <f>T36-S36</f>
        <v>46311</v>
      </c>
      <c r="V36" s="186" t="n"/>
      <c r="W36" s="61" t="str">
        <f>VLOOKUP(A36,'3.GateMove'!A:D,4,FALSE)</f>
        <v>2026-10-10</v>
      </c>
      <c r="X36" s="63">
        <f>((T36-W36)+1)</f>
        <v>7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46312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2026-10-15</v>
      </c>
      <c r="AM36" s="60" t="str">
        <f>VLOOKUP(D36,'2.Bookinglist'!A:BK,63,FALSE)</f>
        <v>LCH27</v>
      </c>
      <c r="AN36" s="62" t="str">
        <f>VLOOKUP(D36,'2.Bookinglist'!A:AZ,52,FALSE)</f>
        <v>CY-RTN 23-26/09/26 / FIRST DATE CAN RETURN CNTR DD.05/10 
**CHECK OPEN GATE BEFORE RETURN CNTR **
</v>
      </c>
      <c r="AO36" s="62" t="str">
        <f>VLOOKUP(D36,'2.Bookinglist'!A:CY,103,FALSE)</f>
        <v>ROLL OVER FORM PREVIOUS VSL PCCP 2610N BY ALLOCATION TEAM MS.TARN APPROVED COST IS UNDER HA DD.8/10</v>
      </c>
    </row>
    <row r="37" ht="12.95" customHeight="1">
      <c r="A37" s="96" t="inlineStr">
        <is>
          <t>SKHU9972368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LCH05</v>
      </c>
      <c r="D37" s="61" t="str">
        <f>VLOOKUP(A37,'1.Loading'!A:R,17,FALSE)</f>
        <v>HASLS22260902757</v>
      </c>
      <c r="E37" s="62" t="str">
        <f>VLOOKUP(D37,'2.Bookinglist'!A:CT,27,FALSE)</f>
        <v>WHA GC LOGISTICS COMPANY LIMITED</v>
      </c>
      <c r="F37" s="62" t="str">
        <f>VLOOKUP(D37,'2.Bookinglist'!A:CT,28,FALSE)</f>
        <v>PTT GLOBAL CHEMICAL PUBLIC COMPANY LIMITED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KUS</v>
      </c>
      <c r="P37" s="61" t="str">
        <f>VLOOKUP(A37,'1.Loading'!A:R,4,FALSE)</f>
        <v>2616N</v>
      </c>
      <c r="Q37" s="61" t="str">
        <f>VLOOKUP(D37,'2.Bookinglist'!A:CT,12,FALSE)</f>
        <v>KST</v>
      </c>
      <c r="R37" s="60" t="str">
        <f>IF(LEFT(K37,2)="22","20'","40'")</f>
        <v>40'</v>
      </c>
      <c r="S37" s="185" t="n"/>
      <c r="T37" s="61" t="str">
        <f>VLOOKUP(A37,'1.Loading'!A:R,2,FALSE)</f>
        <v>2026-10-16</v>
      </c>
      <c r="U37" s="63">
        <f>T37-S37</f>
        <v>46311</v>
      </c>
      <c r="V37" s="186" t="n"/>
      <c r="W37" s="61" t="str">
        <f>VLOOKUP(A37,'3.GateMove'!A:D,4,FALSE)</f>
        <v>2026-10-10</v>
      </c>
      <c r="X37" s="63">
        <f>((T37-W37)+1)</f>
        <v>7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46312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2026-10-15</v>
      </c>
      <c r="AM37" s="60" t="str">
        <f>VLOOKUP(D37,'2.Bookinglist'!A:BK,63,FALSE)</f>
        <v>LCH27</v>
      </c>
      <c r="AN37" s="62" t="str">
        <f>VLOOKUP(D37,'2.Bookinglist'!A:AZ,52,FALSE)</f>
        <v>CY-RTN 23-26/09/26 / FIRST DATE CAN RETURN CNTR DD.05/10 
**CHECK OPEN GATE BEFORE RETURN CNTR **
</v>
      </c>
      <c r="AO37" s="62" t="str">
        <f>VLOOKUP(D37,'2.Bookinglist'!A:CY,103,FALSE)</f>
        <v>ROLL OVER FORM PREVIOUS VSL PCCP 2610N BY ALLOCATION TEAM MS.TARN APPROVED COST IS UNDER HA DD.8/10</v>
      </c>
    </row>
    <row r="38" ht="12.95" customHeight="1">
      <c r="A38" s="96" t="inlineStr">
        <is>
          <t>SKLU0522687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LCH05</v>
      </c>
      <c r="D38" s="61" t="str">
        <f>VLOOKUP(A38,'1.Loading'!A:R,17,FALSE)</f>
        <v>HASLS22260901989</v>
      </c>
      <c r="E38" s="62" t="str">
        <f>VLOOKUP(D38,'2.Bookinglist'!A:CT,27,FALSE)</f>
        <v>WHA GC LOGISTICS COMPANY LIMITED</v>
      </c>
      <c r="F38" s="62" t="str">
        <f>VLOOKUP(D38,'2.Bookinglist'!A:CT,28,FALSE)</f>
        <v>PTT GLOBAL CHEMICAL PUBLIC COMPANY LIMITED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JPUKB</v>
      </c>
      <c r="J38" s="61" t="str">
        <f>VLOOKUP(D38,'2.Bookinglist'!A:CT,26,FALSE)</f>
        <v>KRPUS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KUS</v>
      </c>
      <c r="P38" s="61" t="str">
        <f>VLOOKUP(A38,'1.Loading'!A:R,4,FALSE)</f>
        <v>2616N</v>
      </c>
      <c r="Q38" s="61" t="str">
        <f>VLOOKUP(D38,'2.Bookinglist'!A:CT,12,FALSE)</f>
        <v>KST</v>
      </c>
      <c r="R38" s="60" t="str">
        <f>IF(LEFT(K38,2)="22","20'","40'")</f>
        <v>20'</v>
      </c>
      <c r="S38" s="185" t="n"/>
      <c r="T38" s="61" t="str">
        <f>VLOOKUP(A38,'1.Loading'!A:R,2,FALSE)</f>
        <v>2026-10-16</v>
      </c>
      <c r="U38" s="63">
        <f>T38-S38</f>
        <v>46311</v>
      </c>
      <c r="V38" s="186" t="n"/>
      <c r="W38" s="61" t="str">
        <f>VLOOKUP(A38,'3.GateMove'!A:D,4,FALSE)</f>
        <v>2026-10-14</v>
      </c>
      <c r="X38" s="63">
        <f>((T38-W38)+1)</f>
        <v>3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46312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Dharaporn</v>
      </c>
      <c r="AL38" s="60" t="str">
        <f>VLOOKUP(D38,'2.Bookinglist'!A:CW,101,FALSE)</f>
        <v>2026-10-15</v>
      </c>
      <c r="AM38" s="60" t="str">
        <f>VLOOKUP(D38,'2.Bookinglist'!A:BK,63,FALSE)</f>
        <v>LCHY5</v>
      </c>
      <c r="AN38" s="62" t="str">
        <f>VLOOKUP(D38,'2.Bookinglist'!A:AZ,52,FALSE)</f>
        <v>[FIX]CY-RTN 09-10/10/26 (PR2610002570) cls time dd.14/10 before 1800hrs
*PLS CHECK OPEN GATE BEFORE RETURN CTNR*</v>
      </c>
      <c r="AO38" s="62">
        <f>VLOOKUP(D38,'2.Bookinglist'!A:CY,103,FALSE)</f>
        <v>0</v>
      </c>
    </row>
    <row r="39" ht="12.95" customHeight="1">
      <c r="A39" s="96" t="inlineStr">
        <is>
          <t>SKLU1522911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LCH05</v>
      </c>
      <c r="D39" s="61" t="str">
        <f>VLOOKUP(A39,'1.Loading'!A:R,17,FALSE)</f>
        <v>HASLS22260901089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JPIYM</v>
      </c>
      <c r="J39" s="61" t="str">
        <f>VLOOKUP(D39,'2.Bookinglist'!A:CT,26,FALSE)</f>
        <v>KRPUS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KUS</v>
      </c>
      <c r="P39" s="61" t="str">
        <f>VLOOKUP(A39,'1.Loading'!A:R,4,FALSE)</f>
        <v>2616N</v>
      </c>
      <c r="Q39" s="61" t="str">
        <f>VLOOKUP(D39,'2.Bookinglist'!A:CT,12,FALSE)</f>
        <v>KST</v>
      </c>
      <c r="R39" s="60" t="str">
        <f>IF(LEFT(K39,2)="22","20'","40'")</f>
        <v>20'</v>
      </c>
      <c r="S39" s="185" t="n"/>
      <c r="T39" s="61" t="str">
        <f>VLOOKUP(A39,'1.Loading'!A:R,2,FALSE)</f>
        <v>2026-10-16</v>
      </c>
      <c r="U39" s="63">
        <f>T39-S39</f>
        <v>46311</v>
      </c>
      <c r="V39" s="186" t="n"/>
      <c r="W39" s="61" t="str">
        <f>VLOOKUP(A39,'3.GateMove'!A:D,4,FALSE)</f>
        <v>2026-10-13</v>
      </c>
      <c r="X39" s="63">
        <f>((T39-W39)+1)</f>
        <v>4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46312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2026-10-14</v>
      </c>
      <c r="AM39" s="60" t="str">
        <f>VLOOKUP(D39,'2.Bookinglist'!A:BK,63,FALSE)</f>
        <v>LCH28</v>
      </c>
      <c r="AN39" s="62" t="str">
        <f>VLOOKUP(D39,'2.Bookinglist'!A:AZ,52,FALSE)</f>
        <v>CY-RTN 05-07/10/26 (EXTEND CLOSING 14/10/26 @17.00)
*PLS CHECK OPEN GATE BEFORE RETURN CTNR*</v>
      </c>
      <c r="AO39" s="62">
        <f>VLOOKUP(D39,'2.Bookinglist'!A:CY,103,FALSE)</f>
        <v>0</v>
      </c>
    </row>
    <row r="40" ht="12.95" customHeight="1">
      <c r="A40" s="96" t="inlineStr">
        <is>
          <t>SKLU1579521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LCH05</v>
      </c>
      <c r="D40" s="61" t="str">
        <f>VLOOKUP(A40,'1.Loading'!A:R,17,FALSE)</f>
        <v>HASLS22261000448</v>
      </c>
      <c r="E40" s="62" t="str">
        <f>VLOOKUP(D40,'2.Bookinglist'!A:CT,27,FALSE)</f>
        <v>KORCHINA FREIGHT (THAILAND) CO., LTD.</v>
      </c>
      <c r="F40" s="62" t="str">
        <f>VLOOKUP(D40,'2.Bookinglist'!A:CT,28,FALSE)</f>
        <v>BRIDGESTONE INDUSTRIAL PRODUCTS (THAILAND) CO., LTD.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KUS</v>
      </c>
      <c r="P40" s="61" t="str">
        <f>VLOOKUP(A40,'1.Loading'!A:R,4,FALSE)</f>
        <v>2616N</v>
      </c>
      <c r="Q40" s="61" t="str">
        <f>VLOOKUP(D40,'2.Bookinglist'!A:CT,12,FALSE)</f>
        <v>KST</v>
      </c>
      <c r="R40" s="60" t="str">
        <f>IF(LEFT(K40,2)="22","20'","40'")</f>
        <v>20'</v>
      </c>
      <c r="S40" s="185" t="n"/>
      <c r="T40" s="61" t="str">
        <f>VLOOKUP(A40,'1.Loading'!A:R,2,FALSE)</f>
        <v>2026-10-16</v>
      </c>
      <c r="U40" s="63">
        <f>T40-S40</f>
        <v>46311</v>
      </c>
      <c r="V40" s="186" t="n"/>
      <c r="W40" s="61" t="str">
        <f>VLOOKUP(A40,'3.GateMove'!A:D,4,FALSE)</f>
        <v>2026-10-12</v>
      </c>
      <c r="X40" s="63">
        <f>((T40-W40)+1)</f>
        <v>5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46312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LEE HWA DONG</v>
      </c>
      <c r="AL40" s="60" t="str">
        <f>VLOOKUP(D40,'2.Bookinglist'!A:CW,101,FALSE)</f>
        <v>2026-10-15</v>
      </c>
      <c r="AM40" s="60" t="str">
        <f>VLOOKUP(D40,'2.Bookinglist'!A:BK,63,FALSE)</f>
        <v>LCHY5</v>
      </c>
      <c r="AN40" s="62" t="str">
        <f>VLOOKUP(D40,'2.Bookinglist'!A:AZ,52,FALSE)</f>
        <v>Pickup : 2026-10-12, Return : 2026-10-12 
 ** PLEASE CHECK OPEN GATE BEFORE RETURN CNTR **
</v>
      </c>
      <c r="AO40" s="62">
        <f>VLOOKUP(D40,'2.Bookinglist'!A:CY,103,FALSE)</f>
        <v>0</v>
      </c>
    </row>
    <row r="41" ht="12.95" customHeight="1">
      <c r="A41" s="96" t="inlineStr">
        <is>
          <t>SKLU1660274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LCH05</v>
      </c>
      <c r="D41" s="61" t="str">
        <f>VLOOKUP(A41,'1.Loading'!A:R,17,FALSE)</f>
        <v>HASLS22260801436</v>
      </c>
      <c r="E41" s="62" t="str">
        <f>VLOOKUP(D41,'2.Bookinglist'!A:CT,27,FALSE)</f>
        <v>TONG THAI RUBBER CO., LTD.</v>
      </c>
      <c r="F41" s="62" t="str">
        <f>VLOOKUP(D41,'2.Bookinglist'!A:CT,28,FALSE)</f>
        <v>TONG THAI RUBBER CO., LTD.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JPSBS</v>
      </c>
      <c r="J41" s="61" t="str">
        <f>VLOOKUP(D41,'2.Bookinglist'!A:CT,26,FALSE)</f>
        <v>KRPUS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KUS</v>
      </c>
      <c r="P41" s="61" t="str">
        <f>VLOOKUP(A41,'1.Loading'!A:R,4,FALSE)</f>
        <v>2616N</v>
      </c>
      <c r="Q41" s="61" t="str">
        <f>VLOOKUP(D41,'2.Bookinglist'!A:CT,12,FALSE)</f>
        <v>KST</v>
      </c>
      <c r="R41" s="60" t="str">
        <f>IF(LEFT(K41,2)="22","20'","40'")</f>
        <v>20'</v>
      </c>
      <c r="S41" s="185" t="n"/>
      <c r="T41" s="61" t="str">
        <f>VLOOKUP(A41,'1.Loading'!A:R,2,FALSE)</f>
        <v>2026-10-16</v>
      </c>
      <c r="U41" s="63">
        <f>T41-S41</f>
        <v>46311</v>
      </c>
      <c r="V41" s="186" t="n"/>
      <c r="W41" s="61" t="str">
        <f>VLOOKUP(A41,'3.GateMove'!A:D,4,FALSE)</f>
        <v>2026-10-14</v>
      </c>
      <c r="X41" s="63">
        <f>((T41-W41)+1)</f>
        <v>3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46312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Yasuaki Ueno</v>
      </c>
      <c r="AL41" s="60" t="str">
        <f>VLOOKUP(D41,'2.Bookinglist'!A:CW,101,FALSE)</f>
        <v>2026-10-13</v>
      </c>
      <c r="AM41" s="60" t="str">
        <f>VLOOKUP(D41,'2.Bookinglist'!A:BK,63,FALSE)</f>
        <v>LCH27</v>
      </c>
      <c r="AN41" s="62" t="str">
        <f>VLOOKUP(D41,'2.Bookinglist'!A:AZ,52,FALSE)</f>
        <v>[FIX][FIX]CY-RTN : 09-10/10/2026</v>
      </c>
      <c r="AO41" s="62">
        <f>VLOOKUP(D41,'2.Bookinglist'!A:CY,103,FALSE)</f>
        <v>0</v>
      </c>
    </row>
    <row r="42" ht="12.95" customHeight="1">
      <c r="A42" s="96" t="inlineStr">
        <is>
          <t>SKLU1942848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LCH05</v>
      </c>
      <c r="D42" s="61" t="str">
        <f>VLOOKUP(A42,'1.Loading'!A:R,17,FALSE)</f>
        <v>HASLS22260900146</v>
      </c>
      <c r="E42" s="62" t="str">
        <f>VLOOKUP(D42,'2.Bookinglist'!A:CT,27,FALSE)</f>
        <v>WHA GC LOGISTICS COMPANY LIMITED</v>
      </c>
      <c r="F42" s="62" t="str">
        <f>VLOOKUP(D42,'2.Bookinglist'!A:CT,28,FALSE)</f>
        <v>PTT GLOBAL CHEMICAL PUBLIC COMPANY LIMITED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JPHKT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KUS</v>
      </c>
      <c r="P42" s="61" t="str">
        <f>VLOOKUP(A42,'1.Loading'!A:R,4,FALSE)</f>
        <v>2616N</v>
      </c>
      <c r="Q42" s="61" t="str">
        <f>VLOOKUP(D42,'2.Bookinglist'!A:CT,12,FALSE)</f>
        <v>KST</v>
      </c>
      <c r="R42" s="60" t="str">
        <f>IF(LEFT(K42,2)="22","20'","40'")</f>
        <v>20'</v>
      </c>
      <c r="S42" s="185" t="n"/>
      <c r="T42" s="61" t="str">
        <f>VLOOKUP(A42,'1.Loading'!A:R,2,FALSE)</f>
        <v>2026-10-16</v>
      </c>
      <c r="U42" s="63">
        <f>T42-S42</f>
        <v>46311</v>
      </c>
      <c r="V42" s="186" t="n"/>
      <c r="W42" s="61" t="str">
        <f>VLOOKUP(A42,'3.GateMove'!A:D,4,FALSE)</f>
        <v>2026-10-09</v>
      </c>
      <c r="X42" s="63">
        <f>((T42-W42)+1)</f>
        <v>8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1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125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46312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125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2026-10-15</v>
      </c>
      <c r="AM42" s="60" t="str">
        <f>VLOOKUP(D42,'2.Bookinglist'!A:BK,63,FALSE)</f>
        <v>LCH27</v>
      </c>
      <c r="AN42" s="62" t="str">
        <f>VLOOKUP(D42,'2.Bookinglist'!A:AZ,52,FALSE)</f>
        <v>[FIX]CY-RTN 25-28/09/26 (PR2610002240)</v>
      </c>
      <c r="AO42" s="62" t="str">
        <f>VLOOKUP(D42,'2.Bookinglist'!A:CY,103,FALSE)</f>
        <v>ROLL OVER FROM PREVIOUS VSL SWSP 2609N BY ALLOCATION TEAM MS,TARN APPROVED COST IS UNDER HA DD.4/10</v>
      </c>
    </row>
    <row r="43" ht="12.95" customHeight="1">
      <c r="A43" s="96" t="inlineStr">
        <is>
          <t>SKLU2054923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LCH05</v>
      </c>
      <c r="D43" s="61" t="str">
        <f>VLOOKUP(A43,'1.Loading'!A:R,17,FALSE)</f>
        <v>HASLS22260902064</v>
      </c>
      <c r="E43" s="62" t="str">
        <f>VLOOKUP(D43,'2.Bookinglist'!A:CT,27,FALSE)</f>
        <v>SCGJWD LOGISTICS PUBLIC COMPANY LIMITED</v>
      </c>
      <c r="F43" s="62" t="str">
        <f>VLOOKUP(D43,'2.Bookinglist'!A:CT,28,FALSE)</f>
        <v>THAI POLYETHYLENE CO., LTD.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JPMOJ</v>
      </c>
      <c r="J43" s="61" t="str">
        <f>VLOOKUP(D43,'2.Bookinglist'!A:CT,26,FALSE)</f>
        <v>KRPUS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KUS</v>
      </c>
      <c r="P43" s="61" t="str">
        <f>VLOOKUP(A43,'1.Loading'!A:R,4,FALSE)</f>
        <v>2616N</v>
      </c>
      <c r="Q43" s="61" t="str">
        <f>VLOOKUP(D43,'2.Bookinglist'!A:CT,12,FALSE)</f>
        <v>KST</v>
      </c>
      <c r="R43" s="60" t="str">
        <f>IF(LEFT(K43,2)="22","20'","40'")</f>
        <v>20'</v>
      </c>
      <c r="S43" s="185" t="n"/>
      <c r="T43" s="61" t="str">
        <f>VLOOKUP(A43,'1.Loading'!A:R,2,FALSE)</f>
        <v>2026-10-16</v>
      </c>
      <c r="U43" s="63">
        <f>T43-S43</f>
        <v>46311</v>
      </c>
      <c r="V43" s="186" t="n"/>
      <c r="W43" s="61" t="str">
        <f>VLOOKUP(A43,'3.GateMove'!A:D,4,FALSE)</f>
        <v>2026-10-11</v>
      </c>
      <c r="X43" s="63">
        <f>((T43-W43)+1)</f>
        <v>6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46312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Kanokporn</v>
      </c>
      <c r="AL43" s="60" t="str">
        <f>VLOOKUP(D43,'2.Bookinglist'!A:CW,101,FALSE)</f>
        <v>2026-10-15</v>
      </c>
      <c r="AM43" s="60" t="str">
        <f>VLOOKUP(D43,'2.Bookinglist'!A:BK,63,FALSE)</f>
        <v>LCHY5</v>
      </c>
      <c r="AN43" s="62" t="str">
        <f>VLOOKUP(D43,'2.Bookinglist'!A:AZ,52,FALSE)</f>
        <v>CY-RTN 09-12/10/26 (  INV  3031061854 )</v>
      </c>
      <c r="AO43" s="62">
        <f>VLOOKUP(D43,'2.Bookinglist'!A:CY,103,FALSE)</f>
        <v>0</v>
      </c>
    </row>
    <row r="44" ht="12.95" customHeight="1">
      <c r="A44" s="96" t="inlineStr">
        <is>
          <t>SKLU2070884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LCH05</v>
      </c>
      <c r="D44" s="61" t="str">
        <f>VLOOKUP(A44,'1.Loading'!A:R,17,FALSE)</f>
        <v>HASLS22260902064</v>
      </c>
      <c r="E44" s="62" t="str">
        <f>VLOOKUP(D44,'2.Bookinglist'!A:CT,27,FALSE)</f>
        <v>SCGJWD LOGISTICS PUBLIC COMPANY LIMITED</v>
      </c>
      <c r="F44" s="62" t="str">
        <f>VLOOKUP(D44,'2.Bookinglist'!A:CT,28,FALSE)</f>
        <v>THAI POLYETHYLENE CO., LTD.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JPMOJ</v>
      </c>
      <c r="J44" s="61" t="str">
        <f>VLOOKUP(D44,'2.Bookinglist'!A:CT,26,FALSE)</f>
        <v>KRPUS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KUS</v>
      </c>
      <c r="P44" s="61" t="str">
        <f>VLOOKUP(A44,'1.Loading'!A:R,4,FALSE)</f>
        <v>2616N</v>
      </c>
      <c r="Q44" s="61" t="str">
        <f>VLOOKUP(D44,'2.Bookinglist'!A:CT,12,FALSE)</f>
        <v>KST</v>
      </c>
      <c r="R44" s="60" t="str">
        <f>IF(LEFT(K44,2)="22","20'","40'")</f>
        <v>20'</v>
      </c>
      <c r="S44" s="185" t="n"/>
      <c r="T44" s="61" t="str">
        <f>VLOOKUP(A44,'1.Loading'!A:R,2,FALSE)</f>
        <v>2026-10-16</v>
      </c>
      <c r="U44" s="63">
        <f>T44-S44</f>
        <v>46311</v>
      </c>
      <c r="V44" s="186" t="n"/>
      <c r="W44" s="61" t="str">
        <f>VLOOKUP(A44,'3.GateMove'!A:D,4,FALSE)</f>
        <v>2026-10-11</v>
      </c>
      <c r="X44" s="63">
        <f>((T44-W44)+1)</f>
        <v>6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46312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Kanokporn</v>
      </c>
      <c r="AL44" s="60" t="str">
        <f>VLOOKUP(D44,'2.Bookinglist'!A:CW,101,FALSE)</f>
        <v>2026-10-15</v>
      </c>
      <c r="AM44" s="60" t="str">
        <f>VLOOKUP(D44,'2.Bookinglist'!A:BK,63,FALSE)</f>
        <v>LCHY5</v>
      </c>
      <c r="AN44" s="62" t="str">
        <f>VLOOKUP(D44,'2.Bookinglist'!A:AZ,52,FALSE)</f>
        <v>CY-RTN 09-12/10/26 (  INV  3031061854 )</v>
      </c>
      <c r="AO44" s="62">
        <f>VLOOKUP(D44,'2.Bookinglist'!A:CY,103,FALSE)</f>
        <v>0</v>
      </c>
    </row>
    <row r="45" ht="12.95" customHeight="1">
      <c r="A45" s="96" t="inlineStr">
        <is>
          <t>SKLU2101732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LCH05</v>
      </c>
      <c r="D45" s="61" t="str">
        <f>VLOOKUP(A45,'1.Loading'!A:R,17,FALSE)</f>
        <v>HASLS22260900146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JPHKT</v>
      </c>
      <c r="J45" s="61" t="str">
        <f>VLOOKUP(D45,'2.Bookinglist'!A:CT,26,FALSE)</f>
        <v>KRPUS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KUS</v>
      </c>
      <c r="P45" s="61" t="str">
        <f>VLOOKUP(A45,'1.Loading'!A:R,4,FALSE)</f>
        <v>2616N</v>
      </c>
      <c r="Q45" s="61" t="str">
        <f>VLOOKUP(D45,'2.Bookinglist'!A:CT,12,FALSE)</f>
        <v>KST</v>
      </c>
      <c r="R45" s="60" t="str">
        <f>IF(LEFT(K45,2)="22","20'","40'")</f>
        <v>20'</v>
      </c>
      <c r="S45" s="185" t="n"/>
      <c r="T45" s="61" t="str">
        <f>VLOOKUP(A45,'1.Loading'!A:R,2,FALSE)</f>
        <v>2026-10-16</v>
      </c>
      <c r="U45" s="63">
        <f>T45-S45</f>
        <v>46311</v>
      </c>
      <c r="V45" s="186" t="n"/>
      <c r="W45" s="61" t="str">
        <f>VLOOKUP(A45,'3.GateMove'!A:D,4,FALSE)</f>
        <v>2026-10-09</v>
      </c>
      <c r="X45" s="63">
        <f>((T45-W45)+1)</f>
        <v>8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1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125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46312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125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2026-10-15</v>
      </c>
      <c r="AM45" s="60" t="str">
        <f>VLOOKUP(D45,'2.Bookinglist'!A:BK,63,FALSE)</f>
        <v>LCH27</v>
      </c>
      <c r="AN45" s="62" t="str">
        <f>VLOOKUP(D45,'2.Bookinglist'!A:AZ,52,FALSE)</f>
        <v>[FIX]CY-RTN 25-28/09/26 (PR2610002240)</v>
      </c>
      <c r="AO45" s="62" t="str">
        <f>VLOOKUP(D45,'2.Bookinglist'!A:CY,103,FALSE)</f>
        <v>ROLL OVER FROM PREVIOUS VSL SWSP 2609N BY ALLOCATION TEAM MS,TARN APPROVED COST IS UNDER HA DD.4/10</v>
      </c>
    </row>
    <row r="46" ht="12.95" customHeight="1">
      <c r="A46" s="96" t="inlineStr">
        <is>
          <t>SKLU2113440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LCH05</v>
      </c>
      <c r="D46" s="61" t="str">
        <f>VLOOKUP(A46,'1.Loading'!A:R,17,FALSE)</f>
        <v>HASLS22260900461</v>
      </c>
      <c r="E46" s="62" t="str">
        <f>VLOOKUP(D46,'2.Bookinglist'!A:CT,27,FALSE)</f>
        <v>WHA GC LOGISTICS COMPANY LIMITED</v>
      </c>
      <c r="F46" s="62" t="str">
        <f>VLOOKUP(D46,'2.Bookinglist'!A:CT,28,FALSE)</f>
        <v>PTT GLOBAL CHEMICAL PUBLIC COMPANY LIMITED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KUS</v>
      </c>
      <c r="P46" s="61" t="str">
        <f>VLOOKUP(A46,'1.Loading'!A:R,4,FALSE)</f>
        <v>2616N</v>
      </c>
      <c r="Q46" s="61" t="str">
        <f>VLOOKUP(D46,'2.Bookinglist'!A:CT,12,FALSE)</f>
        <v>KST</v>
      </c>
      <c r="R46" s="60" t="str">
        <f>IF(LEFT(K46,2)="22","20'","40'")</f>
        <v>20'</v>
      </c>
      <c r="S46" s="185" t="n"/>
      <c r="T46" s="61" t="str">
        <f>VLOOKUP(A46,'1.Loading'!A:R,2,FALSE)</f>
        <v>2026-10-16</v>
      </c>
      <c r="U46" s="63">
        <f>T46-S46</f>
        <v>46311</v>
      </c>
      <c r="V46" s="186" t="n"/>
      <c r="W46" s="61" t="str">
        <f>VLOOKUP(A46,'3.GateMove'!A:D,4,FALSE)</f>
        <v>2026-10-08</v>
      </c>
      <c r="X46" s="63">
        <f>((T46-W46)+1)</f>
        <v>9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2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250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46312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250</v>
      </c>
      <c r="AJ46" s="188" t="n"/>
      <c r="AK46" s="62" t="str">
        <f>VLOOKUP(D46,'2.Bookinglist'!A:CT,40,FALSE)</f>
        <v>Dharaporn</v>
      </c>
      <c r="AL46" s="60" t="str">
        <f>VLOOKUP(D46,'2.Bookinglist'!A:CW,101,FALSE)</f>
        <v>2026-10-15</v>
      </c>
      <c r="AM46" s="60" t="str">
        <f>VLOOKUP(D46,'2.Bookinglist'!A:BK,63,FALSE)</f>
        <v>LCH27</v>
      </c>
      <c r="AN46" s="62" t="str">
        <f>VLOOKUP(D46,'2.Bookinglist'!A:AZ,52,FALSE)</f>
        <v>CY-RTN 23-26/09/26 / FIRST DATE CAN RETURN CNTR DD.05/10 
**CHECK OPEN GATE BEFORE RETURN CNTR **
</v>
      </c>
      <c r="AO46" s="62" t="str">
        <f>VLOOKUP(D46,'2.Bookinglist'!A:CY,103,FALSE)</f>
        <v>ROLL OVER FROM PREVIOUS VSL.PCCP 2610N BY ALLOCATION TEAM MS.TARN APPROVED COST IS UNDER HAL DD.09/10/2026</v>
      </c>
    </row>
    <row r="47" ht="12.95" customHeight="1">
      <c r="A47" s="96" t="inlineStr">
        <is>
          <t>SKLU2300483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LCH05</v>
      </c>
      <c r="D47" s="61" t="str">
        <f>VLOOKUP(A47,'1.Loading'!A:R,17,FALSE)</f>
        <v>HASLS22260902064</v>
      </c>
      <c r="E47" s="62" t="str">
        <f>VLOOKUP(D47,'2.Bookinglist'!A:CT,27,FALSE)</f>
        <v>SCGJWD LOGISTICS PUBLIC COMPANY LIMITED</v>
      </c>
      <c r="F47" s="62" t="str">
        <f>VLOOKUP(D47,'2.Bookinglist'!A:CT,28,FALSE)</f>
        <v>THAI POLYETHYLENE CO., LTD.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JPMOJ</v>
      </c>
      <c r="J47" s="61" t="str">
        <f>VLOOKUP(D47,'2.Bookinglist'!A:CT,26,FALSE)</f>
        <v>KRPUS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KUS</v>
      </c>
      <c r="P47" s="61" t="str">
        <f>VLOOKUP(A47,'1.Loading'!A:R,4,FALSE)</f>
        <v>2616N</v>
      </c>
      <c r="Q47" s="61" t="str">
        <f>VLOOKUP(D47,'2.Bookinglist'!A:CT,12,FALSE)</f>
        <v>KST</v>
      </c>
      <c r="R47" s="60" t="str">
        <f>IF(LEFT(K47,2)="22","20'","40'")</f>
        <v>20'</v>
      </c>
      <c r="S47" s="185" t="n"/>
      <c r="T47" s="61" t="str">
        <f>VLOOKUP(A47,'1.Loading'!A:R,2,FALSE)</f>
        <v>2026-10-16</v>
      </c>
      <c r="U47" s="63">
        <f>T47-S47</f>
        <v>46311</v>
      </c>
      <c r="V47" s="186" t="n"/>
      <c r="W47" s="61" t="str">
        <f>VLOOKUP(A47,'3.GateMove'!A:D,4,FALSE)</f>
        <v>2026-10-12</v>
      </c>
      <c r="X47" s="63">
        <f>((T47-W47)+1)</f>
        <v>5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46312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Kanokporn</v>
      </c>
      <c r="AL47" s="60" t="str">
        <f>VLOOKUP(D47,'2.Bookinglist'!A:CW,101,FALSE)</f>
        <v>2026-10-15</v>
      </c>
      <c r="AM47" s="60" t="str">
        <f>VLOOKUP(D47,'2.Bookinglist'!A:BK,63,FALSE)</f>
        <v>LCHY5</v>
      </c>
      <c r="AN47" s="62" t="str">
        <f>VLOOKUP(D47,'2.Bookinglist'!A:AZ,52,FALSE)</f>
        <v>CY-RTN 09-12/10/26 (  INV  3031061854 )</v>
      </c>
      <c r="AO47" s="62">
        <f>VLOOKUP(D47,'2.Bookinglist'!A:CY,103,FALSE)</f>
        <v>0</v>
      </c>
    </row>
    <row r="48" ht="12.95" customHeight="1">
      <c r="A48" s="96" t="inlineStr">
        <is>
          <t>SKLU2361410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LCH05</v>
      </c>
      <c r="D48" s="61" t="str">
        <f>VLOOKUP(A48,'1.Loading'!A:R,17,FALSE)</f>
        <v>HASLS22260902064</v>
      </c>
      <c r="E48" s="62" t="str">
        <f>VLOOKUP(D48,'2.Bookinglist'!A:CT,27,FALSE)</f>
        <v>SCGJWD LOGISTICS PUBLIC COMPANY LIMITED</v>
      </c>
      <c r="F48" s="62" t="str">
        <f>VLOOKUP(D48,'2.Bookinglist'!A:CT,28,FALSE)</f>
        <v>THAI POLYETHYLENE CO.,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JPMOJ</v>
      </c>
      <c r="J48" s="61" t="str">
        <f>VLOOKUP(D48,'2.Bookinglist'!A:CT,26,FALSE)</f>
        <v>KRPUS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KUS</v>
      </c>
      <c r="P48" s="61" t="str">
        <f>VLOOKUP(A48,'1.Loading'!A:R,4,FALSE)</f>
        <v>2616N</v>
      </c>
      <c r="Q48" s="61" t="str">
        <f>VLOOKUP(D48,'2.Bookinglist'!A:CT,12,FALSE)</f>
        <v>KST</v>
      </c>
      <c r="R48" s="60" t="str">
        <f>IF(LEFT(K48,2)="22","20'","40'")</f>
        <v>20'</v>
      </c>
      <c r="S48" s="185" t="n"/>
      <c r="T48" s="61" t="str">
        <f>VLOOKUP(A48,'1.Loading'!A:R,2,FALSE)</f>
        <v>2026-10-16</v>
      </c>
      <c r="U48" s="63">
        <f>T48-S48</f>
        <v>46311</v>
      </c>
      <c r="V48" s="186" t="n"/>
      <c r="W48" s="61" t="str">
        <f>VLOOKUP(A48,'3.GateMove'!A:D,4,FALSE)</f>
        <v>2026-10-11</v>
      </c>
      <c r="X48" s="63">
        <f>((T48-W48)+1)</f>
        <v>6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46312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2026-10-15</v>
      </c>
      <c r="AM48" s="60" t="str">
        <f>VLOOKUP(D48,'2.Bookinglist'!A:BK,63,FALSE)</f>
        <v>LCHY5</v>
      </c>
      <c r="AN48" s="62" t="str">
        <f>VLOOKUP(D48,'2.Bookinglist'!A:AZ,52,FALSE)</f>
        <v>CY-RTN 09-12/10/26 (  INV  3031061854 )</v>
      </c>
      <c r="AO48" s="62">
        <f>VLOOKUP(D48,'2.Bookinglist'!A:CY,103,FALSE)</f>
        <v>0</v>
      </c>
    </row>
    <row r="49" ht="12.95" customHeight="1">
      <c r="A49" s="96" t="inlineStr">
        <is>
          <t>SKLU2426300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LCH05</v>
      </c>
      <c r="D49" s="61" t="str">
        <f>VLOOKUP(A49,'1.Loading'!A:R,17,FALSE)</f>
        <v>HASLS22260900461</v>
      </c>
      <c r="E49" s="62" t="str">
        <f>VLOOKUP(D49,'2.Bookinglist'!A:CT,27,FALSE)</f>
        <v>WHA GC LOGISTICS COMPANY LIMITED</v>
      </c>
      <c r="F49" s="62" t="str">
        <f>VLOOKUP(D49,'2.Bookinglist'!A:CT,28,FALSE)</f>
        <v>PTT GLOBAL CHEMICAL PUBLIC COMPANY LIMITED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VNSGN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KUS</v>
      </c>
      <c r="P49" s="61" t="str">
        <f>VLOOKUP(A49,'1.Loading'!A:R,4,FALSE)</f>
        <v>2616N</v>
      </c>
      <c r="Q49" s="61" t="str">
        <f>VLOOKUP(D49,'2.Bookinglist'!A:CT,12,FALSE)</f>
        <v>KST</v>
      </c>
      <c r="R49" s="60" t="str">
        <f>IF(LEFT(K49,2)="22","20'","40'")</f>
        <v>20'</v>
      </c>
      <c r="S49" s="185" t="n"/>
      <c r="T49" s="61" t="str">
        <f>VLOOKUP(A49,'1.Loading'!A:R,2,FALSE)</f>
        <v>2026-10-16</v>
      </c>
      <c r="U49" s="63">
        <f>T49-S49</f>
        <v>46311</v>
      </c>
      <c r="V49" s="186" t="n"/>
      <c r="W49" s="61" t="str">
        <f>VLOOKUP(A49,'3.GateMove'!A:D,4,FALSE)</f>
        <v>2026-10-08</v>
      </c>
      <c r="X49" s="63">
        <f>((T49-W49)+1)</f>
        <v>9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2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250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46312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250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2026-10-15</v>
      </c>
      <c r="AM49" s="60" t="str">
        <f>VLOOKUP(D49,'2.Bookinglist'!A:BK,63,FALSE)</f>
        <v>LCH27</v>
      </c>
      <c r="AN49" s="62" t="str">
        <f>VLOOKUP(D49,'2.Bookinglist'!A:AZ,52,FALSE)</f>
        <v>CY-RTN 23-26/09/26 / FIRST DATE CAN RETURN CNTR DD.05/10 
**CHECK OPEN GATE BEFORE RETURN CNTR **
</v>
      </c>
      <c r="AO49" s="62" t="str">
        <f>VLOOKUP(D49,'2.Bookinglist'!A:CY,103,FALSE)</f>
        <v>ROLL OVER FROM PREVIOUS VSL.PCCP 2610N BY ALLOCATION TEAM MS.TARN APPROVED COST IS UNDER HAL DD.09/10/2026</v>
      </c>
    </row>
    <row r="50" ht="12.95" customHeight="1">
      <c r="A50" s="96" t="inlineStr">
        <is>
          <t>SKLU2466833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LCH05</v>
      </c>
      <c r="D50" s="61" t="str">
        <f>VLOOKUP(A50,'1.Loading'!A:R,17,FALSE)</f>
        <v>HASLS22260901989</v>
      </c>
      <c r="E50" s="62" t="str">
        <f>VLOOKUP(D50,'2.Bookinglist'!A:CT,27,FALSE)</f>
        <v>WHA GC LOGISTICS COMPANY LIMITED</v>
      </c>
      <c r="F50" s="62" t="str">
        <f>VLOOKUP(D50,'2.Bookinglist'!A:CT,28,FALSE)</f>
        <v>PTT GLOBAL CHEMICAL PUBLIC COMPANY LIMITED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JPUKB</v>
      </c>
      <c r="J50" s="61" t="str">
        <f>VLOOKUP(D50,'2.Bookinglist'!A:CT,26,FALSE)</f>
        <v>KRPUS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KUS</v>
      </c>
      <c r="P50" s="61" t="str">
        <f>VLOOKUP(A50,'1.Loading'!A:R,4,FALSE)</f>
        <v>2616N</v>
      </c>
      <c r="Q50" s="61" t="str">
        <f>VLOOKUP(D50,'2.Bookinglist'!A:CT,12,FALSE)</f>
        <v>KST</v>
      </c>
      <c r="R50" s="60" t="str">
        <f>IF(LEFT(K50,2)="22","20'","40'")</f>
        <v>20'</v>
      </c>
      <c r="S50" s="185" t="n"/>
      <c r="T50" s="61" t="str">
        <f>VLOOKUP(A50,'1.Loading'!A:R,2,FALSE)</f>
        <v>2026-10-16</v>
      </c>
      <c r="U50" s="63">
        <f>T50-S50</f>
        <v>46311</v>
      </c>
      <c r="V50" s="186" t="n"/>
      <c r="W50" s="61" t="str">
        <f>VLOOKUP(A50,'3.GateMove'!A:D,4,FALSE)</f>
        <v>2026-10-14</v>
      </c>
      <c r="X50" s="63">
        <f>((T50-W50)+1)</f>
        <v>3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0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46312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0</v>
      </c>
      <c r="AJ50" s="188" t="n"/>
      <c r="AK50" s="62" t="str">
        <f>VLOOKUP(D50,'2.Bookinglist'!A:CT,40,FALSE)</f>
        <v>Dharaporn</v>
      </c>
      <c r="AL50" s="60" t="str">
        <f>VLOOKUP(D50,'2.Bookinglist'!A:CW,101,FALSE)</f>
        <v>2026-10-15</v>
      </c>
      <c r="AM50" s="60" t="str">
        <f>VLOOKUP(D50,'2.Bookinglist'!A:BK,63,FALSE)</f>
        <v>LCHY5</v>
      </c>
      <c r="AN50" s="62" t="str">
        <f>VLOOKUP(D50,'2.Bookinglist'!A:AZ,52,FALSE)</f>
        <v>[FIX]CY-RTN 09-10/10/26 (PR2610002570) cls time dd.14/10 before 1800hrs
*PLS CHECK OPEN GATE BEFORE RETURN CTNR*</v>
      </c>
      <c r="AO50" s="62">
        <f>VLOOKUP(D50,'2.Bookinglist'!A:CY,103,FALSE)</f>
        <v>0</v>
      </c>
    </row>
    <row r="51" ht="12.95" customHeight="1">
      <c r="A51" s="96" t="inlineStr">
        <is>
          <t>TCLU5783442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LCH05</v>
      </c>
      <c r="D51" s="61" t="str">
        <f>VLOOKUP(A51,'1.Loading'!A:R,17,FALSE)</f>
        <v>HASLS22260902231</v>
      </c>
      <c r="E51" s="62" t="str">
        <f>VLOOKUP(D51,'2.Bookinglist'!A:CT,27,FALSE)</f>
        <v>EAST-LINK CORPORATION CO., LTD.</v>
      </c>
      <c r="F51" s="62" t="str">
        <f>VLOOKUP(D51,'2.Bookinglist'!A:CT,28,FALSE)</f>
        <v>TRI-WALL PACKAGING (THAI) LTD.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VNSGN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KUS</v>
      </c>
      <c r="P51" s="61" t="str">
        <f>VLOOKUP(A51,'1.Loading'!A:R,4,FALSE)</f>
        <v>2616N</v>
      </c>
      <c r="Q51" s="61" t="str">
        <f>VLOOKUP(D51,'2.Bookinglist'!A:CT,12,FALSE)</f>
        <v>KST</v>
      </c>
      <c r="R51" s="60" t="str">
        <f>IF(LEFT(K51,2)="22","20'","40'")</f>
        <v>40'</v>
      </c>
      <c r="S51" s="185" t="n"/>
      <c r="T51" s="61" t="str">
        <f>VLOOKUP(A51,'1.Loading'!A:R,2,FALSE)</f>
        <v>2026-10-16</v>
      </c>
      <c r="U51" s="63">
        <f>T51-S51</f>
        <v>46311</v>
      </c>
      <c r="V51" s="186" t="n"/>
      <c r="W51" s="61" t="str">
        <f>VLOOKUP(A51,'3.GateMove'!A:D,4,FALSE)</f>
        <v>2026-10-08</v>
      </c>
      <c r="X51" s="63">
        <f>((T51-W51)+1)</f>
        <v>9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2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500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46312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500</v>
      </c>
      <c r="AJ51" s="188" t="n"/>
      <c r="AK51" s="62" t="str">
        <f>VLOOKUP(D51,'2.Bookinglist'!A:CT,40,FALSE)</f>
        <v>Dharaporn</v>
      </c>
      <c r="AL51" s="60" t="str">
        <f>VLOOKUP(D51,'2.Bookinglist'!A:CW,101,FALSE)</f>
        <v>2026-10-15</v>
      </c>
      <c r="AM51" s="60" t="str">
        <f>VLOOKUP(D51,'2.Bookinglist'!A:BK,63,FALSE)</f>
        <v>LCH28</v>
      </c>
      <c r="AN51" s="62" t="str">
        <f>VLOOKUP(D51,'2.Bookinglist'!A:AZ,52,FALSE)</f>
        <v>Pickup : 2026-10-07, Return : 2026-10-08</v>
      </c>
      <c r="AO51" s="62" t="str">
        <f>VLOOKUP(D51,'2.Bookinglist'!A:CY,103,FALSE)</f>
        <v>ROLL OVER FORM PREVIOUS VSL PCCP 2610N BY ALLOCATION TEAM MS.TARN APRPOVED COST IS UNDER HA DD.8/10</v>
      </c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2026-10-16T02:27:19Z</dcterms:modified>
  <cp:lastModifiedBy>office4</cp:lastModifiedBy>
  <cp:lastPrinted>2019-11-19T03:03:39Z</cp:lastPrinted>
</cp:coreProperties>
</file>